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garciaa\DC\ACCDocs\ACCIONA SA\C3041 - UTE METRO BENGOETXE\Project Files\15 - CONSTRUCCIÓN\15.01 - Topografía\TOP_08 AUSCULTACIÓN\99-FORMATO ACO\"/>
    </mc:Choice>
  </mc:AlternateContent>
  <xr:revisionPtr revIDLastSave="0" documentId="13_ncr:1_{7F01CDE0-50B2-430E-A839-2C7E5714DF9E}" xr6:coauthVersionLast="47" xr6:coauthVersionMax="47" xr10:uidLastSave="{00000000-0000-0000-0000-000000000000}"/>
  <bookViews>
    <workbookView xWindow="28680" yWindow="-1905" windowWidth="24240" windowHeight="17520" firstSheet="16" activeTab="17" xr2:uid="{00000000-000D-0000-FFFF-FFFF00000000}"/>
  </bookViews>
  <sheets>
    <sheet name="TZ-6" sheetId="7" state="hidden" r:id="rId1"/>
    <sheet name="TZ-8" sheetId="9" state="hidden" r:id="rId2"/>
    <sheet name="TZ-10" sheetId="11" state="hidden" r:id="rId3"/>
    <sheet name="TZ-12" sheetId="14" state="hidden" r:id="rId4"/>
    <sheet name="TZ-14" sheetId="16" state="hidden" r:id="rId5"/>
    <sheet name="TZ-16" sheetId="18" state="hidden" r:id="rId6"/>
    <sheet name="TZ-18" sheetId="20" state="hidden" r:id="rId7"/>
    <sheet name="TZ-20" sheetId="22" state="hidden" r:id="rId8"/>
    <sheet name="TZ-22" sheetId="24" state="hidden" r:id="rId9"/>
    <sheet name="TZ-24" sheetId="28" state="hidden" r:id="rId10"/>
    <sheet name="TZ-26" sheetId="31" state="hidden" r:id="rId11"/>
    <sheet name="TZ-28" sheetId="33" state="hidden" r:id="rId12"/>
    <sheet name="TZ-30" sheetId="35" state="hidden" r:id="rId13"/>
    <sheet name="TZ-32" sheetId="37" state="hidden" r:id="rId14"/>
    <sheet name="TZ-34" sheetId="39" state="hidden" r:id="rId15"/>
    <sheet name="TZ-36" sheetId="41" state="hidden" r:id="rId16"/>
    <sheet name="MP.ABUSU" sheetId="152" r:id="rId17"/>
    <sheet name="MP.BENGOETXE" sheetId="151" r:id="rId18"/>
    <sheet name="MP.OLABARRIETA" sheetId="153" r:id="rId19"/>
    <sheet name="MP.TRAZA" sheetId="154" r:id="rId20"/>
    <sheet name="TZ-112" sheetId="118" state="hidden" r:id="rId21"/>
    <sheet name="TZ-114" sheetId="120" state="hidden" r:id="rId22"/>
    <sheet name="TZ-115" sheetId="122" state="hidden" r:id="rId23"/>
    <sheet name="TZ-116" sheetId="123" state="hidden" r:id="rId24"/>
    <sheet name="TZ-130" sheetId="145" state="hidden" r:id="rId25"/>
  </sheets>
  <externalReferences>
    <externalReference r:id="rId26"/>
  </externalReferences>
  <definedNames>
    <definedName name="_xlnm._FilterDatabase" localSheetId="16" hidden="1">MP.ABUSU!$A$1:$E$1172</definedName>
    <definedName name="_xlnm._FilterDatabase" localSheetId="17" hidden="1">MP.BENGOETXE!$E$1:$E$818</definedName>
    <definedName name="_xlnm.Print_Area" localSheetId="17">MP.BENGOETXE!$A$2:$AY$128</definedName>
    <definedName name="_xlnm.Print_Area" localSheetId="2">'TZ-10'!$B$2:$Y$59</definedName>
    <definedName name="_xlnm.Print_Area" localSheetId="20">'TZ-112'!$B$2:$Y$59</definedName>
    <definedName name="_xlnm.Print_Area" localSheetId="21">'TZ-114'!$B$2:$Y$59</definedName>
    <definedName name="_xlnm.Print_Area" localSheetId="22">'TZ-115'!$B$2:$Y$59</definedName>
    <definedName name="_xlnm.Print_Area" localSheetId="23">'TZ-116'!$B$2:$Y$59</definedName>
    <definedName name="_xlnm.Print_Area" localSheetId="3">'TZ-12'!$B$2:$Y$59</definedName>
    <definedName name="_xlnm.Print_Area" localSheetId="24">'TZ-130'!$B$2:$Y$59</definedName>
    <definedName name="_xlnm.Print_Area" localSheetId="4">'TZ-14'!$B$2:$Y$59</definedName>
    <definedName name="_xlnm.Print_Area" localSheetId="5">'TZ-16'!$B$2:$Y$59</definedName>
    <definedName name="_xlnm.Print_Area" localSheetId="6">'TZ-18'!$B$2:$Y$59</definedName>
    <definedName name="_xlnm.Print_Area" localSheetId="7">'TZ-20'!$B$2:$Y$59</definedName>
    <definedName name="_xlnm.Print_Area" localSheetId="8">'TZ-22'!$B$2:$Y$59</definedName>
    <definedName name="_xlnm.Print_Area" localSheetId="9">'TZ-24'!$B$2:$Y$59</definedName>
    <definedName name="_xlnm.Print_Area" localSheetId="10">'TZ-26'!$B$2:$Y$59</definedName>
    <definedName name="_xlnm.Print_Area" localSheetId="11">'TZ-28'!$B$2:$Y$59</definedName>
    <definedName name="_xlnm.Print_Area" localSheetId="12">'TZ-30'!$B$2:$Y$59</definedName>
    <definedName name="_xlnm.Print_Area" localSheetId="13">'TZ-32'!$B$2:$Y$59</definedName>
    <definedName name="_xlnm.Print_Area" localSheetId="14">'TZ-34'!$B$2:$Y$59</definedName>
    <definedName name="_xlnm.Print_Area" localSheetId="15">'TZ-36'!$B$2:$Y$59</definedName>
    <definedName name="_xlnm.Print_Area" localSheetId="0">'TZ-6'!$B$2:$Y$59</definedName>
    <definedName name="_xlnm.Print_Area" localSheetId="1">'TZ-8'!$B$2:$Y$59</definedName>
    <definedName name="CAB" localSheetId="2">OFFSET('TZ-10'!$C$17,0,8,COUNTA('TZ-10'!$C$17:$C$153),1)</definedName>
    <definedName name="CAB" localSheetId="20">OFFSET('TZ-112'!$C$17,0,8,COUNTA('TZ-112'!$C$17:$C$153),1)</definedName>
    <definedName name="CAB" localSheetId="21">OFFSET('TZ-114'!$C$17,0,8,COUNTA('TZ-114'!$C$17:$C$153),1)</definedName>
    <definedName name="CAB" localSheetId="22">OFFSET('TZ-115'!$C$17,0,8,COUNTA('TZ-115'!$C$17:$C$153),1)</definedName>
    <definedName name="CAB" localSheetId="23">OFFSET('TZ-116'!$C$17,0,8,COUNTA('TZ-116'!$C$17:$C$153),1)</definedName>
    <definedName name="CAB" localSheetId="3">OFFSET('TZ-12'!$C$17,0,8,COUNTA('TZ-12'!$C$17:$C$153),1)</definedName>
    <definedName name="CAB" localSheetId="24">OFFSET('TZ-130'!$C$17,0,8,COUNTA('TZ-130'!$C$17:$C$153),1)</definedName>
    <definedName name="CAB" localSheetId="4">OFFSET('TZ-14'!$C$17,0,8,COUNTA('TZ-14'!$C$17:$C$153),1)</definedName>
    <definedName name="CAB" localSheetId="5">OFFSET('TZ-16'!$C$17,0,8,COUNTA('TZ-16'!$C$17:$C$153),1)</definedName>
    <definedName name="CAB" localSheetId="6">OFFSET('TZ-18'!$C$17,0,8,COUNTA('TZ-18'!$C$17:$C$153),1)</definedName>
    <definedName name="CAB" localSheetId="7">OFFSET('TZ-20'!$C$17,0,8,COUNTA('TZ-20'!$C$17:$C$153),1)</definedName>
    <definedName name="CAB" localSheetId="8">OFFSET('TZ-22'!$C$17,0,8,COUNTA('TZ-22'!$C$17:$C$153),1)</definedName>
    <definedName name="CAB" localSheetId="9">OFFSET('TZ-24'!$C$17,0,8,COUNTA('TZ-24'!$C$17:$C$153),1)</definedName>
    <definedName name="CAB" localSheetId="10">OFFSET('TZ-26'!$C$17,0,8,COUNTA('TZ-26'!$C$17:$C$153),1)</definedName>
    <definedName name="CAB" localSheetId="11">OFFSET('TZ-28'!$C$17,0,8,COUNTA('TZ-28'!$C$17:$C$153),1)</definedName>
    <definedName name="CAB" localSheetId="12">OFFSET('TZ-30'!$C$17,0,8,COUNTA('TZ-30'!$C$17:$C$153),1)</definedName>
    <definedName name="CAB" localSheetId="13">OFFSET('TZ-32'!$C$17,0,8,COUNTA('TZ-32'!$C$17:$C$153),1)</definedName>
    <definedName name="CAB" localSheetId="14">OFFSET('TZ-34'!$C$17,0,8,COUNTA('TZ-34'!$C$17:$C$153),1)</definedName>
    <definedName name="CAB" localSheetId="15">OFFSET('TZ-36'!$C$17,0,8,COUNTA('TZ-36'!$C$17:$C$153),1)</definedName>
    <definedName name="CAB" localSheetId="0">OFFSET('TZ-6'!$C$17,0,8,COUNTA('TZ-6'!$C$17:$C$153),1)</definedName>
    <definedName name="CAB" localSheetId="1">OFFSET('TZ-8'!$C$17,0,8,COUNTA('TZ-8'!$C$17:$C$153),1)</definedName>
    <definedName name="CAC" localSheetId="2">OFFSET('TZ-10'!$D$17,0,8,COUNTA('TZ-10'!$D$17:$D$153),1)</definedName>
    <definedName name="CAC" localSheetId="20">OFFSET('TZ-112'!$D$17,0,8,COUNTA('TZ-112'!$D$17:$D$153),1)</definedName>
    <definedName name="CAC" localSheetId="21">OFFSET('TZ-114'!$D$17,0,8,COUNTA('TZ-114'!$D$17:$D$153),1)</definedName>
    <definedName name="CAC" localSheetId="22">OFFSET('TZ-115'!$D$17,0,8,COUNTA('TZ-115'!$D$17:$D$153),1)</definedName>
    <definedName name="CAC" localSheetId="23">OFFSET('TZ-116'!$D$17,0,8,COUNTA('TZ-116'!$D$17:$D$153),1)</definedName>
    <definedName name="CAC" localSheetId="3">OFFSET('TZ-12'!$D$17,0,8,COUNTA('TZ-12'!$D$17:$D$153),1)</definedName>
    <definedName name="CAC" localSheetId="24">OFFSET('TZ-130'!$D$17,0,8,COUNTA('TZ-130'!$D$17:$D$153),1)</definedName>
    <definedName name="CAC" localSheetId="4">OFFSET('TZ-14'!$D$17,0,8,COUNTA('TZ-14'!$D$17:$D$153),1)</definedName>
    <definedName name="CAC" localSheetId="5">OFFSET('TZ-16'!$D$17,0,8,COUNTA('TZ-16'!$D$17:$D$153),1)</definedName>
    <definedName name="CAC" localSheetId="6">OFFSET('TZ-18'!$D$17,0,8,COUNTA('TZ-18'!$D$17:$D$153),1)</definedName>
    <definedName name="CAC" localSheetId="7">OFFSET('TZ-20'!$D$17,0,8,COUNTA('TZ-20'!$D$17:$D$153),1)</definedName>
    <definedName name="CAC" localSheetId="8">OFFSET('TZ-22'!$D$17,0,8,COUNTA('TZ-22'!$D$17:$D$153),1)</definedName>
    <definedName name="CAC" localSheetId="9">OFFSET('TZ-24'!$D$17,0,8,COUNTA('TZ-24'!$D$17:$D$153),1)</definedName>
    <definedName name="CAC" localSheetId="10">OFFSET('TZ-26'!$D$17,0,8,COUNTA('TZ-26'!$D$17:$D$153),1)</definedName>
    <definedName name="CAC" localSheetId="11">OFFSET('TZ-28'!$D$17,0,8,COUNTA('TZ-28'!$D$17:$D$153),1)</definedName>
    <definedName name="CAC" localSheetId="12">OFFSET('TZ-30'!$D$17,0,8,COUNTA('TZ-30'!$D$17:$D$153),1)</definedName>
    <definedName name="CAC" localSheetId="13">OFFSET('TZ-32'!$D$17,0,8,COUNTA('TZ-32'!$D$17:$D$153),1)</definedName>
    <definedName name="CAC" localSheetId="14">OFFSET('TZ-34'!$D$17,0,8,COUNTA('TZ-34'!$D$17:$D$153),1)</definedName>
    <definedName name="CAC" localSheetId="15">OFFSET('TZ-36'!$D$17,0,8,COUNTA('TZ-36'!$D$17:$D$153),1)</definedName>
    <definedName name="CAC" localSheetId="0">OFFSET('TZ-6'!$D$17,0,8,COUNTA('TZ-6'!$D$17:$D$153),1)</definedName>
    <definedName name="CAC" localSheetId="1">OFFSET('TZ-8'!$D$17,0,8,COUNTA('TZ-8'!$D$17:$D$153),1)</definedName>
    <definedName name="CBC" localSheetId="2">OFFSET('TZ-10'!$E$17,0,8,COUNTA('TZ-10'!$E$17:$E$153),1)</definedName>
    <definedName name="CBC" localSheetId="20">OFFSET('TZ-112'!$E$17,0,8,COUNTA('TZ-112'!$E$17:$E$153),1)</definedName>
    <definedName name="CBC" localSheetId="21">OFFSET('TZ-114'!$E$17,0,8,COUNTA('TZ-114'!$E$17:$E$153),1)</definedName>
    <definedName name="CBC" localSheetId="22">OFFSET('TZ-115'!$E$17,0,8,COUNTA('TZ-115'!$E$17:$E$153),1)</definedName>
    <definedName name="CBC" localSheetId="23">OFFSET('TZ-116'!$E$17,0,8,COUNTA('TZ-116'!$E$17:$E$153),1)</definedName>
    <definedName name="CBC" localSheetId="3">OFFSET('TZ-12'!$E$17,0,8,COUNTA('TZ-12'!$E$17:$E$153),1)</definedName>
    <definedName name="CBC" localSheetId="24">OFFSET('TZ-130'!$E$17,0,8,COUNTA('TZ-130'!$E$17:$E$153),1)</definedName>
    <definedName name="CBC" localSheetId="4">OFFSET('TZ-14'!$E$17,0,8,COUNTA('TZ-14'!$E$17:$E$153),1)</definedName>
    <definedName name="CBC" localSheetId="5">OFFSET('TZ-16'!$E$17,0,8,COUNTA('TZ-16'!$E$17:$E$153),1)</definedName>
    <definedName name="CBC" localSheetId="6">OFFSET('TZ-18'!$E$17,0,8,COUNTA('TZ-18'!$E$17:$E$153),1)</definedName>
    <definedName name="CBC" localSheetId="7">OFFSET('TZ-20'!$E$17,0,8,COUNTA('TZ-20'!$E$17:$E$153),1)</definedName>
    <definedName name="CBC" localSheetId="8">OFFSET('TZ-22'!$E$17,0,8,COUNTA('TZ-22'!$E$17:$E$153),1)</definedName>
    <definedName name="CBC" localSheetId="9">OFFSET('TZ-24'!$E$17,0,8,COUNTA('TZ-24'!$E$17:$E$153),1)</definedName>
    <definedName name="CBC" localSheetId="10">OFFSET('TZ-26'!$E$17,0,8,COUNTA('TZ-26'!$E$17:$E$153),1)</definedName>
    <definedName name="CBC" localSheetId="11">OFFSET('TZ-28'!$E$17,0,8,COUNTA('TZ-28'!$E$17:$E$153),1)</definedName>
    <definedName name="CBC" localSheetId="12">OFFSET('TZ-30'!$E$17,0,8,COUNTA('TZ-30'!$E$17:$E$153),1)</definedName>
    <definedName name="CBC" localSheetId="13">OFFSET('TZ-32'!$E$17,0,8,COUNTA('TZ-32'!$E$17:$E$153),1)</definedName>
    <definedName name="CBC" localSheetId="14">OFFSET('TZ-34'!$E$17,0,8,COUNTA('TZ-34'!$E$17:$E$153),1)</definedName>
    <definedName name="CBC" localSheetId="15">OFFSET('TZ-36'!$E$17,0,8,COUNTA('TZ-36'!$E$17:$E$153),1)</definedName>
    <definedName name="CBC" localSheetId="0">OFFSET('TZ-6'!$E$17,0,8,COUNTA('TZ-6'!$E$17:$E$153),1)</definedName>
    <definedName name="CBC" localSheetId="1">OFFSET('TZ-8'!$E$17,0,8,COUNTA('TZ-8'!$E$17:$E$153),1)</definedName>
    <definedName name="DISTANCIA" localSheetId="2">OFFSET('TZ-10'!$J$17,0,1,COUNTA('TZ-10'!$J$17:$J$153),1)</definedName>
    <definedName name="DISTANCIA" localSheetId="20">OFFSET('TZ-112'!$J$17,0,1,COUNTA('TZ-112'!$J$17:$J$153),1)</definedName>
    <definedName name="DISTANCIA" localSheetId="21">OFFSET('TZ-114'!$J$17,0,1,COUNTA('TZ-114'!$J$17:$J$153),1)</definedName>
    <definedName name="DISTANCIA" localSheetId="22">OFFSET('TZ-115'!$J$17,0,1,COUNTA('TZ-115'!$J$17:$J$153),1)</definedName>
    <definedName name="DISTANCIA" localSheetId="23">OFFSET('TZ-116'!$J$17,0,1,COUNTA('TZ-116'!$J$17:$J$153),1)</definedName>
    <definedName name="DISTANCIA" localSheetId="3">OFFSET('TZ-12'!$J$17,0,1,COUNTA('TZ-12'!$J$17:$J$153),1)</definedName>
    <definedName name="DISTANCIA" localSheetId="24">OFFSET('TZ-130'!$J$17,0,1,COUNTA('TZ-130'!$J$17:$J$153),1)</definedName>
    <definedName name="DISTANCIA" localSheetId="4">OFFSET('TZ-14'!$J$17,0,1,COUNTA('TZ-14'!$J$17:$J$153),1)</definedName>
    <definedName name="DISTANCIA" localSheetId="5">OFFSET('TZ-16'!$J$17,0,1,COUNTA('TZ-16'!$J$17:$J$153),1)</definedName>
    <definedName name="DISTANCIA" localSheetId="6">OFFSET('TZ-18'!$J$17,0,1,COUNTA('TZ-18'!$J$17:$J$153),1)</definedName>
    <definedName name="DISTANCIA" localSheetId="7">OFFSET('TZ-20'!$J$17,0,1,COUNTA('TZ-20'!$J$17:$J$153),1)</definedName>
    <definedName name="DISTANCIA" localSheetId="8">OFFSET('TZ-22'!$J$17,0,1,COUNTA('TZ-22'!$J$17:$J$153),1)</definedName>
    <definedName name="DISTANCIA" localSheetId="9">OFFSET('TZ-24'!$J$17,0,1,COUNTA('TZ-24'!$J$17:$J$153),1)</definedName>
    <definedName name="DISTANCIA" localSheetId="10">OFFSET('TZ-26'!$J$17,0,1,COUNTA('TZ-26'!$J$17:$J$153),1)</definedName>
    <definedName name="DISTANCIA" localSheetId="11">OFFSET('TZ-28'!$J$17,0,1,COUNTA('TZ-28'!$J$17:$J$153),1)</definedName>
    <definedName name="DISTANCIA" localSheetId="12">OFFSET('TZ-30'!$J$17,0,1,COUNTA('TZ-30'!$J$17:$J$153),1)</definedName>
    <definedName name="DISTANCIA" localSheetId="13">OFFSET('TZ-32'!$J$17,0,1,COUNTA('TZ-32'!$J$17:$J$153),1)</definedName>
    <definedName name="DISTANCIA" localSheetId="14">OFFSET('TZ-34'!$J$17,0,1,COUNTA('TZ-34'!$J$17:$J$153),1)</definedName>
    <definedName name="DISTANCIA" localSheetId="15">OFFSET('TZ-36'!$J$17,0,1,COUNTA('TZ-36'!$J$17:$J$153),1)</definedName>
    <definedName name="DISTANCIA" localSheetId="0">OFFSET('TZ-6'!$J$17,0,1,COUNTA('TZ-6'!$J$17:$J$153),1)</definedName>
    <definedName name="DISTANCIA" localSheetId="1">OFFSET('TZ-8'!$J$17,0,1,COUNTA('TZ-8'!$J$17:$J$153),1)</definedName>
    <definedName name="FECHA" localSheetId="2">OFFSET('TZ-10'!$B$17,0,0,COUNTA('TZ-10'!$B$17:$B$153),1)</definedName>
    <definedName name="FECHA" localSheetId="20">OFFSET('TZ-112'!$B$17,0,0,COUNTA('TZ-112'!$B$17:$B$153),1)</definedName>
    <definedName name="FECHA" localSheetId="21">OFFSET('TZ-114'!$B$17,0,0,COUNTA('TZ-114'!$B$17:$B$153),1)</definedName>
    <definedName name="FECHA" localSheetId="22">OFFSET('TZ-115'!$B$17,0,0,COUNTA('TZ-115'!$B$17:$B$153),1)</definedName>
    <definedName name="FECHA" localSheetId="23">OFFSET('TZ-116'!$B$17,0,0,COUNTA('TZ-116'!$B$17:$B$153),1)</definedName>
    <definedName name="FECHA" localSheetId="3">OFFSET('TZ-12'!$B$17,0,0,COUNTA('TZ-12'!$B$17:$B$153),1)</definedName>
    <definedName name="FECHA" localSheetId="24">OFFSET('TZ-130'!$B$17,0,0,COUNTA('TZ-130'!$B$17:$B$153),1)</definedName>
    <definedName name="FECHA" localSheetId="4">OFFSET('TZ-14'!$B$17,0,0,COUNTA('TZ-14'!$B$17:$B$153),1)</definedName>
    <definedName name="FECHA" localSheetId="5">OFFSET('TZ-16'!$B$17,0,0,COUNTA('TZ-16'!$B$17:$B$153),1)</definedName>
    <definedName name="FECHA" localSheetId="6">OFFSET('TZ-18'!$B$17,0,0,COUNTA('TZ-18'!$B$17:$B$153),1)</definedName>
    <definedName name="FECHA" localSheetId="7">OFFSET('TZ-20'!$B$17,0,0,COUNTA('TZ-20'!$B$17:$B$153),1)</definedName>
    <definedName name="FECHA" localSheetId="8">OFFSET('TZ-22'!$B$17,0,0,COUNTA('TZ-22'!$B$17:$B$153),1)</definedName>
    <definedName name="FECHA" localSheetId="9">OFFSET('TZ-24'!$B$17,0,0,COUNTA('TZ-24'!$B$17:$B$153),1)</definedName>
    <definedName name="FECHA" localSheetId="10">OFFSET('TZ-26'!$B$17,0,0,COUNTA('TZ-26'!$B$17:$B$153),1)</definedName>
    <definedName name="FECHA" localSheetId="11">OFFSET('TZ-28'!$B$17,0,0,COUNTA('TZ-28'!$B$17:$B$153),1)</definedName>
    <definedName name="FECHA" localSheetId="12">OFFSET('TZ-30'!$B$17,0,0,COUNTA('TZ-30'!$B$17:$B$153),1)</definedName>
    <definedName name="FECHA" localSheetId="13">OFFSET('TZ-32'!$B$17,0,0,COUNTA('TZ-32'!$B$17:$B$153),1)</definedName>
    <definedName name="FECHA" localSheetId="14">OFFSET('TZ-34'!$B$17,0,0,COUNTA('TZ-34'!$B$17:$B$153),1)</definedName>
    <definedName name="FECHA" localSheetId="15">OFFSET('TZ-36'!$B$17,0,0,COUNTA('TZ-36'!$B$17:$B$153),1)</definedName>
    <definedName name="FECHA" localSheetId="0">OFFSET('TZ-6'!$B$17,0,0,COUNTA('TZ-6'!$B$17:$B$153),1)</definedName>
    <definedName name="FECHA" localSheetId="1">OFFSET('TZ-8'!$B$17,0,0,COUNTA('TZ-8'!$B$17:$B$153),1)</definedName>
    <definedName name="_xlnm.Print_Titles" localSheetId="2">'TZ-10'!$2:$15</definedName>
    <definedName name="_xlnm.Print_Titles" localSheetId="20">'TZ-112'!$2:$15</definedName>
    <definedName name="_xlnm.Print_Titles" localSheetId="21">'TZ-114'!$2:$15</definedName>
    <definedName name="_xlnm.Print_Titles" localSheetId="22">'TZ-115'!$2:$15</definedName>
    <definedName name="_xlnm.Print_Titles" localSheetId="23">'TZ-116'!$2:$15</definedName>
    <definedName name="_xlnm.Print_Titles" localSheetId="3">'TZ-12'!$2:$15</definedName>
    <definedName name="_xlnm.Print_Titles" localSheetId="24">'TZ-130'!$2:$15</definedName>
    <definedName name="_xlnm.Print_Titles" localSheetId="4">'TZ-14'!$2:$15</definedName>
    <definedName name="_xlnm.Print_Titles" localSheetId="5">'TZ-16'!$2:$15</definedName>
    <definedName name="_xlnm.Print_Titles" localSheetId="6">'TZ-18'!$2:$15</definedName>
    <definedName name="_xlnm.Print_Titles" localSheetId="7">'TZ-20'!$2:$15</definedName>
    <definedName name="_xlnm.Print_Titles" localSheetId="8">'TZ-22'!$2:$15</definedName>
    <definedName name="_xlnm.Print_Titles" localSheetId="9">'TZ-24'!$2:$15</definedName>
    <definedName name="_xlnm.Print_Titles" localSheetId="10">'TZ-26'!$2:$15</definedName>
    <definedName name="_xlnm.Print_Titles" localSheetId="11">'TZ-28'!$2:$15</definedName>
    <definedName name="_xlnm.Print_Titles" localSheetId="12">'TZ-30'!$2:$15</definedName>
    <definedName name="_xlnm.Print_Titles" localSheetId="13">'TZ-32'!$2:$15</definedName>
    <definedName name="_xlnm.Print_Titles" localSheetId="14">'TZ-34'!$2:$15</definedName>
    <definedName name="_xlnm.Print_Titles" localSheetId="15">'TZ-36'!$2:$15</definedName>
    <definedName name="_xlnm.Print_Titles" localSheetId="0">'TZ-6'!$2:$15</definedName>
    <definedName name="_xlnm.Print_Titles" localSheetId="1">'TZ-8'!$2:$15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1" i="154" l="1"/>
  <c r="C211" i="154"/>
  <c r="D211" i="154"/>
  <c r="B212" i="154"/>
  <c r="C212" i="154"/>
  <c r="D212" i="154"/>
  <c r="B213" i="154"/>
  <c r="C213" i="154"/>
  <c r="D213" i="154"/>
  <c r="B214" i="154"/>
  <c r="C214" i="154"/>
  <c r="D214" i="154"/>
  <c r="B215" i="154"/>
  <c r="C215" i="154"/>
  <c r="D215" i="154"/>
  <c r="B216" i="154"/>
  <c r="C216" i="154"/>
  <c r="D216" i="154"/>
  <c r="K43" i="145"/>
  <c r="K42" i="145" l="1"/>
  <c r="K41" i="145"/>
  <c r="K40" i="145"/>
  <c r="K39" i="145"/>
  <c r="K38" i="145"/>
  <c r="K37" i="145" l="1"/>
  <c r="O44" i="145"/>
  <c r="P44" i="145"/>
  <c r="Q44" i="145"/>
  <c r="O45" i="145"/>
  <c r="P45" i="145"/>
  <c r="Q45" i="145"/>
  <c r="O46" i="145"/>
  <c r="P46" i="145"/>
  <c r="Q46" i="145"/>
  <c r="O47" i="145"/>
  <c r="P47" i="145"/>
  <c r="Q47" i="145"/>
  <c r="O48" i="145"/>
  <c r="P48" i="145"/>
  <c r="Q48" i="145"/>
  <c r="O49" i="145"/>
  <c r="P49" i="145"/>
  <c r="Q49" i="145"/>
  <c r="O50" i="145"/>
  <c r="P50" i="145"/>
  <c r="Q50" i="145"/>
  <c r="O51" i="145"/>
  <c r="P51" i="145"/>
  <c r="Q51" i="145"/>
  <c r="O52" i="145"/>
  <c r="P52" i="145"/>
  <c r="Q52" i="145"/>
  <c r="O53" i="145"/>
  <c r="P53" i="145"/>
  <c r="Q53" i="145"/>
  <c r="O54" i="145"/>
  <c r="P54" i="145"/>
  <c r="Q54" i="145"/>
  <c r="O55" i="145"/>
  <c r="P55" i="145"/>
  <c r="Q55" i="145"/>
  <c r="O56" i="145"/>
  <c r="P56" i="145"/>
  <c r="Q56" i="145"/>
  <c r="O57" i="145"/>
  <c r="P57" i="145"/>
  <c r="Q57" i="145"/>
  <c r="O58" i="145"/>
  <c r="P58" i="145"/>
  <c r="Q58" i="145"/>
  <c r="O59" i="145"/>
  <c r="P59" i="145"/>
  <c r="Q59" i="145"/>
  <c r="O60" i="145"/>
  <c r="P60" i="145"/>
  <c r="Q60" i="145"/>
  <c r="O61" i="145"/>
  <c r="P61" i="145"/>
  <c r="Q61" i="145"/>
  <c r="O62" i="145"/>
  <c r="P62" i="145"/>
  <c r="Q62" i="145"/>
  <c r="O63" i="145"/>
  <c r="P63" i="145"/>
  <c r="Q63" i="145"/>
  <c r="O64" i="145"/>
  <c r="P64" i="145"/>
  <c r="Q64" i="145"/>
  <c r="O65" i="145"/>
  <c r="P65" i="145"/>
  <c r="Q65" i="145"/>
  <c r="O66" i="145"/>
  <c r="P66" i="145"/>
  <c r="Q66" i="145"/>
  <c r="O67" i="145"/>
  <c r="P67" i="145"/>
  <c r="Q67" i="145"/>
  <c r="O68" i="145"/>
  <c r="P68" i="145"/>
  <c r="Q68" i="145"/>
  <c r="O69" i="145"/>
  <c r="P69" i="145"/>
  <c r="Q69" i="145"/>
  <c r="O70" i="145"/>
  <c r="P70" i="145"/>
  <c r="Q70" i="145"/>
  <c r="O71" i="145"/>
  <c r="P71" i="145"/>
  <c r="Q71" i="145"/>
  <c r="O72" i="145"/>
  <c r="P72" i="145"/>
  <c r="Q72" i="145"/>
  <c r="O73" i="145"/>
  <c r="P73" i="145"/>
  <c r="Q73" i="145"/>
  <c r="O74" i="145"/>
  <c r="P74" i="145"/>
  <c r="Q74" i="145"/>
  <c r="O75" i="145"/>
  <c r="P75" i="145"/>
  <c r="Q75" i="145"/>
  <c r="O76" i="145"/>
  <c r="P76" i="145"/>
  <c r="Q76" i="145"/>
  <c r="O77" i="145"/>
  <c r="P77" i="145"/>
  <c r="Q77" i="145"/>
  <c r="O78" i="145"/>
  <c r="P78" i="145"/>
  <c r="Q78" i="145"/>
  <c r="O79" i="145"/>
  <c r="P79" i="145"/>
  <c r="Q79" i="145"/>
  <c r="O80" i="145"/>
  <c r="P80" i="145"/>
  <c r="Q80" i="145"/>
  <c r="O81" i="145"/>
  <c r="P81" i="145"/>
  <c r="Q81" i="145"/>
  <c r="O82" i="145"/>
  <c r="P82" i="145"/>
  <c r="Q82" i="145"/>
  <c r="O83" i="145"/>
  <c r="P83" i="145"/>
  <c r="Q83" i="145"/>
  <c r="O84" i="145"/>
  <c r="P84" i="145"/>
  <c r="Q84" i="145"/>
  <c r="O85" i="145"/>
  <c r="P85" i="145"/>
  <c r="Q85" i="145"/>
  <c r="O86" i="145"/>
  <c r="P86" i="145"/>
  <c r="Q86" i="145"/>
  <c r="O87" i="145"/>
  <c r="P87" i="145"/>
  <c r="Q87" i="145"/>
  <c r="O88" i="145"/>
  <c r="P88" i="145"/>
  <c r="Q88" i="145"/>
  <c r="O89" i="145"/>
  <c r="P89" i="145"/>
  <c r="Q89" i="145"/>
  <c r="O90" i="145"/>
  <c r="P90" i="145"/>
  <c r="Q90" i="145"/>
  <c r="O91" i="145"/>
  <c r="P91" i="145"/>
  <c r="Q91" i="145"/>
  <c r="O92" i="145"/>
  <c r="P92" i="145"/>
  <c r="Q92" i="145"/>
  <c r="O93" i="145"/>
  <c r="P93" i="145"/>
  <c r="Q93" i="145"/>
  <c r="O94" i="145"/>
  <c r="P94" i="145"/>
  <c r="Q94" i="145"/>
  <c r="O95" i="145"/>
  <c r="P95" i="145"/>
  <c r="Q95" i="145"/>
  <c r="O96" i="145"/>
  <c r="P96" i="145"/>
  <c r="Q96" i="145"/>
  <c r="O97" i="145"/>
  <c r="P97" i="145"/>
  <c r="Q97" i="145"/>
  <c r="O98" i="145"/>
  <c r="P98" i="145"/>
  <c r="Q98" i="145"/>
  <c r="O99" i="145"/>
  <c r="P99" i="145"/>
  <c r="Q99" i="145"/>
  <c r="O100" i="145"/>
  <c r="P100" i="145"/>
  <c r="Q100" i="145"/>
  <c r="O101" i="145"/>
  <c r="P101" i="145"/>
  <c r="Q101" i="145"/>
  <c r="O102" i="145"/>
  <c r="P102" i="145"/>
  <c r="Q102" i="145"/>
  <c r="O103" i="145"/>
  <c r="P103" i="145"/>
  <c r="Q103" i="145"/>
  <c r="O104" i="145"/>
  <c r="P104" i="145"/>
  <c r="Q104" i="145"/>
  <c r="O105" i="145"/>
  <c r="P105" i="145"/>
  <c r="Q105" i="145"/>
  <c r="O106" i="145"/>
  <c r="P106" i="145"/>
  <c r="Q106" i="145"/>
  <c r="O107" i="145"/>
  <c r="P107" i="145"/>
  <c r="Q107" i="145"/>
  <c r="O108" i="145"/>
  <c r="P108" i="145"/>
  <c r="Q108" i="145"/>
  <c r="O109" i="145"/>
  <c r="P109" i="145"/>
  <c r="Q109" i="145"/>
  <c r="O110" i="145"/>
  <c r="P110" i="145"/>
  <c r="Q110" i="145"/>
  <c r="O111" i="145"/>
  <c r="P111" i="145"/>
  <c r="Q111" i="145"/>
  <c r="O112" i="145"/>
  <c r="P112" i="145"/>
  <c r="Q112" i="145"/>
  <c r="O113" i="145"/>
  <c r="P113" i="145"/>
  <c r="Q113" i="145"/>
  <c r="O114" i="145"/>
  <c r="P114" i="145"/>
  <c r="Q114" i="145"/>
  <c r="O115" i="145"/>
  <c r="P115" i="145"/>
  <c r="Q115" i="145"/>
  <c r="O116" i="145"/>
  <c r="P116" i="145"/>
  <c r="Q116" i="145"/>
  <c r="O117" i="145"/>
  <c r="P117" i="145"/>
  <c r="Q117" i="145"/>
  <c r="O118" i="145"/>
  <c r="P118" i="145"/>
  <c r="Q118" i="145"/>
  <c r="O119" i="145"/>
  <c r="P119" i="145"/>
  <c r="Q119" i="145"/>
  <c r="O120" i="145"/>
  <c r="P120" i="145"/>
  <c r="Q120" i="145"/>
  <c r="O121" i="145"/>
  <c r="P121" i="145"/>
  <c r="Q121" i="145"/>
  <c r="O122" i="145"/>
  <c r="P122" i="145"/>
  <c r="Q122" i="145"/>
  <c r="O123" i="145"/>
  <c r="P123" i="145"/>
  <c r="Q123" i="145"/>
  <c r="O124" i="145"/>
  <c r="P124" i="145"/>
  <c r="Q124" i="145"/>
  <c r="O125" i="145"/>
  <c r="P125" i="145"/>
  <c r="Q125" i="145"/>
  <c r="O126" i="145"/>
  <c r="P126" i="145"/>
  <c r="Q126" i="145"/>
  <c r="O127" i="145"/>
  <c r="P127" i="145"/>
  <c r="Q127" i="145"/>
  <c r="O128" i="145"/>
  <c r="P128" i="145"/>
  <c r="Q128" i="145"/>
  <c r="O129" i="145"/>
  <c r="P129" i="145"/>
  <c r="Q129" i="145"/>
  <c r="O130" i="145"/>
  <c r="P130" i="145"/>
  <c r="Q130" i="145"/>
  <c r="O131" i="145"/>
  <c r="P131" i="145"/>
  <c r="Q131" i="145"/>
  <c r="O132" i="145"/>
  <c r="P132" i="145"/>
  <c r="Q132" i="145"/>
  <c r="O133" i="145"/>
  <c r="P133" i="145"/>
  <c r="Q133" i="145"/>
  <c r="O134" i="145"/>
  <c r="P134" i="145"/>
  <c r="Q134" i="145"/>
  <c r="O135" i="145"/>
  <c r="P135" i="145"/>
  <c r="Q135" i="145"/>
  <c r="O136" i="145"/>
  <c r="P136" i="145"/>
  <c r="Q136" i="145"/>
  <c r="O137" i="145"/>
  <c r="P137" i="145"/>
  <c r="Q137" i="145"/>
  <c r="O138" i="145"/>
  <c r="P138" i="145"/>
  <c r="Q138" i="145"/>
  <c r="O139" i="145"/>
  <c r="P139" i="145"/>
  <c r="Q139" i="145"/>
  <c r="O140" i="145"/>
  <c r="P140" i="145"/>
  <c r="Q140" i="145"/>
  <c r="O141" i="145"/>
  <c r="P141" i="145"/>
  <c r="Q141" i="145"/>
  <c r="O142" i="145"/>
  <c r="P142" i="145"/>
  <c r="Q142" i="145"/>
  <c r="O143" i="145"/>
  <c r="P143" i="145"/>
  <c r="Q143" i="145"/>
  <c r="O144" i="145"/>
  <c r="P144" i="145"/>
  <c r="Q144" i="145"/>
  <c r="O145" i="145"/>
  <c r="P145" i="145"/>
  <c r="Q145" i="145"/>
  <c r="O146" i="145"/>
  <c r="P146" i="145"/>
  <c r="Q146" i="145"/>
  <c r="O147" i="145"/>
  <c r="P147" i="145"/>
  <c r="Q147" i="145"/>
  <c r="O148" i="145"/>
  <c r="P148" i="145"/>
  <c r="Q148" i="145"/>
  <c r="O149" i="145"/>
  <c r="P149" i="145"/>
  <c r="Q149" i="145"/>
  <c r="O150" i="145"/>
  <c r="P150" i="145"/>
  <c r="Q150" i="145"/>
  <c r="O151" i="145"/>
  <c r="P151" i="145"/>
  <c r="Q151" i="145"/>
  <c r="O152" i="145"/>
  <c r="P152" i="145"/>
  <c r="Q152" i="145"/>
  <c r="O153" i="145"/>
  <c r="P153" i="145"/>
  <c r="Q153" i="145"/>
  <c r="K36" i="145" l="1"/>
  <c r="K35" i="145"/>
  <c r="K34" i="145"/>
  <c r="K33" i="145"/>
  <c r="W7" i="145"/>
  <c r="X32" i="145"/>
  <c r="W32" i="145"/>
  <c r="V32" i="145"/>
  <c r="U32" i="145"/>
  <c r="T32" i="145"/>
  <c r="S32" i="145"/>
  <c r="R32" i="145"/>
  <c r="N32" i="145"/>
  <c r="M32" i="145"/>
  <c r="L32" i="145"/>
  <c r="K32" i="145"/>
  <c r="U31" i="145"/>
  <c r="T31" i="145"/>
  <c r="S31" i="145"/>
  <c r="R31" i="145"/>
  <c r="N31" i="145"/>
  <c r="Q31" i="145" s="1"/>
  <c r="M31" i="145"/>
  <c r="L31" i="145"/>
  <c r="O31" i="145" s="1"/>
  <c r="K31" i="145"/>
  <c r="X30" i="145"/>
  <c r="W30" i="145"/>
  <c r="V30" i="145"/>
  <c r="U30" i="145"/>
  <c r="T30" i="145"/>
  <c r="S30" i="145"/>
  <c r="R30" i="145"/>
  <c r="Q30" i="145"/>
  <c r="P30" i="145"/>
  <c r="O30" i="145"/>
  <c r="N30" i="145"/>
  <c r="M30" i="145"/>
  <c r="L30" i="145"/>
  <c r="K30" i="145"/>
  <c r="X29" i="145"/>
  <c r="W29" i="145"/>
  <c r="V29" i="145"/>
  <c r="U29" i="145"/>
  <c r="T29" i="145"/>
  <c r="S29" i="145"/>
  <c r="R29" i="145"/>
  <c r="Q29" i="145"/>
  <c r="P29" i="145"/>
  <c r="O29" i="145"/>
  <c r="N29" i="145"/>
  <c r="M29" i="145"/>
  <c r="L29" i="145"/>
  <c r="K29" i="145"/>
  <c r="X28" i="145"/>
  <c r="W28" i="145"/>
  <c r="V28" i="145"/>
  <c r="U28" i="145"/>
  <c r="T28" i="145"/>
  <c r="S28" i="145"/>
  <c r="R28" i="145"/>
  <c r="Q28" i="145"/>
  <c r="P28" i="145"/>
  <c r="O28" i="145"/>
  <c r="N28" i="145"/>
  <c r="M28" i="145"/>
  <c r="L28" i="145"/>
  <c r="K28" i="145"/>
  <c r="X27" i="145"/>
  <c r="W27" i="145"/>
  <c r="V27" i="145"/>
  <c r="U27" i="145"/>
  <c r="T27" i="145"/>
  <c r="S27" i="145"/>
  <c r="R27" i="145"/>
  <c r="Q27" i="145"/>
  <c r="P27" i="145"/>
  <c r="O27" i="145"/>
  <c r="N27" i="145"/>
  <c r="M27" i="145"/>
  <c r="L27" i="145"/>
  <c r="K27" i="145"/>
  <c r="X26" i="145"/>
  <c r="W26" i="145"/>
  <c r="V26" i="145"/>
  <c r="U26" i="145"/>
  <c r="T26" i="145"/>
  <c r="S26" i="145"/>
  <c r="R26" i="145"/>
  <c r="Q26" i="145"/>
  <c r="P26" i="145"/>
  <c r="O26" i="145"/>
  <c r="N26" i="145"/>
  <c r="M26" i="145"/>
  <c r="L26" i="145"/>
  <c r="K26" i="145"/>
  <c r="X25" i="145"/>
  <c r="W25" i="145"/>
  <c r="V25" i="145"/>
  <c r="U25" i="145"/>
  <c r="T25" i="145"/>
  <c r="S25" i="145"/>
  <c r="R25" i="145"/>
  <c r="Q25" i="145"/>
  <c r="P25" i="145"/>
  <c r="O25" i="145"/>
  <c r="N25" i="145"/>
  <c r="M25" i="145"/>
  <c r="L25" i="145"/>
  <c r="K25" i="145"/>
  <c r="X24" i="145"/>
  <c r="W24" i="145"/>
  <c r="V24" i="145"/>
  <c r="U24" i="145"/>
  <c r="T24" i="145"/>
  <c r="S24" i="145"/>
  <c r="R24" i="145"/>
  <c r="Q24" i="145"/>
  <c r="P24" i="145"/>
  <c r="O24" i="145"/>
  <c r="N24" i="145"/>
  <c r="M24" i="145"/>
  <c r="L24" i="145"/>
  <c r="K24" i="145"/>
  <c r="X23" i="145"/>
  <c r="W23" i="145"/>
  <c r="V23" i="145"/>
  <c r="U23" i="145"/>
  <c r="T23" i="145"/>
  <c r="S23" i="145"/>
  <c r="R23" i="145"/>
  <c r="Q23" i="145"/>
  <c r="P23" i="145"/>
  <c r="O23" i="145"/>
  <c r="N23" i="145"/>
  <c r="M23" i="145"/>
  <c r="L23" i="145"/>
  <c r="K23" i="145"/>
  <c r="X22" i="145"/>
  <c r="W22" i="145"/>
  <c r="V22" i="145"/>
  <c r="U22" i="145"/>
  <c r="T22" i="145"/>
  <c r="S22" i="145"/>
  <c r="R22" i="145"/>
  <c r="Q22" i="145"/>
  <c r="P22" i="145"/>
  <c r="O22" i="145"/>
  <c r="N22" i="145"/>
  <c r="M22" i="145"/>
  <c r="L22" i="145"/>
  <c r="K22" i="145"/>
  <c r="X21" i="145"/>
  <c r="W21" i="145"/>
  <c r="V21" i="145"/>
  <c r="U21" i="145"/>
  <c r="T21" i="145"/>
  <c r="S21" i="145"/>
  <c r="R21" i="145"/>
  <c r="Q21" i="145"/>
  <c r="P21" i="145"/>
  <c r="O21" i="145"/>
  <c r="N21" i="145"/>
  <c r="M21" i="145"/>
  <c r="L21" i="145"/>
  <c r="K21" i="145"/>
  <c r="X20" i="145"/>
  <c r="W20" i="145"/>
  <c r="V20" i="145"/>
  <c r="U20" i="145"/>
  <c r="T20" i="145"/>
  <c r="S20" i="145"/>
  <c r="R20" i="145"/>
  <c r="Q20" i="145"/>
  <c r="P20" i="145"/>
  <c r="O20" i="145"/>
  <c r="N20" i="145"/>
  <c r="M20" i="145"/>
  <c r="L20" i="145"/>
  <c r="K20" i="145"/>
  <c r="X19" i="145"/>
  <c r="W19" i="145"/>
  <c r="V19" i="145"/>
  <c r="U19" i="145"/>
  <c r="T19" i="145"/>
  <c r="S19" i="145"/>
  <c r="R19" i="145"/>
  <c r="Q19" i="145"/>
  <c r="P19" i="145"/>
  <c r="O19" i="145"/>
  <c r="N19" i="145"/>
  <c r="M19" i="145"/>
  <c r="L19" i="145"/>
  <c r="K19" i="145"/>
  <c r="X18" i="145"/>
  <c r="W18" i="145"/>
  <c r="V18" i="145"/>
  <c r="U18" i="145"/>
  <c r="T18" i="145"/>
  <c r="S18" i="145"/>
  <c r="R18" i="145"/>
  <c r="Q18" i="145"/>
  <c r="P18" i="145"/>
  <c r="O18" i="145"/>
  <c r="N18" i="145"/>
  <c r="M18" i="145"/>
  <c r="L18" i="145"/>
  <c r="K18" i="145"/>
  <c r="X17" i="145"/>
  <c r="W17" i="145"/>
  <c r="V17" i="145"/>
  <c r="S17" i="145"/>
  <c r="R17" i="145"/>
  <c r="Q17" i="145"/>
  <c r="P17" i="145"/>
  <c r="O17" i="145"/>
  <c r="N17" i="145"/>
  <c r="M17" i="145"/>
  <c r="L17" i="145"/>
  <c r="K17" i="145"/>
  <c r="R16" i="145"/>
  <c r="N16" i="145"/>
  <c r="M16" i="145"/>
  <c r="L16" i="145"/>
  <c r="K16" i="145"/>
  <c r="Y2" i="145"/>
  <c r="L33" i="145"/>
  <c r="M33" i="145"/>
  <c r="N33" i="145"/>
  <c r="R33" i="145"/>
  <c r="S33" i="145"/>
  <c r="T33" i="145"/>
  <c r="U33" i="145"/>
  <c r="V33" i="145"/>
  <c r="W33" i="145"/>
  <c r="X33" i="145"/>
  <c r="L34" i="145"/>
  <c r="M34" i="145"/>
  <c r="N34" i="145"/>
  <c r="R34" i="145"/>
  <c r="S34" i="145"/>
  <c r="T34" i="145"/>
  <c r="U34" i="145"/>
  <c r="V34" i="145"/>
  <c r="W34" i="145"/>
  <c r="X34" i="145"/>
  <c r="L35" i="145"/>
  <c r="M35" i="145"/>
  <c r="N35" i="145"/>
  <c r="R35" i="145"/>
  <c r="S35" i="145"/>
  <c r="T35" i="145"/>
  <c r="U35" i="145"/>
  <c r="V35" i="145"/>
  <c r="W35" i="145"/>
  <c r="X35" i="145"/>
  <c r="L36" i="145"/>
  <c r="M36" i="145"/>
  <c r="N36" i="145"/>
  <c r="R36" i="145"/>
  <c r="S36" i="145"/>
  <c r="T36" i="145"/>
  <c r="U36" i="145"/>
  <c r="V36" i="145"/>
  <c r="W36" i="145"/>
  <c r="X36" i="145"/>
  <c r="L37" i="145"/>
  <c r="M37" i="145"/>
  <c r="N37" i="145"/>
  <c r="R37" i="145"/>
  <c r="S37" i="145"/>
  <c r="T37" i="145"/>
  <c r="U37" i="145"/>
  <c r="V37" i="145"/>
  <c r="W37" i="145"/>
  <c r="X37" i="145"/>
  <c r="L38" i="145"/>
  <c r="M38" i="145"/>
  <c r="N38" i="145"/>
  <c r="R38" i="145"/>
  <c r="S38" i="145"/>
  <c r="T38" i="145"/>
  <c r="U38" i="145"/>
  <c r="V38" i="145"/>
  <c r="W38" i="145"/>
  <c r="X38" i="145"/>
  <c r="L39" i="145"/>
  <c r="M39" i="145"/>
  <c r="N39" i="145"/>
  <c r="R39" i="145"/>
  <c r="S39" i="145"/>
  <c r="T39" i="145"/>
  <c r="U39" i="145"/>
  <c r="V39" i="145"/>
  <c r="W39" i="145"/>
  <c r="X39" i="145"/>
  <c r="L40" i="145"/>
  <c r="M40" i="145"/>
  <c r="N40" i="145"/>
  <c r="R40" i="145"/>
  <c r="S40" i="145"/>
  <c r="T40" i="145"/>
  <c r="U40" i="145"/>
  <c r="V40" i="145"/>
  <c r="W40" i="145"/>
  <c r="X40" i="145"/>
  <c r="L41" i="145"/>
  <c r="M41" i="145"/>
  <c r="N41" i="145"/>
  <c r="R41" i="145"/>
  <c r="S41" i="145"/>
  <c r="T41" i="145"/>
  <c r="U41" i="145"/>
  <c r="V41" i="145"/>
  <c r="W41" i="145"/>
  <c r="X41" i="145"/>
  <c r="L42" i="145"/>
  <c r="M42" i="145"/>
  <c r="N42" i="145"/>
  <c r="R42" i="145"/>
  <c r="S42" i="145"/>
  <c r="T42" i="145"/>
  <c r="U42" i="145"/>
  <c r="V42" i="145"/>
  <c r="W42" i="145"/>
  <c r="X42" i="145"/>
  <c r="L43" i="145"/>
  <c r="M43" i="145"/>
  <c r="N43" i="145"/>
  <c r="R43" i="145"/>
  <c r="S43" i="145"/>
  <c r="T43" i="145"/>
  <c r="U43" i="145"/>
  <c r="V43" i="145"/>
  <c r="W43" i="145"/>
  <c r="X43" i="145"/>
  <c r="L44" i="145"/>
  <c r="M44" i="145"/>
  <c r="N44" i="145"/>
  <c r="R44" i="145"/>
  <c r="S44" i="145"/>
  <c r="T44" i="145"/>
  <c r="U44" i="145"/>
  <c r="V44" i="145"/>
  <c r="W44" i="145"/>
  <c r="X44" i="145"/>
  <c r="L45" i="145"/>
  <c r="M45" i="145"/>
  <c r="N45" i="145"/>
  <c r="R45" i="145"/>
  <c r="S45" i="145"/>
  <c r="T45" i="145"/>
  <c r="U45" i="145"/>
  <c r="V45" i="145"/>
  <c r="W45" i="145"/>
  <c r="X45" i="145"/>
  <c r="L46" i="145"/>
  <c r="M46" i="145"/>
  <c r="N46" i="145"/>
  <c r="R46" i="145"/>
  <c r="S46" i="145"/>
  <c r="T46" i="145"/>
  <c r="U46" i="145"/>
  <c r="V46" i="145"/>
  <c r="W46" i="145"/>
  <c r="X46" i="145"/>
  <c r="L47" i="145"/>
  <c r="M47" i="145"/>
  <c r="N47" i="145"/>
  <c r="R47" i="145"/>
  <c r="S47" i="145"/>
  <c r="T47" i="145"/>
  <c r="U47" i="145"/>
  <c r="V47" i="145"/>
  <c r="W47" i="145"/>
  <c r="X47" i="145"/>
  <c r="L48" i="145"/>
  <c r="M48" i="145"/>
  <c r="N48" i="145"/>
  <c r="R48" i="145"/>
  <c r="S48" i="145"/>
  <c r="T48" i="145"/>
  <c r="U48" i="145"/>
  <c r="V48" i="145"/>
  <c r="W48" i="145"/>
  <c r="X48" i="145"/>
  <c r="L49" i="145"/>
  <c r="M49" i="145"/>
  <c r="N49" i="145"/>
  <c r="R49" i="145"/>
  <c r="S49" i="145"/>
  <c r="T49" i="145"/>
  <c r="U49" i="145"/>
  <c r="V49" i="145"/>
  <c r="W49" i="145"/>
  <c r="X49" i="145"/>
  <c r="L50" i="145"/>
  <c r="M50" i="145"/>
  <c r="N50" i="145"/>
  <c r="R50" i="145"/>
  <c r="S50" i="145"/>
  <c r="T50" i="145"/>
  <c r="U50" i="145"/>
  <c r="V50" i="145"/>
  <c r="W50" i="145"/>
  <c r="X50" i="145"/>
  <c r="L51" i="145"/>
  <c r="M51" i="145"/>
  <c r="N51" i="145"/>
  <c r="R51" i="145"/>
  <c r="S51" i="145"/>
  <c r="T51" i="145"/>
  <c r="U51" i="145"/>
  <c r="V51" i="145"/>
  <c r="W51" i="145"/>
  <c r="X51" i="145"/>
  <c r="L52" i="145"/>
  <c r="M52" i="145"/>
  <c r="N52" i="145"/>
  <c r="R52" i="145"/>
  <c r="S52" i="145"/>
  <c r="T52" i="145"/>
  <c r="U52" i="145"/>
  <c r="V52" i="145"/>
  <c r="W52" i="145"/>
  <c r="X52" i="145"/>
  <c r="L53" i="145"/>
  <c r="M53" i="145"/>
  <c r="N53" i="145"/>
  <c r="R53" i="145"/>
  <c r="S53" i="145"/>
  <c r="T53" i="145"/>
  <c r="U53" i="145"/>
  <c r="V53" i="145"/>
  <c r="W53" i="145"/>
  <c r="X53" i="145"/>
  <c r="L54" i="145"/>
  <c r="M54" i="145"/>
  <c r="N54" i="145"/>
  <c r="R54" i="145"/>
  <c r="S54" i="145"/>
  <c r="T54" i="145"/>
  <c r="U54" i="145"/>
  <c r="V54" i="145"/>
  <c r="W54" i="145"/>
  <c r="X54" i="145"/>
  <c r="L55" i="145"/>
  <c r="M55" i="145"/>
  <c r="N55" i="145"/>
  <c r="R55" i="145"/>
  <c r="S55" i="145"/>
  <c r="T55" i="145"/>
  <c r="U55" i="145"/>
  <c r="V55" i="145"/>
  <c r="W55" i="145"/>
  <c r="X55" i="145"/>
  <c r="L56" i="145"/>
  <c r="M56" i="145"/>
  <c r="N56" i="145"/>
  <c r="R56" i="145"/>
  <c r="S56" i="145"/>
  <c r="T56" i="145"/>
  <c r="U56" i="145"/>
  <c r="V56" i="145"/>
  <c r="W56" i="145"/>
  <c r="X56" i="145"/>
  <c r="L57" i="145"/>
  <c r="M57" i="145"/>
  <c r="N57" i="145"/>
  <c r="R57" i="145"/>
  <c r="S57" i="145"/>
  <c r="T57" i="145"/>
  <c r="U57" i="145"/>
  <c r="V57" i="145"/>
  <c r="W57" i="145"/>
  <c r="X57" i="145"/>
  <c r="L58" i="145"/>
  <c r="M58" i="145"/>
  <c r="N58" i="145"/>
  <c r="R58" i="145"/>
  <c r="S58" i="145"/>
  <c r="T58" i="145"/>
  <c r="U58" i="145"/>
  <c r="V58" i="145"/>
  <c r="W58" i="145"/>
  <c r="X58" i="145"/>
  <c r="L59" i="145"/>
  <c r="M59" i="145"/>
  <c r="N59" i="145"/>
  <c r="R59" i="145"/>
  <c r="S59" i="145"/>
  <c r="T59" i="145"/>
  <c r="U59" i="145"/>
  <c r="V59" i="145"/>
  <c r="W59" i="145"/>
  <c r="X59" i="145"/>
  <c r="L60" i="145"/>
  <c r="M60" i="145"/>
  <c r="N60" i="145"/>
  <c r="R60" i="145"/>
  <c r="S60" i="145"/>
  <c r="T60" i="145"/>
  <c r="U60" i="145"/>
  <c r="V60" i="145"/>
  <c r="W60" i="145"/>
  <c r="X60" i="145"/>
  <c r="L61" i="145"/>
  <c r="M61" i="145"/>
  <c r="N61" i="145"/>
  <c r="R61" i="145"/>
  <c r="S61" i="145"/>
  <c r="T61" i="145"/>
  <c r="U61" i="145"/>
  <c r="V61" i="145"/>
  <c r="W61" i="145"/>
  <c r="X61" i="145"/>
  <c r="L62" i="145"/>
  <c r="M62" i="145"/>
  <c r="N62" i="145"/>
  <c r="R62" i="145"/>
  <c r="S62" i="145"/>
  <c r="T62" i="145"/>
  <c r="U62" i="145"/>
  <c r="V62" i="145"/>
  <c r="W62" i="145"/>
  <c r="X62" i="145"/>
  <c r="L63" i="145"/>
  <c r="M63" i="145"/>
  <c r="N63" i="145"/>
  <c r="R63" i="145"/>
  <c r="S63" i="145"/>
  <c r="T63" i="145"/>
  <c r="U63" i="145"/>
  <c r="V63" i="145"/>
  <c r="W63" i="145"/>
  <c r="X63" i="145"/>
  <c r="L64" i="145"/>
  <c r="M64" i="145"/>
  <c r="N64" i="145"/>
  <c r="R64" i="145"/>
  <c r="S64" i="145"/>
  <c r="T64" i="145"/>
  <c r="U64" i="145"/>
  <c r="V64" i="145"/>
  <c r="W64" i="145"/>
  <c r="X64" i="145"/>
  <c r="L65" i="145"/>
  <c r="M65" i="145"/>
  <c r="N65" i="145"/>
  <c r="R65" i="145"/>
  <c r="S65" i="145"/>
  <c r="T65" i="145"/>
  <c r="U65" i="145"/>
  <c r="V65" i="145"/>
  <c r="W65" i="145"/>
  <c r="X65" i="145"/>
  <c r="L66" i="145"/>
  <c r="M66" i="145"/>
  <c r="N66" i="145"/>
  <c r="R66" i="145"/>
  <c r="S66" i="145"/>
  <c r="T66" i="145"/>
  <c r="U66" i="145"/>
  <c r="V66" i="145"/>
  <c r="W66" i="145"/>
  <c r="X66" i="145"/>
  <c r="L67" i="145"/>
  <c r="M67" i="145"/>
  <c r="N67" i="145"/>
  <c r="R67" i="145"/>
  <c r="S67" i="145"/>
  <c r="T67" i="145"/>
  <c r="U67" i="145"/>
  <c r="V67" i="145"/>
  <c r="W67" i="145"/>
  <c r="X67" i="145"/>
  <c r="L68" i="145"/>
  <c r="M68" i="145"/>
  <c r="N68" i="145"/>
  <c r="R68" i="145"/>
  <c r="S68" i="145"/>
  <c r="T68" i="145"/>
  <c r="U68" i="145"/>
  <c r="V68" i="145"/>
  <c r="W68" i="145"/>
  <c r="X68" i="145"/>
  <c r="L69" i="145"/>
  <c r="M69" i="145"/>
  <c r="N69" i="145"/>
  <c r="R69" i="145"/>
  <c r="S69" i="145"/>
  <c r="T69" i="145"/>
  <c r="U69" i="145"/>
  <c r="V69" i="145"/>
  <c r="W69" i="145"/>
  <c r="X69" i="145"/>
  <c r="L70" i="145"/>
  <c r="M70" i="145"/>
  <c r="N70" i="145"/>
  <c r="R70" i="145"/>
  <c r="S70" i="145"/>
  <c r="T70" i="145"/>
  <c r="U70" i="145"/>
  <c r="V70" i="145"/>
  <c r="W70" i="145"/>
  <c r="X70" i="145"/>
  <c r="L71" i="145"/>
  <c r="M71" i="145"/>
  <c r="N71" i="145"/>
  <c r="R71" i="145"/>
  <c r="S71" i="145"/>
  <c r="T71" i="145"/>
  <c r="U71" i="145"/>
  <c r="V71" i="145"/>
  <c r="W71" i="145"/>
  <c r="X71" i="145"/>
  <c r="L72" i="145"/>
  <c r="M72" i="145"/>
  <c r="N72" i="145"/>
  <c r="R72" i="145"/>
  <c r="S72" i="145"/>
  <c r="T72" i="145"/>
  <c r="U72" i="145"/>
  <c r="V72" i="145"/>
  <c r="W72" i="145"/>
  <c r="X72" i="145"/>
  <c r="L73" i="145"/>
  <c r="M73" i="145"/>
  <c r="N73" i="145"/>
  <c r="R73" i="145"/>
  <c r="S73" i="145"/>
  <c r="T73" i="145"/>
  <c r="U73" i="145"/>
  <c r="V73" i="145"/>
  <c r="W73" i="145"/>
  <c r="X73" i="145"/>
  <c r="L74" i="145"/>
  <c r="M74" i="145"/>
  <c r="N74" i="145"/>
  <c r="R74" i="145"/>
  <c r="S74" i="145"/>
  <c r="T74" i="145"/>
  <c r="U74" i="145"/>
  <c r="V74" i="145"/>
  <c r="W74" i="145"/>
  <c r="X74" i="145"/>
  <c r="L75" i="145"/>
  <c r="M75" i="145"/>
  <c r="N75" i="145"/>
  <c r="R75" i="145"/>
  <c r="S75" i="145"/>
  <c r="T75" i="145"/>
  <c r="U75" i="145"/>
  <c r="V75" i="145"/>
  <c r="W75" i="145"/>
  <c r="X75" i="145"/>
  <c r="L76" i="145"/>
  <c r="M76" i="145"/>
  <c r="N76" i="145"/>
  <c r="R76" i="145"/>
  <c r="S76" i="145"/>
  <c r="T76" i="145"/>
  <c r="U76" i="145"/>
  <c r="V76" i="145"/>
  <c r="W76" i="145"/>
  <c r="X76" i="145"/>
  <c r="L77" i="145"/>
  <c r="M77" i="145"/>
  <c r="N77" i="145"/>
  <c r="R77" i="145"/>
  <c r="S77" i="145"/>
  <c r="T77" i="145"/>
  <c r="U77" i="145"/>
  <c r="V77" i="145"/>
  <c r="W77" i="145"/>
  <c r="X77" i="145"/>
  <c r="L78" i="145"/>
  <c r="M78" i="145"/>
  <c r="N78" i="145"/>
  <c r="R78" i="145"/>
  <c r="S78" i="145"/>
  <c r="T78" i="145"/>
  <c r="U78" i="145"/>
  <c r="V78" i="145"/>
  <c r="W78" i="145"/>
  <c r="X78" i="145"/>
  <c r="L79" i="145"/>
  <c r="M79" i="145"/>
  <c r="N79" i="145"/>
  <c r="R79" i="145"/>
  <c r="S79" i="145"/>
  <c r="T79" i="145"/>
  <c r="U79" i="145"/>
  <c r="V79" i="145"/>
  <c r="W79" i="145"/>
  <c r="X79" i="145"/>
  <c r="L80" i="145"/>
  <c r="M80" i="145"/>
  <c r="N80" i="145"/>
  <c r="R80" i="145"/>
  <c r="S80" i="145"/>
  <c r="T80" i="145"/>
  <c r="U80" i="145"/>
  <c r="V80" i="145"/>
  <c r="W80" i="145"/>
  <c r="X80" i="145"/>
  <c r="L81" i="145"/>
  <c r="M81" i="145"/>
  <c r="N81" i="145"/>
  <c r="R81" i="145"/>
  <c r="S81" i="145"/>
  <c r="T81" i="145"/>
  <c r="U81" i="145"/>
  <c r="V81" i="145"/>
  <c r="W81" i="145"/>
  <c r="X81" i="145"/>
  <c r="L82" i="145"/>
  <c r="M82" i="145"/>
  <c r="N82" i="145"/>
  <c r="R82" i="145"/>
  <c r="S82" i="145"/>
  <c r="T82" i="145"/>
  <c r="U82" i="145"/>
  <c r="V82" i="145"/>
  <c r="W82" i="145"/>
  <c r="X82" i="145"/>
  <c r="L83" i="145"/>
  <c r="M83" i="145"/>
  <c r="N83" i="145"/>
  <c r="R83" i="145"/>
  <c r="S83" i="145"/>
  <c r="T83" i="145"/>
  <c r="U83" i="145"/>
  <c r="V83" i="145"/>
  <c r="W83" i="145"/>
  <c r="X83" i="145"/>
  <c r="L84" i="145"/>
  <c r="M84" i="145"/>
  <c r="N84" i="145"/>
  <c r="R84" i="145"/>
  <c r="S84" i="145"/>
  <c r="T84" i="145"/>
  <c r="U84" i="145"/>
  <c r="V84" i="145"/>
  <c r="W84" i="145"/>
  <c r="X84" i="145"/>
  <c r="L85" i="145"/>
  <c r="M85" i="145"/>
  <c r="N85" i="145"/>
  <c r="R85" i="145"/>
  <c r="S85" i="145"/>
  <c r="T85" i="145"/>
  <c r="U85" i="145"/>
  <c r="V85" i="145"/>
  <c r="W85" i="145"/>
  <c r="X85" i="145"/>
  <c r="L86" i="145"/>
  <c r="M86" i="145"/>
  <c r="N86" i="145"/>
  <c r="R86" i="145"/>
  <c r="S86" i="145"/>
  <c r="T86" i="145"/>
  <c r="U86" i="145"/>
  <c r="V86" i="145"/>
  <c r="W86" i="145"/>
  <c r="X86" i="145"/>
  <c r="L87" i="145"/>
  <c r="M87" i="145"/>
  <c r="N87" i="145"/>
  <c r="R87" i="145"/>
  <c r="S87" i="145"/>
  <c r="T87" i="145"/>
  <c r="U87" i="145"/>
  <c r="V87" i="145"/>
  <c r="W87" i="145"/>
  <c r="X87" i="145"/>
  <c r="L88" i="145"/>
  <c r="M88" i="145"/>
  <c r="N88" i="145"/>
  <c r="R88" i="145"/>
  <c r="S88" i="145"/>
  <c r="T88" i="145"/>
  <c r="U88" i="145"/>
  <c r="V88" i="145"/>
  <c r="W88" i="145"/>
  <c r="X88" i="145"/>
  <c r="L89" i="145"/>
  <c r="M89" i="145"/>
  <c r="N89" i="145"/>
  <c r="R89" i="145"/>
  <c r="S89" i="145"/>
  <c r="T89" i="145"/>
  <c r="U89" i="145"/>
  <c r="V89" i="145"/>
  <c r="W89" i="145"/>
  <c r="X89" i="145"/>
  <c r="L90" i="145"/>
  <c r="M90" i="145"/>
  <c r="N90" i="145"/>
  <c r="R90" i="145"/>
  <c r="S90" i="145"/>
  <c r="T90" i="145"/>
  <c r="U90" i="145"/>
  <c r="V90" i="145"/>
  <c r="W90" i="145"/>
  <c r="X90" i="145"/>
  <c r="L91" i="145"/>
  <c r="M91" i="145"/>
  <c r="N91" i="145"/>
  <c r="R91" i="145"/>
  <c r="S91" i="145"/>
  <c r="T91" i="145"/>
  <c r="U91" i="145"/>
  <c r="V91" i="145"/>
  <c r="W91" i="145"/>
  <c r="X91" i="145"/>
  <c r="L92" i="145"/>
  <c r="M92" i="145"/>
  <c r="N92" i="145"/>
  <c r="R92" i="145"/>
  <c r="S92" i="145"/>
  <c r="T92" i="145"/>
  <c r="U92" i="145"/>
  <c r="V92" i="145"/>
  <c r="W92" i="145"/>
  <c r="X92" i="145"/>
  <c r="L93" i="145"/>
  <c r="M93" i="145"/>
  <c r="N93" i="145"/>
  <c r="R93" i="145"/>
  <c r="S93" i="145"/>
  <c r="T93" i="145"/>
  <c r="U93" i="145"/>
  <c r="V93" i="145"/>
  <c r="W93" i="145"/>
  <c r="X93" i="145"/>
  <c r="L94" i="145"/>
  <c r="M94" i="145"/>
  <c r="N94" i="145"/>
  <c r="R94" i="145"/>
  <c r="S94" i="145"/>
  <c r="T94" i="145"/>
  <c r="U94" i="145"/>
  <c r="V94" i="145"/>
  <c r="W94" i="145"/>
  <c r="X94" i="145"/>
  <c r="L95" i="145"/>
  <c r="M95" i="145"/>
  <c r="N95" i="145"/>
  <c r="R95" i="145"/>
  <c r="S95" i="145"/>
  <c r="T95" i="145"/>
  <c r="U95" i="145"/>
  <c r="V95" i="145"/>
  <c r="W95" i="145"/>
  <c r="X95" i="145"/>
  <c r="L96" i="145"/>
  <c r="M96" i="145"/>
  <c r="N96" i="145"/>
  <c r="R96" i="145"/>
  <c r="S96" i="145"/>
  <c r="T96" i="145"/>
  <c r="U96" i="145"/>
  <c r="V96" i="145"/>
  <c r="W96" i="145"/>
  <c r="X96" i="145"/>
  <c r="L97" i="145"/>
  <c r="M97" i="145"/>
  <c r="N97" i="145"/>
  <c r="R97" i="145"/>
  <c r="S97" i="145"/>
  <c r="T97" i="145"/>
  <c r="U97" i="145"/>
  <c r="V97" i="145"/>
  <c r="W97" i="145"/>
  <c r="X97" i="145"/>
  <c r="L98" i="145"/>
  <c r="M98" i="145"/>
  <c r="N98" i="145"/>
  <c r="R98" i="145"/>
  <c r="S98" i="145"/>
  <c r="T98" i="145"/>
  <c r="U98" i="145"/>
  <c r="V98" i="145"/>
  <c r="W98" i="145"/>
  <c r="X98" i="145"/>
  <c r="L99" i="145"/>
  <c r="M99" i="145"/>
  <c r="N99" i="145"/>
  <c r="R99" i="145"/>
  <c r="S99" i="145"/>
  <c r="T99" i="145"/>
  <c r="U99" i="145"/>
  <c r="V99" i="145"/>
  <c r="W99" i="145"/>
  <c r="X99" i="145"/>
  <c r="L100" i="145"/>
  <c r="M100" i="145"/>
  <c r="N100" i="145"/>
  <c r="R100" i="145"/>
  <c r="S100" i="145"/>
  <c r="T100" i="145"/>
  <c r="U100" i="145"/>
  <c r="V100" i="145"/>
  <c r="W100" i="145"/>
  <c r="X100" i="145"/>
  <c r="L101" i="145"/>
  <c r="M101" i="145"/>
  <c r="N101" i="145"/>
  <c r="R101" i="145"/>
  <c r="S101" i="145"/>
  <c r="T101" i="145"/>
  <c r="U101" i="145"/>
  <c r="V101" i="145"/>
  <c r="W101" i="145"/>
  <c r="X101" i="145"/>
  <c r="L102" i="145"/>
  <c r="M102" i="145"/>
  <c r="N102" i="145"/>
  <c r="R102" i="145"/>
  <c r="S102" i="145"/>
  <c r="T102" i="145"/>
  <c r="U102" i="145"/>
  <c r="V102" i="145"/>
  <c r="W102" i="145"/>
  <c r="X102" i="145"/>
  <c r="L103" i="145"/>
  <c r="M103" i="145"/>
  <c r="N103" i="145"/>
  <c r="R103" i="145"/>
  <c r="S103" i="145"/>
  <c r="T103" i="145"/>
  <c r="U103" i="145"/>
  <c r="V103" i="145"/>
  <c r="W103" i="145"/>
  <c r="X103" i="145"/>
  <c r="L104" i="145"/>
  <c r="M104" i="145"/>
  <c r="N104" i="145"/>
  <c r="R104" i="145"/>
  <c r="S104" i="145"/>
  <c r="T104" i="145"/>
  <c r="U104" i="145"/>
  <c r="V104" i="145"/>
  <c r="W104" i="145"/>
  <c r="X104" i="145"/>
  <c r="L105" i="145"/>
  <c r="M105" i="145"/>
  <c r="N105" i="145"/>
  <c r="R105" i="145"/>
  <c r="S105" i="145"/>
  <c r="T105" i="145"/>
  <c r="U105" i="145"/>
  <c r="V105" i="145"/>
  <c r="W105" i="145"/>
  <c r="X105" i="145"/>
  <c r="L106" i="145"/>
  <c r="M106" i="145"/>
  <c r="N106" i="145"/>
  <c r="R106" i="145"/>
  <c r="S106" i="145"/>
  <c r="T106" i="145"/>
  <c r="U106" i="145"/>
  <c r="V106" i="145"/>
  <c r="W106" i="145"/>
  <c r="X106" i="145"/>
  <c r="L107" i="145"/>
  <c r="M107" i="145"/>
  <c r="N107" i="145"/>
  <c r="R107" i="145"/>
  <c r="S107" i="145"/>
  <c r="T107" i="145"/>
  <c r="U107" i="145"/>
  <c r="V107" i="145"/>
  <c r="W107" i="145"/>
  <c r="X107" i="145"/>
  <c r="L108" i="145"/>
  <c r="M108" i="145"/>
  <c r="N108" i="145"/>
  <c r="R108" i="145"/>
  <c r="S108" i="145"/>
  <c r="T108" i="145"/>
  <c r="U108" i="145"/>
  <c r="V108" i="145"/>
  <c r="W108" i="145"/>
  <c r="X108" i="145"/>
  <c r="L109" i="145"/>
  <c r="M109" i="145"/>
  <c r="N109" i="145"/>
  <c r="R109" i="145"/>
  <c r="S109" i="145"/>
  <c r="T109" i="145"/>
  <c r="U109" i="145"/>
  <c r="V109" i="145"/>
  <c r="W109" i="145"/>
  <c r="X109" i="145"/>
  <c r="L110" i="145"/>
  <c r="M110" i="145"/>
  <c r="N110" i="145"/>
  <c r="R110" i="145"/>
  <c r="S110" i="145"/>
  <c r="T110" i="145"/>
  <c r="U110" i="145"/>
  <c r="V110" i="145"/>
  <c r="W110" i="145"/>
  <c r="X110" i="145"/>
  <c r="L111" i="145"/>
  <c r="M111" i="145"/>
  <c r="N111" i="145"/>
  <c r="R111" i="145"/>
  <c r="S111" i="145"/>
  <c r="T111" i="145"/>
  <c r="U111" i="145"/>
  <c r="V111" i="145"/>
  <c r="W111" i="145"/>
  <c r="X111" i="145"/>
  <c r="L112" i="145"/>
  <c r="M112" i="145"/>
  <c r="N112" i="145"/>
  <c r="R112" i="145"/>
  <c r="S112" i="145"/>
  <c r="T112" i="145"/>
  <c r="U112" i="145"/>
  <c r="V112" i="145"/>
  <c r="W112" i="145"/>
  <c r="X112" i="145"/>
  <c r="L113" i="145"/>
  <c r="M113" i="145"/>
  <c r="N113" i="145"/>
  <c r="R113" i="145"/>
  <c r="S113" i="145"/>
  <c r="T113" i="145"/>
  <c r="U113" i="145"/>
  <c r="V113" i="145"/>
  <c r="W113" i="145"/>
  <c r="X113" i="145"/>
  <c r="L114" i="145"/>
  <c r="M114" i="145"/>
  <c r="N114" i="145"/>
  <c r="R114" i="145"/>
  <c r="S114" i="145"/>
  <c r="T114" i="145"/>
  <c r="U114" i="145"/>
  <c r="V114" i="145"/>
  <c r="W114" i="145"/>
  <c r="X114" i="145"/>
  <c r="L115" i="145"/>
  <c r="M115" i="145"/>
  <c r="N115" i="145"/>
  <c r="R115" i="145"/>
  <c r="S115" i="145"/>
  <c r="T115" i="145"/>
  <c r="U115" i="145"/>
  <c r="V115" i="145"/>
  <c r="W115" i="145"/>
  <c r="X115" i="145"/>
  <c r="L116" i="145"/>
  <c r="M116" i="145"/>
  <c r="N116" i="145"/>
  <c r="R116" i="145"/>
  <c r="S116" i="145"/>
  <c r="T116" i="145"/>
  <c r="U116" i="145"/>
  <c r="V116" i="145"/>
  <c r="W116" i="145"/>
  <c r="X116" i="145"/>
  <c r="L117" i="145"/>
  <c r="M117" i="145"/>
  <c r="N117" i="145"/>
  <c r="R117" i="145"/>
  <c r="S117" i="145"/>
  <c r="T117" i="145"/>
  <c r="U117" i="145"/>
  <c r="V117" i="145"/>
  <c r="W117" i="145"/>
  <c r="X117" i="145"/>
  <c r="L118" i="145"/>
  <c r="M118" i="145"/>
  <c r="N118" i="145"/>
  <c r="R118" i="145"/>
  <c r="S118" i="145"/>
  <c r="T118" i="145"/>
  <c r="U118" i="145"/>
  <c r="V118" i="145"/>
  <c r="W118" i="145"/>
  <c r="X118" i="145"/>
  <c r="L119" i="145"/>
  <c r="M119" i="145"/>
  <c r="N119" i="145"/>
  <c r="R119" i="145"/>
  <c r="S119" i="145"/>
  <c r="T119" i="145"/>
  <c r="U119" i="145"/>
  <c r="V119" i="145"/>
  <c r="W119" i="145"/>
  <c r="X119" i="145"/>
  <c r="L120" i="145"/>
  <c r="M120" i="145"/>
  <c r="N120" i="145"/>
  <c r="R120" i="145"/>
  <c r="S120" i="145"/>
  <c r="T120" i="145"/>
  <c r="U120" i="145"/>
  <c r="V120" i="145"/>
  <c r="W120" i="145"/>
  <c r="X120" i="145"/>
  <c r="L121" i="145"/>
  <c r="M121" i="145"/>
  <c r="N121" i="145"/>
  <c r="R121" i="145"/>
  <c r="S121" i="145"/>
  <c r="T121" i="145"/>
  <c r="U121" i="145"/>
  <c r="V121" i="145"/>
  <c r="W121" i="145"/>
  <c r="X121" i="145"/>
  <c r="L122" i="145"/>
  <c r="M122" i="145"/>
  <c r="N122" i="145"/>
  <c r="R122" i="145"/>
  <c r="S122" i="145"/>
  <c r="T122" i="145"/>
  <c r="U122" i="145"/>
  <c r="V122" i="145"/>
  <c r="W122" i="145"/>
  <c r="X122" i="145"/>
  <c r="L123" i="145"/>
  <c r="M123" i="145"/>
  <c r="N123" i="145"/>
  <c r="R123" i="145"/>
  <c r="S123" i="145"/>
  <c r="T123" i="145"/>
  <c r="U123" i="145"/>
  <c r="V123" i="145"/>
  <c r="W123" i="145"/>
  <c r="X123" i="145"/>
  <c r="L124" i="145"/>
  <c r="M124" i="145"/>
  <c r="N124" i="145"/>
  <c r="R124" i="145"/>
  <c r="S124" i="145"/>
  <c r="T124" i="145"/>
  <c r="U124" i="145"/>
  <c r="V124" i="145"/>
  <c r="W124" i="145"/>
  <c r="X124" i="145"/>
  <c r="L125" i="145"/>
  <c r="M125" i="145"/>
  <c r="N125" i="145"/>
  <c r="R125" i="145"/>
  <c r="S125" i="145"/>
  <c r="T125" i="145"/>
  <c r="U125" i="145"/>
  <c r="V125" i="145"/>
  <c r="W125" i="145"/>
  <c r="X125" i="145"/>
  <c r="L126" i="145"/>
  <c r="M126" i="145"/>
  <c r="N126" i="145"/>
  <c r="R126" i="145"/>
  <c r="S126" i="145"/>
  <c r="T126" i="145"/>
  <c r="U126" i="145"/>
  <c r="V126" i="145"/>
  <c r="W126" i="145"/>
  <c r="X126" i="145"/>
  <c r="L127" i="145"/>
  <c r="M127" i="145"/>
  <c r="N127" i="145"/>
  <c r="R127" i="145"/>
  <c r="S127" i="145"/>
  <c r="T127" i="145"/>
  <c r="U127" i="145"/>
  <c r="V127" i="145"/>
  <c r="W127" i="145"/>
  <c r="X127" i="145"/>
  <c r="L128" i="145"/>
  <c r="M128" i="145"/>
  <c r="N128" i="145"/>
  <c r="R128" i="145"/>
  <c r="S128" i="145"/>
  <c r="T128" i="145"/>
  <c r="U128" i="145"/>
  <c r="V128" i="145"/>
  <c r="W128" i="145"/>
  <c r="X128" i="145"/>
  <c r="L129" i="145"/>
  <c r="M129" i="145"/>
  <c r="N129" i="145"/>
  <c r="R129" i="145"/>
  <c r="S129" i="145"/>
  <c r="T129" i="145"/>
  <c r="U129" i="145"/>
  <c r="V129" i="145"/>
  <c r="W129" i="145"/>
  <c r="X129" i="145"/>
  <c r="L130" i="145"/>
  <c r="M130" i="145"/>
  <c r="N130" i="145"/>
  <c r="R130" i="145"/>
  <c r="S130" i="145"/>
  <c r="T130" i="145"/>
  <c r="U130" i="145"/>
  <c r="V130" i="145"/>
  <c r="W130" i="145"/>
  <c r="X130" i="145"/>
  <c r="L131" i="145"/>
  <c r="M131" i="145"/>
  <c r="N131" i="145"/>
  <c r="R131" i="145"/>
  <c r="S131" i="145"/>
  <c r="T131" i="145"/>
  <c r="U131" i="145"/>
  <c r="V131" i="145"/>
  <c r="W131" i="145"/>
  <c r="X131" i="145"/>
  <c r="L132" i="145"/>
  <c r="M132" i="145"/>
  <c r="N132" i="145"/>
  <c r="R132" i="145"/>
  <c r="S132" i="145"/>
  <c r="T132" i="145"/>
  <c r="U132" i="145"/>
  <c r="V132" i="145"/>
  <c r="W132" i="145"/>
  <c r="X132" i="145"/>
  <c r="L133" i="145"/>
  <c r="M133" i="145"/>
  <c r="N133" i="145"/>
  <c r="R133" i="145"/>
  <c r="S133" i="145"/>
  <c r="T133" i="145"/>
  <c r="U133" i="145"/>
  <c r="V133" i="145"/>
  <c r="W133" i="145"/>
  <c r="X133" i="145"/>
  <c r="L134" i="145"/>
  <c r="M134" i="145"/>
  <c r="N134" i="145"/>
  <c r="R134" i="145"/>
  <c r="S134" i="145"/>
  <c r="T134" i="145"/>
  <c r="U134" i="145"/>
  <c r="V134" i="145"/>
  <c r="W134" i="145"/>
  <c r="X134" i="145"/>
  <c r="L135" i="145"/>
  <c r="M135" i="145"/>
  <c r="N135" i="145"/>
  <c r="R135" i="145"/>
  <c r="S135" i="145"/>
  <c r="T135" i="145"/>
  <c r="U135" i="145"/>
  <c r="V135" i="145"/>
  <c r="W135" i="145"/>
  <c r="X135" i="145"/>
  <c r="L136" i="145"/>
  <c r="M136" i="145"/>
  <c r="N136" i="145"/>
  <c r="R136" i="145"/>
  <c r="S136" i="145"/>
  <c r="T136" i="145"/>
  <c r="U136" i="145"/>
  <c r="V136" i="145"/>
  <c r="W136" i="145"/>
  <c r="X136" i="145"/>
  <c r="L137" i="145"/>
  <c r="M137" i="145"/>
  <c r="N137" i="145"/>
  <c r="R137" i="145"/>
  <c r="S137" i="145"/>
  <c r="T137" i="145"/>
  <c r="U137" i="145"/>
  <c r="V137" i="145"/>
  <c r="W137" i="145"/>
  <c r="X137" i="145"/>
  <c r="L138" i="145"/>
  <c r="M138" i="145"/>
  <c r="N138" i="145"/>
  <c r="R138" i="145"/>
  <c r="S138" i="145"/>
  <c r="T138" i="145"/>
  <c r="U138" i="145"/>
  <c r="V138" i="145"/>
  <c r="W138" i="145"/>
  <c r="X138" i="145"/>
  <c r="L139" i="145"/>
  <c r="M139" i="145"/>
  <c r="N139" i="145"/>
  <c r="R139" i="145"/>
  <c r="S139" i="145"/>
  <c r="T139" i="145"/>
  <c r="U139" i="145"/>
  <c r="V139" i="145"/>
  <c r="W139" i="145"/>
  <c r="X139" i="145"/>
  <c r="L140" i="145"/>
  <c r="M140" i="145"/>
  <c r="N140" i="145"/>
  <c r="R140" i="145"/>
  <c r="S140" i="145"/>
  <c r="T140" i="145"/>
  <c r="U140" i="145"/>
  <c r="V140" i="145"/>
  <c r="W140" i="145"/>
  <c r="X140" i="145"/>
  <c r="L141" i="145"/>
  <c r="M141" i="145"/>
  <c r="N141" i="145"/>
  <c r="R141" i="145"/>
  <c r="S141" i="145"/>
  <c r="T141" i="145"/>
  <c r="U141" i="145"/>
  <c r="V141" i="145"/>
  <c r="W141" i="145"/>
  <c r="X141" i="145"/>
  <c r="L142" i="145"/>
  <c r="M142" i="145"/>
  <c r="N142" i="145"/>
  <c r="R142" i="145"/>
  <c r="S142" i="145"/>
  <c r="T142" i="145"/>
  <c r="U142" i="145"/>
  <c r="V142" i="145"/>
  <c r="W142" i="145"/>
  <c r="X142" i="145"/>
  <c r="L143" i="145"/>
  <c r="M143" i="145"/>
  <c r="N143" i="145"/>
  <c r="R143" i="145"/>
  <c r="S143" i="145"/>
  <c r="T143" i="145"/>
  <c r="U143" i="145"/>
  <c r="V143" i="145"/>
  <c r="W143" i="145"/>
  <c r="X143" i="145"/>
  <c r="L144" i="145"/>
  <c r="M144" i="145"/>
  <c r="N144" i="145"/>
  <c r="R144" i="145"/>
  <c r="S144" i="145"/>
  <c r="T144" i="145"/>
  <c r="U144" i="145"/>
  <c r="V144" i="145"/>
  <c r="W144" i="145"/>
  <c r="X144" i="145"/>
  <c r="L145" i="145"/>
  <c r="M145" i="145"/>
  <c r="N145" i="145"/>
  <c r="R145" i="145"/>
  <c r="S145" i="145"/>
  <c r="T145" i="145"/>
  <c r="U145" i="145"/>
  <c r="V145" i="145"/>
  <c r="W145" i="145"/>
  <c r="X145" i="145"/>
  <c r="L146" i="145"/>
  <c r="M146" i="145"/>
  <c r="N146" i="145"/>
  <c r="R146" i="145"/>
  <c r="S146" i="145"/>
  <c r="T146" i="145"/>
  <c r="U146" i="145"/>
  <c r="V146" i="145"/>
  <c r="W146" i="145"/>
  <c r="X146" i="145"/>
  <c r="L147" i="145"/>
  <c r="M147" i="145"/>
  <c r="N147" i="145"/>
  <c r="R147" i="145"/>
  <c r="S147" i="145"/>
  <c r="T147" i="145"/>
  <c r="U147" i="145"/>
  <c r="V147" i="145"/>
  <c r="W147" i="145"/>
  <c r="X147" i="145"/>
  <c r="L148" i="145"/>
  <c r="M148" i="145"/>
  <c r="N148" i="145"/>
  <c r="R148" i="145"/>
  <c r="S148" i="145"/>
  <c r="T148" i="145"/>
  <c r="U148" i="145"/>
  <c r="V148" i="145"/>
  <c r="W148" i="145"/>
  <c r="X148" i="145"/>
  <c r="L149" i="145"/>
  <c r="M149" i="145"/>
  <c r="N149" i="145"/>
  <c r="R149" i="145"/>
  <c r="S149" i="145"/>
  <c r="T149" i="145"/>
  <c r="U149" i="145"/>
  <c r="V149" i="145"/>
  <c r="W149" i="145"/>
  <c r="X149" i="145"/>
  <c r="L150" i="145"/>
  <c r="M150" i="145"/>
  <c r="N150" i="145"/>
  <c r="R150" i="145"/>
  <c r="S150" i="145"/>
  <c r="T150" i="145"/>
  <c r="U150" i="145"/>
  <c r="V150" i="145"/>
  <c r="W150" i="145"/>
  <c r="X150" i="145"/>
  <c r="L151" i="145"/>
  <c r="M151" i="145"/>
  <c r="N151" i="145"/>
  <c r="R151" i="145"/>
  <c r="S151" i="145"/>
  <c r="T151" i="145"/>
  <c r="U151" i="145"/>
  <c r="V151" i="145"/>
  <c r="W151" i="145"/>
  <c r="X151" i="145"/>
  <c r="L152" i="145"/>
  <c r="M152" i="145"/>
  <c r="N152" i="145"/>
  <c r="R152" i="145"/>
  <c r="S152" i="145"/>
  <c r="T152" i="145"/>
  <c r="U152" i="145"/>
  <c r="V152" i="145"/>
  <c r="W152" i="145"/>
  <c r="X152" i="145"/>
  <c r="L153" i="145"/>
  <c r="M153" i="145"/>
  <c r="N153" i="145"/>
  <c r="R153" i="145"/>
  <c r="S153" i="145"/>
  <c r="T153" i="145"/>
  <c r="U153" i="145"/>
  <c r="V153" i="145"/>
  <c r="W153" i="145"/>
  <c r="X153" i="145"/>
  <c r="P31" i="145" l="1"/>
  <c r="P34" i="145"/>
  <c r="P38" i="145"/>
  <c r="P42" i="145"/>
  <c r="P33" i="145"/>
  <c r="P37" i="145"/>
  <c r="P41" i="145"/>
  <c r="P32" i="145"/>
  <c r="P36" i="145"/>
  <c r="P40" i="145"/>
  <c r="P35" i="145"/>
  <c r="P39" i="145"/>
  <c r="P43" i="145"/>
  <c r="Q35" i="145"/>
  <c r="Q39" i="145"/>
  <c r="Q43" i="145"/>
  <c r="Q34" i="145"/>
  <c r="Q38" i="145"/>
  <c r="Q42" i="145"/>
  <c r="Q33" i="145"/>
  <c r="Q37" i="145"/>
  <c r="Q41" i="145"/>
  <c r="Q32" i="145"/>
  <c r="Q36" i="145"/>
  <c r="Q40" i="145"/>
  <c r="O33" i="145"/>
  <c r="O37" i="145"/>
  <c r="O41" i="145"/>
  <c r="O32" i="145"/>
  <c r="O36" i="145"/>
  <c r="O40" i="145"/>
  <c r="O35" i="145"/>
  <c r="O39" i="145"/>
  <c r="O43" i="145"/>
  <c r="O34" i="145"/>
  <c r="O38" i="145"/>
  <c r="O42" i="145"/>
  <c r="K40" i="123"/>
  <c r="K47" i="120"/>
  <c r="K45" i="118"/>
  <c r="K44" i="41" l="1"/>
  <c r="K37" i="39"/>
  <c r="K42" i="37"/>
  <c r="K39" i="35"/>
  <c r="K42" i="33"/>
  <c r="K40" i="31"/>
  <c r="K37" i="28"/>
  <c r="K55" i="24"/>
  <c r="K59" i="22" l="1"/>
  <c r="K68" i="20"/>
  <c r="K51" i="18"/>
  <c r="K60" i="16"/>
  <c r="K51" i="14"/>
  <c r="K61" i="11"/>
  <c r="K69" i="9"/>
  <c r="K49" i="7"/>
  <c r="K39" i="123"/>
  <c r="K46" i="120"/>
  <c r="K44" i="118"/>
  <c r="K38" i="123" l="1"/>
  <c r="K37" i="123" l="1"/>
  <c r="K45" i="120"/>
  <c r="K43" i="118"/>
  <c r="P35" i="123" l="1"/>
  <c r="Q35" i="123"/>
  <c r="P36" i="123"/>
  <c r="Q36" i="123"/>
  <c r="P37" i="123"/>
  <c r="Q37" i="123"/>
  <c r="P38" i="123"/>
  <c r="Q38" i="123"/>
  <c r="P39" i="123"/>
  <c r="Q39" i="123"/>
  <c r="P40" i="123"/>
  <c r="Q40" i="123"/>
  <c r="O41" i="123"/>
  <c r="P41" i="123"/>
  <c r="Q41" i="123"/>
  <c r="O42" i="123"/>
  <c r="P42" i="123"/>
  <c r="Q42" i="123"/>
  <c r="O43" i="123"/>
  <c r="P43" i="123"/>
  <c r="Q43" i="123"/>
  <c r="O44" i="123"/>
  <c r="P44" i="123"/>
  <c r="Q44" i="123"/>
  <c r="O45" i="123"/>
  <c r="P45" i="123"/>
  <c r="Q45" i="123"/>
  <c r="O46" i="123"/>
  <c r="P46" i="123"/>
  <c r="Q46" i="123"/>
  <c r="O47" i="123"/>
  <c r="P47" i="123"/>
  <c r="Q47" i="123"/>
  <c r="O48" i="123"/>
  <c r="P48" i="123"/>
  <c r="Q48" i="123"/>
  <c r="O49" i="123"/>
  <c r="P49" i="123"/>
  <c r="Q49" i="123"/>
  <c r="O50" i="123"/>
  <c r="P50" i="123"/>
  <c r="Q50" i="123"/>
  <c r="O51" i="123"/>
  <c r="P51" i="123"/>
  <c r="Q51" i="123"/>
  <c r="O52" i="123"/>
  <c r="P52" i="123"/>
  <c r="Q52" i="123"/>
  <c r="O53" i="123"/>
  <c r="P53" i="123"/>
  <c r="Q53" i="123"/>
  <c r="O54" i="123"/>
  <c r="P54" i="123"/>
  <c r="Q54" i="123"/>
  <c r="O55" i="123"/>
  <c r="P55" i="123"/>
  <c r="Q55" i="123"/>
  <c r="O56" i="123"/>
  <c r="P56" i="123"/>
  <c r="Q56" i="123"/>
  <c r="O57" i="123"/>
  <c r="P57" i="123"/>
  <c r="Q57" i="123"/>
  <c r="O58" i="123"/>
  <c r="P58" i="123"/>
  <c r="Q58" i="123"/>
  <c r="O59" i="123"/>
  <c r="P59" i="123"/>
  <c r="Q59" i="123"/>
  <c r="O60" i="123"/>
  <c r="P60" i="123"/>
  <c r="Q60" i="123"/>
  <c r="O61" i="123"/>
  <c r="P61" i="123"/>
  <c r="Q61" i="123"/>
  <c r="O62" i="123"/>
  <c r="P62" i="123"/>
  <c r="Q62" i="123"/>
  <c r="O63" i="123"/>
  <c r="P63" i="123"/>
  <c r="Q63" i="123"/>
  <c r="O64" i="123"/>
  <c r="P64" i="123"/>
  <c r="Q64" i="123"/>
  <c r="O65" i="123"/>
  <c r="P65" i="123"/>
  <c r="Q65" i="123"/>
  <c r="O66" i="123"/>
  <c r="P66" i="123"/>
  <c r="Q66" i="123"/>
  <c r="O67" i="123"/>
  <c r="P67" i="123"/>
  <c r="Q67" i="123"/>
  <c r="O68" i="123"/>
  <c r="P68" i="123"/>
  <c r="Q68" i="123"/>
  <c r="O69" i="123"/>
  <c r="P69" i="123"/>
  <c r="Q69" i="123"/>
  <c r="O70" i="123"/>
  <c r="P70" i="123"/>
  <c r="Q70" i="123"/>
  <c r="O71" i="123"/>
  <c r="P71" i="123"/>
  <c r="Q71" i="123"/>
  <c r="O72" i="123"/>
  <c r="P72" i="123"/>
  <c r="Q72" i="123"/>
  <c r="O73" i="123"/>
  <c r="P73" i="123"/>
  <c r="Q73" i="123"/>
  <c r="O74" i="123"/>
  <c r="P74" i="123"/>
  <c r="Q74" i="123"/>
  <c r="O75" i="123"/>
  <c r="P75" i="123"/>
  <c r="Q75" i="123"/>
  <c r="O76" i="123"/>
  <c r="P76" i="123"/>
  <c r="Q76" i="123"/>
  <c r="O77" i="123"/>
  <c r="P77" i="123"/>
  <c r="Q77" i="123"/>
  <c r="O78" i="123"/>
  <c r="P78" i="123"/>
  <c r="Q78" i="123"/>
  <c r="O79" i="123"/>
  <c r="P79" i="123"/>
  <c r="Q79" i="123"/>
  <c r="O80" i="123"/>
  <c r="P80" i="123"/>
  <c r="Q80" i="123"/>
  <c r="O81" i="123"/>
  <c r="P81" i="123"/>
  <c r="Q81" i="123"/>
  <c r="O82" i="123"/>
  <c r="P82" i="123"/>
  <c r="Q82" i="123"/>
  <c r="O83" i="123"/>
  <c r="P83" i="123"/>
  <c r="Q83" i="123"/>
  <c r="O84" i="123"/>
  <c r="P84" i="123"/>
  <c r="Q84" i="123"/>
  <c r="O85" i="123"/>
  <c r="P85" i="123"/>
  <c r="Q85" i="123"/>
  <c r="O86" i="123"/>
  <c r="P86" i="123"/>
  <c r="Q86" i="123"/>
  <c r="O87" i="123"/>
  <c r="P87" i="123"/>
  <c r="Q87" i="123"/>
  <c r="O88" i="123"/>
  <c r="P88" i="123"/>
  <c r="Q88" i="123"/>
  <c r="O89" i="123"/>
  <c r="P89" i="123"/>
  <c r="Q89" i="123"/>
  <c r="O90" i="123"/>
  <c r="P90" i="123"/>
  <c r="Q90" i="123"/>
  <c r="O91" i="123"/>
  <c r="P91" i="123"/>
  <c r="Q91" i="123"/>
  <c r="O92" i="123"/>
  <c r="P92" i="123"/>
  <c r="Q92" i="123"/>
  <c r="O93" i="123"/>
  <c r="P93" i="123"/>
  <c r="Q93" i="123"/>
  <c r="O94" i="123"/>
  <c r="P94" i="123"/>
  <c r="Q94" i="123"/>
  <c r="O95" i="123"/>
  <c r="P95" i="123"/>
  <c r="Q95" i="123"/>
  <c r="O96" i="123"/>
  <c r="P96" i="123"/>
  <c r="Q96" i="123"/>
  <c r="O97" i="123"/>
  <c r="P97" i="123"/>
  <c r="Q97" i="123"/>
  <c r="O98" i="123"/>
  <c r="P98" i="123"/>
  <c r="Q98" i="123"/>
  <c r="O99" i="123"/>
  <c r="P99" i="123"/>
  <c r="Q99" i="123"/>
  <c r="O100" i="123"/>
  <c r="P100" i="123"/>
  <c r="Q100" i="123"/>
  <c r="O101" i="123"/>
  <c r="P101" i="123"/>
  <c r="Q101" i="123"/>
  <c r="O102" i="123"/>
  <c r="P102" i="123"/>
  <c r="Q102" i="123"/>
  <c r="O103" i="123"/>
  <c r="P103" i="123"/>
  <c r="Q103" i="123"/>
  <c r="O104" i="123"/>
  <c r="P104" i="123"/>
  <c r="Q104" i="123"/>
  <c r="O105" i="123"/>
  <c r="P105" i="123"/>
  <c r="Q105" i="123"/>
  <c r="O106" i="123"/>
  <c r="P106" i="123"/>
  <c r="Q106" i="123"/>
  <c r="O107" i="123"/>
  <c r="P107" i="123"/>
  <c r="Q107" i="123"/>
  <c r="O108" i="123"/>
  <c r="P108" i="123"/>
  <c r="Q108" i="123"/>
  <c r="O109" i="123"/>
  <c r="P109" i="123"/>
  <c r="Q109" i="123"/>
  <c r="O110" i="123"/>
  <c r="P110" i="123"/>
  <c r="Q110" i="123"/>
  <c r="O111" i="123"/>
  <c r="P111" i="123"/>
  <c r="Q111" i="123"/>
  <c r="O112" i="123"/>
  <c r="P112" i="123"/>
  <c r="Q112" i="123"/>
  <c r="O113" i="123"/>
  <c r="P113" i="123"/>
  <c r="Q113" i="123"/>
  <c r="O114" i="123"/>
  <c r="P114" i="123"/>
  <c r="Q114" i="123"/>
  <c r="O115" i="123"/>
  <c r="P115" i="123"/>
  <c r="Q115" i="123"/>
  <c r="O116" i="123"/>
  <c r="P116" i="123"/>
  <c r="Q116" i="123"/>
  <c r="O117" i="123"/>
  <c r="P117" i="123"/>
  <c r="Q117" i="123"/>
  <c r="O118" i="123"/>
  <c r="P118" i="123"/>
  <c r="Q118" i="123"/>
  <c r="O119" i="123"/>
  <c r="P119" i="123"/>
  <c r="Q119" i="123"/>
  <c r="O120" i="123"/>
  <c r="P120" i="123"/>
  <c r="Q120" i="123"/>
  <c r="O121" i="123"/>
  <c r="P121" i="123"/>
  <c r="Q121" i="123"/>
  <c r="O122" i="123"/>
  <c r="P122" i="123"/>
  <c r="Q122" i="123"/>
  <c r="O123" i="123"/>
  <c r="P123" i="123"/>
  <c r="Q123" i="123"/>
  <c r="O124" i="123"/>
  <c r="P124" i="123"/>
  <c r="Q124" i="123"/>
  <c r="O125" i="123"/>
  <c r="P125" i="123"/>
  <c r="Q125" i="123"/>
  <c r="O126" i="123"/>
  <c r="P126" i="123"/>
  <c r="Q126" i="123"/>
  <c r="O127" i="123"/>
  <c r="P127" i="123"/>
  <c r="Q127" i="123"/>
  <c r="O128" i="123"/>
  <c r="P128" i="123"/>
  <c r="Q128" i="123"/>
  <c r="O129" i="123"/>
  <c r="P129" i="123"/>
  <c r="Q129" i="123"/>
  <c r="O130" i="123"/>
  <c r="P130" i="123"/>
  <c r="Q130" i="123"/>
  <c r="O131" i="123"/>
  <c r="P131" i="123"/>
  <c r="Q131" i="123"/>
  <c r="O132" i="123"/>
  <c r="P132" i="123"/>
  <c r="Q132" i="123"/>
  <c r="O133" i="123"/>
  <c r="P133" i="123"/>
  <c r="Q133" i="123"/>
  <c r="O134" i="123"/>
  <c r="P134" i="123"/>
  <c r="Q134" i="123"/>
  <c r="O135" i="123"/>
  <c r="P135" i="123"/>
  <c r="Q135" i="123"/>
  <c r="O136" i="123"/>
  <c r="P136" i="123"/>
  <c r="Q136" i="123"/>
  <c r="O137" i="123"/>
  <c r="P137" i="123"/>
  <c r="Q137" i="123"/>
  <c r="O138" i="123"/>
  <c r="P138" i="123"/>
  <c r="Q138" i="123"/>
  <c r="O139" i="123"/>
  <c r="P139" i="123"/>
  <c r="Q139" i="123"/>
  <c r="O140" i="123"/>
  <c r="P140" i="123"/>
  <c r="Q140" i="123"/>
  <c r="O141" i="123"/>
  <c r="P141" i="123"/>
  <c r="Q141" i="123"/>
  <c r="O142" i="123"/>
  <c r="P142" i="123"/>
  <c r="Q142" i="123"/>
  <c r="O143" i="123"/>
  <c r="P143" i="123"/>
  <c r="Q143" i="123"/>
  <c r="O144" i="123"/>
  <c r="P144" i="123"/>
  <c r="Q144" i="123"/>
  <c r="O145" i="123"/>
  <c r="P145" i="123"/>
  <c r="Q145" i="123"/>
  <c r="O146" i="123"/>
  <c r="P146" i="123"/>
  <c r="Q146" i="123"/>
  <c r="O147" i="123"/>
  <c r="P147" i="123"/>
  <c r="Q147" i="123"/>
  <c r="O148" i="123"/>
  <c r="P148" i="123"/>
  <c r="Q148" i="123"/>
  <c r="O149" i="123"/>
  <c r="P149" i="123"/>
  <c r="Q149" i="123"/>
  <c r="O150" i="123"/>
  <c r="P150" i="123"/>
  <c r="Q150" i="123"/>
  <c r="O151" i="123"/>
  <c r="P151" i="123"/>
  <c r="Q151" i="123"/>
  <c r="O152" i="123"/>
  <c r="P152" i="123"/>
  <c r="Q152" i="123"/>
  <c r="O153" i="123"/>
  <c r="P153" i="123"/>
  <c r="Q153" i="123"/>
  <c r="Q34" i="123"/>
  <c r="P34" i="123"/>
  <c r="K36" i="123" l="1"/>
  <c r="K35" i="123"/>
  <c r="K34" i="123"/>
  <c r="K44" i="120"/>
  <c r="K43" i="120"/>
  <c r="K42" i="120"/>
  <c r="K42" i="118"/>
  <c r="K41" i="118"/>
  <c r="K40" i="118"/>
  <c r="K32" i="123" l="1"/>
  <c r="K33" i="123"/>
  <c r="K35" i="122"/>
  <c r="K34" i="122"/>
  <c r="K33" i="122"/>
  <c r="K40" i="120"/>
  <c r="K41" i="120"/>
  <c r="K38" i="118"/>
  <c r="K39" i="118"/>
  <c r="L40" i="120"/>
  <c r="L41" i="120"/>
  <c r="L42" i="120"/>
  <c r="L43" i="120"/>
  <c r="L44" i="120"/>
  <c r="L45" i="120"/>
  <c r="L46" i="120"/>
  <c r="L47" i="120"/>
  <c r="L48" i="120"/>
  <c r="L49" i="120"/>
  <c r="L50" i="120"/>
  <c r="L51" i="120"/>
  <c r="L52" i="120"/>
  <c r="L53" i="120"/>
  <c r="L54" i="120"/>
  <c r="L55" i="120"/>
  <c r="L56" i="120"/>
  <c r="L57" i="120"/>
  <c r="L58" i="120"/>
  <c r="L59" i="120"/>
  <c r="L60" i="120"/>
  <c r="L61" i="120"/>
  <c r="L62" i="120"/>
  <c r="L63" i="120"/>
  <c r="L64" i="120"/>
  <c r="L65" i="120"/>
  <c r="L66" i="120"/>
  <c r="L67" i="120"/>
  <c r="L68" i="120"/>
  <c r="L69" i="120"/>
  <c r="L70" i="120"/>
  <c r="L71" i="120"/>
  <c r="L72" i="120"/>
  <c r="L73" i="120"/>
  <c r="L74" i="120"/>
  <c r="L75" i="120"/>
  <c r="L76" i="120"/>
  <c r="L77" i="120"/>
  <c r="L78" i="120"/>
  <c r="L79" i="120"/>
  <c r="L80" i="120"/>
  <c r="L81" i="120"/>
  <c r="L82" i="120"/>
  <c r="L83" i="120"/>
  <c r="L84" i="120"/>
  <c r="L85" i="120"/>
  <c r="L86" i="120"/>
  <c r="L87" i="120"/>
  <c r="L88" i="120"/>
  <c r="L89" i="120"/>
  <c r="L90" i="120"/>
  <c r="L91" i="120"/>
  <c r="L92" i="120"/>
  <c r="L93" i="120"/>
  <c r="L94" i="120"/>
  <c r="L95" i="120"/>
  <c r="L96" i="120"/>
  <c r="L97" i="120"/>
  <c r="L98" i="120"/>
  <c r="L99" i="120"/>
  <c r="L100" i="120"/>
  <c r="L101" i="120"/>
  <c r="L102" i="120"/>
  <c r="L103" i="120"/>
  <c r="L104" i="120"/>
  <c r="L105" i="120"/>
  <c r="L106" i="120"/>
  <c r="L107" i="120"/>
  <c r="L108" i="120"/>
  <c r="L109" i="120"/>
  <c r="L110" i="120"/>
  <c r="L111" i="120"/>
  <c r="L112" i="120"/>
  <c r="L113" i="120"/>
  <c r="L114" i="120"/>
  <c r="L115" i="120"/>
  <c r="L116" i="120"/>
  <c r="L117" i="120"/>
  <c r="L118" i="120"/>
  <c r="L119" i="120"/>
  <c r="L120" i="120"/>
  <c r="L121" i="120"/>
  <c r="L122" i="120"/>
  <c r="L123" i="120"/>
  <c r="L124" i="120"/>
  <c r="L125" i="120"/>
  <c r="L126" i="120"/>
  <c r="L127" i="120"/>
  <c r="L128" i="120"/>
  <c r="L129" i="120"/>
  <c r="L130" i="120"/>
  <c r="L131" i="120"/>
  <c r="L132" i="120"/>
  <c r="L133" i="120"/>
  <c r="L134" i="120"/>
  <c r="L135" i="120"/>
  <c r="L136" i="120"/>
  <c r="L137" i="120"/>
  <c r="L138" i="120"/>
  <c r="L139" i="120"/>
  <c r="L140" i="120"/>
  <c r="L141" i="120"/>
  <c r="L142" i="120"/>
  <c r="L143" i="120"/>
  <c r="L144" i="120"/>
  <c r="L145" i="120"/>
  <c r="L146" i="120"/>
  <c r="L147" i="120"/>
  <c r="L148" i="120"/>
  <c r="L149" i="120"/>
  <c r="L150" i="120"/>
  <c r="L151" i="120"/>
  <c r="L152" i="120"/>
  <c r="L153" i="120"/>
  <c r="L39" i="120"/>
  <c r="K31" i="123" l="1"/>
  <c r="K39" i="120"/>
  <c r="K37" i="118"/>
  <c r="O39" i="120"/>
  <c r="P39" i="120"/>
  <c r="Q39" i="120"/>
  <c r="O40" i="120"/>
  <c r="P40" i="120"/>
  <c r="Q40" i="120"/>
  <c r="O41" i="120"/>
  <c r="P41" i="120"/>
  <c r="Q41" i="120"/>
  <c r="O42" i="120"/>
  <c r="P42" i="120"/>
  <c r="Q42" i="120"/>
  <c r="O43" i="120"/>
  <c r="P43" i="120"/>
  <c r="Q43" i="120"/>
  <c r="O44" i="120"/>
  <c r="P44" i="120"/>
  <c r="Q44" i="120"/>
  <c r="O45" i="120"/>
  <c r="P45" i="120"/>
  <c r="Q45" i="120"/>
  <c r="O46" i="120"/>
  <c r="P46" i="120"/>
  <c r="Q46" i="120"/>
  <c r="O47" i="120"/>
  <c r="P47" i="120"/>
  <c r="Q47" i="120"/>
  <c r="O48" i="120"/>
  <c r="P48" i="120"/>
  <c r="Q48" i="120"/>
  <c r="O49" i="120"/>
  <c r="P49" i="120"/>
  <c r="Q49" i="120"/>
  <c r="O50" i="120"/>
  <c r="P50" i="120"/>
  <c r="Q50" i="120"/>
  <c r="O51" i="120"/>
  <c r="P51" i="120"/>
  <c r="Q51" i="120"/>
  <c r="O52" i="120"/>
  <c r="P52" i="120"/>
  <c r="Q52" i="120"/>
  <c r="O53" i="120"/>
  <c r="P53" i="120"/>
  <c r="Q53" i="120"/>
  <c r="O54" i="120"/>
  <c r="P54" i="120"/>
  <c r="Q54" i="120"/>
  <c r="O55" i="120"/>
  <c r="P55" i="120"/>
  <c r="Q55" i="120"/>
  <c r="O56" i="120"/>
  <c r="P56" i="120"/>
  <c r="Q56" i="120"/>
  <c r="O57" i="120"/>
  <c r="P57" i="120"/>
  <c r="Q57" i="120"/>
  <c r="O58" i="120"/>
  <c r="P58" i="120"/>
  <c r="Q58" i="120"/>
  <c r="O59" i="120"/>
  <c r="P59" i="120"/>
  <c r="Q59" i="120"/>
  <c r="O60" i="120"/>
  <c r="P60" i="120"/>
  <c r="Q60" i="120"/>
  <c r="O61" i="120"/>
  <c r="P61" i="120"/>
  <c r="Q61" i="120"/>
  <c r="O62" i="120"/>
  <c r="P62" i="120"/>
  <c r="Q62" i="120"/>
  <c r="O63" i="120"/>
  <c r="P63" i="120"/>
  <c r="Q63" i="120"/>
  <c r="O64" i="120"/>
  <c r="P64" i="120"/>
  <c r="Q64" i="120"/>
  <c r="O65" i="120"/>
  <c r="P65" i="120"/>
  <c r="Q65" i="120"/>
  <c r="O66" i="120"/>
  <c r="P66" i="120"/>
  <c r="Q66" i="120"/>
  <c r="O67" i="120"/>
  <c r="P67" i="120"/>
  <c r="Q67" i="120"/>
  <c r="O68" i="120"/>
  <c r="P68" i="120"/>
  <c r="Q68" i="120"/>
  <c r="O69" i="120"/>
  <c r="P69" i="120"/>
  <c r="Q69" i="120"/>
  <c r="O70" i="120"/>
  <c r="P70" i="120"/>
  <c r="Q70" i="120"/>
  <c r="O71" i="120"/>
  <c r="P71" i="120"/>
  <c r="Q71" i="120"/>
  <c r="O72" i="120"/>
  <c r="P72" i="120"/>
  <c r="Q72" i="120"/>
  <c r="O73" i="120"/>
  <c r="P73" i="120"/>
  <c r="Q73" i="120"/>
  <c r="O74" i="120"/>
  <c r="P74" i="120"/>
  <c r="Q74" i="120"/>
  <c r="O75" i="120"/>
  <c r="P75" i="120"/>
  <c r="Q75" i="120"/>
  <c r="O76" i="120"/>
  <c r="P76" i="120"/>
  <c r="Q76" i="120"/>
  <c r="O77" i="120"/>
  <c r="P77" i="120"/>
  <c r="Q77" i="120"/>
  <c r="O78" i="120"/>
  <c r="P78" i="120"/>
  <c r="Q78" i="120"/>
  <c r="O79" i="120"/>
  <c r="P79" i="120"/>
  <c r="Q79" i="120"/>
  <c r="O80" i="120"/>
  <c r="P80" i="120"/>
  <c r="Q80" i="120"/>
  <c r="O81" i="120"/>
  <c r="P81" i="120"/>
  <c r="Q81" i="120"/>
  <c r="O82" i="120"/>
  <c r="P82" i="120"/>
  <c r="Q82" i="120"/>
  <c r="O83" i="120"/>
  <c r="P83" i="120"/>
  <c r="Q83" i="120"/>
  <c r="O84" i="120"/>
  <c r="P84" i="120"/>
  <c r="Q84" i="120"/>
  <c r="O85" i="120"/>
  <c r="P85" i="120"/>
  <c r="Q85" i="120"/>
  <c r="O86" i="120"/>
  <c r="P86" i="120"/>
  <c r="Q86" i="120"/>
  <c r="O87" i="120"/>
  <c r="P87" i="120"/>
  <c r="Q87" i="120"/>
  <c r="O88" i="120"/>
  <c r="P88" i="120"/>
  <c r="Q88" i="120"/>
  <c r="O89" i="120"/>
  <c r="P89" i="120"/>
  <c r="Q89" i="120"/>
  <c r="O90" i="120"/>
  <c r="P90" i="120"/>
  <c r="Q90" i="120"/>
  <c r="O91" i="120"/>
  <c r="P91" i="120"/>
  <c r="Q91" i="120"/>
  <c r="O92" i="120"/>
  <c r="P92" i="120"/>
  <c r="Q92" i="120"/>
  <c r="O93" i="120"/>
  <c r="P93" i="120"/>
  <c r="Q93" i="120"/>
  <c r="O94" i="120"/>
  <c r="P94" i="120"/>
  <c r="Q94" i="120"/>
  <c r="O95" i="120"/>
  <c r="P95" i="120"/>
  <c r="Q95" i="120"/>
  <c r="O96" i="120"/>
  <c r="P96" i="120"/>
  <c r="Q96" i="120"/>
  <c r="O97" i="120"/>
  <c r="P97" i="120"/>
  <c r="Q97" i="120"/>
  <c r="O98" i="120"/>
  <c r="P98" i="120"/>
  <c r="Q98" i="120"/>
  <c r="O99" i="120"/>
  <c r="P99" i="120"/>
  <c r="Q99" i="120"/>
  <c r="O100" i="120"/>
  <c r="P100" i="120"/>
  <c r="Q100" i="120"/>
  <c r="O101" i="120"/>
  <c r="P101" i="120"/>
  <c r="Q101" i="120"/>
  <c r="O102" i="120"/>
  <c r="P102" i="120"/>
  <c r="Q102" i="120"/>
  <c r="O103" i="120"/>
  <c r="P103" i="120"/>
  <c r="Q103" i="120"/>
  <c r="O104" i="120"/>
  <c r="P104" i="120"/>
  <c r="Q104" i="120"/>
  <c r="O105" i="120"/>
  <c r="P105" i="120"/>
  <c r="Q105" i="120"/>
  <c r="O106" i="120"/>
  <c r="P106" i="120"/>
  <c r="Q106" i="120"/>
  <c r="O107" i="120"/>
  <c r="P107" i="120"/>
  <c r="Q107" i="120"/>
  <c r="O108" i="120"/>
  <c r="P108" i="120"/>
  <c r="Q108" i="120"/>
  <c r="O109" i="120"/>
  <c r="P109" i="120"/>
  <c r="Q109" i="120"/>
  <c r="O110" i="120"/>
  <c r="P110" i="120"/>
  <c r="Q110" i="120"/>
  <c r="O111" i="120"/>
  <c r="P111" i="120"/>
  <c r="Q111" i="120"/>
  <c r="O112" i="120"/>
  <c r="P112" i="120"/>
  <c r="Q112" i="120"/>
  <c r="O113" i="120"/>
  <c r="P113" i="120"/>
  <c r="Q113" i="120"/>
  <c r="O114" i="120"/>
  <c r="P114" i="120"/>
  <c r="Q114" i="120"/>
  <c r="O115" i="120"/>
  <c r="P115" i="120"/>
  <c r="Q115" i="120"/>
  <c r="O116" i="120"/>
  <c r="P116" i="120"/>
  <c r="Q116" i="120"/>
  <c r="O117" i="120"/>
  <c r="P117" i="120"/>
  <c r="Q117" i="120"/>
  <c r="O118" i="120"/>
  <c r="P118" i="120"/>
  <c r="Q118" i="120"/>
  <c r="O119" i="120"/>
  <c r="P119" i="120"/>
  <c r="Q119" i="120"/>
  <c r="O120" i="120"/>
  <c r="P120" i="120"/>
  <c r="Q120" i="120"/>
  <c r="O121" i="120"/>
  <c r="P121" i="120"/>
  <c r="Q121" i="120"/>
  <c r="O122" i="120"/>
  <c r="P122" i="120"/>
  <c r="Q122" i="120"/>
  <c r="O123" i="120"/>
  <c r="P123" i="120"/>
  <c r="Q123" i="120"/>
  <c r="O124" i="120"/>
  <c r="P124" i="120"/>
  <c r="Q124" i="120"/>
  <c r="O125" i="120"/>
  <c r="P125" i="120"/>
  <c r="Q125" i="120"/>
  <c r="O126" i="120"/>
  <c r="P126" i="120"/>
  <c r="Q126" i="120"/>
  <c r="O127" i="120"/>
  <c r="P127" i="120"/>
  <c r="Q127" i="120"/>
  <c r="O128" i="120"/>
  <c r="P128" i="120"/>
  <c r="Q128" i="120"/>
  <c r="O129" i="120"/>
  <c r="P129" i="120"/>
  <c r="Q129" i="120"/>
  <c r="O130" i="120"/>
  <c r="P130" i="120"/>
  <c r="Q130" i="120"/>
  <c r="O131" i="120"/>
  <c r="P131" i="120"/>
  <c r="Q131" i="120"/>
  <c r="O132" i="120"/>
  <c r="P132" i="120"/>
  <c r="Q132" i="120"/>
  <c r="O133" i="120"/>
  <c r="P133" i="120"/>
  <c r="Q133" i="120"/>
  <c r="O134" i="120"/>
  <c r="P134" i="120"/>
  <c r="Q134" i="120"/>
  <c r="O135" i="120"/>
  <c r="P135" i="120"/>
  <c r="Q135" i="120"/>
  <c r="O136" i="120"/>
  <c r="P136" i="120"/>
  <c r="Q136" i="120"/>
  <c r="O137" i="120"/>
  <c r="P137" i="120"/>
  <c r="Q137" i="120"/>
  <c r="O138" i="120"/>
  <c r="P138" i="120"/>
  <c r="Q138" i="120"/>
  <c r="O139" i="120"/>
  <c r="P139" i="120"/>
  <c r="Q139" i="120"/>
  <c r="O140" i="120"/>
  <c r="P140" i="120"/>
  <c r="Q140" i="120"/>
  <c r="O141" i="120"/>
  <c r="P141" i="120"/>
  <c r="Q141" i="120"/>
  <c r="O142" i="120"/>
  <c r="P142" i="120"/>
  <c r="Q142" i="120"/>
  <c r="O143" i="120"/>
  <c r="P143" i="120"/>
  <c r="Q143" i="120"/>
  <c r="O144" i="120"/>
  <c r="P144" i="120"/>
  <c r="Q144" i="120"/>
  <c r="O145" i="120"/>
  <c r="P145" i="120"/>
  <c r="Q145" i="120"/>
  <c r="O146" i="120"/>
  <c r="P146" i="120"/>
  <c r="Q146" i="120"/>
  <c r="O147" i="120"/>
  <c r="P147" i="120"/>
  <c r="Q147" i="120"/>
  <c r="O148" i="120"/>
  <c r="P148" i="120"/>
  <c r="Q148" i="120"/>
  <c r="O149" i="120"/>
  <c r="P149" i="120"/>
  <c r="Q149" i="120"/>
  <c r="O150" i="120"/>
  <c r="P150" i="120"/>
  <c r="Q150" i="120"/>
  <c r="O151" i="120"/>
  <c r="P151" i="120"/>
  <c r="Q151" i="120"/>
  <c r="O152" i="120"/>
  <c r="P152" i="120"/>
  <c r="Q152" i="120"/>
  <c r="O153" i="120"/>
  <c r="P153" i="120"/>
  <c r="Q153" i="120"/>
  <c r="Q38" i="120"/>
  <c r="P38" i="120"/>
  <c r="O38" i="120"/>
  <c r="O46" i="118" l="1"/>
  <c r="P46" i="118"/>
  <c r="Q46" i="118"/>
  <c r="O47" i="118"/>
  <c r="P47" i="118"/>
  <c r="Q47" i="118"/>
  <c r="O48" i="118"/>
  <c r="P48" i="118"/>
  <c r="Q48" i="118"/>
  <c r="O49" i="118"/>
  <c r="P49" i="118"/>
  <c r="Q49" i="118"/>
  <c r="O50" i="118"/>
  <c r="P50" i="118"/>
  <c r="Q50" i="118"/>
  <c r="O51" i="118"/>
  <c r="P51" i="118"/>
  <c r="Q51" i="118"/>
  <c r="O52" i="118"/>
  <c r="P52" i="118"/>
  <c r="Q52" i="118"/>
  <c r="O53" i="118"/>
  <c r="P53" i="118"/>
  <c r="Q53" i="118"/>
  <c r="O54" i="118"/>
  <c r="P54" i="118"/>
  <c r="Q54" i="118"/>
  <c r="O55" i="118"/>
  <c r="P55" i="118"/>
  <c r="Q55" i="118"/>
  <c r="O56" i="118"/>
  <c r="P56" i="118"/>
  <c r="Q56" i="118"/>
  <c r="O57" i="118"/>
  <c r="P57" i="118"/>
  <c r="Q57" i="118"/>
  <c r="O58" i="118"/>
  <c r="P58" i="118"/>
  <c r="Q58" i="118"/>
  <c r="O59" i="118"/>
  <c r="P59" i="118"/>
  <c r="Q59" i="118"/>
  <c r="O60" i="118"/>
  <c r="P60" i="118"/>
  <c r="Q60" i="118"/>
  <c r="O61" i="118"/>
  <c r="P61" i="118"/>
  <c r="Q61" i="118"/>
  <c r="O62" i="118"/>
  <c r="P62" i="118"/>
  <c r="Q62" i="118"/>
  <c r="O63" i="118"/>
  <c r="P63" i="118"/>
  <c r="Q63" i="118"/>
  <c r="O64" i="118"/>
  <c r="P64" i="118"/>
  <c r="Q64" i="118"/>
  <c r="O65" i="118"/>
  <c r="P65" i="118"/>
  <c r="Q65" i="118"/>
  <c r="O66" i="118"/>
  <c r="P66" i="118"/>
  <c r="Q66" i="118"/>
  <c r="O67" i="118"/>
  <c r="P67" i="118"/>
  <c r="Q67" i="118"/>
  <c r="O68" i="118"/>
  <c r="P68" i="118"/>
  <c r="Q68" i="118"/>
  <c r="O69" i="118"/>
  <c r="P69" i="118"/>
  <c r="Q69" i="118"/>
  <c r="O70" i="118"/>
  <c r="P70" i="118"/>
  <c r="Q70" i="118"/>
  <c r="O71" i="118"/>
  <c r="P71" i="118"/>
  <c r="Q71" i="118"/>
  <c r="O72" i="118"/>
  <c r="P72" i="118"/>
  <c r="Q72" i="118"/>
  <c r="O73" i="118"/>
  <c r="P73" i="118"/>
  <c r="Q73" i="118"/>
  <c r="O74" i="118"/>
  <c r="P74" i="118"/>
  <c r="Q74" i="118"/>
  <c r="O75" i="118"/>
  <c r="P75" i="118"/>
  <c r="Q75" i="118"/>
  <c r="O76" i="118"/>
  <c r="P76" i="118"/>
  <c r="Q76" i="118"/>
  <c r="O77" i="118"/>
  <c r="P77" i="118"/>
  <c r="Q77" i="118"/>
  <c r="O78" i="118"/>
  <c r="P78" i="118"/>
  <c r="Q78" i="118"/>
  <c r="O79" i="118"/>
  <c r="P79" i="118"/>
  <c r="Q79" i="118"/>
  <c r="O80" i="118"/>
  <c r="P80" i="118"/>
  <c r="Q80" i="118"/>
  <c r="O81" i="118"/>
  <c r="P81" i="118"/>
  <c r="Q81" i="118"/>
  <c r="O82" i="118"/>
  <c r="P82" i="118"/>
  <c r="Q82" i="118"/>
  <c r="O83" i="118"/>
  <c r="P83" i="118"/>
  <c r="Q83" i="118"/>
  <c r="O84" i="118"/>
  <c r="P84" i="118"/>
  <c r="Q84" i="118"/>
  <c r="O85" i="118"/>
  <c r="P85" i="118"/>
  <c r="Q85" i="118"/>
  <c r="O86" i="118"/>
  <c r="P86" i="118"/>
  <c r="Q86" i="118"/>
  <c r="O87" i="118"/>
  <c r="P87" i="118"/>
  <c r="Q87" i="118"/>
  <c r="O88" i="118"/>
  <c r="P88" i="118"/>
  <c r="Q88" i="118"/>
  <c r="O89" i="118"/>
  <c r="P89" i="118"/>
  <c r="Q89" i="118"/>
  <c r="O90" i="118"/>
  <c r="P90" i="118"/>
  <c r="Q90" i="118"/>
  <c r="O91" i="118"/>
  <c r="P91" i="118"/>
  <c r="Q91" i="118"/>
  <c r="O92" i="118"/>
  <c r="P92" i="118"/>
  <c r="Q92" i="118"/>
  <c r="O93" i="118"/>
  <c r="P93" i="118"/>
  <c r="Q93" i="118"/>
  <c r="O94" i="118"/>
  <c r="P94" i="118"/>
  <c r="Q94" i="118"/>
  <c r="O95" i="118"/>
  <c r="P95" i="118"/>
  <c r="Q95" i="118"/>
  <c r="O96" i="118"/>
  <c r="P96" i="118"/>
  <c r="Q96" i="118"/>
  <c r="O97" i="118"/>
  <c r="P97" i="118"/>
  <c r="Q97" i="118"/>
  <c r="O98" i="118"/>
  <c r="P98" i="118"/>
  <c r="Q98" i="118"/>
  <c r="O99" i="118"/>
  <c r="P99" i="118"/>
  <c r="Q99" i="118"/>
  <c r="O100" i="118"/>
  <c r="P100" i="118"/>
  <c r="Q100" i="118"/>
  <c r="O101" i="118"/>
  <c r="P101" i="118"/>
  <c r="Q101" i="118"/>
  <c r="O102" i="118"/>
  <c r="P102" i="118"/>
  <c r="Q102" i="118"/>
  <c r="O103" i="118"/>
  <c r="P103" i="118"/>
  <c r="Q103" i="118"/>
  <c r="O104" i="118"/>
  <c r="P104" i="118"/>
  <c r="Q104" i="118"/>
  <c r="O105" i="118"/>
  <c r="P105" i="118"/>
  <c r="Q105" i="118"/>
  <c r="O106" i="118"/>
  <c r="P106" i="118"/>
  <c r="Q106" i="118"/>
  <c r="O107" i="118"/>
  <c r="P107" i="118"/>
  <c r="Q107" i="118"/>
  <c r="O108" i="118"/>
  <c r="P108" i="118"/>
  <c r="Q108" i="118"/>
  <c r="O109" i="118"/>
  <c r="P109" i="118"/>
  <c r="Q109" i="118"/>
  <c r="O110" i="118"/>
  <c r="P110" i="118"/>
  <c r="Q110" i="118"/>
  <c r="O111" i="118"/>
  <c r="P111" i="118"/>
  <c r="Q111" i="118"/>
  <c r="O112" i="118"/>
  <c r="P112" i="118"/>
  <c r="Q112" i="118"/>
  <c r="O113" i="118"/>
  <c r="P113" i="118"/>
  <c r="Q113" i="118"/>
  <c r="O114" i="118"/>
  <c r="P114" i="118"/>
  <c r="Q114" i="118"/>
  <c r="O115" i="118"/>
  <c r="P115" i="118"/>
  <c r="Q115" i="118"/>
  <c r="O116" i="118"/>
  <c r="P116" i="118"/>
  <c r="Q116" i="118"/>
  <c r="O117" i="118"/>
  <c r="P117" i="118"/>
  <c r="Q117" i="118"/>
  <c r="O118" i="118"/>
  <c r="P118" i="118"/>
  <c r="Q118" i="118"/>
  <c r="O119" i="118"/>
  <c r="P119" i="118"/>
  <c r="Q119" i="118"/>
  <c r="O120" i="118"/>
  <c r="P120" i="118"/>
  <c r="Q120" i="118"/>
  <c r="O121" i="118"/>
  <c r="P121" i="118"/>
  <c r="Q121" i="118"/>
  <c r="O122" i="118"/>
  <c r="P122" i="118"/>
  <c r="Q122" i="118"/>
  <c r="O123" i="118"/>
  <c r="P123" i="118"/>
  <c r="Q123" i="118"/>
  <c r="O124" i="118"/>
  <c r="P124" i="118"/>
  <c r="Q124" i="118"/>
  <c r="O125" i="118"/>
  <c r="P125" i="118"/>
  <c r="Q125" i="118"/>
  <c r="O126" i="118"/>
  <c r="P126" i="118"/>
  <c r="Q126" i="118"/>
  <c r="O127" i="118"/>
  <c r="P127" i="118"/>
  <c r="Q127" i="118"/>
  <c r="O128" i="118"/>
  <c r="P128" i="118"/>
  <c r="Q128" i="118"/>
  <c r="O129" i="118"/>
  <c r="P129" i="118"/>
  <c r="Q129" i="118"/>
  <c r="O130" i="118"/>
  <c r="P130" i="118"/>
  <c r="Q130" i="118"/>
  <c r="O131" i="118"/>
  <c r="P131" i="118"/>
  <c r="Q131" i="118"/>
  <c r="O132" i="118"/>
  <c r="P132" i="118"/>
  <c r="Q132" i="118"/>
  <c r="O133" i="118"/>
  <c r="P133" i="118"/>
  <c r="Q133" i="118"/>
  <c r="O134" i="118"/>
  <c r="P134" i="118"/>
  <c r="Q134" i="118"/>
  <c r="O135" i="118"/>
  <c r="P135" i="118"/>
  <c r="Q135" i="118"/>
  <c r="O136" i="118"/>
  <c r="P136" i="118"/>
  <c r="Q136" i="118"/>
  <c r="O137" i="118"/>
  <c r="P137" i="118"/>
  <c r="Q137" i="118"/>
  <c r="O138" i="118"/>
  <c r="P138" i="118"/>
  <c r="Q138" i="118"/>
  <c r="O139" i="118"/>
  <c r="P139" i="118"/>
  <c r="Q139" i="118"/>
  <c r="O140" i="118"/>
  <c r="P140" i="118"/>
  <c r="Q140" i="118"/>
  <c r="O141" i="118"/>
  <c r="P141" i="118"/>
  <c r="Q141" i="118"/>
  <c r="O142" i="118"/>
  <c r="P142" i="118"/>
  <c r="Q142" i="118"/>
  <c r="O143" i="118"/>
  <c r="P143" i="118"/>
  <c r="Q143" i="118"/>
  <c r="O144" i="118"/>
  <c r="P144" i="118"/>
  <c r="Q144" i="118"/>
  <c r="O145" i="118"/>
  <c r="P145" i="118"/>
  <c r="Q145" i="118"/>
  <c r="O146" i="118"/>
  <c r="P146" i="118"/>
  <c r="Q146" i="118"/>
  <c r="O147" i="118"/>
  <c r="P147" i="118"/>
  <c r="Q147" i="118"/>
  <c r="O148" i="118"/>
  <c r="P148" i="118"/>
  <c r="Q148" i="118"/>
  <c r="O149" i="118"/>
  <c r="P149" i="118"/>
  <c r="Q149" i="118"/>
  <c r="O150" i="118"/>
  <c r="P150" i="118"/>
  <c r="Q150" i="118"/>
  <c r="O151" i="118"/>
  <c r="P151" i="118"/>
  <c r="Q151" i="118"/>
  <c r="O152" i="118"/>
  <c r="P152" i="118"/>
  <c r="Q152" i="118"/>
  <c r="O153" i="118"/>
  <c r="P153" i="118"/>
  <c r="Q153" i="118"/>
  <c r="M39" i="120"/>
  <c r="M40" i="120"/>
  <c r="M41" i="120"/>
  <c r="M42" i="120"/>
  <c r="M43" i="120"/>
  <c r="M44" i="120"/>
  <c r="M45" i="120"/>
  <c r="M46" i="120"/>
  <c r="M47" i="120"/>
  <c r="M48" i="120"/>
  <c r="M49" i="120"/>
  <c r="M50" i="120"/>
  <c r="M51" i="120"/>
  <c r="M52" i="120"/>
  <c r="M53" i="120"/>
  <c r="M54" i="120"/>
  <c r="M55" i="120"/>
  <c r="M56" i="120"/>
  <c r="M57" i="120"/>
  <c r="M58" i="120"/>
  <c r="M59" i="120"/>
  <c r="M60" i="120"/>
  <c r="M61" i="120"/>
  <c r="M62" i="120"/>
  <c r="M63" i="120"/>
  <c r="M64" i="120"/>
  <c r="M65" i="120"/>
  <c r="M66" i="120"/>
  <c r="M67" i="120"/>
  <c r="M68" i="120"/>
  <c r="M69" i="120"/>
  <c r="M70" i="120"/>
  <c r="M71" i="120"/>
  <c r="M72" i="120"/>
  <c r="M73" i="120"/>
  <c r="M74" i="120"/>
  <c r="M75" i="120"/>
  <c r="M76" i="120"/>
  <c r="M77" i="120"/>
  <c r="M78" i="120"/>
  <c r="M79" i="120"/>
  <c r="M80" i="120"/>
  <c r="M81" i="120"/>
  <c r="M82" i="120"/>
  <c r="M83" i="120"/>
  <c r="M84" i="120"/>
  <c r="M85" i="120"/>
  <c r="M86" i="120"/>
  <c r="M87" i="120"/>
  <c r="M88" i="120"/>
  <c r="M89" i="120"/>
  <c r="M90" i="120"/>
  <c r="M91" i="120"/>
  <c r="M92" i="120"/>
  <c r="M93" i="120"/>
  <c r="M94" i="120"/>
  <c r="M95" i="120"/>
  <c r="M96" i="120"/>
  <c r="M97" i="120"/>
  <c r="M98" i="120"/>
  <c r="M99" i="120"/>
  <c r="M100" i="120"/>
  <c r="M101" i="120"/>
  <c r="M102" i="120"/>
  <c r="M103" i="120"/>
  <c r="M104" i="120"/>
  <c r="M105" i="120"/>
  <c r="M106" i="120"/>
  <c r="M107" i="120"/>
  <c r="M108" i="120"/>
  <c r="M109" i="120"/>
  <c r="M110" i="120"/>
  <c r="M111" i="120"/>
  <c r="M112" i="120"/>
  <c r="M113" i="120"/>
  <c r="M114" i="120"/>
  <c r="M115" i="120"/>
  <c r="M116" i="120"/>
  <c r="M117" i="120"/>
  <c r="M118" i="120"/>
  <c r="M119" i="120"/>
  <c r="M120" i="120"/>
  <c r="M121" i="120"/>
  <c r="M122" i="120"/>
  <c r="M123" i="120"/>
  <c r="M124" i="120"/>
  <c r="M125" i="120"/>
  <c r="M126" i="120"/>
  <c r="M127" i="120"/>
  <c r="M128" i="120"/>
  <c r="M129" i="120"/>
  <c r="M130" i="120"/>
  <c r="M131" i="120"/>
  <c r="M132" i="120"/>
  <c r="M133" i="120"/>
  <c r="M134" i="120"/>
  <c r="M135" i="120"/>
  <c r="M136" i="120"/>
  <c r="M137" i="120"/>
  <c r="M138" i="120"/>
  <c r="M139" i="120"/>
  <c r="M140" i="120"/>
  <c r="M141" i="120"/>
  <c r="M142" i="120"/>
  <c r="M143" i="120"/>
  <c r="M144" i="120"/>
  <c r="M145" i="120"/>
  <c r="M146" i="120"/>
  <c r="M147" i="120"/>
  <c r="M148" i="120"/>
  <c r="M149" i="120"/>
  <c r="M150" i="120"/>
  <c r="M151" i="120"/>
  <c r="M152" i="120"/>
  <c r="M153" i="120"/>
  <c r="M38" i="120"/>
  <c r="K30" i="123"/>
  <c r="K32" i="122"/>
  <c r="K38" i="120"/>
  <c r="K36" i="118"/>
  <c r="K29" i="123"/>
  <c r="K31" i="122"/>
  <c r="K37" i="120"/>
  <c r="K35" i="118"/>
  <c r="K36" i="120"/>
  <c r="K34" i="118"/>
  <c r="K35" i="120"/>
  <c r="K33" i="118" l="1"/>
  <c r="K28" i="123" l="1"/>
  <c r="K30" i="122"/>
  <c r="K34" i="120"/>
  <c r="K27" i="123" l="1"/>
  <c r="K29" i="122"/>
  <c r="K33" i="120"/>
  <c r="K32" i="118"/>
  <c r="K26" i="123" l="1"/>
  <c r="K28" i="122"/>
  <c r="K32" i="120"/>
  <c r="K41" i="37" l="1"/>
  <c r="K38" i="35"/>
  <c r="K25" i="123" l="1"/>
  <c r="K27" i="122"/>
  <c r="K31" i="120"/>
  <c r="K41" i="33" l="1"/>
  <c r="K39" i="31"/>
  <c r="K36" i="28"/>
  <c r="K54" i="24"/>
  <c r="K58" i="22"/>
  <c r="K57" i="22"/>
  <c r="K67" i="20"/>
  <c r="K31" i="118"/>
  <c r="K24" i="123" l="1"/>
  <c r="K26" i="122"/>
  <c r="K30" i="120"/>
  <c r="K23" i="123"/>
  <c r="K25" i="122"/>
  <c r="K29" i="120"/>
  <c r="K30" i="118"/>
  <c r="K22" i="123"/>
  <c r="K24" i="122"/>
  <c r="K28" i="120"/>
  <c r="K21" i="123"/>
  <c r="K23" i="122"/>
  <c r="K27" i="120"/>
  <c r="K20" i="123"/>
  <c r="K22" i="122"/>
  <c r="K26" i="120"/>
  <c r="K43" i="41"/>
  <c r="K36" i="39"/>
  <c r="K50" i="18"/>
  <c r="K59" i="16"/>
  <c r="K50" i="14"/>
  <c r="K60" i="11"/>
  <c r="K68" i="9"/>
  <c r="K48" i="7"/>
  <c r="K19" i="123"/>
  <c r="K21" i="122"/>
  <c r="K25" i="120"/>
  <c r="M19" i="123"/>
  <c r="N19" i="123"/>
  <c r="O19" i="123"/>
  <c r="P19" i="123"/>
  <c r="Q19" i="123"/>
  <c r="R19" i="123"/>
  <c r="M20" i="123"/>
  <c r="N20" i="123"/>
  <c r="O20" i="123"/>
  <c r="P20" i="123"/>
  <c r="Q20" i="123"/>
  <c r="R20" i="123"/>
  <c r="M21" i="123"/>
  <c r="N21" i="123"/>
  <c r="O21" i="123"/>
  <c r="P21" i="123"/>
  <c r="Q21" i="123"/>
  <c r="R21" i="123"/>
  <c r="M22" i="123"/>
  <c r="N22" i="123"/>
  <c r="O22" i="123"/>
  <c r="P22" i="123"/>
  <c r="Q22" i="123"/>
  <c r="R22" i="123"/>
  <c r="M23" i="123"/>
  <c r="N23" i="123"/>
  <c r="O23" i="123"/>
  <c r="P23" i="123"/>
  <c r="Q23" i="123"/>
  <c r="R23" i="123"/>
  <c r="M24" i="123"/>
  <c r="N24" i="123"/>
  <c r="O24" i="123"/>
  <c r="P24" i="123"/>
  <c r="Q24" i="123"/>
  <c r="R24" i="123"/>
  <c r="M25" i="123"/>
  <c r="N25" i="123"/>
  <c r="O25" i="123"/>
  <c r="P25" i="123"/>
  <c r="Q25" i="123"/>
  <c r="R25" i="123"/>
  <c r="M26" i="123"/>
  <c r="N26" i="123"/>
  <c r="O26" i="123"/>
  <c r="P26" i="123"/>
  <c r="Q26" i="123"/>
  <c r="R26" i="123"/>
  <c r="M27" i="123"/>
  <c r="N27" i="123"/>
  <c r="O27" i="123"/>
  <c r="P27" i="123"/>
  <c r="Q27" i="123"/>
  <c r="R27" i="123"/>
  <c r="M28" i="123"/>
  <c r="N28" i="123"/>
  <c r="O28" i="123"/>
  <c r="P28" i="123"/>
  <c r="Q28" i="123"/>
  <c r="R28" i="123"/>
  <c r="M29" i="123"/>
  <c r="N29" i="123"/>
  <c r="O29" i="123"/>
  <c r="P29" i="123"/>
  <c r="Q29" i="123"/>
  <c r="R29" i="123"/>
  <c r="M30" i="123"/>
  <c r="N30" i="123"/>
  <c r="O30" i="123"/>
  <c r="P30" i="123"/>
  <c r="Q30" i="123"/>
  <c r="R30" i="123"/>
  <c r="M31" i="123"/>
  <c r="N31" i="123"/>
  <c r="O31" i="123"/>
  <c r="P31" i="123"/>
  <c r="Q31" i="123"/>
  <c r="R31" i="123"/>
  <c r="M32" i="123"/>
  <c r="N32" i="123"/>
  <c r="O32" i="123"/>
  <c r="P32" i="123"/>
  <c r="Q32" i="123"/>
  <c r="R32" i="123"/>
  <c r="M33" i="123"/>
  <c r="N33" i="123"/>
  <c r="O33" i="123"/>
  <c r="P33" i="123"/>
  <c r="Q33" i="123"/>
  <c r="R33" i="123"/>
  <c r="M34" i="123"/>
  <c r="N34" i="123"/>
  <c r="R34" i="123"/>
  <c r="M35" i="123"/>
  <c r="N35" i="123"/>
  <c r="R35" i="123"/>
  <c r="M36" i="123"/>
  <c r="N36" i="123"/>
  <c r="R36" i="123"/>
  <c r="M37" i="123"/>
  <c r="N37" i="123"/>
  <c r="R37" i="123"/>
  <c r="M38" i="123"/>
  <c r="N38" i="123"/>
  <c r="R38" i="123"/>
  <c r="M39" i="123"/>
  <c r="N39" i="123"/>
  <c r="R39" i="123"/>
  <c r="M40" i="123"/>
  <c r="N40" i="123"/>
  <c r="R40" i="123"/>
  <c r="M41" i="123"/>
  <c r="N41" i="123"/>
  <c r="R41" i="123"/>
  <c r="M42" i="123"/>
  <c r="N42" i="123"/>
  <c r="R42" i="123"/>
  <c r="M43" i="123"/>
  <c r="N43" i="123"/>
  <c r="R43" i="123"/>
  <c r="M44" i="123"/>
  <c r="N44" i="123"/>
  <c r="R44" i="123"/>
  <c r="M45" i="123"/>
  <c r="N45" i="123"/>
  <c r="R45" i="123"/>
  <c r="M46" i="123"/>
  <c r="N46" i="123"/>
  <c r="R46" i="123"/>
  <c r="M47" i="123"/>
  <c r="N47" i="123"/>
  <c r="R47" i="123"/>
  <c r="M48" i="123"/>
  <c r="N48" i="123"/>
  <c r="R48" i="123"/>
  <c r="M49" i="123"/>
  <c r="N49" i="123"/>
  <c r="R49" i="123"/>
  <c r="M50" i="123"/>
  <c r="N50" i="123"/>
  <c r="R50" i="123"/>
  <c r="M51" i="123"/>
  <c r="N51" i="123"/>
  <c r="R51" i="123"/>
  <c r="M52" i="123"/>
  <c r="N52" i="123"/>
  <c r="R52" i="123"/>
  <c r="M53" i="123"/>
  <c r="N53" i="123"/>
  <c r="R53" i="123"/>
  <c r="M54" i="123"/>
  <c r="N54" i="123"/>
  <c r="R54" i="123"/>
  <c r="M55" i="123"/>
  <c r="N55" i="123"/>
  <c r="R55" i="123"/>
  <c r="M56" i="123"/>
  <c r="N56" i="123"/>
  <c r="R56" i="123"/>
  <c r="M57" i="123"/>
  <c r="N57" i="123"/>
  <c r="R57" i="123"/>
  <c r="M58" i="123"/>
  <c r="N58" i="123"/>
  <c r="R58" i="123"/>
  <c r="M59" i="123"/>
  <c r="N59" i="123"/>
  <c r="R59" i="123"/>
  <c r="M60" i="123"/>
  <c r="N60" i="123"/>
  <c r="R60" i="123"/>
  <c r="M61" i="123"/>
  <c r="N61" i="123"/>
  <c r="R61" i="123"/>
  <c r="M62" i="123"/>
  <c r="N62" i="123"/>
  <c r="R62" i="123"/>
  <c r="M63" i="123"/>
  <c r="N63" i="123"/>
  <c r="R63" i="123"/>
  <c r="M64" i="123"/>
  <c r="N64" i="123"/>
  <c r="R64" i="123"/>
  <c r="M65" i="123"/>
  <c r="N65" i="123"/>
  <c r="R65" i="123"/>
  <c r="M66" i="123"/>
  <c r="N66" i="123"/>
  <c r="R66" i="123"/>
  <c r="M67" i="123"/>
  <c r="N67" i="123"/>
  <c r="R67" i="123"/>
  <c r="M68" i="123"/>
  <c r="N68" i="123"/>
  <c r="R68" i="123"/>
  <c r="M69" i="123"/>
  <c r="N69" i="123"/>
  <c r="R69" i="123"/>
  <c r="M70" i="123"/>
  <c r="N70" i="123"/>
  <c r="R70" i="123"/>
  <c r="M71" i="123"/>
  <c r="N71" i="123"/>
  <c r="R71" i="123"/>
  <c r="M72" i="123"/>
  <c r="N72" i="123"/>
  <c r="R72" i="123"/>
  <c r="M73" i="123"/>
  <c r="N73" i="123"/>
  <c r="R73" i="123"/>
  <c r="M74" i="123"/>
  <c r="N74" i="123"/>
  <c r="R74" i="123"/>
  <c r="M75" i="123"/>
  <c r="N75" i="123"/>
  <c r="R75" i="123"/>
  <c r="M76" i="123"/>
  <c r="N76" i="123"/>
  <c r="R76" i="123"/>
  <c r="M77" i="123"/>
  <c r="N77" i="123"/>
  <c r="R77" i="123"/>
  <c r="M78" i="123"/>
  <c r="N78" i="123"/>
  <c r="R78" i="123"/>
  <c r="M79" i="123"/>
  <c r="N79" i="123"/>
  <c r="R79" i="123"/>
  <c r="M80" i="123"/>
  <c r="N80" i="123"/>
  <c r="R80" i="123"/>
  <c r="M81" i="123"/>
  <c r="N81" i="123"/>
  <c r="R81" i="123"/>
  <c r="M82" i="123"/>
  <c r="N82" i="123"/>
  <c r="R82" i="123"/>
  <c r="M83" i="123"/>
  <c r="N83" i="123"/>
  <c r="R83" i="123"/>
  <c r="M84" i="123"/>
  <c r="N84" i="123"/>
  <c r="R84" i="123"/>
  <c r="M85" i="123"/>
  <c r="N85" i="123"/>
  <c r="R85" i="123"/>
  <c r="M86" i="123"/>
  <c r="N86" i="123"/>
  <c r="R86" i="123"/>
  <c r="M87" i="123"/>
  <c r="N87" i="123"/>
  <c r="R87" i="123"/>
  <c r="M88" i="123"/>
  <c r="N88" i="123"/>
  <c r="R88" i="123"/>
  <c r="M89" i="123"/>
  <c r="N89" i="123"/>
  <c r="R89" i="123"/>
  <c r="M90" i="123"/>
  <c r="N90" i="123"/>
  <c r="R90" i="123"/>
  <c r="M91" i="123"/>
  <c r="N91" i="123"/>
  <c r="R91" i="123"/>
  <c r="M92" i="123"/>
  <c r="N92" i="123"/>
  <c r="R92" i="123"/>
  <c r="M93" i="123"/>
  <c r="N93" i="123"/>
  <c r="R93" i="123"/>
  <c r="M94" i="123"/>
  <c r="N94" i="123"/>
  <c r="R94" i="123"/>
  <c r="M95" i="123"/>
  <c r="N95" i="123"/>
  <c r="R95" i="123"/>
  <c r="M96" i="123"/>
  <c r="N96" i="123"/>
  <c r="R96" i="123"/>
  <c r="M97" i="123"/>
  <c r="N97" i="123"/>
  <c r="R97" i="123"/>
  <c r="M98" i="123"/>
  <c r="N98" i="123"/>
  <c r="R98" i="123"/>
  <c r="M99" i="123"/>
  <c r="N99" i="123"/>
  <c r="R99" i="123"/>
  <c r="M100" i="123"/>
  <c r="N100" i="123"/>
  <c r="R100" i="123"/>
  <c r="M101" i="123"/>
  <c r="N101" i="123"/>
  <c r="R101" i="123"/>
  <c r="M102" i="123"/>
  <c r="N102" i="123"/>
  <c r="R102" i="123"/>
  <c r="M103" i="123"/>
  <c r="N103" i="123"/>
  <c r="R103" i="123"/>
  <c r="M104" i="123"/>
  <c r="N104" i="123"/>
  <c r="R104" i="123"/>
  <c r="M105" i="123"/>
  <c r="N105" i="123"/>
  <c r="R105" i="123"/>
  <c r="M106" i="123"/>
  <c r="N106" i="123"/>
  <c r="R106" i="123"/>
  <c r="M107" i="123"/>
  <c r="N107" i="123"/>
  <c r="R107" i="123"/>
  <c r="M108" i="123"/>
  <c r="N108" i="123"/>
  <c r="R108" i="123"/>
  <c r="M109" i="123"/>
  <c r="N109" i="123"/>
  <c r="R109" i="123"/>
  <c r="M110" i="123"/>
  <c r="N110" i="123"/>
  <c r="R110" i="123"/>
  <c r="M111" i="123"/>
  <c r="N111" i="123"/>
  <c r="R111" i="123"/>
  <c r="M112" i="123"/>
  <c r="N112" i="123"/>
  <c r="R112" i="123"/>
  <c r="M113" i="123"/>
  <c r="N113" i="123"/>
  <c r="R113" i="123"/>
  <c r="M114" i="123"/>
  <c r="N114" i="123"/>
  <c r="R114" i="123"/>
  <c r="M115" i="123"/>
  <c r="N115" i="123"/>
  <c r="R115" i="123"/>
  <c r="M116" i="123"/>
  <c r="N116" i="123"/>
  <c r="R116" i="123"/>
  <c r="M117" i="123"/>
  <c r="N117" i="123"/>
  <c r="R117" i="123"/>
  <c r="M118" i="123"/>
  <c r="N118" i="123"/>
  <c r="R118" i="123"/>
  <c r="M119" i="123"/>
  <c r="N119" i="123"/>
  <c r="R119" i="123"/>
  <c r="M120" i="123"/>
  <c r="N120" i="123"/>
  <c r="R120" i="123"/>
  <c r="M121" i="123"/>
  <c r="N121" i="123"/>
  <c r="R121" i="123"/>
  <c r="M122" i="123"/>
  <c r="N122" i="123"/>
  <c r="R122" i="123"/>
  <c r="M123" i="123"/>
  <c r="N123" i="123"/>
  <c r="R123" i="123"/>
  <c r="M124" i="123"/>
  <c r="N124" i="123"/>
  <c r="R124" i="123"/>
  <c r="M125" i="123"/>
  <c r="N125" i="123"/>
  <c r="R125" i="123"/>
  <c r="M126" i="123"/>
  <c r="N126" i="123"/>
  <c r="R126" i="123"/>
  <c r="M127" i="123"/>
  <c r="N127" i="123"/>
  <c r="R127" i="123"/>
  <c r="M128" i="123"/>
  <c r="N128" i="123"/>
  <c r="R128" i="123"/>
  <c r="M129" i="123"/>
  <c r="N129" i="123"/>
  <c r="R129" i="123"/>
  <c r="M130" i="123"/>
  <c r="N130" i="123"/>
  <c r="R130" i="123"/>
  <c r="M131" i="123"/>
  <c r="N131" i="123"/>
  <c r="R131" i="123"/>
  <c r="M132" i="123"/>
  <c r="N132" i="123"/>
  <c r="R132" i="123"/>
  <c r="M133" i="123"/>
  <c r="N133" i="123"/>
  <c r="R133" i="123"/>
  <c r="M134" i="123"/>
  <c r="N134" i="123"/>
  <c r="R134" i="123"/>
  <c r="M135" i="123"/>
  <c r="N135" i="123"/>
  <c r="R135" i="123"/>
  <c r="M136" i="123"/>
  <c r="N136" i="123"/>
  <c r="R136" i="123"/>
  <c r="M137" i="123"/>
  <c r="N137" i="123"/>
  <c r="R137" i="123"/>
  <c r="M138" i="123"/>
  <c r="N138" i="123"/>
  <c r="R138" i="123"/>
  <c r="M139" i="123"/>
  <c r="N139" i="123"/>
  <c r="R139" i="123"/>
  <c r="M140" i="123"/>
  <c r="N140" i="123"/>
  <c r="R140" i="123"/>
  <c r="M141" i="123"/>
  <c r="N141" i="123"/>
  <c r="R141" i="123"/>
  <c r="M142" i="123"/>
  <c r="N142" i="123"/>
  <c r="R142" i="123"/>
  <c r="M143" i="123"/>
  <c r="N143" i="123"/>
  <c r="R143" i="123"/>
  <c r="M144" i="123"/>
  <c r="N144" i="123"/>
  <c r="R144" i="123"/>
  <c r="M145" i="123"/>
  <c r="N145" i="123"/>
  <c r="R145" i="123"/>
  <c r="M146" i="123"/>
  <c r="N146" i="123"/>
  <c r="R146" i="123"/>
  <c r="M147" i="123"/>
  <c r="N147" i="123"/>
  <c r="R147" i="123"/>
  <c r="M148" i="123"/>
  <c r="N148" i="123"/>
  <c r="R148" i="123"/>
  <c r="M149" i="123"/>
  <c r="N149" i="123"/>
  <c r="R149" i="123"/>
  <c r="M150" i="123"/>
  <c r="N150" i="123"/>
  <c r="R150" i="123"/>
  <c r="M151" i="123"/>
  <c r="N151" i="123"/>
  <c r="R151" i="123"/>
  <c r="M152" i="123"/>
  <c r="N152" i="123"/>
  <c r="R152" i="123"/>
  <c r="M153" i="123"/>
  <c r="N153" i="123"/>
  <c r="R153" i="123"/>
  <c r="R18" i="123"/>
  <c r="N18" i="123"/>
  <c r="M18" i="123"/>
  <c r="K18" i="123"/>
  <c r="K17" i="123"/>
  <c r="K16" i="123"/>
  <c r="X153" i="123"/>
  <c r="W153" i="123"/>
  <c r="V153" i="123"/>
  <c r="U153" i="123"/>
  <c r="T153" i="123"/>
  <c r="S153" i="123"/>
  <c r="L153" i="123"/>
  <c r="X152" i="123"/>
  <c r="W152" i="123"/>
  <c r="V152" i="123"/>
  <c r="U152" i="123"/>
  <c r="T152" i="123"/>
  <c r="S152" i="123"/>
  <c r="L152" i="123"/>
  <c r="X151" i="123"/>
  <c r="W151" i="123"/>
  <c r="V151" i="123"/>
  <c r="U151" i="123"/>
  <c r="T151" i="123"/>
  <c r="S151" i="123"/>
  <c r="L151" i="123"/>
  <c r="X150" i="123"/>
  <c r="W150" i="123"/>
  <c r="V150" i="123"/>
  <c r="U150" i="123"/>
  <c r="T150" i="123"/>
  <c r="S150" i="123"/>
  <c r="L150" i="123"/>
  <c r="X149" i="123"/>
  <c r="W149" i="123"/>
  <c r="V149" i="123"/>
  <c r="U149" i="123"/>
  <c r="T149" i="123"/>
  <c r="S149" i="123"/>
  <c r="L149" i="123"/>
  <c r="X148" i="123"/>
  <c r="W148" i="123"/>
  <c r="V148" i="123"/>
  <c r="U148" i="123"/>
  <c r="T148" i="123"/>
  <c r="S148" i="123"/>
  <c r="L148" i="123"/>
  <c r="X147" i="123"/>
  <c r="W147" i="123"/>
  <c r="V147" i="123"/>
  <c r="U147" i="123"/>
  <c r="T147" i="123"/>
  <c r="S147" i="123"/>
  <c r="L147" i="123"/>
  <c r="X146" i="123"/>
  <c r="W146" i="123"/>
  <c r="V146" i="123"/>
  <c r="U146" i="123"/>
  <c r="T146" i="123"/>
  <c r="S146" i="123"/>
  <c r="L146" i="123"/>
  <c r="X145" i="123"/>
  <c r="W145" i="123"/>
  <c r="V145" i="123"/>
  <c r="U145" i="123"/>
  <c r="T145" i="123"/>
  <c r="S145" i="123"/>
  <c r="L145" i="123"/>
  <c r="X144" i="123"/>
  <c r="W144" i="123"/>
  <c r="V144" i="123"/>
  <c r="U144" i="123"/>
  <c r="T144" i="123"/>
  <c r="S144" i="123"/>
  <c r="L144" i="123"/>
  <c r="X143" i="123"/>
  <c r="W143" i="123"/>
  <c r="V143" i="123"/>
  <c r="U143" i="123"/>
  <c r="T143" i="123"/>
  <c r="S143" i="123"/>
  <c r="L143" i="123"/>
  <c r="X142" i="123"/>
  <c r="W142" i="123"/>
  <c r="V142" i="123"/>
  <c r="U142" i="123"/>
  <c r="T142" i="123"/>
  <c r="S142" i="123"/>
  <c r="L142" i="123"/>
  <c r="X141" i="123"/>
  <c r="W141" i="123"/>
  <c r="V141" i="123"/>
  <c r="U141" i="123"/>
  <c r="T141" i="123"/>
  <c r="S141" i="123"/>
  <c r="L141" i="123"/>
  <c r="X140" i="123"/>
  <c r="W140" i="123"/>
  <c r="V140" i="123"/>
  <c r="U140" i="123"/>
  <c r="T140" i="123"/>
  <c r="S140" i="123"/>
  <c r="L140" i="123"/>
  <c r="X139" i="123"/>
  <c r="W139" i="123"/>
  <c r="V139" i="123"/>
  <c r="U139" i="123"/>
  <c r="T139" i="123"/>
  <c r="S139" i="123"/>
  <c r="L139" i="123"/>
  <c r="X138" i="123"/>
  <c r="W138" i="123"/>
  <c r="V138" i="123"/>
  <c r="U138" i="123"/>
  <c r="T138" i="123"/>
  <c r="S138" i="123"/>
  <c r="L138" i="123"/>
  <c r="X137" i="123"/>
  <c r="W137" i="123"/>
  <c r="V137" i="123"/>
  <c r="U137" i="123"/>
  <c r="T137" i="123"/>
  <c r="S137" i="123"/>
  <c r="L137" i="123"/>
  <c r="X136" i="123"/>
  <c r="W136" i="123"/>
  <c r="V136" i="123"/>
  <c r="U136" i="123"/>
  <c r="T136" i="123"/>
  <c r="S136" i="123"/>
  <c r="L136" i="123"/>
  <c r="X135" i="123"/>
  <c r="W135" i="123"/>
  <c r="V135" i="123"/>
  <c r="U135" i="123"/>
  <c r="T135" i="123"/>
  <c r="S135" i="123"/>
  <c r="L135" i="123"/>
  <c r="X134" i="123"/>
  <c r="W134" i="123"/>
  <c r="V134" i="123"/>
  <c r="U134" i="123"/>
  <c r="T134" i="123"/>
  <c r="S134" i="123"/>
  <c r="L134" i="123"/>
  <c r="X133" i="123"/>
  <c r="W133" i="123"/>
  <c r="V133" i="123"/>
  <c r="U133" i="123"/>
  <c r="T133" i="123"/>
  <c r="S133" i="123"/>
  <c r="L133" i="123"/>
  <c r="X132" i="123"/>
  <c r="W132" i="123"/>
  <c r="V132" i="123"/>
  <c r="U132" i="123"/>
  <c r="T132" i="123"/>
  <c r="S132" i="123"/>
  <c r="L132" i="123"/>
  <c r="X131" i="123"/>
  <c r="W131" i="123"/>
  <c r="V131" i="123"/>
  <c r="U131" i="123"/>
  <c r="T131" i="123"/>
  <c r="S131" i="123"/>
  <c r="L131" i="123"/>
  <c r="X130" i="123"/>
  <c r="W130" i="123"/>
  <c r="V130" i="123"/>
  <c r="U130" i="123"/>
  <c r="T130" i="123"/>
  <c r="S130" i="123"/>
  <c r="L130" i="123"/>
  <c r="X129" i="123"/>
  <c r="W129" i="123"/>
  <c r="V129" i="123"/>
  <c r="U129" i="123"/>
  <c r="T129" i="123"/>
  <c r="S129" i="123"/>
  <c r="L129" i="123"/>
  <c r="X128" i="123"/>
  <c r="W128" i="123"/>
  <c r="V128" i="123"/>
  <c r="U128" i="123"/>
  <c r="T128" i="123"/>
  <c r="S128" i="123"/>
  <c r="L128" i="123"/>
  <c r="X127" i="123"/>
  <c r="W127" i="123"/>
  <c r="V127" i="123"/>
  <c r="U127" i="123"/>
  <c r="T127" i="123"/>
  <c r="S127" i="123"/>
  <c r="L127" i="123"/>
  <c r="X126" i="123"/>
  <c r="W126" i="123"/>
  <c r="V126" i="123"/>
  <c r="U126" i="123"/>
  <c r="T126" i="123"/>
  <c r="S126" i="123"/>
  <c r="L126" i="123"/>
  <c r="X125" i="123"/>
  <c r="W125" i="123"/>
  <c r="V125" i="123"/>
  <c r="U125" i="123"/>
  <c r="T125" i="123"/>
  <c r="S125" i="123"/>
  <c r="L125" i="123"/>
  <c r="X124" i="123"/>
  <c r="W124" i="123"/>
  <c r="V124" i="123"/>
  <c r="U124" i="123"/>
  <c r="T124" i="123"/>
  <c r="S124" i="123"/>
  <c r="L124" i="123"/>
  <c r="X123" i="123"/>
  <c r="W123" i="123"/>
  <c r="V123" i="123"/>
  <c r="U123" i="123"/>
  <c r="T123" i="123"/>
  <c r="S123" i="123"/>
  <c r="L123" i="123"/>
  <c r="X122" i="123"/>
  <c r="W122" i="123"/>
  <c r="V122" i="123"/>
  <c r="U122" i="123"/>
  <c r="T122" i="123"/>
  <c r="S122" i="123"/>
  <c r="L122" i="123"/>
  <c r="X121" i="123"/>
  <c r="W121" i="123"/>
  <c r="V121" i="123"/>
  <c r="U121" i="123"/>
  <c r="T121" i="123"/>
  <c r="S121" i="123"/>
  <c r="L121" i="123"/>
  <c r="X120" i="123"/>
  <c r="W120" i="123"/>
  <c r="V120" i="123"/>
  <c r="U120" i="123"/>
  <c r="T120" i="123"/>
  <c r="S120" i="123"/>
  <c r="L120" i="123"/>
  <c r="X119" i="123"/>
  <c r="W119" i="123"/>
  <c r="V119" i="123"/>
  <c r="U119" i="123"/>
  <c r="T119" i="123"/>
  <c r="S119" i="123"/>
  <c r="L119" i="123"/>
  <c r="X118" i="123"/>
  <c r="W118" i="123"/>
  <c r="V118" i="123"/>
  <c r="U118" i="123"/>
  <c r="T118" i="123"/>
  <c r="S118" i="123"/>
  <c r="L118" i="123"/>
  <c r="X117" i="123"/>
  <c r="W117" i="123"/>
  <c r="V117" i="123"/>
  <c r="U117" i="123"/>
  <c r="T117" i="123"/>
  <c r="S117" i="123"/>
  <c r="L117" i="123"/>
  <c r="X116" i="123"/>
  <c r="W116" i="123"/>
  <c r="V116" i="123"/>
  <c r="U116" i="123"/>
  <c r="T116" i="123"/>
  <c r="S116" i="123"/>
  <c r="L116" i="123"/>
  <c r="X115" i="123"/>
  <c r="W115" i="123"/>
  <c r="V115" i="123"/>
  <c r="U115" i="123"/>
  <c r="T115" i="123"/>
  <c r="S115" i="123"/>
  <c r="L115" i="123"/>
  <c r="X114" i="123"/>
  <c r="W114" i="123"/>
  <c r="V114" i="123"/>
  <c r="U114" i="123"/>
  <c r="T114" i="123"/>
  <c r="S114" i="123"/>
  <c r="L114" i="123"/>
  <c r="X113" i="123"/>
  <c r="W113" i="123"/>
  <c r="V113" i="123"/>
  <c r="U113" i="123"/>
  <c r="T113" i="123"/>
  <c r="S113" i="123"/>
  <c r="L113" i="123"/>
  <c r="X112" i="123"/>
  <c r="W112" i="123"/>
  <c r="V112" i="123"/>
  <c r="U112" i="123"/>
  <c r="T112" i="123"/>
  <c r="S112" i="123"/>
  <c r="L112" i="123"/>
  <c r="X111" i="123"/>
  <c r="W111" i="123"/>
  <c r="V111" i="123"/>
  <c r="U111" i="123"/>
  <c r="T111" i="123"/>
  <c r="S111" i="123"/>
  <c r="L111" i="123"/>
  <c r="X110" i="123"/>
  <c r="W110" i="123"/>
  <c r="V110" i="123"/>
  <c r="U110" i="123"/>
  <c r="T110" i="123"/>
  <c r="S110" i="123"/>
  <c r="L110" i="123"/>
  <c r="X109" i="123"/>
  <c r="W109" i="123"/>
  <c r="V109" i="123"/>
  <c r="U109" i="123"/>
  <c r="T109" i="123"/>
  <c r="S109" i="123"/>
  <c r="L109" i="123"/>
  <c r="X108" i="123"/>
  <c r="W108" i="123"/>
  <c r="V108" i="123"/>
  <c r="U108" i="123"/>
  <c r="T108" i="123"/>
  <c r="S108" i="123"/>
  <c r="L108" i="123"/>
  <c r="X107" i="123"/>
  <c r="W107" i="123"/>
  <c r="V107" i="123"/>
  <c r="U107" i="123"/>
  <c r="T107" i="123"/>
  <c r="S107" i="123"/>
  <c r="L107" i="123"/>
  <c r="X106" i="123"/>
  <c r="W106" i="123"/>
  <c r="V106" i="123"/>
  <c r="U106" i="123"/>
  <c r="T106" i="123"/>
  <c r="S106" i="123"/>
  <c r="L106" i="123"/>
  <c r="X105" i="123"/>
  <c r="W105" i="123"/>
  <c r="V105" i="123"/>
  <c r="U105" i="123"/>
  <c r="T105" i="123"/>
  <c r="S105" i="123"/>
  <c r="L105" i="123"/>
  <c r="X104" i="123"/>
  <c r="W104" i="123"/>
  <c r="V104" i="123"/>
  <c r="U104" i="123"/>
  <c r="T104" i="123"/>
  <c r="S104" i="123"/>
  <c r="L104" i="123"/>
  <c r="X103" i="123"/>
  <c r="W103" i="123"/>
  <c r="V103" i="123"/>
  <c r="U103" i="123"/>
  <c r="T103" i="123"/>
  <c r="S103" i="123"/>
  <c r="L103" i="123"/>
  <c r="X102" i="123"/>
  <c r="W102" i="123"/>
  <c r="V102" i="123"/>
  <c r="U102" i="123"/>
  <c r="T102" i="123"/>
  <c r="S102" i="123"/>
  <c r="L102" i="123"/>
  <c r="X101" i="123"/>
  <c r="W101" i="123"/>
  <c r="V101" i="123"/>
  <c r="U101" i="123"/>
  <c r="T101" i="123"/>
  <c r="S101" i="123"/>
  <c r="L101" i="123"/>
  <c r="X100" i="123"/>
  <c r="W100" i="123"/>
  <c r="V100" i="123"/>
  <c r="U100" i="123"/>
  <c r="T100" i="123"/>
  <c r="S100" i="123"/>
  <c r="L100" i="123"/>
  <c r="X99" i="123"/>
  <c r="W99" i="123"/>
  <c r="V99" i="123"/>
  <c r="U99" i="123"/>
  <c r="T99" i="123"/>
  <c r="S99" i="123"/>
  <c r="L99" i="123"/>
  <c r="X98" i="123"/>
  <c r="W98" i="123"/>
  <c r="V98" i="123"/>
  <c r="U98" i="123"/>
  <c r="T98" i="123"/>
  <c r="S98" i="123"/>
  <c r="L98" i="123"/>
  <c r="X97" i="123"/>
  <c r="W97" i="123"/>
  <c r="V97" i="123"/>
  <c r="U97" i="123"/>
  <c r="T97" i="123"/>
  <c r="S97" i="123"/>
  <c r="L97" i="123"/>
  <c r="X96" i="123"/>
  <c r="W96" i="123"/>
  <c r="V96" i="123"/>
  <c r="U96" i="123"/>
  <c r="T96" i="123"/>
  <c r="S96" i="123"/>
  <c r="L96" i="123"/>
  <c r="X95" i="123"/>
  <c r="W95" i="123"/>
  <c r="V95" i="123"/>
  <c r="U95" i="123"/>
  <c r="T95" i="123"/>
  <c r="S95" i="123"/>
  <c r="L95" i="123"/>
  <c r="X94" i="123"/>
  <c r="W94" i="123"/>
  <c r="V94" i="123"/>
  <c r="U94" i="123"/>
  <c r="T94" i="123"/>
  <c r="S94" i="123"/>
  <c r="L94" i="123"/>
  <c r="X93" i="123"/>
  <c r="W93" i="123"/>
  <c r="V93" i="123"/>
  <c r="U93" i="123"/>
  <c r="T93" i="123"/>
  <c r="S93" i="123"/>
  <c r="L93" i="123"/>
  <c r="X92" i="123"/>
  <c r="W92" i="123"/>
  <c r="V92" i="123"/>
  <c r="U92" i="123"/>
  <c r="T92" i="123"/>
  <c r="S92" i="123"/>
  <c r="L92" i="123"/>
  <c r="X91" i="123"/>
  <c r="W91" i="123"/>
  <c r="V91" i="123"/>
  <c r="U91" i="123"/>
  <c r="T91" i="123"/>
  <c r="S91" i="123"/>
  <c r="L91" i="123"/>
  <c r="X90" i="123"/>
  <c r="W90" i="123"/>
  <c r="V90" i="123"/>
  <c r="U90" i="123"/>
  <c r="T90" i="123"/>
  <c r="S90" i="123"/>
  <c r="L90" i="123"/>
  <c r="X89" i="123"/>
  <c r="W89" i="123"/>
  <c r="V89" i="123"/>
  <c r="U89" i="123"/>
  <c r="T89" i="123"/>
  <c r="S89" i="123"/>
  <c r="L89" i="123"/>
  <c r="X88" i="123"/>
  <c r="W88" i="123"/>
  <c r="V88" i="123"/>
  <c r="U88" i="123"/>
  <c r="T88" i="123"/>
  <c r="S88" i="123"/>
  <c r="L88" i="123"/>
  <c r="X87" i="123"/>
  <c r="W87" i="123"/>
  <c r="V87" i="123"/>
  <c r="U87" i="123"/>
  <c r="T87" i="123"/>
  <c r="S87" i="123"/>
  <c r="L87" i="123"/>
  <c r="X86" i="123"/>
  <c r="W86" i="123"/>
  <c r="V86" i="123"/>
  <c r="U86" i="123"/>
  <c r="T86" i="123"/>
  <c r="S86" i="123"/>
  <c r="L86" i="123"/>
  <c r="X85" i="123"/>
  <c r="W85" i="123"/>
  <c r="V85" i="123"/>
  <c r="U85" i="123"/>
  <c r="T85" i="123"/>
  <c r="S85" i="123"/>
  <c r="L85" i="123"/>
  <c r="X84" i="123"/>
  <c r="W84" i="123"/>
  <c r="V84" i="123"/>
  <c r="U84" i="123"/>
  <c r="T84" i="123"/>
  <c r="S84" i="123"/>
  <c r="L84" i="123"/>
  <c r="X83" i="123"/>
  <c r="W83" i="123"/>
  <c r="V83" i="123"/>
  <c r="U83" i="123"/>
  <c r="T83" i="123"/>
  <c r="S83" i="123"/>
  <c r="L83" i="123"/>
  <c r="X82" i="123"/>
  <c r="W82" i="123"/>
  <c r="V82" i="123"/>
  <c r="U82" i="123"/>
  <c r="T82" i="123"/>
  <c r="S82" i="123"/>
  <c r="L82" i="123"/>
  <c r="X81" i="123"/>
  <c r="W81" i="123"/>
  <c r="V81" i="123"/>
  <c r="U81" i="123"/>
  <c r="T81" i="123"/>
  <c r="S81" i="123"/>
  <c r="L81" i="123"/>
  <c r="X80" i="123"/>
  <c r="W80" i="123"/>
  <c r="V80" i="123"/>
  <c r="U80" i="123"/>
  <c r="T80" i="123"/>
  <c r="S80" i="123"/>
  <c r="L80" i="123"/>
  <c r="X79" i="123"/>
  <c r="W79" i="123"/>
  <c r="V79" i="123"/>
  <c r="U79" i="123"/>
  <c r="T79" i="123"/>
  <c r="S79" i="123"/>
  <c r="L79" i="123"/>
  <c r="X78" i="123"/>
  <c r="W78" i="123"/>
  <c r="V78" i="123"/>
  <c r="U78" i="123"/>
  <c r="T78" i="123"/>
  <c r="S78" i="123"/>
  <c r="L78" i="123"/>
  <c r="X77" i="123"/>
  <c r="W77" i="123"/>
  <c r="V77" i="123"/>
  <c r="U77" i="123"/>
  <c r="T77" i="123"/>
  <c r="S77" i="123"/>
  <c r="L77" i="123"/>
  <c r="X76" i="123"/>
  <c r="W76" i="123"/>
  <c r="V76" i="123"/>
  <c r="U76" i="123"/>
  <c r="T76" i="123"/>
  <c r="S76" i="123"/>
  <c r="L76" i="123"/>
  <c r="X75" i="123"/>
  <c r="W75" i="123"/>
  <c r="V75" i="123"/>
  <c r="U75" i="123"/>
  <c r="T75" i="123"/>
  <c r="S75" i="123"/>
  <c r="L75" i="123"/>
  <c r="X74" i="123"/>
  <c r="W74" i="123"/>
  <c r="V74" i="123"/>
  <c r="U74" i="123"/>
  <c r="T74" i="123"/>
  <c r="S74" i="123"/>
  <c r="L74" i="123"/>
  <c r="X73" i="123"/>
  <c r="W73" i="123"/>
  <c r="V73" i="123"/>
  <c r="U73" i="123"/>
  <c r="T73" i="123"/>
  <c r="S73" i="123"/>
  <c r="L73" i="123"/>
  <c r="X72" i="123"/>
  <c r="W72" i="123"/>
  <c r="V72" i="123"/>
  <c r="U72" i="123"/>
  <c r="T72" i="123"/>
  <c r="S72" i="123"/>
  <c r="L72" i="123"/>
  <c r="X71" i="123"/>
  <c r="W71" i="123"/>
  <c r="V71" i="123"/>
  <c r="U71" i="123"/>
  <c r="T71" i="123"/>
  <c r="S71" i="123"/>
  <c r="L71" i="123"/>
  <c r="X70" i="123"/>
  <c r="W70" i="123"/>
  <c r="V70" i="123"/>
  <c r="U70" i="123"/>
  <c r="T70" i="123"/>
  <c r="S70" i="123"/>
  <c r="L70" i="123"/>
  <c r="X69" i="123"/>
  <c r="W69" i="123"/>
  <c r="V69" i="123"/>
  <c r="U69" i="123"/>
  <c r="T69" i="123"/>
  <c r="S69" i="123"/>
  <c r="L69" i="123"/>
  <c r="X68" i="123"/>
  <c r="W68" i="123"/>
  <c r="V68" i="123"/>
  <c r="U68" i="123"/>
  <c r="T68" i="123"/>
  <c r="S68" i="123"/>
  <c r="L68" i="123"/>
  <c r="X67" i="123"/>
  <c r="W67" i="123"/>
  <c r="V67" i="123"/>
  <c r="U67" i="123"/>
  <c r="T67" i="123"/>
  <c r="S67" i="123"/>
  <c r="L67" i="123"/>
  <c r="X66" i="123"/>
  <c r="W66" i="123"/>
  <c r="V66" i="123"/>
  <c r="U66" i="123"/>
  <c r="T66" i="123"/>
  <c r="S66" i="123"/>
  <c r="L66" i="123"/>
  <c r="X65" i="123"/>
  <c r="W65" i="123"/>
  <c r="V65" i="123"/>
  <c r="U65" i="123"/>
  <c r="T65" i="123"/>
  <c r="S65" i="123"/>
  <c r="L65" i="123"/>
  <c r="X64" i="123"/>
  <c r="W64" i="123"/>
  <c r="V64" i="123"/>
  <c r="U64" i="123"/>
  <c r="T64" i="123"/>
  <c r="S64" i="123"/>
  <c r="L64" i="123"/>
  <c r="X63" i="123"/>
  <c r="W63" i="123"/>
  <c r="V63" i="123"/>
  <c r="U63" i="123"/>
  <c r="T63" i="123"/>
  <c r="S63" i="123"/>
  <c r="L63" i="123"/>
  <c r="X62" i="123"/>
  <c r="W62" i="123"/>
  <c r="V62" i="123"/>
  <c r="U62" i="123"/>
  <c r="T62" i="123"/>
  <c r="S62" i="123"/>
  <c r="L62" i="123"/>
  <c r="X61" i="123"/>
  <c r="W61" i="123"/>
  <c r="V61" i="123"/>
  <c r="U61" i="123"/>
  <c r="T61" i="123"/>
  <c r="S61" i="123"/>
  <c r="L61" i="123"/>
  <c r="X60" i="123"/>
  <c r="W60" i="123"/>
  <c r="V60" i="123"/>
  <c r="U60" i="123"/>
  <c r="T60" i="123"/>
  <c r="S60" i="123"/>
  <c r="L60" i="123"/>
  <c r="X59" i="123"/>
  <c r="W59" i="123"/>
  <c r="V59" i="123"/>
  <c r="U59" i="123"/>
  <c r="T59" i="123"/>
  <c r="S59" i="123"/>
  <c r="L59" i="123"/>
  <c r="X58" i="123"/>
  <c r="W58" i="123"/>
  <c r="V58" i="123"/>
  <c r="U58" i="123"/>
  <c r="T58" i="123"/>
  <c r="S58" i="123"/>
  <c r="L58" i="123"/>
  <c r="X57" i="123"/>
  <c r="W57" i="123"/>
  <c r="V57" i="123"/>
  <c r="U57" i="123"/>
  <c r="T57" i="123"/>
  <c r="S57" i="123"/>
  <c r="L57" i="123"/>
  <c r="X56" i="123"/>
  <c r="W56" i="123"/>
  <c r="V56" i="123"/>
  <c r="U56" i="123"/>
  <c r="T56" i="123"/>
  <c r="S56" i="123"/>
  <c r="L56" i="123"/>
  <c r="X55" i="123"/>
  <c r="W55" i="123"/>
  <c r="V55" i="123"/>
  <c r="U55" i="123"/>
  <c r="T55" i="123"/>
  <c r="S55" i="123"/>
  <c r="L55" i="123"/>
  <c r="X54" i="123"/>
  <c r="W54" i="123"/>
  <c r="V54" i="123"/>
  <c r="U54" i="123"/>
  <c r="T54" i="123"/>
  <c r="S54" i="123"/>
  <c r="L54" i="123"/>
  <c r="X53" i="123"/>
  <c r="W53" i="123"/>
  <c r="V53" i="123"/>
  <c r="U53" i="123"/>
  <c r="T53" i="123"/>
  <c r="S53" i="123"/>
  <c r="L53" i="123"/>
  <c r="X52" i="123"/>
  <c r="W52" i="123"/>
  <c r="V52" i="123"/>
  <c r="U52" i="123"/>
  <c r="T52" i="123"/>
  <c r="S52" i="123"/>
  <c r="L52" i="123"/>
  <c r="X51" i="123"/>
  <c r="W51" i="123"/>
  <c r="V51" i="123"/>
  <c r="U51" i="123"/>
  <c r="T51" i="123"/>
  <c r="S51" i="123"/>
  <c r="L51" i="123"/>
  <c r="X50" i="123"/>
  <c r="W50" i="123"/>
  <c r="V50" i="123"/>
  <c r="U50" i="123"/>
  <c r="T50" i="123"/>
  <c r="S50" i="123"/>
  <c r="L50" i="123"/>
  <c r="X49" i="123"/>
  <c r="W49" i="123"/>
  <c r="V49" i="123"/>
  <c r="U49" i="123"/>
  <c r="T49" i="123"/>
  <c r="S49" i="123"/>
  <c r="L49" i="123"/>
  <c r="X48" i="123"/>
  <c r="W48" i="123"/>
  <c r="V48" i="123"/>
  <c r="U48" i="123"/>
  <c r="T48" i="123"/>
  <c r="S48" i="123"/>
  <c r="L48" i="123"/>
  <c r="X47" i="123"/>
  <c r="W47" i="123"/>
  <c r="V47" i="123"/>
  <c r="U47" i="123"/>
  <c r="T47" i="123"/>
  <c r="S47" i="123"/>
  <c r="L47" i="123"/>
  <c r="X46" i="123"/>
  <c r="W46" i="123"/>
  <c r="V46" i="123"/>
  <c r="U46" i="123"/>
  <c r="T46" i="123"/>
  <c r="S46" i="123"/>
  <c r="L46" i="123"/>
  <c r="X45" i="123"/>
  <c r="W45" i="123"/>
  <c r="V45" i="123"/>
  <c r="U45" i="123"/>
  <c r="T45" i="123"/>
  <c r="S45" i="123"/>
  <c r="L45" i="123"/>
  <c r="X44" i="123"/>
  <c r="W44" i="123"/>
  <c r="V44" i="123"/>
  <c r="U44" i="123"/>
  <c r="T44" i="123"/>
  <c r="S44" i="123"/>
  <c r="L44" i="123"/>
  <c r="X43" i="123"/>
  <c r="W43" i="123"/>
  <c r="V43" i="123"/>
  <c r="U43" i="123"/>
  <c r="T43" i="123"/>
  <c r="S43" i="123"/>
  <c r="L43" i="123"/>
  <c r="X42" i="123"/>
  <c r="W42" i="123"/>
  <c r="V42" i="123"/>
  <c r="U42" i="123"/>
  <c r="T42" i="123"/>
  <c r="S42" i="123"/>
  <c r="L42" i="123"/>
  <c r="X41" i="123"/>
  <c r="W41" i="123"/>
  <c r="V41" i="123"/>
  <c r="U41" i="123"/>
  <c r="T41" i="123"/>
  <c r="S41" i="123"/>
  <c r="L41" i="123"/>
  <c r="X40" i="123"/>
  <c r="W40" i="123"/>
  <c r="V40" i="123"/>
  <c r="U40" i="123"/>
  <c r="T40" i="123"/>
  <c r="S40" i="123"/>
  <c r="L40" i="123"/>
  <c r="X39" i="123"/>
  <c r="W39" i="123"/>
  <c r="V39" i="123"/>
  <c r="U39" i="123"/>
  <c r="T39" i="123"/>
  <c r="S39" i="123"/>
  <c r="L39" i="123"/>
  <c r="X38" i="123"/>
  <c r="W38" i="123"/>
  <c r="V38" i="123"/>
  <c r="U38" i="123"/>
  <c r="T38" i="123"/>
  <c r="S38" i="123"/>
  <c r="L38" i="123"/>
  <c r="X37" i="123"/>
  <c r="W37" i="123"/>
  <c r="V37" i="123"/>
  <c r="U37" i="123"/>
  <c r="T37" i="123"/>
  <c r="S37" i="123"/>
  <c r="L37" i="123"/>
  <c r="X36" i="123"/>
  <c r="W36" i="123"/>
  <c r="V36" i="123"/>
  <c r="U36" i="123"/>
  <c r="T36" i="123"/>
  <c r="S36" i="123"/>
  <c r="L36" i="123"/>
  <c r="X35" i="123"/>
  <c r="W35" i="123"/>
  <c r="V35" i="123"/>
  <c r="U35" i="123"/>
  <c r="T35" i="123"/>
  <c r="S35" i="123"/>
  <c r="L35" i="123"/>
  <c r="U34" i="123"/>
  <c r="T34" i="123"/>
  <c r="S34" i="123"/>
  <c r="L34" i="123"/>
  <c r="X33" i="123"/>
  <c r="W33" i="123"/>
  <c r="V33" i="123"/>
  <c r="U33" i="123"/>
  <c r="T33" i="123"/>
  <c r="S33" i="123"/>
  <c r="L33" i="123"/>
  <c r="X32" i="123"/>
  <c r="W32" i="123"/>
  <c r="V32" i="123"/>
  <c r="U32" i="123"/>
  <c r="T32" i="123"/>
  <c r="S32" i="123"/>
  <c r="L32" i="123"/>
  <c r="X31" i="123"/>
  <c r="W31" i="123"/>
  <c r="V31" i="123"/>
  <c r="U31" i="123"/>
  <c r="T31" i="123"/>
  <c r="S31" i="123"/>
  <c r="L31" i="123"/>
  <c r="X30" i="123"/>
  <c r="W30" i="123"/>
  <c r="V30" i="123"/>
  <c r="U30" i="123"/>
  <c r="T30" i="123"/>
  <c r="S30" i="123"/>
  <c r="L30" i="123"/>
  <c r="X29" i="123"/>
  <c r="W29" i="123"/>
  <c r="V29" i="123"/>
  <c r="U29" i="123"/>
  <c r="T29" i="123"/>
  <c r="S29" i="123"/>
  <c r="L29" i="123"/>
  <c r="X28" i="123"/>
  <c r="W28" i="123"/>
  <c r="V28" i="123"/>
  <c r="U28" i="123"/>
  <c r="T28" i="123"/>
  <c r="S28" i="123"/>
  <c r="L28" i="123"/>
  <c r="X27" i="123"/>
  <c r="W27" i="123"/>
  <c r="V27" i="123"/>
  <c r="U27" i="123"/>
  <c r="T27" i="123"/>
  <c r="S27" i="123"/>
  <c r="L27" i="123"/>
  <c r="X26" i="123"/>
  <c r="W26" i="123"/>
  <c r="V26" i="123"/>
  <c r="U26" i="123"/>
  <c r="T26" i="123"/>
  <c r="S26" i="123"/>
  <c r="L26" i="123"/>
  <c r="X25" i="123"/>
  <c r="W25" i="123"/>
  <c r="V25" i="123"/>
  <c r="U25" i="123"/>
  <c r="T25" i="123"/>
  <c r="S25" i="123"/>
  <c r="L25" i="123"/>
  <c r="X24" i="123"/>
  <c r="W24" i="123"/>
  <c r="V24" i="123"/>
  <c r="U24" i="123"/>
  <c r="T24" i="123"/>
  <c r="S24" i="123"/>
  <c r="L24" i="123"/>
  <c r="X23" i="123"/>
  <c r="W23" i="123"/>
  <c r="V23" i="123"/>
  <c r="U23" i="123"/>
  <c r="T23" i="123"/>
  <c r="S23" i="123"/>
  <c r="L23" i="123"/>
  <c r="X22" i="123"/>
  <c r="W22" i="123"/>
  <c r="V22" i="123"/>
  <c r="U22" i="123"/>
  <c r="T22" i="123"/>
  <c r="S22" i="123"/>
  <c r="L22" i="123"/>
  <c r="X21" i="123"/>
  <c r="W21" i="123"/>
  <c r="V21" i="123"/>
  <c r="U21" i="123"/>
  <c r="T21" i="123"/>
  <c r="S21" i="123"/>
  <c r="L21" i="123"/>
  <c r="X20" i="123"/>
  <c r="W20" i="123"/>
  <c r="V20" i="123"/>
  <c r="U20" i="123"/>
  <c r="T20" i="123"/>
  <c r="S20" i="123"/>
  <c r="L20" i="123"/>
  <c r="X19" i="123"/>
  <c r="W19" i="123"/>
  <c r="V19" i="123"/>
  <c r="U19" i="123"/>
  <c r="T19" i="123"/>
  <c r="S19" i="123"/>
  <c r="L19" i="123"/>
  <c r="X18" i="123"/>
  <c r="W18" i="123"/>
  <c r="V18" i="123"/>
  <c r="S18" i="123"/>
  <c r="Q18" i="123"/>
  <c r="P18" i="123"/>
  <c r="O18" i="123"/>
  <c r="L18" i="123"/>
  <c r="X17" i="123"/>
  <c r="W17" i="123"/>
  <c r="V17" i="123"/>
  <c r="S17" i="123"/>
  <c r="R17" i="123"/>
  <c r="Q17" i="123"/>
  <c r="P17" i="123"/>
  <c r="O17" i="123"/>
  <c r="N17" i="123"/>
  <c r="M17" i="123"/>
  <c r="L17" i="123"/>
  <c r="R16" i="123"/>
  <c r="N16" i="123"/>
  <c r="M16" i="123"/>
  <c r="L16" i="123"/>
  <c r="W7" i="123"/>
  <c r="Y2" i="123"/>
  <c r="O35" i="123" l="1"/>
  <c r="O39" i="123"/>
  <c r="O38" i="123"/>
  <c r="O40" i="123"/>
  <c r="O34" i="123"/>
  <c r="O37" i="123"/>
  <c r="O36" i="123"/>
  <c r="K20" i="122"/>
  <c r="K24" i="120"/>
  <c r="W7" i="122"/>
  <c r="X153" i="122"/>
  <c r="W153" i="122"/>
  <c r="V153" i="122"/>
  <c r="U153" i="122"/>
  <c r="T153" i="122"/>
  <c r="S153" i="122"/>
  <c r="R153" i="122"/>
  <c r="Q153" i="122"/>
  <c r="P153" i="122"/>
  <c r="O153" i="122"/>
  <c r="N153" i="122"/>
  <c r="M153" i="122"/>
  <c r="L153" i="122"/>
  <c r="X152" i="122"/>
  <c r="W152" i="122"/>
  <c r="V152" i="122"/>
  <c r="U152" i="122"/>
  <c r="T152" i="122"/>
  <c r="S152" i="122"/>
  <c r="R152" i="122"/>
  <c r="Q152" i="122"/>
  <c r="P152" i="122"/>
  <c r="O152" i="122"/>
  <c r="N152" i="122"/>
  <c r="M152" i="122"/>
  <c r="L152" i="122"/>
  <c r="X151" i="122"/>
  <c r="W151" i="122"/>
  <c r="V151" i="122"/>
  <c r="U151" i="122"/>
  <c r="T151" i="122"/>
  <c r="S151" i="122"/>
  <c r="R151" i="122"/>
  <c r="Q151" i="122"/>
  <c r="P151" i="122"/>
  <c r="O151" i="122"/>
  <c r="N151" i="122"/>
  <c r="M151" i="122"/>
  <c r="L151" i="122"/>
  <c r="X150" i="122"/>
  <c r="W150" i="122"/>
  <c r="V150" i="122"/>
  <c r="U150" i="122"/>
  <c r="T150" i="122"/>
  <c r="S150" i="122"/>
  <c r="R150" i="122"/>
  <c r="Q150" i="122"/>
  <c r="P150" i="122"/>
  <c r="O150" i="122"/>
  <c r="N150" i="122"/>
  <c r="M150" i="122"/>
  <c r="L150" i="122"/>
  <c r="X149" i="122"/>
  <c r="W149" i="122"/>
  <c r="V149" i="122"/>
  <c r="U149" i="122"/>
  <c r="T149" i="122"/>
  <c r="S149" i="122"/>
  <c r="R149" i="122"/>
  <c r="Q149" i="122"/>
  <c r="P149" i="122"/>
  <c r="O149" i="122"/>
  <c r="N149" i="122"/>
  <c r="M149" i="122"/>
  <c r="L149" i="122"/>
  <c r="X148" i="122"/>
  <c r="W148" i="122"/>
  <c r="V148" i="122"/>
  <c r="U148" i="122"/>
  <c r="T148" i="122"/>
  <c r="S148" i="122"/>
  <c r="R148" i="122"/>
  <c r="Q148" i="122"/>
  <c r="P148" i="122"/>
  <c r="O148" i="122"/>
  <c r="N148" i="122"/>
  <c r="M148" i="122"/>
  <c r="L148" i="122"/>
  <c r="X147" i="122"/>
  <c r="W147" i="122"/>
  <c r="V147" i="122"/>
  <c r="U147" i="122"/>
  <c r="T147" i="122"/>
  <c r="S147" i="122"/>
  <c r="R147" i="122"/>
  <c r="Q147" i="122"/>
  <c r="P147" i="122"/>
  <c r="O147" i="122"/>
  <c r="N147" i="122"/>
  <c r="M147" i="122"/>
  <c r="L147" i="122"/>
  <c r="X146" i="122"/>
  <c r="W146" i="122"/>
  <c r="V146" i="122"/>
  <c r="U146" i="122"/>
  <c r="T146" i="122"/>
  <c r="S146" i="122"/>
  <c r="R146" i="122"/>
  <c r="Q146" i="122"/>
  <c r="P146" i="122"/>
  <c r="O146" i="122"/>
  <c r="N146" i="122"/>
  <c r="M146" i="122"/>
  <c r="L146" i="122"/>
  <c r="X145" i="122"/>
  <c r="W145" i="122"/>
  <c r="V145" i="122"/>
  <c r="U145" i="122"/>
  <c r="T145" i="122"/>
  <c r="S145" i="122"/>
  <c r="R145" i="122"/>
  <c r="Q145" i="122"/>
  <c r="P145" i="122"/>
  <c r="O145" i="122"/>
  <c r="N145" i="122"/>
  <c r="M145" i="122"/>
  <c r="L145" i="122"/>
  <c r="X144" i="122"/>
  <c r="W144" i="122"/>
  <c r="V144" i="122"/>
  <c r="U144" i="122"/>
  <c r="T144" i="122"/>
  <c r="S144" i="122"/>
  <c r="R144" i="122"/>
  <c r="Q144" i="122"/>
  <c r="P144" i="122"/>
  <c r="O144" i="122"/>
  <c r="N144" i="122"/>
  <c r="M144" i="122"/>
  <c r="L144" i="122"/>
  <c r="X143" i="122"/>
  <c r="W143" i="122"/>
  <c r="V143" i="122"/>
  <c r="U143" i="122"/>
  <c r="T143" i="122"/>
  <c r="S143" i="122"/>
  <c r="R143" i="122"/>
  <c r="Q143" i="122"/>
  <c r="P143" i="122"/>
  <c r="O143" i="122"/>
  <c r="N143" i="122"/>
  <c r="M143" i="122"/>
  <c r="L143" i="122"/>
  <c r="X142" i="122"/>
  <c r="W142" i="122"/>
  <c r="V142" i="122"/>
  <c r="U142" i="122"/>
  <c r="T142" i="122"/>
  <c r="S142" i="122"/>
  <c r="R142" i="122"/>
  <c r="Q142" i="122"/>
  <c r="P142" i="122"/>
  <c r="O142" i="122"/>
  <c r="N142" i="122"/>
  <c r="M142" i="122"/>
  <c r="L142" i="122"/>
  <c r="X141" i="122"/>
  <c r="W141" i="122"/>
  <c r="V141" i="122"/>
  <c r="U141" i="122"/>
  <c r="T141" i="122"/>
  <c r="S141" i="122"/>
  <c r="R141" i="122"/>
  <c r="Q141" i="122"/>
  <c r="P141" i="122"/>
  <c r="O141" i="122"/>
  <c r="N141" i="122"/>
  <c r="M141" i="122"/>
  <c r="L141" i="122"/>
  <c r="X140" i="122"/>
  <c r="W140" i="122"/>
  <c r="V140" i="122"/>
  <c r="U140" i="122"/>
  <c r="T140" i="122"/>
  <c r="S140" i="122"/>
  <c r="R140" i="122"/>
  <c r="Q140" i="122"/>
  <c r="P140" i="122"/>
  <c r="O140" i="122"/>
  <c r="N140" i="122"/>
  <c r="M140" i="122"/>
  <c r="L140" i="122"/>
  <c r="X139" i="122"/>
  <c r="W139" i="122"/>
  <c r="V139" i="122"/>
  <c r="U139" i="122"/>
  <c r="T139" i="122"/>
  <c r="S139" i="122"/>
  <c r="R139" i="122"/>
  <c r="Q139" i="122"/>
  <c r="P139" i="122"/>
  <c r="O139" i="122"/>
  <c r="N139" i="122"/>
  <c r="M139" i="122"/>
  <c r="L139" i="122"/>
  <c r="X138" i="122"/>
  <c r="W138" i="122"/>
  <c r="V138" i="122"/>
  <c r="U138" i="122"/>
  <c r="T138" i="122"/>
  <c r="S138" i="122"/>
  <c r="R138" i="122"/>
  <c r="Q138" i="122"/>
  <c r="P138" i="122"/>
  <c r="O138" i="122"/>
  <c r="N138" i="122"/>
  <c r="M138" i="122"/>
  <c r="L138" i="122"/>
  <c r="X137" i="122"/>
  <c r="W137" i="122"/>
  <c r="V137" i="122"/>
  <c r="U137" i="122"/>
  <c r="T137" i="122"/>
  <c r="S137" i="122"/>
  <c r="R137" i="122"/>
  <c r="Q137" i="122"/>
  <c r="P137" i="122"/>
  <c r="O137" i="122"/>
  <c r="N137" i="122"/>
  <c r="M137" i="122"/>
  <c r="L137" i="122"/>
  <c r="X136" i="122"/>
  <c r="W136" i="122"/>
  <c r="V136" i="122"/>
  <c r="U136" i="122"/>
  <c r="T136" i="122"/>
  <c r="S136" i="122"/>
  <c r="R136" i="122"/>
  <c r="Q136" i="122"/>
  <c r="P136" i="122"/>
  <c r="O136" i="122"/>
  <c r="N136" i="122"/>
  <c r="M136" i="122"/>
  <c r="L136" i="122"/>
  <c r="X135" i="122"/>
  <c r="W135" i="122"/>
  <c r="V135" i="122"/>
  <c r="U135" i="122"/>
  <c r="T135" i="122"/>
  <c r="S135" i="122"/>
  <c r="R135" i="122"/>
  <c r="Q135" i="122"/>
  <c r="P135" i="122"/>
  <c r="O135" i="122"/>
  <c r="N135" i="122"/>
  <c r="M135" i="122"/>
  <c r="L135" i="122"/>
  <c r="X134" i="122"/>
  <c r="W134" i="122"/>
  <c r="V134" i="122"/>
  <c r="U134" i="122"/>
  <c r="T134" i="122"/>
  <c r="S134" i="122"/>
  <c r="R134" i="122"/>
  <c r="Q134" i="122"/>
  <c r="P134" i="122"/>
  <c r="O134" i="122"/>
  <c r="N134" i="122"/>
  <c r="M134" i="122"/>
  <c r="L134" i="122"/>
  <c r="X133" i="122"/>
  <c r="W133" i="122"/>
  <c r="V133" i="122"/>
  <c r="U133" i="122"/>
  <c r="T133" i="122"/>
  <c r="S133" i="122"/>
  <c r="R133" i="122"/>
  <c r="Q133" i="122"/>
  <c r="P133" i="122"/>
  <c r="O133" i="122"/>
  <c r="N133" i="122"/>
  <c r="M133" i="122"/>
  <c r="L133" i="122"/>
  <c r="X132" i="122"/>
  <c r="W132" i="122"/>
  <c r="V132" i="122"/>
  <c r="U132" i="122"/>
  <c r="T132" i="122"/>
  <c r="S132" i="122"/>
  <c r="R132" i="122"/>
  <c r="Q132" i="122"/>
  <c r="P132" i="122"/>
  <c r="O132" i="122"/>
  <c r="N132" i="122"/>
  <c r="M132" i="122"/>
  <c r="L132" i="122"/>
  <c r="X131" i="122"/>
  <c r="W131" i="122"/>
  <c r="V131" i="122"/>
  <c r="U131" i="122"/>
  <c r="T131" i="122"/>
  <c r="S131" i="122"/>
  <c r="R131" i="122"/>
  <c r="Q131" i="122"/>
  <c r="P131" i="122"/>
  <c r="O131" i="122"/>
  <c r="N131" i="122"/>
  <c r="M131" i="122"/>
  <c r="L131" i="122"/>
  <c r="X130" i="122"/>
  <c r="W130" i="122"/>
  <c r="V130" i="122"/>
  <c r="U130" i="122"/>
  <c r="T130" i="122"/>
  <c r="S130" i="122"/>
  <c r="R130" i="122"/>
  <c r="Q130" i="122"/>
  <c r="P130" i="122"/>
  <c r="O130" i="122"/>
  <c r="N130" i="122"/>
  <c r="M130" i="122"/>
  <c r="L130" i="122"/>
  <c r="X129" i="122"/>
  <c r="W129" i="122"/>
  <c r="V129" i="122"/>
  <c r="U129" i="122"/>
  <c r="T129" i="122"/>
  <c r="S129" i="122"/>
  <c r="R129" i="122"/>
  <c r="Q129" i="122"/>
  <c r="P129" i="122"/>
  <c r="O129" i="122"/>
  <c r="N129" i="122"/>
  <c r="M129" i="122"/>
  <c r="L129" i="122"/>
  <c r="X128" i="122"/>
  <c r="W128" i="122"/>
  <c r="V128" i="122"/>
  <c r="U128" i="122"/>
  <c r="T128" i="122"/>
  <c r="S128" i="122"/>
  <c r="R128" i="122"/>
  <c r="Q128" i="122"/>
  <c r="P128" i="122"/>
  <c r="O128" i="122"/>
  <c r="N128" i="122"/>
  <c r="M128" i="122"/>
  <c r="L128" i="122"/>
  <c r="X127" i="122"/>
  <c r="W127" i="122"/>
  <c r="V127" i="122"/>
  <c r="U127" i="122"/>
  <c r="T127" i="122"/>
  <c r="S127" i="122"/>
  <c r="R127" i="122"/>
  <c r="Q127" i="122"/>
  <c r="P127" i="122"/>
  <c r="O127" i="122"/>
  <c r="N127" i="122"/>
  <c r="M127" i="122"/>
  <c r="L127" i="122"/>
  <c r="X126" i="122"/>
  <c r="W126" i="122"/>
  <c r="V126" i="122"/>
  <c r="U126" i="122"/>
  <c r="T126" i="122"/>
  <c r="S126" i="122"/>
  <c r="R126" i="122"/>
  <c r="Q126" i="122"/>
  <c r="P126" i="122"/>
  <c r="O126" i="122"/>
  <c r="N126" i="122"/>
  <c r="M126" i="122"/>
  <c r="L126" i="122"/>
  <c r="X125" i="122"/>
  <c r="W125" i="122"/>
  <c r="V125" i="122"/>
  <c r="U125" i="122"/>
  <c r="T125" i="122"/>
  <c r="S125" i="122"/>
  <c r="R125" i="122"/>
  <c r="Q125" i="122"/>
  <c r="P125" i="122"/>
  <c r="O125" i="122"/>
  <c r="N125" i="122"/>
  <c r="M125" i="122"/>
  <c r="L125" i="122"/>
  <c r="X124" i="122"/>
  <c r="W124" i="122"/>
  <c r="V124" i="122"/>
  <c r="U124" i="122"/>
  <c r="T124" i="122"/>
  <c r="S124" i="122"/>
  <c r="R124" i="122"/>
  <c r="Q124" i="122"/>
  <c r="P124" i="122"/>
  <c r="O124" i="122"/>
  <c r="N124" i="122"/>
  <c r="M124" i="122"/>
  <c r="L124" i="122"/>
  <c r="X123" i="122"/>
  <c r="W123" i="122"/>
  <c r="V123" i="122"/>
  <c r="U123" i="122"/>
  <c r="T123" i="122"/>
  <c r="S123" i="122"/>
  <c r="R123" i="122"/>
  <c r="Q123" i="122"/>
  <c r="P123" i="122"/>
  <c r="O123" i="122"/>
  <c r="N123" i="122"/>
  <c r="M123" i="122"/>
  <c r="L123" i="122"/>
  <c r="X122" i="122"/>
  <c r="W122" i="122"/>
  <c r="V122" i="122"/>
  <c r="U122" i="122"/>
  <c r="T122" i="122"/>
  <c r="S122" i="122"/>
  <c r="R122" i="122"/>
  <c r="Q122" i="122"/>
  <c r="P122" i="122"/>
  <c r="O122" i="122"/>
  <c r="N122" i="122"/>
  <c r="M122" i="122"/>
  <c r="L122" i="122"/>
  <c r="X121" i="122"/>
  <c r="W121" i="122"/>
  <c r="V121" i="122"/>
  <c r="U121" i="122"/>
  <c r="T121" i="122"/>
  <c r="S121" i="122"/>
  <c r="R121" i="122"/>
  <c r="Q121" i="122"/>
  <c r="P121" i="122"/>
  <c r="O121" i="122"/>
  <c r="N121" i="122"/>
  <c r="M121" i="122"/>
  <c r="L121" i="122"/>
  <c r="X120" i="122"/>
  <c r="W120" i="122"/>
  <c r="V120" i="122"/>
  <c r="U120" i="122"/>
  <c r="T120" i="122"/>
  <c r="S120" i="122"/>
  <c r="R120" i="122"/>
  <c r="Q120" i="122"/>
  <c r="P120" i="122"/>
  <c r="O120" i="122"/>
  <c r="N120" i="122"/>
  <c r="M120" i="122"/>
  <c r="L120" i="122"/>
  <c r="X119" i="122"/>
  <c r="W119" i="122"/>
  <c r="V119" i="122"/>
  <c r="U119" i="122"/>
  <c r="T119" i="122"/>
  <c r="S119" i="122"/>
  <c r="R119" i="122"/>
  <c r="Q119" i="122"/>
  <c r="P119" i="122"/>
  <c r="O119" i="122"/>
  <c r="N119" i="122"/>
  <c r="M119" i="122"/>
  <c r="L119" i="122"/>
  <c r="X118" i="122"/>
  <c r="W118" i="122"/>
  <c r="V118" i="122"/>
  <c r="U118" i="122"/>
  <c r="T118" i="122"/>
  <c r="S118" i="122"/>
  <c r="R118" i="122"/>
  <c r="Q118" i="122"/>
  <c r="P118" i="122"/>
  <c r="O118" i="122"/>
  <c r="N118" i="122"/>
  <c r="M118" i="122"/>
  <c r="L118" i="122"/>
  <c r="X117" i="122"/>
  <c r="W117" i="122"/>
  <c r="V117" i="122"/>
  <c r="U117" i="122"/>
  <c r="T117" i="122"/>
  <c r="S117" i="122"/>
  <c r="R117" i="122"/>
  <c r="Q117" i="122"/>
  <c r="P117" i="122"/>
  <c r="O117" i="122"/>
  <c r="N117" i="122"/>
  <c r="M117" i="122"/>
  <c r="L117" i="122"/>
  <c r="X116" i="122"/>
  <c r="W116" i="122"/>
  <c r="V116" i="122"/>
  <c r="U116" i="122"/>
  <c r="T116" i="122"/>
  <c r="S116" i="122"/>
  <c r="R116" i="122"/>
  <c r="Q116" i="122"/>
  <c r="P116" i="122"/>
  <c r="O116" i="122"/>
  <c r="N116" i="122"/>
  <c r="M116" i="122"/>
  <c r="L116" i="122"/>
  <c r="X115" i="122"/>
  <c r="W115" i="122"/>
  <c r="V115" i="122"/>
  <c r="U115" i="122"/>
  <c r="T115" i="122"/>
  <c r="S115" i="122"/>
  <c r="R115" i="122"/>
  <c r="Q115" i="122"/>
  <c r="P115" i="122"/>
  <c r="O115" i="122"/>
  <c r="N115" i="122"/>
  <c r="M115" i="122"/>
  <c r="L115" i="122"/>
  <c r="X114" i="122"/>
  <c r="W114" i="122"/>
  <c r="V114" i="122"/>
  <c r="U114" i="122"/>
  <c r="T114" i="122"/>
  <c r="S114" i="122"/>
  <c r="R114" i="122"/>
  <c r="Q114" i="122"/>
  <c r="P114" i="122"/>
  <c r="O114" i="122"/>
  <c r="N114" i="122"/>
  <c r="M114" i="122"/>
  <c r="L114" i="122"/>
  <c r="X113" i="122"/>
  <c r="W113" i="122"/>
  <c r="V113" i="122"/>
  <c r="U113" i="122"/>
  <c r="T113" i="122"/>
  <c r="S113" i="122"/>
  <c r="R113" i="122"/>
  <c r="Q113" i="122"/>
  <c r="P113" i="122"/>
  <c r="O113" i="122"/>
  <c r="N113" i="122"/>
  <c r="M113" i="122"/>
  <c r="L113" i="122"/>
  <c r="X112" i="122"/>
  <c r="W112" i="122"/>
  <c r="V112" i="122"/>
  <c r="U112" i="122"/>
  <c r="T112" i="122"/>
  <c r="S112" i="122"/>
  <c r="R112" i="122"/>
  <c r="Q112" i="122"/>
  <c r="P112" i="122"/>
  <c r="O112" i="122"/>
  <c r="N112" i="122"/>
  <c r="M112" i="122"/>
  <c r="L112" i="122"/>
  <c r="X111" i="122"/>
  <c r="W111" i="122"/>
  <c r="V111" i="122"/>
  <c r="U111" i="122"/>
  <c r="T111" i="122"/>
  <c r="S111" i="122"/>
  <c r="R111" i="122"/>
  <c r="Q111" i="122"/>
  <c r="P111" i="122"/>
  <c r="O111" i="122"/>
  <c r="N111" i="122"/>
  <c r="M111" i="122"/>
  <c r="L111" i="122"/>
  <c r="X110" i="122"/>
  <c r="W110" i="122"/>
  <c r="V110" i="122"/>
  <c r="U110" i="122"/>
  <c r="T110" i="122"/>
  <c r="S110" i="122"/>
  <c r="R110" i="122"/>
  <c r="Q110" i="122"/>
  <c r="P110" i="122"/>
  <c r="O110" i="122"/>
  <c r="N110" i="122"/>
  <c r="M110" i="122"/>
  <c r="L110" i="122"/>
  <c r="X109" i="122"/>
  <c r="W109" i="122"/>
  <c r="V109" i="122"/>
  <c r="U109" i="122"/>
  <c r="T109" i="122"/>
  <c r="S109" i="122"/>
  <c r="R109" i="122"/>
  <c r="Q109" i="122"/>
  <c r="P109" i="122"/>
  <c r="O109" i="122"/>
  <c r="N109" i="122"/>
  <c r="M109" i="122"/>
  <c r="L109" i="122"/>
  <c r="X108" i="122"/>
  <c r="W108" i="122"/>
  <c r="V108" i="122"/>
  <c r="U108" i="122"/>
  <c r="T108" i="122"/>
  <c r="S108" i="122"/>
  <c r="R108" i="122"/>
  <c r="Q108" i="122"/>
  <c r="P108" i="122"/>
  <c r="O108" i="122"/>
  <c r="N108" i="122"/>
  <c r="M108" i="122"/>
  <c r="L108" i="122"/>
  <c r="X107" i="122"/>
  <c r="W107" i="122"/>
  <c r="V107" i="122"/>
  <c r="U107" i="122"/>
  <c r="T107" i="122"/>
  <c r="S107" i="122"/>
  <c r="R107" i="122"/>
  <c r="Q107" i="122"/>
  <c r="P107" i="122"/>
  <c r="O107" i="122"/>
  <c r="N107" i="122"/>
  <c r="M107" i="122"/>
  <c r="L107" i="122"/>
  <c r="X106" i="122"/>
  <c r="W106" i="122"/>
  <c r="V106" i="122"/>
  <c r="U106" i="122"/>
  <c r="T106" i="122"/>
  <c r="S106" i="122"/>
  <c r="R106" i="122"/>
  <c r="Q106" i="122"/>
  <c r="P106" i="122"/>
  <c r="O106" i="122"/>
  <c r="N106" i="122"/>
  <c r="M106" i="122"/>
  <c r="L106" i="122"/>
  <c r="X105" i="122"/>
  <c r="W105" i="122"/>
  <c r="V105" i="122"/>
  <c r="U105" i="122"/>
  <c r="T105" i="122"/>
  <c r="S105" i="122"/>
  <c r="R105" i="122"/>
  <c r="Q105" i="122"/>
  <c r="P105" i="122"/>
  <c r="O105" i="122"/>
  <c r="N105" i="122"/>
  <c r="M105" i="122"/>
  <c r="L105" i="122"/>
  <c r="X104" i="122"/>
  <c r="W104" i="122"/>
  <c r="V104" i="122"/>
  <c r="U104" i="122"/>
  <c r="T104" i="122"/>
  <c r="S104" i="122"/>
  <c r="R104" i="122"/>
  <c r="Q104" i="122"/>
  <c r="P104" i="122"/>
  <c r="O104" i="122"/>
  <c r="N104" i="122"/>
  <c r="M104" i="122"/>
  <c r="L104" i="122"/>
  <c r="X103" i="122"/>
  <c r="W103" i="122"/>
  <c r="V103" i="122"/>
  <c r="U103" i="122"/>
  <c r="T103" i="122"/>
  <c r="S103" i="122"/>
  <c r="R103" i="122"/>
  <c r="Q103" i="122"/>
  <c r="P103" i="122"/>
  <c r="O103" i="122"/>
  <c r="N103" i="122"/>
  <c r="M103" i="122"/>
  <c r="L103" i="122"/>
  <c r="X102" i="122"/>
  <c r="W102" i="122"/>
  <c r="V102" i="122"/>
  <c r="U102" i="122"/>
  <c r="T102" i="122"/>
  <c r="S102" i="122"/>
  <c r="R102" i="122"/>
  <c r="Q102" i="122"/>
  <c r="P102" i="122"/>
  <c r="O102" i="122"/>
  <c r="N102" i="122"/>
  <c r="M102" i="122"/>
  <c r="L102" i="122"/>
  <c r="X101" i="122"/>
  <c r="W101" i="122"/>
  <c r="V101" i="122"/>
  <c r="U101" i="122"/>
  <c r="T101" i="122"/>
  <c r="S101" i="122"/>
  <c r="R101" i="122"/>
  <c r="Q101" i="122"/>
  <c r="P101" i="122"/>
  <c r="O101" i="122"/>
  <c r="N101" i="122"/>
  <c r="M101" i="122"/>
  <c r="L101" i="122"/>
  <c r="X100" i="122"/>
  <c r="W100" i="122"/>
  <c r="V100" i="122"/>
  <c r="U100" i="122"/>
  <c r="T100" i="122"/>
  <c r="S100" i="122"/>
  <c r="R100" i="122"/>
  <c r="Q100" i="122"/>
  <c r="P100" i="122"/>
  <c r="O100" i="122"/>
  <c r="N100" i="122"/>
  <c r="M100" i="122"/>
  <c r="L100" i="122"/>
  <c r="X99" i="122"/>
  <c r="W99" i="122"/>
  <c r="V99" i="122"/>
  <c r="U99" i="122"/>
  <c r="T99" i="122"/>
  <c r="S99" i="122"/>
  <c r="R99" i="122"/>
  <c r="Q99" i="122"/>
  <c r="P99" i="122"/>
  <c r="O99" i="122"/>
  <c r="N99" i="122"/>
  <c r="M99" i="122"/>
  <c r="L99" i="122"/>
  <c r="X98" i="122"/>
  <c r="W98" i="122"/>
  <c r="V98" i="122"/>
  <c r="U98" i="122"/>
  <c r="T98" i="122"/>
  <c r="S98" i="122"/>
  <c r="R98" i="122"/>
  <c r="Q98" i="122"/>
  <c r="P98" i="122"/>
  <c r="O98" i="122"/>
  <c r="N98" i="122"/>
  <c r="M98" i="122"/>
  <c r="L98" i="122"/>
  <c r="X97" i="122"/>
  <c r="W97" i="122"/>
  <c r="V97" i="122"/>
  <c r="U97" i="122"/>
  <c r="T97" i="122"/>
  <c r="S97" i="122"/>
  <c r="R97" i="122"/>
  <c r="Q97" i="122"/>
  <c r="P97" i="122"/>
  <c r="O97" i="122"/>
  <c r="N97" i="122"/>
  <c r="M97" i="122"/>
  <c r="L97" i="122"/>
  <c r="X96" i="122"/>
  <c r="W96" i="122"/>
  <c r="V96" i="122"/>
  <c r="U96" i="122"/>
  <c r="T96" i="122"/>
  <c r="S96" i="122"/>
  <c r="R96" i="122"/>
  <c r="Q96" i="122"/>
  <c r="P96" i="122"/>
  <c r="O96" i="122"/>
  <c r="N96" i="122"/>
  <c r="M96" i="122"/>
  <c r="L96" i="122"/>
  <c r="X95" i="122"/>
  <c r="W95" i="122"/>
  <c r="V95" i="122"/>
  <c r="U95" i="122"/>
  <c r="T95" i="122"/>
  <c r="S95" i="122"/>
  <c r="R95" i="122"/>
  <c r="Q95" i="122"/>
  <c r="P95" i="122"/>
  <c r="O95" i="122"/>
  <c r="N95" i="122"/>
  <c r="M95" i="122"/>
  <c r="L95" i="122"/>
  <c r="X94" i="122"/>
  <c r="W94" i="122"/>
  <c r="V94" i="122"/>
  <c r="U94" i="122"/>
  <c r="T94" i="122"/>
  <c r="S94" i="122"/>
  <c r="R94" i="122"/>
  <c r="Q94" i="122"/>
  <c r="P94" i="122"/>
  <c r="O94" i="122"/>
  <c r="N94" i="122"/>
  <c r="M94" i="122"/>
  <c r="L94" i="122"/>
  <c r="X93" i="122"/>
  <c r="W93" i="122"/>
  <c r="V93" i="122"/>
  <c r="U93" i="122"/>
  <c r="T93" i="122"/>
  <c r="S93" i="122"/>
  <c r="R93" i="122"/>
  <c r="Q93" i="122"/>
  <c r="P93" i="122"/>
  <c r="O93" i="122"/>
  <c r="N93" i="122"/>
  <c r="M93" i="122"/>
  <c r="L93" i="122"/>
  <c r="X92" i="122"/>
  <c r="W92" i="122"/>
  <c r="V92" i="122"/>
  <c r="U92" i="122"/>
  <c r="T92" i="122"/>
  <c r="S92" i="122"/>
  <c r="R92" i="122"/>
  <c r="Q92" i="122"/>
  <c r="P92" i="122"/>
  <c r="O92" i="122"/>
  <c r="N92" i="122"/>
  <c r="M92" i="122"/>
  <c r="L92" i="122"/>
  <c r="X91" i="122"/>
  <c r="W91" i="122"/>
  <c r="V91" i="122"/>
  <c r="U91" i="122"/>
  <c r="T91" i="122"/>
  <c r="S91" i="122"/>
  <c r="R91" i="122"/>
  <c r="Q91" i="122"/>
  <c r="P91" i="122"/>
  <c r="O91" i="122"/>
  <c r="N91" i="122"/>
  <c r="M91" i="122"/>
  <c r="L91" i="122"/>
  <c r="X90" i="122"/>
  <c r="W90" i="122"/>
  <c r="V90" i="122"/>
  <c r="U90" i="122"/>
  <c r="T90" i="122"/>
  <c r="S90" i="122"/>
  <c r="R90" i="122"/>
  <c r="Q90" i="122"/>
  <c r="P90" i="122"/>
  <c r="O90" i="122"/>
  <c r="N90" i="122"/>
  <c r="M90" i="122"/>
  <c r="L90" i="122"/>
  <c r="X89" i="122"/>
  <c r="W89" i="122"/>
  <c r="V89" i="122"/>
  <c r="U89" i="122"/>
  <c r="T89" i="122"/>
  <c r="S89" i="122"/>
  <c r="R89" i="122"/>
  <c r="Q89" i="122"/>
  <c r="P89" i="122"/>
  <c r="O89" i="122"/>
  <c r="N89" i="122"/>
  <c r="M89" i="122"/>
  <c r="L89" i="122"/>
  <c r="X88" i="122"/>
  <c r="W88" i="122"/>
  <c r="V88" i="122"/>
  <c r="U88" i="122"/>
  <c r="T88" i="122"/>
  <c r="S88" i="122"/>
  <c r="R88" i="122"/>
  <c r="Q88" i="122"/>
  <c r="P88" i="122"/>
  <c r="O88" i="122"/>
  <c r="N88" i="122"/>
  <c r="M88" i="122"/>
  <c r="L88" i="122"/>
  <c r="X87" i="122"/>
  <c r="W87" i="122"/>
  <c r="V87" i="122"/>
  <c r="U87" i="122"/>
  <c r="T87" i="122"/>
  <c r="S87" i="122"/>
  <c r="R87" i="122"/>
  <c r="Q87" i="122"/>
  <c r="P87" i="122"/>
  <c r="O87" i="122"/>
  <c r="N87" i="122"/>
  <c r="M87" i="122"/>
  <c r="L87" i="122"/>
  <c r="X86" i="122"/>
  <c r="W86" i="122"/>
  <c r="V86" i="122"/>
  <c r="U86" i="122"/>
  <c r="T86" i="122"/>
  <c r="S86" i="122"/>
  <c r="R86" i="122"/>
  <c r="Q86" i="122"/>
  <c r="P86" i="122"/>
  <c r="O86" i="122"/>
  <c r="N86" i="122"/>
  <c r="M86" i="122"/>
  <c r="L86" i="122"/>
  <c r="X85" i="122"/>
  <c r="W85" i="122"/>
  <c r="V85" i="122"/>
  <c r="U85" i="122"/>
  <c r="T85" i="122"/>
  <c r="S85" i="122"/>
  <c r="R85" i="122"/>
  <c r="Q85" i="122"/>
  <c r="P85" i="122"/>
  <c r="O85" i="122"/>
  <c r="N85" i="122"/>
  <c r="M85" i="122"/>
  <c r="L85" i="122"/>
  <c r="X84" i="122"/>
  <c r="W84" i="122"/>
  <c r="V84" i="122"/>
  <c r="U84" i="122"/>
  <c r="T84" i="122"/>
  <c r="S84" i="122"/>
  <c r="R84" i="122"/>
  <c r="Q84" i="122"/>
  <c r="P84" i="122"/>
  <c r="O84" i="122"/>
  <c r="N84" i="122"/>
  <c r="M84" i="122"/>
  <c r="L84" i="122"/>
  <c r="X83" i="122"/>
  <c r="W83" i="122"/>
  <c r="V83" i="122"/>
  <c r="U83" i="122"/>
  <c r="T83" i="122"/>
  <c r="S83" i="122"/>
  <c r="R83" i="122"/>
  <c r="Q83" i="122"/>
  <c r="P83" i="122"/>
  <c r="O83" i="122"/>
  <c r="N83" i="122"/>
  <c r="M83" i="122"/>
  <c r="L83" i="122"/>
  <c r="X82" i="122"/>
  <c r="W82" i="122"/>
  <c r="V82" i="122"/>
  <c r="U82" i="122"/>
  <c r="T82" i="122"/>
  <c r="S82" i="122"/>
  <c r="R82" i="122"/>
  <c r="Q82" i="122"/>
  <c r="P82" i="122"/>
  <c r="O82" i="122"/>
  <c r="N82" i="122"/>
  <c r="M82" i="122"/>
  <c r="L82" i="122"/>
  <c r="X81" i="122"/>
  <c r="W81" i="122"/>
  <c r="V81" i="122"/>
  <c r="U81" i="122"/>
  <c r="T81" i="122"/>
  <c r="S81" i="122"/>
  <c r="R81" i="122"/>
  <c r="Q81" i="122"/>
  <c r="P81" i="122"/>
  <c r="O81" i="122"/>
  <c r="N81" i="122"/>
  <c r="M81" i="122"/>
  <c r="L81" i="122"/>
  <c r="X80" i="122"/>
  <c r="W80" i="122"/>
  <c r="V80" i="122"/>
  <c r="U80" i="122"/>
  <c r="T80" i="122"/>
  <c r="S80" i="122"/>
  <c r="R80" i="122"/>
  <c r="Q80" i="122"/>
  <c r="P80" i="122"/>
  <c r="O80" i="122"/>
  <c r="N80" i="122"/>
  <c r="M80" i="122"/>
  <c r="L80" i="122"/>
  <c r="X79" i="122"/>
  <c r="W79" i="122"/>
  <c r="V79" i="122"/>
  <c r="U79" i="122"/>
  <c r="T79" i="122"/>
  <c r="S79" i="122"/>
  <c r="R79" i="122"/>
  <c r="Q79" i="122"/>
  <c r="P79" i="122"/>
  <c r="O79" i="122"/>
  <c r="N79" i="122"/>
  <c r="M79" i="122"/>
  <c r="L79" i="122"/>
  <c r="X78" i="122"/>
  <c r="W78" i="122"/>
  <c r="V78" i="122"/>
  <c r="U78" i="122"/>
  <c r="T78" i="122"/>
  <c r="S78" i="122"/>
  <c r="R78" i="122"/>
  <c r="Q78" i="122"/>
  <c r="P78" i="122"/>
  <c r="O78" i="122"/>
  <c r="N78" i="122"/>
  <c r="M78" i="122"/>
  <c r="L78" i="122"/>
  <c r="X77" i="122"/>
  <c r="W77" i="122"/>
  <c r="V77" i="122"/>
  <c r="U77" i="122"/>
  <c r="T77" i="122"/>
  <c r="S77" i="122"/>
  <c r="R77" i="122"/>
  <c r="Q77" i="122"/>
  <c r="P77" i="122"/>
  <c r="O77" i="122"/>
  <c r="N77" i="122"/>
  <c r="M77" i="122"/>
  <c r="L77" i="122"/>
  <c r="X76" i="122"/>
  <c r="W76" i="122"/>
  <c r="V76" i="122"/>
  <c r="U76" i="122"/>
  <c r="T76" i="122"/>
  <c r="S76" i="122"/>
  <c r="R76" i="122"/>
  <c r="Q76" i="122"/>
  <c r="P76" i="122"/>
  <c r="O76" i="122"/>
  <c r="N76" i="122"/>
  <c r="M76" i="122"/>
  <c r="L76" i="122"/>
  <c r="X75" i="122"/>
  <c r="W75" i="122"/>
  <c r="V75" i="122"/>
  <c r="U75" i="122"/>
  <c r="T75" i="122"/>
  <c r="S75" i="122"/>
  <c r="R75" i="122"/>
  <c r="Q75" i="122"/>
  <c r="P75" i="122"/>
  <c r="O75" i="122"/>
  <c r="N75" i="122"/>
  <c r="M75" i="122"/>
  <c r="L75" i="122"/>
  <c r="X74" i="122"/>
  <c r="W74" i="122"/>
  <c r="V74" i="122"/>
  <c r="U74" i="122"/>
  <c r="T74" i="122"/>
  <c r="S74" i="122"/>
  <c r="R74" i="122"/>
  <c r="Q74" i="122"/>
  <c r="P74" i="122"/>
  <c r="O74" i="122"/>
  <c r="N74" i="122"/>
  <c r="M74" i="122"/>
  <c r="L74" i="122"/>
  <c r="X73" i="122"/>
  <c r="W73" i="122"/>
  <c r="V73" i="122"/>
  <c r="U73" i="122"/>
  <c r="T73" i="122"/>
  <c r="S73" i="122"/>
  <c r="R73" i="122"/>
  <c r="Q73" i="122"/>
  <c r="P73" i="122"/>
  <c r="O73" i="122"/>
  <c r="N73" i="122"/>
  <c r="M73" i="122"/>
  <c r="L73" i="122"/>
  <c r="X72" i="122"/>
  <c r="W72" i="122"/>
  <c r="V72" i="122"/>
  <c r="U72" i="122"/>
  <c r="T72" i="122"/>
  <c r="S72" i="122"/>
  <c r="R72" i="122"/>
  <c r="Q72" i="122"/>
  <c r="P72" i="122"/>
  <c r="O72" i="122"/>
  <c r="N72" i="122"/>
  <c r="M72" i="122"/>
  <c r="L72" i="122"/>
  <c r="X71" i="122"/>
  <c r="W71" i="122"/>
  <c r="V71" i="122"/>
  <c r="U71" i="122"/>
  <c r="T71" i="122"/>
  <c r="S71" i="122"/>
  <c r="R71" i="122"/>
  <c r="Q71" i="122"/>
  <c r="P71" i="122"/>
  <c r="O71" i="122"/>
  <c r="N71" i="122"/>
  <c r="M71" i="122"/>
  <c r="L71" i="122"/>
  <c r="X70" i="122"/>
  <c r="W70" i="122"/>
  <c r="V70" i="122"/>
  <c r="U70" i="122"/>
  <c r="T70" i="122"/>
  <c r="S70" i="122"/>
  <c r="R70" i="122"/>
  <c r="Q70" i="122"/>
  <c r="P70" i="122"/>
  <c r="O70" i="122"/>
  <c r="N70" i="122"/>
  <c r="M70" i="122"/>
  <c r="L70" i="122"/>
  <c r="X69" i="122"/>
  <c r="W69" i="122"/>
  <c r="V69" i="122"/>
  <c r="U69" i="122"/>
  <c r="T69" i="122"/>
  <c r="S69" i="122"/>
  <c r="R69" i="122"/>
  <c r="Q69" i="122"/>
  <c r="P69" i="122"/>
  <c r="O69" i="122"/>
  <c r="N69" i="122"/>
  <c r="M69" i="122"/>
  <c r="L69" i="122"/>
  <c r="X68" i="122"/>
  <c r="W68" i="122"/>
  <c r="V68" i="122"/>
  <c r="U68" i="122"/>
  <c r="T68" i="122"/>
  <c r="S68" i="122"/>
  <c r="R68" i="122"/>
  <c r="Q68" i="122"/>
  <c r="P68" i="122"/>
  <c r="O68" i="122"/>
  <c r="N68" i="122"/>
  <c r="M68" i="122"/>
  <c r="L68" i="122"/>
  <c r="X67" i="122"/>
  <c r="W67" i="122"/>
  <c r="V67" i="122"/>
  <c r="U67" i="122"/>
  <c r="T67" i="122"/>
  <c r="S67" i="122"/>
  <c r="R67" i="122"/>
  <c r="Q67" i="122"/>
  <c r="P67" i="122"/>
  <c r="O67" i="122"/>
  <c r="N67" i="122"/>
  <c r="M67" i="122"/>
  <c r="L67" i="122"/>
  <c r="X66" i="122"/>
  <c r="W66" i="122"/>
  <c r="V66" i="122"/>
  <c r="U66" i="122"/>
  <c r="T66" i="122"/>
  <c r="S66" i="122"/>
  <c r="R66" i="122"/>
  <c r="Q66" i="122"/>
  <c r="P66" i="122"/>
  <c r="O66" i="122"/>
  <c r="N66" i="122"/>
  <c r="M66" i="122"/>
  <c r="L66" i="122"/>
  <c r="X65" i="122"/>
  <c r="W65" i="122"/>
  <c r="V65" i="122"/>
  <c r="U65" i="122"/>
  <c r="T65" i="122"/>
  <c r="S65" i="122"/>
  <c r="R65" i="122"/>
  <c r="Q65" i="122"/>
  <c r="P65" i="122"/>
  <c r="O65" i="122"/>
  <c r="N65" i="122"/>
  <c r="M65" i="122"/>
  <c r="L65" i="122"/>
  <c r="X64" i="122"/>
  <c r="W64" i="122"/>
  <c r="V64" i="122"/>
  <c r="U64" i="122"/>
  <c r="T64" i="122"/>
  <c r="S64" i="122"/>
  <c r="R64" i="122"/>
  <c r="Q64" i="122"/>
  <c r="P64" i="122"/>
  <c r="O64" i="122"/>
  <c r="N64" i="122"/>
  <c r="M64" i="122"/>
  <c r="L64" i="122"/>
  <c r="X63" i="122"/>
  <c r="W63" i="122"/>
  <c r="V63" i="122"/>
  <c r="U63" i="122"/>
  <c r="T63" i="122"/>
  <c r="S63" i="122"/>
  <c r="R63" i="122"/>
  <c r="Q63" i="122"/>
  <c r="P63" i="122"/>
  <c r="O63" i="122"/>
  <c r="N63" i="122"/>
  <c r="M63" i="122"/>
  <c r="L63" i="122"/>
  <c r="X62" i="122"/>
  <c r="W62" i="122"/>
  <c r="V62" i="122"/>
  <c r="U62" i="122"/>
  <c r="T62" i="122"/>
  <c r="S62" i="122"/>
  <c r="R62" i="122"/>
  <c r="Q62" i="122"/>
  <c r="P62" i="122"/>
  <c r="O62" i="122"/>
  <c r="N62" i="122"/>
  <c r="M62" i="122"/>
  <c r="L62" i="122"/>
  <c r="X61" i="122"/>
  <c r="W61" i="122"/>
  <c r="V61" i="122"/>
  <c r="U61" i="122"/>
  <c r="T61" i="122"/>
  <c r="S61" i="122"/>
  <c r="R61" i="122"/>
  <c r="Q61" i="122"/>
  <c r="P61" i="122"/>
  <c r="O61" i="122"/>
  <c r="N61" i="122"/>
  <c r="M61" i="122"/>
  <c r="L61" i="122"/>
  <c r="X60" i="122"/>
  <c r="W60" i="122"/>
  <c r="V60" i="122"/>
  <c r="U60" i="122"/>
  <c r="T60" i="122"/>
  <c r="S60" i="122"/>
  <c r="R60" i="122"/>
  <c r="Q60" i="122"/>
  <c r="P60" i="122"/>
  <c r="O60" i="122"/>
  <c r="N60" i="122"/>
  <c r="M60" i="122"/>
  <c r="L60" i="122"/>
  <c r="X59" i="122"/>
  <c r="W59" i="122"/>
  <c r="V59" i="122"/>
  <c r="U59" i="122"/>
  <c r="T59" i="122"/>
  <c r="S59" i="122"/>
  <c r="R59" i="122"/>
  <c r="Q59" i="122"/>
  <c r="P59" i="122"/>
  <c r="O59" i="122"/>
  <c r="N59" i="122"/>
  <c r="M59" i="122"/>
  <c r="L59" i="122"/>
  <c r="X58" i="122"/>
  <c r="W58" i="122"/>
  <c r="V58" i="122"/>
  <c r="U58" i="122"/>
  <c r="T58" i="122"/>
  <c r="S58" i="122"/>
  <c r="R58" i="122"/>
  <c r="Q58" i="122"/>
  <c r="P58" i="122"/>
  <c r="O58" i="122"/>
  <c r="N58" i="122"/>
  <c r="M58" i="122"/>
  <c r="L58" i="122"/>
  <c r="X57" i="122"/>
  <c r="W57" i="122"/>
  <c r="V57" i="122"/>
  <c r="U57" i="122"/>
  <c r="T57" i="122"/>
  <c r="S57" i="122"/>
  <c r="R57" i="122"/>
  <c r="Q57" i="122"/>
  <c r="P57" i="122"/>
  <c r="O57" i="122"/>
  <c r="N57" i="122"/>
  <c r="M57" i="122"/>
  <c r="L57" i="122"/>
  <c r="X56" i="122"/>
  <c r="W56" i="122"/>
  <c r="V56" i="122"/>
  <c r="U56" i="122"/>
  <c r="T56" i="122"/>
  <c r="S56" i="122"/>
  <c r="R56" i="122"/>
  <c r="Q56" i="122"/>
  <c r="P56" i="122"/>
  <c r="O56" i="122"/>
  <c r="N56" i="122"/>
  <c r="M56" i="122"/>
  <c r="L56" i="122"/>
  <c r="X55" i="122"/>
  <c r="W55" i="122"/>
  <c r="V55" i="122"/>
  <c r="U55" i="122"/>
  <c r="T55" i="122"/>
  <c r="S55" i="122"/>
  <c r="R55" i="122"/>
  <c r="Q55" i="122"/>
  <c r="P55" i="122"/>
  <c r="O55" i="122"/>
  <c r="N55" i="122"/>
  <c r="M55" i="122"/>
  <c r="L55" i="122"/>
  <c r="X54" i="122"/>
  <c r="W54" i="122"/>
  <c r="V54" i="122"/>
  <c r="U54" i="122"/>
  <c r="T54" i="122"/>
  <c r="S54" i="122"/>
  <c r="R54" i="122"/>
  <c r="Q54" i="122"/>
  <c r="P54" i="122"/>
  <c r="O54" i="122"/>
  <c r="N54" i="122"/>
  <c r="M54" i="122"/>
  <c r="L54" i="122"/>
  <c r="X53" i="122"/>
  <c r="W53" i="122"/>
  <c r="V53" i="122"/>
  <c r="U53" i="122"/>
  <c r="T53" i="122"/>
  <c r="S53" i="122"/>
  <c r="R53" i="122"/>
  <c r="Q53" i="122"/>
  <c r="P53" i="122"/>
  <c r="O53" i="122"/>
  <c r="N53" i="122"/>
  <c r="M53" i="122"/>
  <c r="L53" i="122"/>
  <c r="X52" i="122"/>
  <c r="W52" i="122"/>
  <c r="V52" i="122"/>
  <c r="U52" i="122"/>
  <c r="T52" i="122"/>
  <c r="S52" i="122"/>
  <c r="R52" i="122"/>
  <c r="Q52" i="122"/>
  <c r="P52" i="122"/>
  <c r="O52" i="122"/>
  <c r="N52" i="122"/>
  <c r="M52" i="122"/>
  <c r="L52" i="122"/>
  <c r="X51" i="122"/>
  <c r="W51" i="122"/>
  <c r="V51" i="122"/>
  <c r="U51" i="122"/>
  <c r="T51" i="122"/>
  <c r="S51" i="122"/>
  <c r="R51" i="122"/>
  <c r="Q51" i="122"/>
  <c r="P51" i="122"/>
  <c r="O51" i="122"/>
  <c r="N51" i="122"/>
  <c r="M51" i="122"/>
  <c r="L51" i="122"/>
  <c r="X50" i="122"/>
  <c r="W50" i="122"/>
  <c r="V50" i="122"/>
  <c r="U50" i="122"/>
  <c r="T50" i="122"/>
  <c r="S50" i="122"/>
  <c r="R50" i="122"/>
  <c r="Q50" i="122"/>
  <c r="P50" i="122"/>
  <c r="O50" i="122"/>
  <c r="N50" i="122"/>
  <c r="M50" i="122"/>
  <c r="L50" i="122"/>
  <c r="X49" i="122"/>
  <c r="W49" i="122"/>
  <c r="V49" i="122"/>
  <c r="U49" i="122"/>
  <c r="T49" i="122"/>
  <c r="S49" i="122"/>
  <c r="R49" i="122"/>
  <c r="Q49" i="122"/>
  <c r="P49" i="122"/>
  <c r="O49" i="122"/>
  <c r="N49" i="122"/>
  <c r="M49" i="122"/>
  <c r="L49" i="122"/>
  <c r="X48" i="122"/>
  <c r="W48" i="122"/>
  <c r="V48" i="122"/>
  <c r="U48" i="122"/>
  <c r="T48" i="122"/>
  <c r="S48" i="122"/>
  <c r="R48" i="122"/>
  <c r="Q48" i="122"/>
  <c r="P48" i="122"/>
  <c r="O48" i="122"/>
  <c r="N48" i="122"/>
  <c r="M48" i="122"/>
  <c r="L48" i="122"/>
  <c r="X47" i="122"/>
  <c r="W47" i="122"/>
  <c r="V47" i="122"/>
  <c r="U47" i="122"/>
  <c r="T47" i="122"/>
  <c r="S47" i="122"/>
  <c r="R47" i="122"/>
  <c r="Q47" i="122"/>
  <c r="P47" i="122"/>
  <c r="O47" i="122"/>
  <c r="N47" i="122"/>
  <c r="M47" i="122"/>
  <c r="L47" i="122"/>
  <c r="X46" i="122"/>
  <c r="W46" i="122"/>
  <c r="V46" i="122"/>
  <c r="U46" i="122"/>
  <c r="T46" i="122"/>
  <c r="S46" i="122"/>
  <c r="R46" i="122"/>
  <c r="Q46" i="122"/>
  <c r="P46" i="122"/>
  <c r="O46" i="122"/>
  <c r="N46" i="122"/>
  <c r="M46" i="122"/>
  <c r="L46" i="122"/>
  <c r="X45" i="122"/>
  <c r="W45" i="122"/>
  <c r="V45" i="122"/>
  <c r="U45" i="122"/>
  <c r="T45" i="122"/>
  <c r="S45" i="122"/>
  <c r="R45" i="122"/>
  <c r="Q45" i="122"/>
  <c r="P45" i="122"/>
  <c r="O45" i="122"/>
  <c r="N45" i="122"/>
  <c r="M45" i="122"/>
  <c r="L45" i="122"/>
  <c r="X44" i="122"/>
  <c r="W44" i="122"/>
  <c r="V44" i="122"/>
  <c r="U44" i="122"/>
  <c r="T44" i="122"/>
  <c r="S44" i="122"/>
  <c r="R44" i="122"/>
  <c r="Q44" i="122"/>
  <c r="P44" i="122"/>
  <c r="O44" i="122"/>
  <c r="N44" i="122"/>
  <c r="M44" i="122"/>
  <c r="L44" i="122"/>
  <c r="X43" i="122"/>
  <c r="W43" i="122"/>
  <c r="V43" i="122"/>
  <c r="U43" i="122"/>
  <c r="T43" i="122"/>
  <c r="S43" i="122"/>
  <c r="R43" i="122"/>
  <c r="Q43" i="122"/>
  <c r="P43" i="122"/>
  <c r="O43" i="122"/>
  <c r="N43" i="122"/>
  <c r="M43" i="122"/>
  <c r="L43" i="122"/>
  <c r="X42" i="122"/>
  <c r="W42" i="122"/>
  <c r="V42" i="122"/>
  <c r="U42" i="122"/>
  <c r="T42" i="122"/>
  <c r="S42" i="122"/>
  <c r="R42" i="122"/>
  <c r="Q42" i="122"/>
  <c r="P42" i="122"/>
  <c r="O42" i="122"/>
  <c r="N42" i="122"/>
  <c r="M42" i="122"/>
  <c r="L42" i="122"/>
  <c r="X41" i="122"/>
  <c r="W41" i="122"/>
  <c r="V41" i="122"/>
  <c r="U41" i="122"/>
  <c r="T41" i="122"/>
  <c r="S41" i="122"/>
  <c r="R41" i="122"/>
  <c r="Q41" i="122"/>
  <c r="P41" i="122"/>
  <c r="O41" i="122"/>
  <c r="N41" i="122"/>
  <c r="M41" i="122"/>
  <c r="L41" i="122"/>
  <c r="X40" i="122"/>
  <c r="W40" i="122"/>
  <c r="V40" i="122"/>
  <c r="U40" i="122"/>
  <c r="T40" i="122"/>
  <c r="S40" i="122"/>
  <c r="R40" i="122"/>
  <c r="Q40" i="122"/>
  <c r="P40" i="122"/>
  <c r="O40" i="122"/>
  <c r="N40" i="122"/>
  <c r="M40" i="122"/>
  <c r="L40" i="122"/>
  <c r="X39" i="122"/>
  <c r="W39" i="122"/>
  <c r="V39" i="122"/>
  <c r="U39" i="122"/>
  <c r="T39" i="122"/>
  <c r="S39" i="122"/>
  <c r="R39" i="122"/>
  <c r="Q39" i="122"/>
  <c r="P39" i="122"/>
  <c r="O39" i="122"/>
  <c r="N39" i="122"/>
  <c r="M39" i="122"/>
  <c r="L39" i="122"/>
  <c r="X38" i="122"/>
  <c r="W38" i="122"/>
  <c r="V38" i="122"/>
  <c r="U38" i="122"/>
  <c r="T38" i="122"/>
  <c r="S38" i="122"/>
  <c r="R38" i="122"/>
  <c r="Q38" i="122"/>
  <c r="P38" i="122"/>
  <c r="O38" i="122"/>
  <c r="N38" i="122"/>
  <c r="M38" i="122"/>
  <c r="L38" i="122"/>
  <c r="X37" i="122"/>
  <c r="W37" i="122"/>
  <c r="V37" i="122"/>
  <c r="U37" i="122"/>
  <c r="T37" i="122"/>
  <c r="S37" i="122"/>
  <c r="R37" i="122"/>
  <c r="Q37" i="122"/>
  <c r="P37" i="122"/>
  <c r="O37" i="122"/>
  <c r="N37" i="122"/>
  <c r="M37" i="122"/>
  <c r="L37" i="122"/>
  <c r="X36" i="122"/>
  <c r="W36" i="122"/>
  <c r="V36" i="122"/>
  <c r="U36" i="122"/>
  <c r="T36" i="122"/>
  <c r="S36" i="122"/>
  <c r="R36" i="122"/>
  <c r="Q36" i="122"/>
  <c r="P36" i="122"/>
  <c r="O36" i="122"/>
  <c r="N36" i="122"/>
  <c r="M36" i="122"/>
  <c r="L36" i="122"/>
  <c r="X35" i="122"/>
  <c r="W35" i="122"/>
  <c r="V35" i="122"/>
  <c r="U35" i="122"/>
  <c r="T35" i="122"/>
  <c r="S35" i="122"/>
  <c r="R35" i="122"/>
  <c r="Q35" i="122"/>
  <c r="P35" i="122"/>
  <c r="O35" i="122"/>
  <c r="N35" i="122"/>
  <c r="M35" i="122"/>
  <c r="L35" i="122"/>
  <c r="X34" i="122"/>
  <c r="W34" i="122"/>
  <c r="V34" i="122"/>
  <c r="U34" i="122"/>
  <c r="T34" i="122"/>
  <c r="S34" i="122"/>
  <c r="R34" i="122"/>
  <c r="Q34" i="122"/>
  <c r="P34" i="122"/>
  <c r="O34" i="122"/>
  <c r="N34" i="122"/>
  <c r="M34" i="122"/>
  <c r="L34" i="122"/>
  <c r="X33" i="122"/>
  <c r="W33" i="122"/>
  <c r="V33" i="122"/>
  <c r="U33" i="122"/>
  <c r="T33" i="122"/>
  <c r="S33" i="122"/>
  <c r="R33" i="122"/>
  <c r="Q33" i="122"/>
  <c r="P33" i="122"/>
  <c r="O33" i="122"/>
  <c r="N33" i="122"/>
  <c r="M33" i="122"/>
  <c r="L33" i="122"/>
  <c r="X32" i="122"/>
  <c r="W32" i="122"/>
  <c r="V32" i="122"/>
  <c r="U32" i="122"/>
  <c r="T32" i="122"/>
  <c r="S32" i="122"/>
  <c r="R32" i="122"/>
  <c r="Q32" i="122"/>
  <c r="P32" i="122"/>
  <c r="O32" i="122"/>
  <c r="N32" i="122"/>
  <c r="M32" i="122"/>
  <c r="L32" i="122"/>
  <c r="X31" i="122"/>
  <c r="W31" i="122"/>
  <c r="V31" i="122"/>
  <c r="U31" i="122"/>
  <c r="T31" i="122"/>
  <c r="S31" i="122"/>
  <c r="R31" i="122"/>
  <c r="Q31" i="122"/>
  <c r="P31" i="122"/>
  <c r="O31" i="122"/>
  <c r="N31" i="122"/>
  <c r="M31" i="122"/>
  <c r="L31" i="122"/>
  <c r="X30" i="122"/>
  <c r="W30" i="122"/>
  <c r="V30" i="122"/>
  <c r="U30" i="122"/>
  <c r="T30" i="122"/>
  <c r="S30" i="122"/>
  <c r="R30" i="122"/>
  <c r="Q30" i="122"/>
  <c r="P30" i="122"/>
  <c r="O30" i="122"/>
  <c r="N30" i="122"/>
  <c r="M30" i="122"/>
  <c r="L30" i="122"/>
  <c r="X29" i="122"/>
  <c r="W29" i="122"/>
  <c r="V29" i="122"/>
  <c r="U29" i="122"/>
  <c r="T29" i="122"/>
  <c r="S29" i="122"/>
  <c r="R29" i="122"/>
  <c r="Q29" i="122"/>
  <c r="P29" i="122"/>
  <c r="O29" i="122"/>
  <c r="N29" i="122"/>
  <c r="M29" i="122"/>
  <c r="L29" i="122"/>
  <c r="X28" i="122"/>
  <c r="W28" i="122"/>
  <c r="V28" i="122"/>
  <c r="U28" i="122"/>
  <c r="T28" i="122"/>
  <c r="S28" i="122"/>
  <c r="R28" i="122"/>
  <c r="Q28" i="122"/>
  <c r="P28" i="122"/>
  <c r="O28" i="122"/>
  <c r="N28" i="122"/>
  <c r="M28" i="122"/>
  <c r="L28" i="122"/>
  <c r="X27" i="122"/>
  <c r="W27" i="122"/>
  <c r="V27" i="122"/>
  <c r="U27" i="122"/>
  <c r="T27" i="122"/>
  <c r="S27" i="122"/>
  <c r="R27" i="122"/>
  <c r="Q27" i="122"/>
  <c r="P27" i="122"/>
  <c r="O27" i="122"/>
  <c r="N27" i="122"/>
  <c r="M27" i="122"/>
  <c r="L27" i="122"/>
  <c r="X26" i="122"/>
  <c r="W26" i="122"/>
  <c r="V26" i="122"/>
  <c r="U26" i="122"/>
  <c r="T26" i="122"/>
  <c r="S26" i="122"/>
  <c r="R26" i="122"/>
  <c r="Q26" i="122"/>
  <c r="P26" i="122"/>
  <c r="O26" i="122"/>
  <c r="N26" i="122"/>
  <c r="M26" i="122"/>
  <c r="L26" i="122"/>
  <c r="X25" i="122"/>
  <c r="W25" i="122"/>
  <c r="V25" i="122"/>
  <c r="U25" i="122"/>
  <c r="T25" i="122"/>
  <c r="S25" i="122"/>
  <c r="R25" i="122"/>
  <c r="Q25" i="122"/>
  <c r="P25" i="122"/>
  <c r="O25" i="122"/>
  <c r="N25" i="122"/>
  <c r="M25" i="122"/>
  <c r="L25" i="122"/>
  <c r="X24" i="122"/>
  <c r="W24" i="122"/>
  <c r="V24" i="122"/>
  <c r="U24" i="122"/>
  <c r="T24" i="122"/>
  <c r="S24" i="122"/>
  <c r="R24" i="122"/>
  <c r="Q24" i="122"/>
  <c r="P24" i="122"/>
  <c r="O24" i="122"/>
  <c r="N24" i="122"/>
  <c r="M24" i="122"/>
  <c r="L24" i="122"/>
  <c r="X23" i="122"/>
  <c r="W23" i="122"/>
  <c r="V23" i="122"/>
  <c r="U23" i="122"/>
  <c r="T23" i="122"/>
  <c r="S23" i="122"/>
  <c r="R23" i="122"/>
  <c r="Q23" i="122"/>
  <c r="P23" i="122"/>
  <c r="O23" i="122"/>
  <c r="N23" i="122"/>
  <c r="M23" i="122"/>
  <c r="L23" i="122"/>
  <c r="X22" i="122"/>
  <c r="W22" i="122"/>
  <c r="V22" i="122"/>
  <c r="U22" i="122"/>
  <c r="T22" i="122"/>
  <c r="S22" i="122"/>
  <c r="R22" i="122"/>
  <c r="Q22" i="122"/>
  <c r="P22" i="122"/>
  <c r="O22" i="122"/>
  <c r="N22" i="122"/>
  <c r="M22" i="122"/>
  <c r="L22" i="122"/>
  <c r="X21" i="122"/>
  <c r="W21" i="122"/>
  <c r="V21" i="122"/>
  <c r="U21" i="122"/>
  <c r="T21" i="122"/>
  <c r="S21" i="122"/>
  <c r="R21" i="122"/>
  <c r="Q21" i="122"/>
  <c r="P21" i="122"/>
  <c r="O21" i="122"/>
  <c r="N21" i="122"/>
  <c r="M21" i="122"/>
  <c r="L21" i="122"/>
  <c r="X20" i="122"/>
  <c r="W20" i="122"/>
  <c r="V20" i="122"/>
  <c r="U20" i="122"/>
  <c r="T20" i="122"/>
  <c r="S20" i="122"/>
  <c r="R20" i="122"/>
  <c r="Q20" i="122"/>
  <c r="P20" i="122"/>
  <c r="O20" i="122"/>
  <c r="N20" i="122"/>
  <c r="M20" i="122"/>
  <c r="L20" i="122"/>
  <c r="X19" i="122"/>
  <c r="W19" i="122"/>
  <c r="V19" i="122"/>
  <c r="U19" i="122"/>
  <c r="T19" i="122"/>
  <c r="S19" i="122"/>
  <c r="R19" i="122"/>
  <c r="Q19" i="122"/>
  <c r="P19" i="122"/>
  <c r="O19" i="122"/>
  <c r="N19" i="122"/>
  <c r="M19" i="122"/>
  <c r="L19" i="122"/>
  <c r="K19" i="122"/>
  <c r="X18" i="122"/>
  <c r="W18" i="122"/>
  <c r="V18" i="122"/>
  <c r="U18" i="122"/>
  <c r="T18" i="122"/>
  <c r="S18" i="122"/>
  <c r="R18" i="122"/>
  <c r="Q18" i="122"/>
  <c r="P18" i="122"/>
  <c r="O18" i="122"/>
  <c r="N18" i="122"/>
  <c r="M18" i="122"/>
  <c r="L18" i="122"/>
  <c r="K18" i="122"/>
  <c r="X17" i="122"/>
  <c r="W17" i="122"/>
  <c r="V17" i="122"/>
  <c r="S17" i="122"/>
  <c r="R17" i="122"/>
  <c r="Q17" i="122"/>
  <c r="P17" i="122"/>
  <c r="O17" i="122"/>
  <c r="N17" i="122"/>
  <c r="M17" i="122"/>
  <c r="L17" i="122"/>
  <c r="K17" i="122"/>
  <c r="R16" i="122"/>
  <c r="N16" i="122"/>
  <c r="M16" i="122"/>
  <c r="L16" i="122"/>
  <c r="K16" i="122"/>
  <c r="Y2" i="122"/>
  <c r="M18" i="120"/>
  <c r="N18" i="120"/>
  <c r="O18" i="120"/>
  <c r="P18" i="120"/>
  <c r="Q18" i="120"/>
  <c r="R18" i="120"/>
  <c r="M19" i="120"/>
  <c r="N19" i="120"/>
  <c r="O19" i="120"/>
  <c r="P19" i="120"/>
  <c r="Q19" i="120"/>
  <c r="R19" i="120"/>
  <c r="M20" i="120"/>
  <c r="N20" i="120"/>
  <c r="O20" i="120"/>
  <c r="P20" i="120"/>
  <c r="Q20" i="120"/>
  <c r="R20" i="120"/>
  <c r="M21" i="120"/>
  <c r="N21" i="120"/>
  <c r="O21" i="120"/>
  <c r="P21" i="120"/>
  <c r="Q21" i="120"/>
  <c r="R21" i="120"/>
  <c r="M22" i="120"/>
  <c r="N22" i="120"/>
  <c r="O22" i="120"/>
  <c r="P22" i="120"/>
  <c r="Q22" i="120"/>
  <c r="R22" i="120"/>
  <c r="M23" i="120"/>
  <c r="N23" i="120"/>
  <c r="O23" i="120"/>
  <c r="P23" i="120"/>
  <c r="Q23" i="120"/>
  <c r="R23" i="120"/>
  <c r="M24" i="120"/>
  <c r="N24" i="120"/>
  <c r="O24" i="120"/>
  <c r="P24" i="120"/>
  <c r="Q24" i="120"/>
  <c r="R24" i="120"/>
  <c r="M25" i="120"/>
  <c r="N25" i="120"/>
  <c r="O25" i="120"/>
  <c r="P25" i="120"/>
  <c r="Q25" i="120"/>
  <c r="R25" i="120"/>
  <c r="M26" i="120"/>
  <c r="N26" i="120"/>
  <c r="O26" i="120"/>
  <c r="P26" i="120"/>
  <c r="Q26" i="120"/>
  <c r="R26" i="120"/>
  <c r="M27" i="120"/>
  <c r="N27" i="120"/>
  <c r="O27" i="120"/>
  <c r="P27" i="120"/>
  <c r="Q27" i="120"/>
  <c r="R27" i="120"/>
  <c r="M28" i="120"/>
  <c r="N28" i="120"/>
  <c r="O28" i="120"/>
  <c r="P28" i="120"/>
  <c r="Q28" i="120"/>
  <c r="R28" i="120"/>
  <c r="M29" i="120"/>
  <c r="N29" i="120"/>
  <c r="O29" i="120"/>
  <c r="P29" i="120"/>
  <c r="Q29" i="120"/>
  <c r="R29" i="120"/>
  <c r="M30" i="120"/>
  <c r="N30" i="120"/>
  <c r="O30" i="120"/>
  <c r="P30" i="120"/>
  <c r="Q30" i="120"/>
  <c r="R30" i="120"/>
  <c r="M31" i="120"/>
  <c r="N31" i="120"/>
  <c r="O31" i="120"/>
  <c r="P31" i="120"/>
  <c r="Q31" i="120"/>
  <c r="R31" i="120"/>
  <c r="M32" i="120"/>
  <c r="N32" i="120"/>
  <c r="O32" i="120"/>
  <c r="P32" i="120"/>
  <c r="Q32" i="120"/>
  <c r="R32" i="120"/>
  <c r="M33" i="120"/>
  <c r="N33" i="120"/>
  <c r="O33" i="120"/>
  <c r="P33" i="120"/>
  <c r="Q33" i="120"/>
  <c r="R33" i="120"/>
  <c r="M34" i="120"/>
  <c r="N34" i="120"/>
  <c r="O34" i="120"/>
  <c r="P34" i="120"/>
  <c r="Q34" i="120"/>
  <c r="R34" i="120"/>
  <c r="M35" i="120"/>
  <c r="N35" i="120"/>
  <c r="O35" i="120"/>
  <c r="P35" i="120"/>
  <c r="Q35" i="120"/>
  <c r="R35" i="120"/>
  <c r="M36" i="120"/>
  <c r="N36" i="120"/>
  <c r="O36" i="120"/>
  <c r="P36" i="120"/>
  <c r="Q36" i="120"/>
  <c r="R36" i="120"/>
  <c r="M37" i="120"/>
  <c r="N37" i="120"/>
  <c r="O37" i="120"/>
  <c r="P37" i="120"/>
  <c r="Q37" i="120"/>
  <c r="R37" i="120"/>
  <c r="N38" i="120"/>
  <c r="R38" i="120"/>
  <c r="N39" i="120"/>
  <c r="R39" i="120"/>
  <c r="N40" i="120"/>
  <c r="R40" i="120"/>
  <c r="N41" i="120"/>
  <c r="R41" i="120"/>
  <c r="N42" i="120"/>
  <c r="R42" i="120"/>
  <c r="N43" i="120"/>
  <c r="R43" i="120"/>
  <c r="N44" i="120"/>
  <c r="R44" i="120"/>
  <c r="N45" i="120"/>
  <c r="R45" i="120"/>
  <c r="N46" i="120"/>
  <c r="R46" i="120"/>
  <c r="N47" i="120"/>
  <c r="R47" i="120"/>
  <c r="N48" i="120"/>
  <c r="R48" i="120"/>
  <c r="N49" i="120"/>
  <c r="R49" i="120"/>
  <c r="N50" i="120"/>
  <c r="R50" i="120"/>
  <c r="N51" i="120"/>
  <c r="R51" i="120"/>
  <c r="N52" i="120"/>
  <c r="R52" i="120"/>
  <c r="N53" i="120"/>
  <c r="R53" i="120"/>
  <c r="N54" i="120"/>
  <c r="R54" i="120"/>
  <c r="N55" i="120"/>
  <c r="R55" i="120"/>
  <c r="N56" i="120"/>
  <c r="R56" i="120"/>
  <c r="N57" i="120"/>
  <c r="R57" i="120"/>
  <c r="N58" i="120"/>
  <c r="R58" i="120"/>
  <c r="N59" i="120"/>
  <c r="R59" i="120"/>
  <c r="N60" i="120"/>
  <c r="R60" i="120"/>
  <c r="N61" i="120"/>
  <c r="R61" i="120"/>
  <c r="N62" i="120"/>
  <c r="R62" i="120"/>
  <c r="N63" i="120"/>
  <c r="R63" i="120"/>
  <c r="N64" i="120"/>
  <c r="R64" i="120"/>
  <c r="N65" i="120"/>
  <c r="R65" i="120"/>
  <c r="N66" i="120"/>
  <c r="R66" i="120"/>
  <c r="N67" i="120"/>
  <c r="R67" i="120"/>
  <c r="N68" i="120"/>
  <c r="R68" i="120"/>
  <c r="N69" i="120"/>
  <c r="R69" i="120"/>
  <c r="N70" i="120"/>
  <c r="R70" i="120"/>
  <c r="N71" i="120"/>
  <c r="R71" i="120"/>
  <c r="N72" i="120"/>
  <c r="R72" i="120"/>
  <c r="N73" i="120"/>
  <c r="R73" i="120"/>
  <c r="N74" i="120"/>
  <c r="R74" i="120"/>
  <c r="N75" i="120"/>
  <c r="R75" i="120"/>
  <c r="N76" i="120"/>
  <c r="R76" i="120"/>
  <c r="N77" i="120"/>
  <c r="R77" i="120"/>
  <c r="N78" i="120"/>
  <c r="R78" i="120"/>
  <c r="N79" i="120"/>
  <c r="R79" i="120"/>
  <c r="N80" i="120"/>
  <c r="R80" i="120"/>
  <c r="N81" i="120"/>
  <c r="R81" i="120"/>
  <c r="N82" i="120"/>
  <c r="R82" i="120"/>
  <c r="N83" i="120"/>
  <c r="R83" i="120"/>
  <c r="N84" i="120"/>
  <c r="R84" i="120"/>
  <c r="N85" i="120"/>
  <c r="R85" i="120"/>
  <c r="N86" i="120"/>
  <c r="R86" i="120"/>
  <c r="N87" i="120"/>
  <c r="R87" i="120"/>
  <c r="N88" i="120"/>
  <c r="R88" i="120"/>
  <c r="N89" i="120"/>
  <c r="R89" i="120"/>
  <c r="N90" i="120"/>
  <c r="R90" i="120"/>
  <c r="N91" i="120"/>
  <c r="R91" i="120"/>
  <c r="N92" i="120"/>
  <c r="R92" i="120"/>
  <c r="N93" i="120"/>
  <c r="R93" i="120"/>
  <c r="N94" i="120"/>
  <c r="R94" i="120"/>
  <c r="N95" i="120"/>
  <c r="R95" i="120"/>
  <c r="N96" i="120"/>
  <c r="R96" i="120"/>
  <c r="N97" i="120"/>
  <c r="R97" i="120"/>
  <c r="N98" i="120"/>
  <c r="R98" i="120"/>
  <c r="N99" i="120"/>
  <c r="R99" i="120"/>
  <c r="N100" i="120"/>
  <c r="R100" i="120"/>
  <c r="N101" i="120"/>
  <c r="R101" i="120"/>
  <c r="N102" i="120"/>
  <c r="R102" i="120"/>
  <c r="N103" i="120"/>
  <c r="R103" i="120"/>
  <c r="N104" i="120"/>
  <c r="R104" i="120"/>
  <c r="N105" i="120"/>
  <c r="R105" i="120"/>
  <c r="N106" i="120"/>
  <c r="R106" i="120"/>
  <c r="N107" i="120"/>
  <c r="R107" i="120"/>
  <c r="N108" i="120"/>
  <c r="R108" i="120"/>
  <c r="N109" i="120"/>
  <c r="R109" i="120"/>
  <c r="N110" i="120"/>
  <c r="R110" i="120"/>
  <c r="N111" i="120"/>
  <c r="R111" i="120"/>
  <c r="N112" i="120"/>
  <c r="R112" i="120"/>
  <c r="N113" i="120"/>
  <c r="R113" i="120"/>
  <c r="N114" i="120"/>
  <c r="R114" i="120"/>
  <c r="N115" i="120"/>
  <c r="R115" i="120"/>
  <c r="N116" i="120"/>
  <c r="R116" i="120"/>
  <c r="N117" i="120"/>
  <c r="R117" i="120"/>
  <c r="N118" i="120"/>
  <c r="R118" i="120"/>
  <c r="N119" i="120"/>
  <c r="R119" i="120"/>
  <c r="N120" i="120"/>
  <c r="R120" i="120"/>
  <c r="N121" i="120"/>
  <c r="R121" i="120"/>
  <c r="N122" i="120"/>
  <c r="R122" i="120"/>
  <c r="N123" i="120"/>
  <c r="R123" i="120"/>
  <c r="N124" i="120"/>
  <c r="R124" i="120"/>
  <c r="N125" i="120"/>
  <c r="R125" i="120"/>
  <c r="N126" i="120"/>
  <c r="R126" i="120"/>
  <c r="N127" i="120"/>
  <c r="R127" i="120"/>
  <c r="N128" i="120"/>
  <c r="R128" i="120"/>
  <c r="N129" i="120"/>
  <c r="R129" i="120"/>
  <c r="N130" i="120"/>
  <c r="R130" i="120"/>
  <c r="N131" i="120"/>
  <c r="R131" i="120"/>
  <c r="N132" i="120"/>
  <c r="R132" i="120"/>
  <c r="N133" i="120"/>
  <c r="R133" i="120"/>
  <c r="N134" i="120"/>
  <c r="R134" i="120"/>
  <c r="N135" i="120"/>
  <c r="R135" i="120"/>
  <c r="N136" i="120"/>
  <c r="R136" i="120"/>
  <c r="N137" i="120"/>
  <c r="R137" i="120"/>
  <c r="N138" i="120"/>
  <c r="R138" i="120"/>
  <c r="N139" i="120"/>
  <c r="R139" i="120"/>
  <c r="N140" i="120"/>
  <c r="R140" i="120"/>
  <c r="N141" i="120"/>
  <c r="R141" i="120"/>
  <c r="N142" i="120"/>
  <c r="R142" i="120"/>
  <c r="N143" i="120"/>
  <c r="R143" i="120"/>
  <c r="N144" i="120"/>
  <c r="R144" i="120"/>
  <c r="N145" i="120"/>
  <c r="R145" i="120"/>
  <c r="N146" i="120"/>
  <c r="R146" i="120"/>
  <c r="N147" i="120"/>
  <c r="R147" i="120"/>
  <c r="N148" i="120"/>
  <c r="R148" i="120"/>
  <c r="N149" i="120"/>
  <c r="R149" i="120"/>
  <c r="N150" i="120"/>
  <c r="R150" i="120"/>
  <c r="N151" i="120"/>
  <c r="R151" i="120"/>
  <c r="N152" i="120"/>
  <c r="R152" i="120"/>
  <c r="N153" i="120"/>
  <c r="R153" i="120"/>
  <c r="K23" i="120"/>
  <c r="K29" i="118"/>
  <c r="K22" i="120" l="1"/>
  <c r="K28" i="118"/>
  <c r="R26" i="118"/>
  <c r="R27" i="118"/>
  <c r="N26" i="118"/>
  <c r="N27" i="118"/>
  <c r="M26" i="118"/>
  <c r="M27" i="118"/>
  <c r="K21" i="120"/>
  <c r="K27" i="118"/>
  <c r="K20" i="120"/>
  <c r="K26" i="118"/>
  <c r="L19" i="120"/>
  <c r="K19" i="120"/>
  <c r="K25" i="118"/>
  <c r="R17" i="120"/>
  <c r="K18" i="120"/>
  <c r="K24" i="118"/>
  <c r="N17" i="120"/>
  <c r="M17" i="120"/>
  <c r="Q17" i="120"/>
  <c r="P17" i="120"/>
  <c r="O17" i="120"/>
  <c r="L17" i="120"/>
  <c r="R16" i="120"/>
  <c r="N16" i="120"/>
  <c r="M16" i="120"/>
  <c r="L16" i="120"/>
  <c r="K17" i="120"/>
  <c r="K23" i="118" l="1"/>
  <c r="K16" i="120"/>
  <c r="W7" i="120"/>
  <c r="X153" i="120"/>
  <c r="W153" i="120"/>
  <c r="V153" i="120"/>
  <c r="U153" i="120"/>
  <c r="T153" i="120"/>
  <c r="S153" i="120"/>
  <c r="X152" i="120"/>
  <c r="W152" i="120"/>
  <c r="V152" i="120"/>
  <c r="U152" i="120"/>
  <c r="T152" i="120"/>
  <c r="S152" i="120"/>
  <c r="X151" i="120"/>
  <c r="W151" i="120"/>
  <c r="V151" i="120"/>
  <c r="U151" i="120"/>
  <c r="T151" i="120"/>
  <c r="S151" i="120"/>
  <c r="X150" i="120"/>
  <c r="W150" i="120"/>
  <c r="V150" i="120"/>
  <c r="U150" i="120"/>
  <c r="T150" i="120"/>
  <c r="S150" i="120"/>
  <c r="X149" i="120"/>
  <c r="W149" i="120"/>
  <c r="V149" i="120"/>
  <c r="U149" i="120"/>
  <c r="T149" i="120"/>
  <c r="S149" i="120"/>
  <c r="X148" i="120"/>
  <c r="W148" i="120"/>
  <c r="V148" i="120"/>
  <c r="U148" i="120"/>
  <c r="T148" i="120"/>
  <c r="S148" i="120"/>
  <c r="X147" i="120"/>
  <c r="W147" i="120"/>
  <c r="V147" i="120"/>
  <c r="U147" i="120"/>
  <c r="T147" i="120"/>
  <c r="S147" i="120"/>
  <c r="X146" i="120"/>
  <c r="W146" i="120"/>
  <c r="V146" i="120"/>
  <c r="U146" i="120"/>
  <c r="T146" i="120"/>
  <c r="S146" i="120"/>
  <c r="X145" i="120"/>
  <c r="W145" i="120"/>
  <c r="V145" i="120"/>
  <c r="U145" i="120"/>
  <c r="T145" i="120"/>
  <c r="S145" i="120"/>
  <c r="X144" i="120"/>
  <c r="W144" i="120"/>
  <c r="V144" i="120"/>
  <c r="U144" i="120"/>
  <c r="T144" i="120"/>
  <c r="S144" i="120"/>
  <c r="X143" i="120"/>
  <c r="W143" i="120"/>
  <c r="V143" i="120"/>
  <c r="U143" i="120"/>
  <c r="T143" i="120"/>
  <c r="S143" i="120"/>
  <c r="X142" i="120"/>
  <c r="W142" i="120"/>
  <c r="V142" i="120"/>
  <c r="U142" i="120"/>
  <c r="T142" i="120"/>
  <c r="S142" i="120"/>
  <c r="X141" i="120"/>
  <c r="W141" i="120"/>
  <c r="V141" i="120"/>
  <c r="U141" i="120"/>
  <c r="T141" i="120"/>
  <c r="S141" i="120"/>
  <c r="X140" i="120"/>
  <c r="W140" i="120"/>
  <c r="V140" i="120"/>
  <c r="U140" i="120"/>
  <c r="T140" i="120"/>
  <c r="S140" i="120"/>
  <c r="X139" i="120"/>
  <c r="W139" i="120"/>
  <c r="V139" i="120"/>
  <c r="U139" i="120"/>
  <c r="T139" i="120"/>
  <c r="S139" i="120"/>
  <c r="X138" i="120"/>
  <c r="W138" i="120"/>
  <c r="V138" i="120"/>
  <c r="U138" i="120"/>
  <c r="T138" i="120"/>
  <c r="S138" i="120"/>
  <c r="X137" i="120"/>
  <c r="W137" i="120"/>
  <c r="V137" i="120"/>
  <c r="U137" i="120"/>
  <c r="T137" i="120"/>
  <c r="S137" i="120"/>
  <c r="X136" i="120"/>
  <c r="W136" i="120"/>
  <c r="V136" i="120"/>
  <c r="U136" i="120"/>
  <c r="T136" i="120"/>
  <c r="S136" i="120"/>
  <c r="X135" i="120"/>
  <c r="W135" i="120"/>
  <c r="V135" i="120"/>
  <c r="U135" i="120"/>
  <c r="T135" i="120"/>
  <c r="S135" i="120"/>
  <c r="X134" i="120"/>
  <c r="W134" i="120"/>
  <c r="V134" i="120"/>
  <c r="U134" i="120"/>
  <c r="T134" i="120"/>
  <c r="S134" i="120"/>
  <c r="X133" i="120"/>
  <c r="W133" i="120"/>
  <c r="V133" i="120"/>
  <c r="U133" i="120"/>
  <c r="T133" i="120"/>
  <c r="S133" i="120"/>
  <c r="X132" i="120"/>
  <c r="W132" i="120"/>
  <c r="V132" i="120"/>
  <c r="U132" i="120"/>
  <c r="T132" i="120"/>
  <c r="S132" i="120"/>
  <c r="X131" i="120"/>
  <c r="W131" i="120"/>
  <c r="V131" i="120"/>
  <c r="U131" i="120"/>
  <c r="T131" i="120"/>
  <c r="S131" i="120"/>
  <c r="X130" i="120"/>
  <c r="W130" i="120"/>
  <c r="V130" i="120"/>
  <c r="U130" i="120"/>
  <c r="T130" i="120"/>
  <c r="S130" i="120"/>
  <c r="X129" i="120"/>
  <c r="W129" i="120"/>
  <c r="V129" i="120"/>
  <c r="U129" i="120"/>
  <c r="T129" i="120"/>
  <c r="S129" i="120"/>
  <c r="X128" i="120"/>
  <c r="W128" i="120"/>
  <c r="V128" i="120"/>
  <c r="U128" i="120"/>
  <c r="T128" i="120"/>
  <c r="S128" i="120"/>
  <c r="X127" i="120"/>
  <c r="W127" i="120"/>
  <c r="V127" i="120"/>
  <c r="U127" i="120"/>
  <c r="T127" i="120"/>
  <c r="S127" i="120"/>
  <c r="X126" i="120"/>
  <c r="W126" i="120"/>
  <c r="V126" i="120"/>
  <c r="U126" i="120"/>
  <c r="T126" i="120"/>
  <c r="S126" i="120"/>
  <c r="X125" i="120"/>
  <c r="W125" i="120"/>
  <c r="V125" i="120"/>
  <c r="U125" i="120"/>
  <c r="T125" i="120"/>
  <c r="S125" i="120"/>
  <c r="X124" i="120"/>
  <c r="W124" i="120"/>
  <c r="V124" i="120"/>
  <c r="U124" i="120"/>
  <c r="T124" i="120"/>
  <c r="S124" i="120"/>
  <c r="X123" i="120"/>
  <c r="W123" i="120"/>
  <c r="V123" i="120"/>
  <c r="U123" i="120"/>
  <c r="T123" i="120"/>
  <c r="S123" i="120"/>
  <c r="X122" i="120"/>
  <c r="W122" i="120"/>
  <c r="V122" i="120"/>
  <c r="U122" i="120"/>
  <c r="T122" i="120"/>
  <c r="S122" i="120"/>
  <c r="X121" i="120"/>
  <c r="W121" i="120"/>
  <c r="V121" i="120"/>
  <c r="U121" i="120"/>
  <c r="T121" i="120"/>
  <c r="S121" i="120"/>
  <c r="X120" i="120"/>
  <c r="W120" i="120"/>
  <c r="V120" i="120"/>
  <c r="U120" i="120"/>
  <c r="T120" i="120"/>
  <c r="S120" i="120"/>
  <c r="X119" i="120"/>
  <c r="W119" i="120"/>
  <c r="V119" i="120"/>
  <c r="U119" i="120"/>
  <c r="T119" i="120"/>
  <c r="S119" i="120"/>
  <c r="X118" i="120"/>
  <c r="W118" i="120"/>
  <c r="V118" i="120"/>
  <c r="U118" i="120"/>
  <c r="T118" i="120"/>
  <c r="S118" i="120"/>
  <c r="X117" i="120"/>
  <c r="W117" i="120"/>
  <c r="V117" i="120"/>
  <c r="U117" i="120"/>
  <c r="T117" i="120"/>
  <c r="S117" i="120"/>
  <c r="X116" i="120"/>
  <c r="W116" i="120"/>
  <c r="V116" i="120"/>
  <c r="U116" i="120"/>
  <c r="T116" i="120"/>
  <c r="S116" i="120"/>
  <c r="X115" i="120"/>
  <c r="W115" i="120"/>
  <c r="V115" i="120"/>
  <c r="U115" i="120"/>
  <c r="T115" i="120"/>
  <c r="S115" i="120"/>
  <c r="X114" i="120"/>
  <c r="W114" i="120"/>
  <c r="V114" i="120"/>
  <c r="U114" i="120"/>
  <c r="T114" i="120"/>
  <c r="S114" i="120"/>
  <c r="X113" i="120"/>
  <c r="W113" i="120"/>
  <c r="V113" i="120"/>
  <c r="U113" i="120"/>
  <c r="T113" i="120"/>
  <c r="S113" i="120"/>
  <c r="X112" i="120"/>
  <c r="W112" i="120"/>
  <c r="V112" i="120"/>
  <c r="U112" i="120"/>
  <c r="T112" i="120"/>
  <c r="S112" i="120"/>
  <c r="X111" i="120"/>
  <c r="W111" i="120"/>
  <c r="V111" i="120"/>
  <c r="U111" i="120"/>
  <c r="T111" i="120"/>
  <c r="S111" i="120"/>
  <c r="X110" i="120"/>
  <c r="W110" i="120"/>
  <c r="V110" i="120"/>
  <c r="U110" i="120"/>
  <c r="T110" i="120"/>
  <c r="S110" i="120"/>
  <c r="X109" i="120"/>
  <c r="W109" i="120"/>
  <c r="V109" i="120"/>
  <c r="U109" i="120"/>
  <c r="T109" i="120"/>
  <c r="S109" i="120"/>
  <c r="X108" i="120"/>
  <c r="W108" i="120"/>
  <c r="V108" i="120"/>
  <c r="U108" i="120"/>
  <c r="T108" i="120"/>
  <c r="S108" i="120"/>
  <c r="X107" i="120"/>
  <c r="W107" i="120"/>
  <c r="V107" i="120"/>
  <c r="U107" i="120"/>
  <c r="T107" i="120"/>
  <c r="S107" i="120"/>
  <c r="X106" i="120"/>
  <c r="W106" i="120"/>
  <c r="V106" i="120"/>
  <c r="U106" i="120"/>
  <c r="T106" i="120"/>
  <c r="S106" i="120"/>
  <c r="X105" i="120"/>
  <c r="W105" i="120"/>
  <c r="V105" i="120"/>
  <c r="U105" i="120"/>
  <c r="T105" i="120"/>
  <c r="S105" i="120"/>
  <c r="X104" i="120"/>
  <c r="W104" i="120"/>
  <c r="V104" i="120"/>
  <c r="U104" i="120"/>
  <c r="T104" i="120"/>
  <c r="S104" i="120"/>
  <c r="X103" i="120"/>
  <c r="W103" i="120"/>
  <c r="V103" i="120"/>
  <c r="U103" i="120"/>
  <c r="T103" i="120"/>
  <c r="S103" i="120"/>
  <c r="X102" i="120"/>
  <c r="W102" i="120"/>
  <c r="V102" i="120"/>
  <c r="U102" i="120"/>
  <c r="T102" i="120"/>
  <c r="S102" i="120"/>
  <c r="X101" i="120"/>
  <c r="W101" i="120"/>
  <c r="V101" i="120"/>
  <c r="U101" i="120"/>
  <c r="T101" i="120"/>
  <c r="S101" i="120"/>
  <c r="X100" i="120"/>
  <c r="W100" i="120"/>
  <c r="V100" i="120"/>
  <c r="U100" i="120"/>
  <c r="T100" i="120"/>
  <c r="S100" i="120"/>
  <c r="X99" i="120"/>
  <c r="W99" i="120"/>
  <c r="V99" i="120"/>
  <c r="U99" i="120"/>
  <c r="T99" i="120"/>
  <c r="S99" i="120"/>
  <c r="X98" i="120"/>
  <c r="W98" i="120"/>
  <c r="V98" i="120"/>
  <c r="U98" i="120"/>
  <c r="T98" i="120"/>
  <c r="S98" i="120"/>
  <c r="X97" i="120"/>
  <c r="W97" i="120"/>
  <c r="V97" i="120"/>
  <c r="U97" i="120"/>
  <c r="T97" i="120"/>
  <c r="S97" i="120"/>
  <c r="X96" i="120"/>
  <c r="W96" i="120"/>
  <c r="V96" i="120"/>
  <c r="U96" i="120"/>
  <c r="T96" i="120"/>
  <c r="S96" i="120"/>
  <c r="X95" i="120"/>
  <c r="W95" i="120"/>
  <c r="V95" i="120"/>
  <c r="U95" i="120"/>
  <c r="T95" i="120"/>
  <c r="S95" i="120"/>
  <c r="X94" i="120"/>
  <c r="W94" i="120"/>
  <c r="V94" i="120"/>
  <c r="U94" i="120"/>
  <c r="T94" i="120"/>
  <c r="S94" i="120"/>
  <c r="X93" i="120"/>
  <c r="W93" i="120"/>
  <c r="V93" i="120"/>
  <c r="U93" i="120"/>
  <c r="T93" i="120"/>
  <c r="S93" i="120"/>
  <c r="X92" i="120"/>
  <c r="W92" i="120"/>
  <c r="V92" i="120"/>
  <c r="U92" i="120"/>
  <c r="T92" i="120"/>
  <c r="S92" i="120"/>
  <c r="X91" i="120"/>
  <c r="W91" i="120"/>
  <c r="V91" i="120"/>
  <c r="U91" i="120"/>
  <c r="T91" i="120"/>
  <c r="S91" i="120"/>
  <c r="X90" i="120"/>
  <c r="W90" i="120"/>
  <c r="V90" i="120"/>
  <c r="U90" i="120"/>
  <c r="T90" i="120"/>
  <c r="S90" i="120"/>
  <c r="X89" i="120"/>
  <c r="W89" i="120"/>
  <c r="V89" i="120"/>
  <c r="U89" i="120"/>
  <c r="T89" i="120"/>
  <c r="S89" i="120"/>
  <c r="X88" i="120"/>
  <c r="W88" i="120"/>
  <c r="V88" i="120"/>
  <c r="U88" i="120"/>
  <c r="T88" i="120"/>
  <c r="S88" i="120"/>
  <c r="X87" i="120"/>
  <c r="W87" i="120"/>
  <c r="V87" i="120"/>
  <c r="U87" i="120"/>
  <c r="T87" i="120"/>
  <c r="S87" i="120"/>
  <c r="X86" i="120"/>
  <c r="W86" i="120"/>
  <c r="V86" i="120"/>
  <c r="U86" i="120"/>
  <c r="T86" i="120"/>
  <c r="S86" i="120"/>
  <c r="X85" i="120"/>
  <c r="W85" i="120"/>
  <c r="V85" i="120"/>
  <c r="U85" i="120"/>
  <c r="T85" i="120"/>
  <c r="S85" i="120"/>
  <c r="X84" i="120"/>
  <c r="W84" i="120"/>
  <c r="V84" i="120"/>
  <c r="U84" i="120"/>
  <c r="T84" i="120"/>
  <c r="S84" i="120"/>
  <c r="X83" i="120"/>
  <c r="W83" i="120"/>
  <c r="V83" i="120"/>
  <c r="U83" i="120"/>
  <c r="T83" i="120"/>
  <c r="S83" i="120"/>
  <c r="X82" i="120"/>
  <c r="W82" i="120"/>
  <c r="V82" i="120"/>
  <c r="U82" i="120"/>
  <c r="T82" i="120"/>
  <c r="S82" i="120"/>
  <c r="X81" i="120"/>
  <c r="W81" i="120"/>
  <c r="V81" i="120"/>
  <c r="U81" i="120"/>
  <c r="T81" i="120"/>
  <c r="S81" i="120"/>
  <c r="X80" i="120"/>
  <c r="W80" i="120"/>
  <c r="V80" i="120"/>
  <c r="U80" i="120"/>
  <c r="T80" i="120"/>
  <c r="S80" i="120"/>
  <c r="X79" i="120"/>
  <c r="W79" i="120"/>
  <c r="V79" i="120"/>
  <c r="U79" i="120"/>
  <c r="T79" i="120"/>
  <c r="S79" i="120"/>
  <c r="X78" i="120"/>
  <c r="W78" i="120"/>
  <c r="V78" i="120"/>
  <c r="U78" i="120"/>
  <c r="T78" i="120"/>
  <c r="S78" i="120"/>
  <c r="X77" i="120"/>
  <c r="W77" i="120"/>
  <c r="V77" i="120"/>
  <c r="U77" i="120"/>
  <c r="T77" i="120"/>
  <c r="S77" i="120"/>
  <c r="X76" i="120"/>
  <c r="W76" i="120"/>
  <c r="V76" i="120"/>
  <c r="U76" i="120"/>
  <c r="T76" i="120"/>
  <c r="S76" i="120"/>
  <c r="X75" i="120"/>
  <c r="W75" i="120"/>
  <c r="V75" i="120"/>
  <c r="U75" i="120"/>
  <c r="T75" i="120"/>
  <c r="S75" i="120"/>
  <c r="X74" i="120"/>
  <c r="W74" i="120"/>
  <c r="V74" i="120"/>
  <c r="U74" i="120"/>
  <c r="T74" i="120"/>
  <c r="S74" i="120"/>
  <c r="X73" i="120"/>
  <c r="W73" i="120"/>
  <c r="V73" i="120"/>
  <c r="U73" i="120"/>
  <c r="T73" i="120"/>
  <c r="S73" i="120"/>
  <c r="X72" i="120"/>
  <c r="W72" i="120"/>
  <c r="V72" i="120"/>
  <c r="U72" i="120"/>
  <c r="T72" i="120"/>
  <c r="S72" i="120"/>
  <c r="X71" i="120"/>
  <c r="W71" i="120"/>
  <c r="V71" i="120"/>
  <c r="U71" i="120"/>
  <c r="T71" i="120"/>
  <c r="S71" i="120"/>
  <c r="X70" i="120"/>
  <c r="W70" i="120"/>
  <c r="V70" i="120"/>
  <c r="U70" i="120"/>
  <c r="T70" i="120"/>
  <c r="S70" i="120"/>
  <c r="X69" i="120"/>
  <c r="W69" i="120"/>
  <c r="V69" i="120"/>
  <c r="U69" i="120"/>
  <c r="T69" i="120"/>
  <c r="S69" i="120"/>
  <c r="X68" i="120"/>
  <c r="W68" i="120"/>
  <c r="V68" i="120"/>
  <c r="U68" i="120"/>
  <c r="T68" i="120"/>
  <c r="S68" i="120"/>
  <c r="X67" i="120"/>
  <c r="W67" i="120"/>
  <c r="V67" i="120"/>
  <c r="U67" i="120"/>
  <c r="T67" i="120"/>
  <c r="S67" i="120"/>
  <c r="X66" i="120"/>
  <c r="W66" i="120"/>
  <c r="V66" i="120"/>
  <c r="U66" i="120"/>
  <c r="T66" i="120"/>
  <c r="S66" i="120"/>
  <c r="X65" i="120"/>
  <c r="W65" i="120"/>
  <c r="V65" i="120"/>
  <c r="U65" i="120"/>
  <c r="T65" i="120"/>
  <c r="S65" i="120"/>
  <c r="X64" i="120"/>
  <c r="W64" i="120"/>
  <c r="V64" i="120"/>
  <c r="U64" i="120"/>
  <c r="T64" i="120"/>
  <c r="S64" i="120"/>
  <c r="X63" i="120"/>
  <c r="W63" i="120"/>
  <c r="V63" i="120"/>
  <c r="U63" i="120"/>
  <c r="T63" i="120"/>
  <c r="S63" i="120"/>
  <c r="X62" i="120"/>
  <c r="W62" i="120"/>
  <c r="V62" i="120"/>
  <c r="U62" i="120"/>
  <c r="T62" i="120"/>
  <c r="S62" i="120"/>
  <c r="X61" i="120"/>
  <c r="W61" i="120"/>
  <c r="V61" i="120"/>
  <c r="U61" i="120"/>
  <c r="T61" i="120"/>
  <c r="S61" i="120"/>
  <c r="X60" i="120"/>
  <c r="W60" i="120"/>
  <c r="V60" i="120"/>
  <c r="U60" i="120"/>
  <c r="T60" i="120"/>
  <c r="S60" i="120"/>
  <c r="X59" i="120"/>
  <c r="W59" i="120"/>
  <c r="V59" i="120"/>
  <c r="U59" i="120"/>
  <c r="T59" i="120"/>
  <c r="S59" i="120"/>
  <c r="X58" i="120"/>
  <c r="W58" i="120"/>
  <c r="V58" i="120"/>
  <c r="U58" i="120"/>
  <c r="T58" i="120"/>
  <c r="S58" i="120"/>
  <c r="X57" i="120"/>
  <c r="W57" i="120"/>
  <c r="V57" i="120"/>
  <c r="U57" i="120"/>
  <c r="T57" i="120"/>
  <c r="S57" i="120"/>
  <c r="X56" i="120"/>
  <c r="W56" i="120"/>
  <c r="V56" i="120"/>
  <c r="U56" i="120"/>
  <c r="T56" i="120"/>
  <c r="S56" i="120"/>
  <c r="X55" i="120"/>
  <c r="W55" i="120"/>
  <c r="V55" i="120"/>
  <c r="U55" i="120"/>
  <c r="T55" i="120"/>
  <c r="S55" i="120"/>
  <c r="X54" i="120"/>
  <c r="W54" i="120"/>
  <c r="V54" i="120"/>
  <c r="U54" i="120"/>
  <c r="T54" i="120"/>
  <c r="S54" i="120"/>
  <c r="X53" i="120"/>
  <c r="W53" i="120"/>
  <c r="V53" i="120"/>
  <c r="U53" i="120"/>
  <c r="T53" i="120"/>
  <c r="S53" i="120"/>
  <c r="X52" i="120"/>
  <c r="W52" i="120"/>
  <c r="V52" i="120"/>
  <c r="U52" i="120"/>
  <c r="T52" i="120"/>
  <c r="S52" i="120"/>
  <c r="X51" i="120"/>
  <c r="W51" i="120"/>
  <c r="V51" i="120"/>
  <c r="U51" i="120"/>
  <c r="T51" i="120"/>
  <c r="S51" i="120"/>
  <c r="X50" i="120"/>
  <c r="W50" i="120"/>
  <c r="V50" i="120"/>
  <c r="U50" i="120"/>
  <c r="T50" i="120"/>
  <c r="S50" i="120"/>
  <c r="X49" i="120"/>
  <c r="W49" i="120"/>
  <c r="V49" i="120"/>
  <c r="U49" i="120"/>
  <c r="T49" i="120"/>
  <c r="S49" i="120"/>
  <c r="X48" i="120"/>
  <c r="W48" i="120"/>
  <c r="V48" i="120"/>
  <c r="U48" i="120"/>
  <c r="T48" i="120"/>
  <c r="S48" i="120"/>
  <c r="X47" i="120"/>
  <c r="W47" i="120"/>
  <c r="V47" i="120"/>
  <c r="U47" i="120"/>
  <c r="T47" i="120"/>
  <c r="S47" i="120"/>
  <c r="X46" i="120"/>
  <c r="W46" i="120"/>
  <c r="V46" i="120"/>
  <c r="U46" i="120"/>
  <c r="T46" i="120"/>
  <c r="S46" i="120"/>
  <c r="X45" i="120"/>
  <c r="W45" i="120"/>
  <c r="V45" i="120"/>
  <c r="U45" i="120"/>
  <c r="T45" i="120"/>
  <c r="S45" i="120"/>
  <c r="X44" i="120"/>
  <c r="W44" i="120"/>
  <c r="V44" i="120"/>
  <c r="U44" i="120"/>
  <c r="T44" i="120"/>
  <c r="S44" i="120"/>
  <c r="X43" i="120"/>
  <c r="W43" i="120"/>
  <c r="V43" i="120"/>
  <c r="U43" i="120"/>
  <c r="T43" i="120"/>
  <c r="S43" i="120"/>
  <c r="X42" i="120"/>
  <c r="W42" i="120"/>
  <c r="V42" i="120"/>
  <c r="U42" i="120"/>
  <c r="T42" i="120"/>
  <c r="S42" i="120"/>
  <c r="X41" i="120"/>
  <c r="W41" i="120"/>
  <c r="V41" i="120"/>
  <c r="U41" i="120"/>
  <c r="T41" i="120"/>
  <c r="S41" i="120"/>
  <c r="X40" i="120"/>
  <c r="W40" i="120"/>
  <c r="V40" i="120"/>
  <c r="U40" i="120"/>
  <c r="T40" i="120"/>
  <c r="S40" i="120"/>
  <c r="X39" i="120"/>
  <c r="W39" i="120"/>
  <c r="V39" i="120"/>
  <c r="U39" i="120"/>
  <c r="T39" i="120"/>
  <c r="U38" i="120"/>
  <c r="S38" i="120"/>
  <c r="L38" i="120"/>
  <c r="X37" i="120"/>
  <c r="W37" i="120"/>
  <c r="V37" i="120"/>
  <c r="U37" i="120"/>
  <c r="T37" i="120"/>
  <c r="S37" i="120"/>
  <c r="L37" i="120"/>
  <c r="X36" i="120"/>
  <c r="W36" i="120"/>
  <c r="V36" i="120"/>
  <c r="U36" i="120"/>
  <c r="T36" i="120"/>
  <c r="S36" i="120"/>
  <c r="L36" i="120"/>
  <c r="X35" i="120"/>
  <c r="W35" i="120"/>
  <c r="V35" i="120"/>
  <c r="U35" i="120"/>
  <c r="T35" i="120"/>
  <c r="S35" i="120"/>
  <c r="L35" i="120"/>
  <c r="X34" i="120"/>
  <c r="W34" i="120"/>
  <c r="V34" i="120"/>
  <c r="U34" i="120"/>
  <c r="T34" i="120"/>
  <c r="S34" i="120"/>
  <c r="L34" i="120"/>
  <c r="X33" i="120"/>
  <c r="W33" i="120"/>
  <c r="V33" i="120"/>
  <c r="U33" i="120"/>
  <c r="T33" i="120"/>
  <c r="S33" i="120"/>
  <c r="L33" i="120"/>
  <c r="X32" i="120"/>
  <c r="W32" i="120"/>
  <c r="V32" i="120"/>
  <c r="U32" i="120"/>
  <c r="T32" i="120"/>
  <c r="S32" i="120"/>
  <c r="L32" i="120"/>
  <c r="X31" i="120"/>
  <c r="W31" i="120"/>
  <c r="V31" i="120"/>
  <c r="U31" i="120"/>
  <c r="T31" i="120"/>
  <c r="S31" i="120"/>
  <c r="L31" i="120"/>
  <c r="X30" i="120"/>
  <c r="W30" i="120"/>
  <c r="V30" i="120"/>
  <c r="U30" i="120"/>
  <c r="T30" i="120"/>
  <c r="S30" i="120"/>
  <c r="L30" i="120"/>
  <c r="X29" i="120"/>
  <c r="W29" i="120"/>
  <c r="V29" i="120"/>
  <c r="U29" i="120"/>
  <c r="T29" i="120"/>
  <c r="S29" i="120"/>
  <c r="L29" i="120"/>
  <c r="X28" i="120"/>
  <c r="W28" i="120"/>
  <c r="V28" i="120"/>
  <c r="U28" i="120"/>
  <c r="T28" i="120"/>
  <c r="S28" i="120"/>
  <c r="L28" i="120"/>
  <c r="X27" i="120"/>
  <c r="W27" i="120"/>
  <c r="V27" i="120"/>
  <c r="U27" i="120"/>
  <c r="T27" i="120"/>
  <c r="S27" i="120"/>
  <c r="L27" i="120"/>
  <c r="X26" i="120"/>
  <c r="W26" i="120"/>
  <c r="V26" i="120"/>
  <c r="U26" i="120"/>
  <c r="T26" i="120"/>
  <c r="S26" i="120"/>
  <c r="L26" i="120"/>
  <c r="X25" i="120"/>
  <c r="W25" i="120"/>
  <c r="V25" i="120"/>
  <c r="U25" i="120"/>
  <c r="T25" i="120"/>
  <c r="S25" i="120"/>
  <c r="L25" i="120"/>
  <c r="X24" i="120"/>
  <c r="W24" i="120"/>
  <c r="V24" i="120"/>
  <c r="U24" i="120"/>
  <c r="T24" i="120"/>
  <c r="S24" i="120"/>
  <c r="L24" i="120"/>
  <c r="X23" i="120"/>
  <c r="W23" i="120"/>
  <c r="V23" i="120"/>
  <c r="U23" i="120"/>
  <c r="T23" i="120"/>
  <c r="S23" i="120"/>
  <c r="L23" i="120"/>
  <c r="X22" i="120"/>
  <c r="W22" i="120"/>
  <c r="V22" i="120"/>
  <c r="U22" i="120"/>
  <c r="T22" i="120"/>
  <c r="S22" i="120"/>
  <c r="L22" i="120"/>
  <c r="X21" i="120"/>
  <c r="W21" i="120"/>
  <c r="V21" i="120"/>
  <c r="U21" i="120"/>
  <c r="T21" i="120"/>
  <c r="S21" i="120"/>
  <c r="L21" i="120"/>
  <c r="X20" i="120"/>
  <c r="W20" i="120"/>
  <c r="V20" i="120"/>
  <c r="U20" i="120"/>
  <c r="T20" i="120"/>
  <c r="S20" i="120"/>
  <c r="L20" i="120"/>
  <c r="X19" i="120"/>
  <c r="W19" i="120"/>
  <c r="V19" i="120"/>
  <c r="U19" i="120"/>
  <c r="T19" i="120"/>
  <c r="S19" i="120"/>
  <c r="X18" i="120"/>
  <c r="W18" i="120"/>
  <c r="V18" i="120"/>
  <c r="U18" i="120"/>
  <c r="T18" i="120"/>
  <c r="S18" i="120"/>
  <c r="L18" i="120"/>
  <c r="X17" i="120"/>
  <c r="W17" i="120"/>
  <c r="V17" i="120"/>
  <c r="S17" i="120"/>
  <c r="Y2" i="120"/>
  <c r="K22" i="118" l="1"/>
  <c r="K21" i="118"/>
  <c r="K20" i="118" l="1"/>
  <c r="K19" i="118"/>
  <c r="K18" i="118"/>
  <c r="L18" i="118" l="1"/>
  <c r="M18" i="118"/>
  <c r="N18" i="118"/>
  <c r="L19" i="118"/>
  <c r="M19" i="118"/>
  <c r="N19" i="118"/>
  <c r="L20" i="118"/>
  <c r="M20" i="118"/>
  <c r="N20" i="118"/>
  <c r="L21" i="118"/>
  <c r="M21" i="118"/>
  <c r="N21" i="118"/>
  <c r="L22" i="118"/>
  <c r="M22" i="118"/>
  <c r="N22" i="118"/>
  <c r="L23" i="118"/>
  <c r="M23" i="118"/>
  <c r="N23" i="118"/>
  <c r="L24" i="118"/>
  <c r="M24" i="118"/>
  <c r="N24" i="118"/>
  <c r="L25" i="118"/>
  <c r="M25" i="118"/>
  <c r="N25" i="118"/>
  <c r="L26" i="118"/>
  <c r="L27" i="118"/>
  <c r="L28" i="118"/>
  <c r="M28" i="118"/>
  <c r="N28" i="118"/>
  <c r="L29" i="118"/>
  <c r="M29" i="118"/>
  <c r="N29" i="118"/>
  <c r="L30" i="118"/>
  <c r="M30" i="118"/>
  <c r="N30" i="118"/>
  <c r="L31" i="118"/>
  <c r="M31" i="118"/>
  <c r="N31" i="118"/>
  <c r="L32" i="118"/>
  <c r="M32" i="118"/>
  <c r="N32" i="118"/>
  <c r="L33" i="118"/>
  <c r="M33" i="118"/>
  <c r="N33" i="118"/>
  <c r="L34" i="118"/>
  <c r="M34" i="118"/>
  <c r="N34" i="118"/>
  <c r="L35" i="118"/>
  <c r="M35" i="118"/>
  <c r="N35" i="118"/>
  <c r="L36" i="118"/>
  <c r="M36" i="118"/>
  <c r="N36" i="118"/>
  <c r="L37" i="118"/>
  <c r="M37" i="118"/>
  <c r="N37" i="118"/>
  <c r="L38" i="118"/>
  <c r="M38" i="118"/>
  <c r="N38" i="118"/>
  <c r="L39" i="118"/>
  <c r="M39" i="118"/>
  <c r="N39" i="118"/>
  <c r="L40" i="118"/>
  <c r="M40" i="118"/>
  <c r="N40" i="118"/>
  <c r="L41" i="118"/>
  <c r="M41" i="118"/>
  <c r="N41" i="118"/>
  <c r="L42" i="118"/>
  <c r="M42" i="118"/>
  <c r="N42" i="118"/>
  <c r="L43" i="118"/>
  <c r="M43" i="118"/>
  <c r="N43" i="118"/>
  <c r="L44" i="118"/>
  <c r="M44" i="118"/>
  <c r="N44" i="118"/>
  <c r="L45" i="118"/>
  <c r="M45" i="118"/>
  <c r="N45" i="118"/>
  <c r="L46" i="118"/>
  <c r="M46" i="118"/>
  <c r="N46" i="118"/>
  <c r="L47" i="118"/>
  <c r="M47" i="118"/>
  <c r="N47" i="118"/>
  <c r="L48" i="118"/>
  <c r="M48" i="118"/>
  <c r="N48" i="118"/>
  <c r="L49" i="118"/>
  <c r="M49" i="118"/>
  <c r="N49" i="118"/>
  <c r="L50" i="118"/>
  <c r="M50" i="118"/>
  <c r="N50" i="118"/>
  <c r="L51" i="118"/>
  <c r="M51" i="118"/>
  <c r="N51" i="118"/>
  <c r="L52" i="118"/>
  <c r="M52" i="118"/>
  <c r="N52" i="118"/>
  <c r="L53" i="118"/>
  <c r="M53" i="118"/>
  <c r="N53" i="118"/>
  <c r="L54" i="118"/>
  <c r="M54" i="118"/>
  <c r="N54" i="118"/>
  <c r="L55" i="118"/>
  <c r="M55" i="118"/>
  <c r="N55" i="118"/>
  <c r="L56" i="118"/>
  <c r="M56" i="118"/>
  <c r="N56" i="118"/>
  <c r="L57" i="118"/>
  <c r="M57" i="118"/>
  <c r="N57" i="118"/>
  <c r="L58" i="118"/>
  <c r="M58" i="118"/>
  <c r="N58" i="118"/>
  <c r="L59" i="118"/>
  <c r="M59" i="118"/>
  <c r="N59" i="118"/>
  <c r="L60" i="118"/>
  <c r="M60" i="118"/>
  <c r="N60" i="118"/>
  <c r="L61" i="118"/>
  <c r="M61" i="118"/>
  <c r="N61" i="118"/>
  <c r="L62" i="118"/>
  <c r="M62" i="118"/>
  <c r="N62" i="118"/>
  <c r="L63" i="118"/>
  <c r="M63" i="118"/>
  <c r="N63" i="118"/>
  <c r="L64" i="118"/>
  <c r="M64" i="118"/>
  <c r="N64" i="118"/>
  <c r="L65" i="118"/>
  <c r="M65" i="118"/>
  <c r="N65" i="118"/>
  <c r="L66" i="118"/>
  <c r="M66" i="118"/>
  <c r="N66" i="118"/>
  <c r="L67" i="118"/>
  <c r="M67" i="118"/>
  <c r="N67" i="118"/>
  <c r="L68" i="118"/>
  <c r="M68" i="118"/>
  <c r="N68" i="118"/>
  <c r="L69" i="118"/>
  <c r="M69" i="118"/>
  <c r="N69" i="118"/>
  <c r="L70" i="118"/>
  <c r="M70" i="118"/>
  <c r="N70" i="118"/>
  <c r="L71" i="118"/>
  <c r="M71" i="118"/>
  <c r="N71" i="118"/>
  <c r="L72" i="118"/>
  <c r="M72" i="118"/>
  <c r="N72" i="118"/>
  <c r="L73" i="118"/>
  <c r="M73" i="118"/>
  <c r="N73" i="118"/>
  <c r="L74" i="118"/>
  <c r="M74" i="118"/>
  <c r="N74" i="118"/>
  <c r="L75" i="118"/>
  <c r="M75" i="118"/>
  <c r="N75" i="118"/>
  <c r="L76" i="118"/>
  <c r="M76" i="118"/>
  <c r="N76" i="118"/>
  <c r="L77" i="118"/>
  <c r="M77" i="118"/>
  <c r="N77" i="118"/>
  <c r="L78" i="118"/>
  <c r="M78" i="118"/>
  <c r="N78" i="118"/>
  <c r="L79" i="118"/>
  <c r="M79" i="118"/>
  <c r="N79" i="118"/>
  <c r="L80" i="118"/>
  <c r="M80" i="118"/>
  <c r="N80" i="118"/>
  <c r="L81" i="118"/>
  <c r="M81" i="118"/>
  <c r="N81" i="118"/>
  <c r="L82" i="118"/>
  <c r="M82" i="118"/>
  <c r="N82" i="118"/>
  <c r="L83" i="118"/>
  <c r="M83" i="118"/>
  <c r="N83" i="118"/>
  <c r="L84" i="118"/>
  <c r="M84" i="118"/>
  <c r="N84" i="118"/>
  <c r="L85" i="118"/>
  <c r="M85" i="118"/>
  <c r="N85" i="118"/>
  <c r="L86" i="118"/>
  <c r="M86" i="118"/>
  <c r="N86" i="118"/>
  <c r="L87" i="118"/>
  <c r="M87" i="118"/>
  <c r="N87" i="118"/>
  <c r="L88" i="118"/>
  <c r="M88" i="118"/>
  <c r="N88" i="118"/>
  <c r="L89" i="118"/>
  <c r="M89" i="118"/>
  <c r="N89" i="118"/>
  <c r="L90" i="118"/>
  <c r="M90" i="118"/>
  <c r="N90" i="118"/>
  <c r="L91" i="118"/>
  <c r="M91" i="118"/>
  <c r="N91" i="118"/>
  <c r="L92" i="118"/>
  <c r="M92" i="118"/>
  <c r="N92" i="118"/>
  <c r="L93" i="118"/>
  <c r="M93" i="118"/>
  <c r="N93" i="118"/>
  <c r="L94" i="118"/>
  <c r="M94" i="118"/>
  <c r="N94" i="118"/>
  <c r="L95" i="118"/>
  <c r="M95" i="118"/>
  <c r="N95" i="118"/>
  <c r="L96" i="118"/>
  <c r="M96" i="118"/>
  <c r="N96" i="118"/>
  <c r="L97" i="118"/>
  <c r="M97" i="118"/>
  <c r="N97" i="118"/>
  <c r="L98" i="118"/>
  <c r="M98" i="118"/>
  <c r="N98" i="118"/>
  <c r="L99" i="118"/>
  <c r="M99" i="118"/>
  <c r="N99" i="118"/>
  <c r="L100" i="118"/>
  <c r="M100" i="118"/>
  <c r="N100" i="118"/>
  <c r="L101" i="118"/>
  <c r="M101" i="118"/>
  <c r="N101" i="118"/>
  <c r="L102" i="118"/>
  <c r="M102" i="118"/>
  <c r="N102" i="118"/>
  <c r="L103" i="118"/>
  <c r="M103" i="118"/>
  <c r="N103" i="118"/>
  <c r="L104" i="118"/>
  <c r="M104" i="118"/>
  <c r="N104" i="118"/>
  <c r="L105" i="118"/>
  <c r="M105" i="118"/>
  <c r="N105" i="118"/>
  <c r="L106" i="118"/>
  <c r="M106" i="118"/>
  <c r="N106" i="118"/>
  <c r="L107" i="118"/>
  <c r="M107" i="118"/>
  <c r="N107" i="118"/>
  <c r="L108" i="118"/>
  <c r="M108" i="118"/>
  <c r="N108" i="118"/>
  <c r="L109" i="118"/>
  <c r="M109" i="118"/>
  <c r="N109" i="118"/>
  <c r="L110" i="118"/>
  <c r="M110" i="118"/>
  <c r="N110" i="118"/>
  <c r="L111" i="118"/>
  <c r="M111" i="118"/>
  <c r="N111" i="118"/>
  <c r="L112" i="118"/>
  <c r="M112" i="118"/>
  <c r="N112" i="118"/>
  <c r="L113" i="118"/>
  <c r="M113" i="118"/>
  <c r="N113" i="118"/>
  <c r="L114" i="118"/>
  <c r="M114" i="118"/>
  <c r="N114" i="118"/>
  <c r="L115" i="118"/>
  <c r="M115" i="118"/>
  <c r="N115" i="118"/>
  <c r="L116" i="118"/>
  <c r="M116" i="118"/>
  <c r="N116" i="118"/>
  <c r="L117" i="118"/>
  <c r="M117" i="118"/>
  <c r="N117" i="118"/>
  <c r="L118" i="118"/>
  <c r="M118" i="118"/>
  <c r="N118" i="118"/>
  <c r="L119" i="118"/>
  <c r="M119" i="118"/>
  <c r="N119" i="118"/>
  <c r="L120" i="118"/>
  <c r="M120" i="118"/>
  <c r="N120" i="118"/>
  <c r="L121" i="118"/>
  <c r="M121" i="118"/>
  <c r="N121" i="118"/>
  <c r="L122" i="118"/>
  <c r="M122" i="118"/>
  <c r="N122" i="118"/>
  <c r="L123" i="118"/>
  <c r="M123" i="118"/>
  <c r="N123" i="118"/>
  <c r="L124" i="118"/>
  <c r="M124" i="118"/>
  <c r="N124" i="118"/>
  <c r="L125" i="118"/>
  <c r="M125" i="118"/>
  <c r="N125" i="118"/>
  <c r="L126" i="118"/>
  <c r="M126" i="118"/>
  <c r="N126" i="118"/>
  <c r="L127" i="118"/>
  <c r="M127" i="118"/>
  <c r="N127" i="118"/>
  <c r="L128" i="118"/>
  <c r="M128" i="118"/>
  <c r="N128" i="118"/>
  <c r="L129" i="118"/>
  <c r="M129" i="118"/>
  <c r="N129" i="118"/>
  <c r="L130" i="118"/>
  <c r="M130" i="118"/>
  <c r="N130" i="118"/>
  <c r="L131" i="118"/>
  <c r="M131" i="118"/>
  <c r="N131" i="118"/>
  <c r="L132" i="118"/>
  <c r="M132" i="118"/>
  <c r="N132" i="118"/>
  <c r="L133" i="118"/>
  <c r="M133" i="118"/>
  <c r="N133" i="118"/>
  <c r="L134" i="118"/>
  <c r="M134" i="118"/>
  <c r="N134" i="118"/>
  <c r="L135" i="118"/>
  <c r="M135" i="118"/>
  <c r="N135" i="118"/>
  <c r="L136" i="118"/>
  <c r="M136" i="118"/>
  <c r="N136" i="118"/>
  <c r="L137" i="118"/>
  <c r="M137" i="118"/>
  <c r="N137" i="118"/>
  <c r="L138" i="118"/>
  <c r="M138" i="118"/>
  <c r="N138" i="118"/>
  <c r="L139" i="118"/>
  <c r="M139" i="118"/>
  <c r="N139" i="118"/>
  <c r="L140" i="118"/>
  <c r="M140" i="118"/>
  <c r="N140" i="118"/>
  <c r="L141" i="118"/>
  <c r="M141" i="118"/>
  <c r="N141" i="118"/>
  <c r="L142" i="118"/>
  <c r="M142" i="118"/>
  <c r="N142" i="118"/>
  <c r="L143" i="118"/>
  <c r="M143" i="118"/>
  <c r="N143" i="118"/>
  <c r="L144" i="118"/>
  <c r="M144" i="118"/>
  <c r="N144" i="118"/>
  <c r="L145" i="118"/>
  <c r="M145" i="118"/>
  <c r="N145" i="118"/>
  <c r="L146" i="118"/>
  <c r="M146" i="118"/>
  <c r="N146" i="118"/>
  <c r="L147" i="118"/>
  <c r="M147" i="118"/>
  <c r="N147" i="118"/>
  <c r="L148" i="118"/>
  <c r="M148" i="118"/>
  <c r="N148" i="118"/>
  <c r="L149" i="118"/>
  <c r="M149" i="118"/>
  <c r="N149" i="118"/>
  <c r="L150" i="118"/>
  <c r="M150" i="118"/>
  <c r="N150" i="118"/>
  <c r="L151" i="118"/>
  <c r="M151" i="118"/>
  <c r="N151" i="118"/>
  <c r="L152" i="118"/>
  <c r="M152" i="118"/>
  <c r="N152" i="118"/>
  <c r="L153" i="118"/>
  <c r="M153" i="118"/>
  <c r="N153" i="118"/>
  <c r="N17" i="118"/>
  <c r="M17" i="118"/>
  <c r="L17" i="118"/>
  <c r="K17" i="118"/>
  <c r="Q37" i="118" l="1"/>
  <c r="Q41" i="118"/>
  <c r="Q45" i="118"/>
  <c r="Q36" i="118"/>
  <c r="Q40" i="118"/>
  <c r="Q44" i="118"/>
  <c r="Q34" i="118"/>
  <c r="Q35" i="118"/>
  <c r="Q39" i="118"/>
  <c r="Q43" i="118"/>
  <c r="Q38" i="118"/>
  <c r="Q42" i="118"/>
  <c r="P36" i="118"/>
  <c r="P40" i="118"/>
  <c r="P44" i="118"/>
  <c r="P35" i="118"/>
  <c r="P39" i="118"/>
  <c r="P43" i="118"/>
  <c r="P38" i="118"/>
  <c r="P42" i="118"/>
  <c r="P34" i="118"/>
  <c r="P37" i="118"/>
  <c r="P41" i="118"/>
  <c r="P45" i="118"/>
  <c r="O35" i="118"/>
  <c r="O39" i="118"/>
  <c r="O43" i="118"/>
  <c r="O38" i="118"/>
  <c r="O42" i="118"/>
  <c r="O37" i="118"/>
  <c r="O41" i="118"/>
  <c r="O45" i="118"/>
  <c r="O36" i="118"/>
  <c r="O40" i="118"/>
  <c r="O44" i="118"/>
  <c r="O34" i="118"/>
  <c r="K16" i="118"/>
  <c r="X153" i="118"/>
  <c r="W153" i="118"/>
  <c r="V153" i="118"/>
  <c r="U153" i="118"/>
  <c r="T153" i="118"/>
  <c r="S153" i="118"/>
  <c r="R153" i="118"/>
  <c r="X152" i="118"/>
  <c r="W152" i="118"/>
  <c r="V152" i="118"/>
  <c r="U152" i="118"/>
  <c r="T152" i="118"/>
  <c r="S152" i="118"/>
  <c r="R152" i="118"/>
  <c r="X151" i="118"/>
  <c r="W151" i="118"/>
  <c r="V151" i="118"/>
  <c r="U151" i="118"/>
  <c r="T151" i="118"/>
  <c r="S151" i="118"/>
  <c r="R151" i="118"/>
  <c r="X150" i="118"/>
  <c r="W150" i="118"/>
  <c r="V150" i="118"/>
  <c r="U150" i="118"/>
  <c r="T150" i="118"/>
  <c r="S150" i="118"/>
  <c r="R150" i="118"/>
  <c r="X149" i="118"/>
  <c r="W149" i="118"/>
  <c r="V149" i="118"/>
  <c r="U149" i="118"/>
  <c r="T149" i="118"/>
  <c r="S149" i="118"/>
  <c r="R149" i="118"/>
  <c r="X148" i="118"/>
  <c r="W148" i="118"/>
  <c r="V148" i="118"/>
  <c r="U148" i="118"/>
  <c r="T148" i="118"/>
  <c r="S148" i="118"/>
  <c r="R148" i="118"/>
  <c r="X147" i="118"/>
  <c r="W147" i="118"/>
  <c r="V147" i="118"/>
  <c r="U147" i="118"/>
  <c r="T147" i="118"/>
  <c r="S147" i="118"/>
  <c r="R147" i="118"/>
  <c r="X146" i="118"/>
  <c r="W146" i="118"/>
  <c r="V146" i="118"/>
  <c r="U146" i="118"/>
  <c r="T146" i="118"/>
  <c r="S146" i="118"/>
  <c r="R146" i="118"/>
  <c r="X145" i="118"/>
  <c r="W145" i="118"/>
  <c r="V145" i="118"/>
  <c r="U145" i="118"/>
  <c r="T145" i="118"/>
  <c r="S145" i="118"/>
  <c r="R145" i="118"/>
  <c r="X144" i="118"/>
  <c r="W144" i="118"/>
  <c r="V144" i="118"/>
  <c r="U144" i="118"/>
  <c r="T144" i="118"/>
  <c r="S144" i="118"/>
  <c r="R144" i="118"/>
  <c r="X143" i="118"/>
  <c r="W143" i="118"/>
  <c r="V143" i="118"/>
  <c r="U143" i="118"/>
  <c r="T143" i="118"/>
  <c r="S143" i="118"/>
  <c r="R143" i="118"/>
  <c r="X142" i="118"/>
  <c r="W142" i="118"/>
  <c r="V142" i="118"/>
  <c r="U142" i="118"/>
  <c r="T142" i="118"/>
  <c r="S142" i="118"/>
  <c r="R142" i="118"/>
  <c r="X141" i="118"/>
  <c r="W141" i="118"/>
  <c r="V141" i="118"/>
  <c r="U141" i="118"/>
  <c r="T141" i="118"/>
  <c r="S141" i="118"/>
  <c r="R141" i="118"/>
  <c r="X140" i="118"/>
  <c r="W140" i="118"/>
  <c r="V140" i="118"/>
  <c r="U140" i="118"/>
  <c r="T140" i="118"/>
  <c r="S140" i="118"/>
  <c r="R140" i="118"/>
  <c r="X139" i="118"/>
  <c r="W139" i="118"/>
  <c r="V139" i="118"/>
  <c r="U139" i="118"/>
  <c r="T139" i="118"/>
  <c r="S139" i="118"/>
  <c r="R139" i="118"/>
  <c r="X138" i="118"/>
  <c r="W138" i="118"/>
  <c r="V138" i="118"/>
  <c r="U138" i="118"/>
  <c r="T138" i="118"/>
  <c r="S138" i="118"/>
  <c r="R138" i="118"/>
  <c r="X137" i="118"/>
  <c r="W137" i="118"/>
  <c r="V137" i="118"/>
  <c r="U137" i="118"/>
  <c r="T137" i="118"/>
  <c r="S137" i="118"/>
  <c r="R137" i="118"/>
  <c r="X136" i="118"/>
  <c r="W136" i="118"/>
  <c r="V136" i="118"/>
  <c r="U136" i="118"/>
  <c r="T136" i="118"/>
  <c r="S136" i="118"/>
  <c r="R136" i="118"/>
  <c r="X135" i="118"/>
  <c r="W135" i="118"/>
  <c r="V135" i="118"/>
  <c r="U135" i="118"/>
  <c r="T135" i="118"/>
  <c r="S135" i="118"/>
  <c r="R135" i="118"/>
  <c r="X134" i="118"/>
  <c r="W134" i="118"/>
  <c r="V134" i="118"/>
  <c r="U134" i="118"/>
  <c r="T134" i="118"/>
  <c r="S134" i="118"/>
  <c r="R134" i="118"/>
  <c r="X133" i="118"/>
  <c r="W133" i="118"/>
  <c r="V133" i="118"/>
  <c r="U133" i="118"/>
  <c r="T133" i="118"/>
  <c r="S133" i="118"/>
  <c r="R133" i="118"/>
  <c r="X132" i="118"/>
  <c r="W132" i="118"/>
  <c r="V132" i="118"/>
  <c r="U132" i="118"/>
  <c r="T132" i="118"/>
  <c r="S132" i="118"/>
  <c r="R132" i="118"/>
  <c r="X131" i="118"/>
  <c r="W131" i="118"/>
  <c r="V131" i="118"/>
  <c r="U131" i="118"/>
  <c r="T131" i="118"/>
  <c r="S131" i="118"/>
  <c r="R131" i="118"/>
  <c r="X130" i="118"/>
  <c r="W130" i="118"/>
  <c r="V130" i="118"/>
  <c r="U130" i="118"/>
  <c r="T130" i="118"/>
  <c r="S130" i="118"/>
  <c r="R130" i="118"/>
  <c r="X129" i="118"/>
  <c r="W129" i="118"/>
  <c r="V129" i="118"/>
  <c r="U129" i="118"/>
  <c r="T129" i="118"/>
  <c r="S129" i="118"/>
  <c r="R129" i="118"/>
  <c r="X128" i="118"/>
  <c r="W128" i="118"/>
  <c r="V128" i="118"/>
  <c r="U128" i="118"/>
  <c r="T128" i="118"/>
  <c r="S128" i="118"/>
  <c r="R128" i="118"/>
  <c r="X127" i="118"/>
  <c r="W127" i="118"/>
  <c r="V127" i="118"/>
  <c r="U127" i="118"/>
  <c r="T127" i="118"/>
  <c r="S127" i="118"/>
  <c r="R127" i="118"/>
  <c r="X126" i="118"/>
  <c r="W126" i="118"/>
  <c r="V126" i="118"/>
  <c r="U126" i="118"/>
  <c r="T126" i="118"/>
  <c r="S126" i="118"/>
  <c r="R126" i="118"/>
  <c r="X125" i="118"/>
  <c r="W125" i="118"/>
  <c r="V125" i="118"/>
  <c r="U125" i="118"/>
  <c r="T125" i="118"/>
  <c r="S125" i="118"/>
  <c r="R125" i="118"/>
  <c r="X124" i="118"/>
  <c r="W124" i="118"/>
  <c r="V124" i="118"/>
  <c r="U124" i="118"/>
  <c r="T124" i="118"/>
  <c r="S124" i="118"/>
  <c r="R124" i="118"/>
  <c r="X123" i="118"/>
  <c r="W123" i="118"/>
  <c r="V123" i="118"/>
  <c r="U123" i="118"/>
  <c r="T123" i="118"/>
  <c r="S123" i="118"/>
  <c r="R123" i="118"/>
  <c r="X122" i="118"/>
  <c r="W122" i="118"/>
  <c r="V122" i="118"/>
  <c r="U122" i="118"/>
  <c r="T122" i="118"/>
  <c r="S122" i="118"/>
  <c r="R122" i="118"/>
  <c r="X121" i="118"/>
  <c r="W121" i="118"/>
  <c r="V121" i="118"/>
  <c r="U121" i="118"/>
  <c r="T121" i="118"/>
  <c r="S121" i="118"/>
  <c r="R121" i="118"/>
  <c r="X120" i="118"/>
  <c r="W120" i="118"/>
  <c r="V120" i="118"/>
  <c r="U120" i="118"/>
  <c r="T120" i="118"/>
  <c r="S120" i="118"/>
  <c r="R120" i="118"/>
  <c r="X119" i="118"/>
  <c r="W119" i="118"/>
  <c r="V119" i="118"/>
  <c r="U119" i="118"/>
  <c r="T119" i="118"/>
  <c r="S119" i="118"/>
  <c r="R119" i="118"/>
  <c r="X118" i="118"/>
  <c r="W118" i="118"/>
  <c r="V118" i="118"/>
  <c r="U118" i="118"/>
  <c r="T118" i="118"/>
  <c r="S118" i="118"/>
  <c r="R118" i="118"/>
  <c r="X117" i="118"/>
  <c r="W117" i="118"/>
  <c r="V117" i="118"/>
  <c r="U117" i="118"/>
  <c r="T117" i="118"/>
  <c r="S117" i="118"/>
  <c r="R117" i="118"/>
  <c r="X116" i="118"/>
  <c r="W116" i="118"/>
  <c r="V116" i="118"/>
  <c r="U116" i="118"/>
  <c r="T116" i="118"/>
  <c r="S116" i="118"/>
  <c r="R116" i="118"/>
  <c r="X115" i="118"/>
  <c r="W115" i="118"/>
  <c r="V115" i="118"/>
  <c r="U115" i="118"/>
  <c r="T115" i="118"/>
  <c r="S115" i="118"/>
  <c r="R115" i="118"/>
  <c r="X114" i="118"/>
  <c r="W114" i="118"/>
  <c r="V114" i="118"/>
  <c r="U114" i="118"/>
  <c r="T114" i="118"/>
  <c r="S114" i="118"/>
  <c r="R114" i="118"/>
  <c r="X113" i="118"/>
  <c r="W113" i="118"/>
  <c r="V113" i="118"/>
  <c r="U113" i="118"/>
  <c r="T113" i="118"/>
  <c r="S113" i="118"/>
  <c r="R113" i="118"/>
  <c r="X112" i="118"/>
  <c r="W112" i="118"/>
  <c r="V112" i="118"/>
  <c r="U112" i="118"/>
  <c r="T112" i="118"/>
  <c r="S112" i="118"/>
  <c r="R112" i="118"/>
  <c r="X111" i="118"/>
  <c r="W111" i="118"/>
  <c r="V111" i="118"/>
  <c r="U111" i="118"/>
  <c r="T111" i="118"/>
  <c r="S111" i="118"/>
  <c r="R111" i="118"/>
  <c r="X110" i="118"/>
  <c r="W110" i="118"/>
  <c r="V110" i="118"/>
  <c r="U110" i="118"/>
  <c r="T110" i="118"/>
  <c r="S110" i="118"/>
  <c r="R110" i="118"/>
  <c r="X109" i="118"/>
  <c r="W109" i="118"/>
  <c r="V109" i="118"/>
  <c r="U109" i="118"/>
  <c r="T109" i="118"/>
  <c r="S109" i="118"/>
  <c r="R109" i="118"/>
  <c r="X108" i="118"/>
  <c r="W108" i="118"/>
  <c r="V108" i="118"/>
  <c r="U108" i="118"/>
  <c r="T108" i="118"/>
  <c r="S108" i="118"/>
  <c r="R108" i="118"/>
  <c r="X107" i="118"/>
  <c r="W107" i="118"/>
  <c r="V107" i="118"/>
  <c r="U107" i="118"/>
  <c r="T107" i="118"/>
  <c r="S107" i="118"/>
  <c r="R107" i="118"/>
  <c r="X106" i="118"/>
  <c r="W106" i="118"/>
  <c r="V106" i="118"/>
  <c r="U106" i="118"/>
  <c r="T106" i="118"/>
  <c r="S106" i="118"/>
  <c r="R106" i="118"/>
  <c r="X105" i="118"/>
  <c r="W105" i="118"/>
  <c r="V105" i="118"/>
  <c r="U105" i="118"/>
  <c r="T105" i="118"/>
  <c r="S105" i="118"/>
  <c r="R105" i="118"/>
  <c r="X104" i="118"/>
  <c r="W104" i="118"/>
  <c r="V104" i="118"/>
  <c r="U104" i="118"/>
  <c r="T104" i="118"/>
  <c r="S104" i="118"/>
  <c r="R104" i="118"/>
  <c r="X103" i="118"/>
  <c r="W103" i="118"/>
  <c r="V103" i="118"/>
  <c r="U103" i="118"/>
  <c r="T103" i="118"/>
  <c r="S103" i="118"/>
  <c r="R103" i="118"/>
  <c r="X102" i="118"/>
  <c r="W102" i="118"/>
  <c r="V102" i="118"/>
  <c r="U102" i="118"/>
  <c r="T102" i="118"/>
  <c r="S102" i="118"/>
  <c r="R102" i="118"/>
  <c r="X101" i="118"/>
  <c r="W101" i="118"/>
  <c r="V101" i="118"/>
  <c r="U101" i="118"/>
  <c r="T101" i="118"/>
  <c r="S101" i="118"/>
  <c r="R101" i="118"/>
  <c r="X100" i="118"/>
  <c r="W100" i="118"/>
  <c r="V100" i="118"/>
  <c r="U100" i="118"/>
  <c r="T100" i="118"/>
  <c r="S100" i="118"/>
  <c r="R100" i="118"/>
  <c r="X99" i="118"/>
  <c r="W99" i="118"/>
  <c r="V99" i="118"/>
  <c r="U99" i="118"/>
  <c r="T99" i="118"/>
  <c r="S99" i="118"/>
  <c r="R99" i="118"/>
  <c r="X98" i="118"/>
  <c r="W98" i="118"/>
  <c r="V98" i="118"/>
  <c r="U98" i="118"/>
  <c r="T98" i="118"/>
  <c r="S98" i="118"/>
  <c r="R98" i="118"/>
  <c r="X97" i="118"/>
  <c r="W97" i="118"/>
  <c r="V97" i="118"/>
  <c r="U97" i="118"/>
  <c r="T97" i="118"/>
  <c r="S97" i="118"/>
  <c r="R97" i="118"/>
  <c r="X96" i="118"/>
  <c r="W96" i="118"/>
  <c r="V96" i="118"/>
  <c r="U96" i="118"/>
  <c r="T96" i="118"/>
  <c r="S96" i="118"/>
  <c r="R96" i="118"/>
  <c r="X95" i="118"/>
  <c r="W95" i="118"/>
  <c r="V95" i="118"/>
  <c r="U95" i="118"/>
  <c r="T95" i="118"/>
  <c r="S95" i="118"/>
  <c r="R95" i="118"/>
  <c r="X94" i="118"/>
  <c r="W94" i="118"/>
  <c r="V94" i="118"/>
  <c r="U94" i="118"/>
  <c r="T94" i="118"/>
  <c r="S94" i="118"/>
  <c r="R94" i="118"/>
  <c r="X93" i="118"/>
  <c r="W93" i="118"/>
  <c r="V93" i="118"/>
  <c r="U93" i="118"/>
  <c r="T93" i="118"/>
  <c r="S93" i="118"/>
  <c r="R93" i="118"/>
  <c r="X92" i="118"/>
  <c r="W92" i="118"/>
  <c r="V92" i="118"/>
  <c r="U92" i="118"/>
  <c r="T92" i="118"/>
  <c r="S92" i="118"/>
  <c r="R92" i="118"/>
  <c r="X91" i="118"/>
  <c r="W91" i="118"/>
  <c r="V91" i="118"/>
  <c r="U91" i="118"/>
  <c r="T91" i="118"/>
  <c r="S91" i="118"/>
  <c r="R91" i="118"/>
  <c r="X90" i="118"/>
  <c r="W90" i="118"/>
  <c r="V90" i="118"/>
  <c r="U90" i="118"/>
  <c r="T90" i="118"/>
  <c r="S90" i="118"/>
  <c r="R90" i="118"/>
  <c r="X89" i="118"/>
  <c r="W89" i="118"/>
  <c r="V89" i="118"/>
  <c r="U89" i="118"/>
  <c r="T89" i="118"/>
  <c r="S89" i="118"/>
  <c r="R89" i="118"/>
  <c r="X88" i="118"/>
  <c r="W88" i="118"/>
  <c r="V88" i="118"/>
  <c r="U88" i="118"/>
  <c r="T88" i="118"/>
  <c r="S88" i="118"/>
  <c r="R88" i="118"/>
  <c r="X87" i="118"/>
  <c r="W87" i="118"/>
  <c r="V87" i="118"/>
  <c r="U87" i="118"/>
  <c r="T87" i="118"/>
  <c r="S87" i="118"/>
  <c r="R87" i="118"/>
  <c r="X86" i="118"/>
  <c r="W86" i="118"/>
  <c r="V86" i="118"/>
  <c r="U86" i="118"/>
  <c r="T86" i="118"/>
  <c r="S86" i="118"/>
  <c r="R86" i="118"/>
  <c r="X85" i="118"/>
  <c r="W85" i="118"/>
  <c r="V85" i="118"/>
  <c r="U85" i="118"/>
  <c r="T85" i="118"/>
  <c r="S85" i="118"/>
  <c r="R85" i="118"/>
  <c r="X84" i="118"/>
  <c r="W84" i="118"/>
  <c r="V84" i="118"/>
  <c r="U84" i="118"/>
  <c r="T84" i="118"/>
  <c r="S84" i="118"/>
  <c r="R84" i="118"/>
  <c r="X83" i="118"/>
  <c r="W83" i="118"/>
  <c r="V83" i="118"/>
  <c r="U83" i="118"/>
  <c r="T83" i="118"/>
  <c r="S83" i="118"/>
  <c r="R83" i="118"/>
  <c r="X82" i="118"/>
  <c r="W82" i="118"/>
  <c r="V82" i="118"/>
  <c r="U82" i="118"/>
  <c r="T82" i="118"/>
  <c r="S82" i="118"/>
  <c r="R82" i="118"/>
  <c r="X81" i="118"/>
  <c r="W81" i="118"/>
  <c r="V81" i="118"/>
  <c r="U81" i="118"/>
  <c r="T81" i="118"/>
  <c r="S81" i="118"/>
  <c r="R81" i="118"/>
  <c r="X80" i="118"/>
  <c r="W80" i="118"/>
  <c r="V80" i="118"/>
  <c r="U80" i="118"/>
  <c r="T80" i="118"/>
  <c r="S80" i="118"/>
  <c r="R80" i="118"/>
  <c r="X79" i="118"/>
  <c r="W79" i="118"/>
  <c r="V79" i="118"/>
  <c r="U79" i="118"/>
  <c r="T79" i="118"/>
  <c r="S79" i="118"/>
  <c r="R79" i="118"/>
  <c r="X78" i="118"/>
  <c r="W78" i="118"/>
  <c r="V78" i="118"/>
  <c r="U78" i="118"/>
  <c r="T78" i="118"/>
  <c r="S78" i="118"/>
  <c r="R78" i="118"/>
  <c r="X77" i="118"/>
  <c r="W77" i="118"/>
  <c r="V77" i="118"/>
  <c r="U77" i="118"/>
  <c r="T77" i="118"/>
  <c r="S77" i="118"/>
  <c r="R77" i="118"/>
  <c r="X76" i="118"/>
  <c r="W76" i="118"/>
  <c r="V76" i="118"/>
  <c r="U76" i="118"/>
  <c r="T76" i="118"/>
  <c r="S76" i="118"/>
  <c r="R76" i="118"/>
  <c r="X75" i="118"/>
  <c r="W75" i="118"/>
  <c r="V75" i="118"/>
  <c r="U75" i="118"/>
  <c r="T75" i="118"/>
  <c r="S75" i="118"/>
  <c r="R75" i="118"/>
  <c r="X74" i="118"/>
  <c r="W74" i="118"/>
  <c r="V74" i="118"/>
  <c r="U74" i="118"/>
  <c r="T74" i="118"/>
  <c r="S74" i="118"/>
  <c r="R74" i="118"/>
  <c r="X73" i="118"/>
  <c r="W73" i="118"/>
  <c r="V73" i="118"/>
  <c r="U73" i="118"/>
  <c r="T73" i="118"/>
  <c r="S73" i="118"/>
  <c r="R73" i="118"/>
  <c r="X72" i="118"/>
  <c r="W72" i="118"/>
  <c r="V72" i="118"/>
  <c r="U72" i="118"/>
  <c r="T72" i="118"/>
  <c r="S72" i="118"/>
  <c r="R72" i="118"/>
  <c r="X71" i="118"/>
  <c r="W71" i="118"/>
  <c r="V71" i="118"/>
  <c r="U71" i="118"/>
  <c r="T71" i="118"/>
  <c r="S71" i="118"/>
  <c r="R71" i="118"/>
  <c r="X70" i="118"/>
  <c r="W70" i="118"/>
  <c r="V70" i="118"/>
  <c r="U70" i="118"/>
  <c r="T70" i="118"/>
  <c r="S70" i="118"/>
  <c r="R70" i="118"/>
  <c r="X69" i="118"/>
  <c r="W69" i="118"/>
  <c r="V69" i="118"/>
  <c r="U69" i="118"/>
  <c r="T69" i="118"/>
  <c r="S69" i="118"/>
  <c r="R69" i="118"/>
  <c r="X68" i="118"/>
  <c r="W68" i="118"/>
  <c r="V68" i="118"/>
  <c r="U68" i="118"/>
  <c r="T68" i="118"/>
  <c r="S68" i="118"/>
  <c r="R68" i="118"/>
  <c r="X67" i="118"/>
  <c r="W67" i="118"/>
  <c r="V67" i="118"/>
  <c r="U67" i="118"/>
  <c r="T67" i="118"/>
  <c r="S67" i="118"/>
  <c r="R67" i="118"/>
  <c r="X66" i="118"/>
  <c r="W66" i="118"/>
  <c r="V66" i="118"/>
  <c r="U66" i="118"/>
  <c r="T66" i="118"/>
  <c r="S66" i="118"/>
  <c r="R66" i="118"/>
  <c r="X65" i="118"/>
  <c r="W65" i="118"/>
  <c r="V65" i="118"/>
  <c r="U65" i="118"/>
  <c r="T65" i="118"/>
  <c r="S65" i="118"/>
  <c r="R65" i="118"/>
  <c r="X64" i="118"/>
  <c r="W64" i="118"/>
  <c r="V64" i="118"/>
  <c r="U64" i="118"/>
  <c r="T64" i="118"/>
  <c r="S64" i="118"/>
  <c r="R64" i="118"/>
  <c r="X63" i="118"/>
  <c r="W63" i="118"/>
  <c r="V63" i="118"/>
  <c r="U63" i="118"/>
  <c r="T63" i="118"/>
  <c r="S63" i="118"/>
  <c r="R63" i="118"/>
  <c r="X62" i="118"/>
  <c r="W62" i="118"/>
  <c r="V62" i="118"/>
  <c r="U62" i="118"/>
  <c r="T62" i="118"/>
  <c r="S62" i="118"/>
  <c r="R62" i="118"/>
  <c r="X61" i="118"/>
  <c r="W61" i="118"/>
  <c r="V61" i="118"/>
  <c r="U61" i="118"/>
  <c r="T61" i="118"/>
  <c r="S61" i="118"/>
  <c r="R61" i="118"/>
  <c r="X60" i="118"/>
  <c r="W60" i="118"/>
  <c r="V60" i="118"/>
  <c r="U60" i="118"/>
  <c r="T60" i="118"/>
  <c r="S60" i="118"/>
  <c r="R60" i="118"/>
  <c r="X59" i="118"/>
  <c r="W59" i="118"/>
  <c r="V59" i="118"/>
  <c r="U59" i="118"/>
  <c r="T59" i="118"/>
  <c r="S59" i="118"/>
  <c r="R59" i="118"/>
  <c r="X58" i="118"/>
  <c r="W58" i="118"/>
  <c r="V58" i="118"/>
  <c r="U58" i="118"/>
  <c r="T58" i="118"/>
  <c r="S58" i="118"/>
  <c r="R58" i="118"/>
  <c r="X57" i="118"/>
  <c r="W57" i="118"/>
  <c r="V57" i="118"/>
  <c r="U57" i="118"/>
  <c r="T57" i="118"/>
  <c r="S57" i="118"/>
  <c r="R57" i="118"/>
  <c r="X56" i="118"/>
  <c r="W56" i="118"/>
  <c r="V56" i="118"/>
  <c r="U56" i="118"/>
  <c r="T56" i="118"/>
  <c r="S56" i="118"/>
  <c r="R56" i="118"/>
  <c r="X55" i="118"/>
  <c r="W55" i="118"/>
  <c r="V55" i="118"/>
  <c r="U55" i="118"/>
  <c r="T55" i="118"/>
  <c r="S55" i="118"/>
  <c r="R55" i="118"/>
  <c r="X54" i="118"/>
  <c r="W54" i="118"/>
  <c r="V54" i="118"/>
  <c r="U54" i="118"/>
  <c r="T54" i="118"/>
  <c r="S54" i="118"/>
  <c r="R54" i="118"/>
  <c r="X53" i="118"/>
  <c r="W53" i="118"/>
  <c r="V53" i="118"/>
  <c r="U53" i="118"/>
  <c r="T53" i="118"/>
  <c r="S53" i="118"/>
  <c r="R53" i="118"/>
  <c r="X52" i="118"/>
  <c r="W52" i="118"/>
  <c r="V52" i="118"/>
  <c r="U52" i="118"/>
  <c r="T52" i="118"/>
  <c r="S52" i="118"/>
  <c r="R52" i="118"/>
  <c r="X51" i="118"/>
  <c r="W51" i="118"/>
  <c r="V51" i="118"/>
  <c r="U51" i="118"/>
  <c r="T51" i="118"/>
  <c r="S51" i="118"/>
  <c r="R51" i="118"/>
  <c r="X50" i="118"/>
  <c r="W50" i="118"/>
  <c r="V50" i="118"/>
  <c r="U50" i="118"/>
  <c r="T50" i="118"/>
  <c r="S50" i="118"/>
  <c r="R50" i="118"/>
  <c r="X49" i="118"/>
  <c r="W49" i="118"/>
  <c r="V49" i="118"/>
  <c r="U49" i="118"/>
  <c r="T49" i="118"/>
  <c r="S49" i="118"/>
  <c r="R49" i="118"/>
  <c r="X48" i="118"/>
  <c r="W48" i="118"/>
  <c r="V48" i="118"/>
  <c r="U48" i="118"/>
  <c r="T48" i="118"/>
  <c r="S48" i="118"/>
  <c r="R48" i="118"/>
  <c r="X47" i="118"/>
  <c r="W47" i="118"/>
  <c r="V47" i="118"/>
  <c r="U47" i="118"/>
  <c r="T47" i="118"/>
  <c r="S47" i="118"/>
  <c r="R47" i="118"/>
  <c r="X46" i="118"/>
  <c r="W46" i="118"/>
  <c r="V46" i="118"/>
  <c r="U46" i="118"/>
  <c r="T46" i="118"/>
  <c r="S46" i="118"/>
  <c r="R46" i="118"/>
  <c r="X45" i="118"/>
  <c r="W45" i="118"/>
  <c r="V45" i="118"/>
  <c r="U45" i="118"/>
  <c r="T45" i="118"/>
  <c r="S45" i="118"/>
  <c r="R45" i="118"/>
  <c r="X44" i="118"/>
  <c r="W44" i="118"/>
  <c r="V44" i="118"/>
  <c r="U44" i="118"/>
  <c r="T44" i="118"/>
  <c r="S44" i="118"/>
  <c r="R44" i="118"/>
  <c r="X43" i="118"/>
  <c r="W43" i="118"/>
  <c r="V43" i="118"/>
  <c r="U43" i="118"/>
  <c r="T43" i="118"/>
  <c r="S43" i="118"/>
  <c r="R43" i="118"/>
  <c r="X42" i="118"/>
  <c r="W42" i="118"/>
  <c r="V42" i="118"/>
  <c r="U42" i="118"/>
  <c r="T42" i="118"/>
  <c r="S42" i="118"/>
  <c r="R42" i="118"/>
  <c r="X41" i="118"/>
  <c r="W41" i="118"/>
  <c r="V41" i="118"/>
  <c r="U41" i="118"/>
  <c r="T41" i="118"/>
  <c r="S41" i="118"/>
  <c r="R41" i="118"/>
  <c r="X40" i="118"/>
  <c r="W40" i="118"/>
  <c r="V40" i="118"/>
  <c r="U40" i="118"/>
  <c r="T40" i="118"/>
  <c r="S40" i="118"/>
  <c r="R40" i="118"/>
  <c r="X39" i="118"/>
  <c r="W39" i="118"/>
  <c r="V39" i="118"/>
  <c r="U39" i="118"/>
  <c r="T39" i="118"/>
  <c r="S39" i="118"/>
  <c r="R39" i="118"/>
  <c r="X38" i="118"/>
  <c r="W38" i="118"/>
  <c r="V38" i="118"/>
  <c r="U38" i="118"/>
  <c r="T38" i="118"/>
  <c r="S38" i="118"/>
  <c r="R38" i="118"/>
  <c r="X37" i="118"/>
  <c r="W37" i="118"/>
  <c r="V37" i="118"/>
  <c r="U37" i="118"/>
  <c r="T37" i="118"/>
  <c r="S37" i="118"/>
  <c r="R37" i="118"/>
  <c r="X36" i="118"/>
  <c r="W36" i="118"/>
  <c r="V36" i="118"/>
  <c r="U36" i="118"/>
  <c r="T36" i="118"/>
  <c r="S36" i="118"/>
  <c r="R36" i="118"/>
  <c r="X35" i="118"/>
  <c r="W35" i="118"/>
  <c r="V35" i="118"/>
  <c r="U35" i="118"/>
  <c r="T35" i="118"/>
  <c r="S35" i="118"/>
  <c r="R35" i="118"/>
  <c r="U34" i="118"/>
  <c r="T34" i="118"/>
  <c r="S34" i="118"/>
  <c r="R34" i="118"/>
  <c r="X33" i="118"/>
  <c r="W33" i="118"/>
  <c r="V33" i="118"/>
  <c r="U33" i="118"/>
  <c r="T33" i="118"/>
  <c r="S33" i="118"/>
  <c r="R33" i="118"/>
  <c r="Q33" i="118"/>
  <c r="P33" i="118"/>
  <c r="O33" i="118"/>
  <c r="X32" i="118"/>
  <c r="W32" i="118"/>
  <c r="V32" i="118"/>
  <c r="U32" i="118"/>
  <c r="T32" i="118"/>
  <c r="S32" i="118"/>
  <c r="R32" i="118"/>
  <c r="Q32" i="118"/>
  <c r="P32" i="118"/>
  <c r="O32" i="118"/>
  <c r="X31" i="118"/>
  <c r="W31" i="118"/>
  <c r="V31" i="118"/>
  <c r="U31" i="118"/>
  <c r="T31" i="118"/>
  <c r="S31" i="118"/>
  <c r="R31" i="118"/>
  <c r="Q31" i="118"/>
  <c r="P31" i="118"/>
  <c r="O31" i="118"/>
  <c r="X30" i="118"/>
  <c r="W30" i="118"/>
  <c r="V30" i="118"/>
  <c r="U30" i="118"/>
  <c r="T30" i="118"/>
  <c r="S30" i="118"/>
  <c r="R30" i="118"/>
  <c r="Q30" i="118"/>
  <c r="P30" i="118"/>
  <c r="O30" i="118"/>
  <c r="X29" i="118"/>
  <c r="W29" i="118"/>
  <c r="V29" i="118"/>
  <c r="U29" i="118"/>
  <c r="T29" i="118"/>
  <c r="S29" i="118"/>
  <c r="R29" i="118"/>
  <c r="Q29" i="118"/>
  <c r="P29" i="118"/>
  <c r="O29" i="118"/>
  <c r="X28" i="118"/>
  <c r="W28" i="118"/>
  <c r="V28" i="118"/>
  <c r="U28" i="118"/>
  <c r="T28" i="118"/>
  <c r="S28" i="118"/>
  <c r="R28" i="118"/>
  <c r="Q28" i="118"/>
  <c r="P28" i="118"/>
  <c r="O28" i="118"/>
  <c r="X27" i="118"/>
  <c r="W27" i="118"/>
  <c r="V27" i="118"/>
  <c r="U27" i="118"/>
  <c r="T27" i="118"/>
  <c r="S27" i="118"/>
  <c r="Q27" i="118"/>
  <c r="P27" i="118"/>
  <c r="O27" i="118"/>
  <c r="X26" i="118"/>
  <c r="W26" i="118"/>
  <c r="V26" i="118"/>
  <c r="U26" i="118"/>
  <c r="T26" i="118"/>
  <c r="S26" i="118"/>
  <c r="Q26" i="118"/>
  <c r="P26" i="118"/>
  <c r="O26" i="118"/>
  <c r="X25" i="118"/>
  <c r="W25" i="118"/>
  <c r="V25" i="118"/>
  <c r="U25" i="118"/>
  <c r="T25" i="118"/>
  <c r="S25" i="118"/>
  <c r="R25" i="118"/>
  <c r="Q25" i="118"/>
  <c r="P25" i="118"/>
  <c r="O25" i="118"/>
  <c r="X24" i="118"/>
  <c r="W24" i="118"/>
  <c r="V24" i="118"/>
  <c r="U24" i="118"/>
  <c r="T24" i="118"/>
  <c r="S24" i="118"/>
  <c r="R24" i="118"/>
  <c r="Q24" i="118"/>
  <c r="P24" i="118"/>
  <c r="O24" i="118"/>
  <c r="X23" i="118"/>
  <c r="W23" i="118"/>
  <c r="V23" i="118"/>
  <c r="U23" i="118"/>
  <c r="T23" i="118"/>
  <c r="S23" i="118"/>
  <c r="R23" i="118"/>
  <c r="Q23" i="118"/>
  <c r="P23" i="118"/>
  <c r="O23" i="118"/>
  <c r="X22" i="118"/>
  <c r="W22" i="118"/>
  <c r="V22" i="118"/>
  <c r="U22" i="118"/>
  <c r="T22" i="118"/>
  <c r="S22" i="118"/>
  <c r="R22" i="118"/>
  <c r="Q22" i="118"/>
  <c r="P22" i="118"/>
  <c r="O22" i="118"/>
  <c r="X21" i="118"/>
  <c r="W21" i="118"/>
  <c r="V21" i="118"/>
  <c r="U21" i="118"/>
  <c r="T21" i="118"/>
  <c r="S21" i="118"/>
  <c r="R21" i="118"/>
  <c r="Q21" i="118"/>
  <c r="P21" i="118"/>
  <c r="O21" i="118"/>
  <c r="X20" i="118"/>
  <c r="W20" i="118"/>
  <c r="V20" i="118"/>
  <c r="U20" i="118"/>
  <c r="T20" i="118"/>
  <c r="S20" i="118"/>
  <c r="R20" i="118"/>
  <c r="Q20" i="118"/>
  <c r="P20" i="118"/>
  <c r="O20" i="118"/>
  <c r="X19" i="118"/>
  <c r="W19" i="118"/>
  <c r="V19" i="118"/>
  <c r="U19" i="118"/>
  <c r="T19" i="118"/>
  <c r="S19" i="118"/>
  <c r="R19" i="118"/>
  <c r="Q19" i="118"/>
  <c r="P19" i="118"/>
  <c r="O19" i="118"/>
  <c r="X18" i="118"/>
  <c r="W18" i="118"/>
  <c r="V18" i="118"/>
  <c r="U18" i="118"/>
  <c r="T18" i="118"/>
  <c r="S18" i="118"/>
  <c r="R18" i="118"/>
  <c r="Q18" i="118"/>
  <c r="P18" i="118"/>
  <c r="O18" i="118"/>
  <c r="X17" i="118"/>
  <c r="W17" i="118"/>
  <c r="V17" i="118"/>
  <c r="R17" i="118"/>
  <c r="Q17" i="118"/>
  <c r="P17" i="118"/>
  <c r="O17" i="118"/>
  <c r="R16" i="118"/>
  <c r="N16" i="118"/>
  <c r="M16" i="118"/>
  <c r="L16" i="118"/>
  <c r="W7" i="118"/>
  <c r="Y2" i="118"/>
  <c r="K40" i="37" l="1"/>
  <c r="K37" i="35"/>
  <c r="K40" i="33"/>
  <c r="K38" i="31"/>
  <c r="K35" i="28"/>
  <c r="K53" i="24"/>
  <c r="K66" i="20"/>
  <c r="K49" i="18" l="1"/>
  <c r="K58" i="16"/>
  <c r="K49" i="14"/>
  <c r="K59" i="11"/>
  <c r="K67" i="9"/>
  <c r="K47" i="7"/>
  <c r="K42" i="41" l="1"/>
  <c r="K35" i="39"/>
  <c r="K39" i="37" l="1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36" i="35"/>
  <c r="K40" i="35"/>
  <c r="K41" i="35"/>
  <c r="K42" i="35"/>
  <c r="K43" i="35"/>
  <c r="K44" i="35"/>
  <c r="K45" i="35"/>
  <c r="K46" i="35"/>
  <c r="K47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99" i="35"/>
  <c r="K100" i="35"/>
  <c r="K101" i="35"/>
  <c r="K102" i="35"/>
  <c r="K103" i="35"/>
  <c r="K104" i="35"/>
  <c r="K105" i="35"/>
  <c r="K106" i="35"/>
  <c r="K107" i="35"/>
  <c r="K108" i="35"/>
  <c r="K109" i="35"/>
  <c r="K110" i="35"/>
  <c r="K111" i="35"/>
  <c r="K112" i="35"/>
  <c r="K113" i="35"/>
  <c r="K114" i="35"/>
  <c r="K115" i="35"/>
  <c r="K116" i="35"/>
  <c r="K117" i="35"/>
  <c r="K118" i="35"/>
  <c r="K119" i="35"/>
  <c r="K120" i="35"/>
  <c r="K121" i="35"/>
  <c r="K122" i="35"/>
  <c r="K123" i="35"/>
  <c r="K124" i="35"/>
  <c r="K125" i="35"/>
  <c r="K126" i="35"/>
  <c r="K127" i="35"/>
  <c r="K128" i="35"/>
  <c r="K129" i="35"/>
  <c r="K130" i="35"/>
  <c r="K131" i="35"/>
  <c r="K132" i="35"/>
  <c r="K133" i="35"/>
  <c r="K134" i="35"/>
  <c r="K135" i="35"/>
  <c r="K136" i="35"/>
  <c r="K137" i="35"/>
  <c r="K138" i="35"/>
  <c r="K139" i="35"/>
  <c r="K140" i="35"/>
  <c r="K141" i="35"/>
  <c r="K142" i="35"/>
  <c r="K143" i="35"/>
  <c r="K144" i="35"/>
  <c r="K145" i="35"/>
  <c r="K146" i="35"/>
  <c r="K147" i="35"/>
  <c r="K148" i="35"/>
  <c r="K149" i="35"/>
  <c r="K150" i="35"/>
  <c r="K151" i="35"/>
  <c r="K152" i="35"/>
  <c r="K153" i="35"/>
  <c r="K39" i="33"/>
  <c r="K43" i="33"/>
  <c r="K44" i="33"/>
  <c r="K45" i="33"/>
  <c r="K46" i="33"/>
  <c r="K47" i="33"/>
  <c r="K48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K79" i="33"/>
  <c r="K80" i="33"/>
  <c r="K81" i="33"/>
  <c r="K82" i="33"/>
  <c r="K83" i="33"/>
  <c r="K84" i="33"/>
  <c r="K85" i="33"/>
  <c r="K86" i="33"/>
  <c r="K87" i="33"/>
  <c r="K88" i="33"/>
  <c r="K89" i="33"/>
  <c r="K90" i="33"/>
  <c r="K91" i="33"/>
  <c r="K92" i="33"/>
  <c r="K93" i="33"/>
  <c r="K94" i="33"/>
  <c r="K95" i="33"/>
  <c r="K96" i="33"/>
  <c r="K97" i="33"/>
  <c r="K98" i="33"/>
  <c r="K99" i="33"/>
  <c r="K100" i="33"/>
  <c r="K101" i="33"/>
  <c r="K102" i="33"/>
  <c r="K103" i="33"/>
  <c r="K104" i="33"/>
  <c r="K105" i="33"/>
  <c r="K106" i="33"/>
  <c r="K107" i="33"/>
  <c r="K108" i="33"/>
  <c r="K109" i="33"/>
  <c r="K110" i="33"/>
  <c r="K111" i="33"/>
  <c r="K112" i="33"/>
  <c r="K113" i="33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39" i="33"/>
  <c r="K140" i="33"/>
  <c r="K141" i="33"/>
  <c r="K142" i="33"/>
  <c r="K143" i="33"/>
  <c r="K144" i="33"/>
  <c r="K145" i="33"/>
  <c r="K146" i="33"/>
  <c r="K147" i="33"/>
  <c r="K148" i="33"/>
  <c r="K149" i="33"/>
  <c r="K150" i="33"/>
  <c r="K151" i="33"/>
  <c r="K152" i="33"/>
  <c r="K153" i="33"/>
  <c r="K37" i="31"/>
  <c r="K34" i="28"/>
  <c r="K65" i="20"/>
  <c r="K48" i="18" l="1"/>
  <c r="K57" i="16"/>
  <c r="K48" i="14"/>
  <c r="K58" i="11"/>
  <c r="K66" i="9"/>
  <c r="K46" i="7"/>
  <c r="K34" i="39" l="1"/>
  <c r="K41" i="41" l="1"/>
  <c r="K40" i="41" l="1"/>
  <c r="K33" i="39"/>
  <c r="Q35" i="41" l="1"/>
  <c r="Q36" i="41"/>
  <c r="Q37" i="41"/>
  <c r="Q38" i="41"/>
  <c r="Q39" i="41"/>
  <c r="Q40" i="41"/>
  <c r="Q41" i="41"/>
  <c r="Q42" i="41"/>
  <c r="Q43" i="41"/>
  <c r="Q44" i="41"/>
  <c r="O45" i="41"/>
  <c r="P45" i="41"/>
  <c r="Q45" i="41"/>
  <c r="O46" i="41"/>
  <c r="P46" i="41"/>
  <c r="Q46" i="41"/>
  <c r="O47" i="41"/>
  <c r="P47" i="41"/>
  <c r="Q47" i="41"/>
  <c r="O48" i="41"/>
  <c r="P48" i="41"/>
  <c r="Q48" i="41"/>
  <c r="O49" i="41"/>
  <c r="P49" i="41"/>
  <c r="Q49" i="41"/>
  <c r="O50" i="41"/>
  <c r="P50" i="41"/>
  <c r="Q50" i="41"/>
  <c r="O51" i="41"/>
  <c r="P51" i="41"/>
  <c r="Q51" i="41"/>
  <c r="O52" i="41"/>
  <c r="P52" i="41"/>
  <c r="Q52" i="41"/>
  <c r="O53" i="41"/>
  <c r="P53" i="41"/>
  <c r="Q53" i="41"/>
  <c r="O54" i="41"/>
  <c r="P54" i="41"/>
  <c r="Q54" i="41"/>
  <c r="O55" i="41"/>
  <c r="P55" i="41"/>
  <c r="Q55" i="41"/>
  <c r="O56" i="41"/>
  <c r="P56" i="41"/>
  <c r="Q56" i="41"/>
  <c r="O57" i="41"/>
  <c r="P57" i="41"/>
  <c r="Q57" i="41"/>
  <c r="O58" i="41"/>
  <c r="P58" i="41"/>
  <c r="Q58" i="41"/>
  <c r="O59" i="41"/>
  <c r="P59" i="41"/>
  <c r="Q59" i="41"/>
  <c r="O60" i="41"/>
  <c r="P60" i="41"/>
  <c r="Q60" i="41"/>
  <c r="O61" i="41"/>
  <c r="P61" i="41"/>
  <c r="Q61" i="41"/>
  <c r="O62" i="41"/>
  <c r="P62" i="41"/>
  <c r="Q62" i="41"/>
  <c r="O63" i="41"/>
  <c r="P63" i="41"/>
  <c r="Q63" i="41"/>
  <c r="O64" i="41"/>
  <c r="P64" i="41"/>
  <c r="Q64" i="41"/>
  <c r="O65" i="41"/>
  <c r="P65" i="41"/>
  <c r="Q65" i="41"/>
  <c r="O66" i="41"/>
  <c r="P66" i="41"/>
  <c r="Q66" i="41"/>
  <c r="O67" i="41"/>
  <c r="P67" i="41"/>
  <c r="Q67" i="41"/>
  <c r="O68" i="41"/>
  <c r="P68" i="41"/>
  <c r="Q68" i="41"/>
  <c r="O69" i="41"/>
  <c r="P69" i="41"/>
  <c r="Q69" i="41"/>
  <c r="O70" i="41"/>
  <c r="P70" i="41"/>
  <c r="Q70" i="41"/>
  <c r="O71" i="41"/>
  <c r="P71" i="41"/>
  <c r="Q71" i="41"/>
  <c r="O72" i="41"/>
  <c r="P72" i="41"/>
  <c r="Q72" i="41"/>
  <c r="O73" i="41"/>
  <c r="P73" i="41"/>
  <c r="Q73" i="41"/>
  <c r="O74" i="41"/>
  <c r="P74" i="41"/>
  <c r="Q74" i="41"/>
  <c r="O75" i="41"/>
  <c r="P75" i="41"/>
  <c r="Q75" i="41"/>
  <c r="O76" i="41"/>
  <c r="P76" i="41"/>
  <c r="Q76" i="41"/>
  <c r="O77" i="41"/>
  <c r="P77" i="41"/>
  <c r="Q77" i="41"/>
  <c r="O78" i="41"/>
  <c r="P78" i="41"/>
  <c r="Q78" i="41"/>
  <c r="O79" i="41"/>
  <c r="P79" i="41"/>
  <c r="Q79" i="41"/>
  <c r="O80" i="41"/>
  <c r="P80" i="41"/>
  <c r="Q80" i="41"/>
  <c r="O81" i="41"/>
  <c r="P81" i="41"/>
  <c r="Q81" i="41"/>
  <c r="O82" i="41"/>
  <c r="P82" i="41"/>
  <c r="Q82" i="41"/>
  <c r="O83" i="41"/>
  <c r="P83" i="41"/>
  <c r="Q83" i="41"/>
  <c r="O84" i="41"/>
  <c r="P84" i="41"/>
  <c r="Q84" i="41"/>
  <c r="O85" i="41"/>
  <c r="P85" i="41"/>
  <c r="Q85" i="41"/>
  <c r="O86" i="41"/>
  <c r="P86" i="41"/>
  <c r="Q86" i="41"/>
  <c r="O87" i="41"/>
  <c r="P87" i="41"/>
  <c r="Q87" i="41"/>
  <c r="O88" i="41"/>
  <c r="P88" i="41"/>
  <c r="Q88" i="41"/>
  <c r="O89" i="41"/>
  <c r="P89" i="41"/>
  <c r="Q89" i="41"/>
  <c r="O90" i="41"/>
  <c r="P90" i="41"/>
  <c r="Q90" i="41"/>
  <c r="O91" i="41"/>
  <c r="P91" i="41"/>
  <c r="Q91" i="41"/>
  <c r="O92" i="41"/>
  <c r="P92" i="41"/>
  <c r="Q92" i="41"/>
  <c r="O93" i="41"/>
  <c r="P93" i="41"/>
  <c r="Q93" i="41"/>
  <c r="O94" i="41"/>
  <c r="P94" i="41"/>
  <c r="Q94" i="41"/>
  <c r="O95" i="41"/>
  <c r="P95" i="41"/>
  <c r="Q95" i="41"/>
  <c r="O96" i="41"/>
  <c r="P96" i="41"/>
  <c r="Q96" i="41"/>
  <c r="O97" i="41"/>
  <c r="P97" i="41"/>
  <c r="Q97" i="41"/>
  <c r="O98" i="41"/>
  <c r="P98" i="41"/>
  <c r="Q98" i="41"/>
  <c r="O99" i="41"/>
  <c r="P99" i="41"/>
  <c r="Q99" i="41"/>
  <c r="O100" i="41"/>
  <c r="P100" i="41"/>
  <c r="Q100" i="41"/>
  <c r="O101" i="41"/>
  <c r="P101" i="41"/>
  <c r="Q101" i="41"/>
  <c r="O102" i="41"/>
  <c r="P102" i="41"/>
  <c r="Q102" i="41"/>
  <c r="O103" i="41"/>
  <c r="P103" i="41"/>
  <c r="Q103" i="41"/>
  <c r="O104" i="41"/>
  <c r="P104" i="41"/>
  <c r="Q104" i="41"/>
  <c r="O105" i="41"/>
  <c r="P105" i="41"/>
  <c r="Q105" i="41"/>
  <c r="O106" i="41"/>
  <c r="P106" i="41"/>
  <c r="Q106" i="41"/>
  <c r="O107" i="41"/>
  <c r="P107" i="41"/>
  <c r="Q107" i="41"/>
  <c r="O108" i="41"/>
  <c r="P108" i="41"/>
  <c r="Q108" i="41"/>
  <c r="O109" i="41"/>
  <c r="P109" i="41"/>
  <c r="Q109" i="41"/>
  <c r="O110" i="41"/>
  <c r="P110" i="41"/>
  <c r="Q110" i="41"/>
  <c r="O111" i="41"/>
  <c r="P111" i="41"/>
  <c r="Q111" i="41"/>
  <c r="O112" i="41"/>
  <c r="P112" i="41"/>
  <c r="Q112" i="41"/>
  <c r="O113" i="41"/>
  <c r="P113" i="41"/>
  <c r="Q113" i="41"/>
  <c r="O114" i="41"/>
  <c r="P114" i="41"/>
  <c r="Q114" i="41"/>
  <c r="O115" i="41"/>
  <c r="P115" i="41"/>
  <c r="Q115" i="41"/>
  <c r="O116" i="41"/>
  <c r="P116" i="41"/>
  <c r="Q116" i="41"/>
  <c r="O117" i="41"/>
  <c r="P117" i="41"/>
  <c r="Q117" i="41"/>
  <c r="O118" i="41"/>
  <c r="P118" i="41"/>
  <c r="Q118" i="41"/>
  <c r="O119" i="41"/>
  <c r="P119" i="41"/>
  <c r="Q119" i="41"/>
  <c r="O120" i="41"/>
  <c r="P120" i="41"/>
  <c r="Q120" i="41"/>
  <c r="O121" i="41"/>
  <c r="P121" i="41"/>
  <c r="Q121" i="41"/>
  <c r="O122" i="41"/>
  <c r="P122" i="41"/>
  <c r="Q122" i="41"/>
  <c r="O123" i="41"/>
  <c r="P123" i="41"/>
  <c r="Q123" i="41"/>
  <c r="O124" i="41"/>
  <c r="P124" i="41"/>
  <c r="Q124" i="41"/>
  <c r="O125" i="41"/>
  <c r="P125" i="41"/>
  <c r="Q125" i="41"/>
  <c r="O126" i="41"/>
  <c r="P126" i="41"/>
  <c r="Q126" i="41"/>
  <c r="O127" i="41"/>
  <c r="P127" i="41"/>
  <c r="Q127" i="41"/>
  <c r="O128" i="41"/>
  <c r="P128" i="41"/>
  <c r="Q128" i="41"/>
  <c r="O129" i="41"/>
  <c r="P129" i="41"/>
  <c r="Q129" i="41"/>
  <c r="O130" i="41"/>
  <c r="P130" i="41"/>
  <c r="Q130" i="41"/>
  <c r="O131" i="41"/>
  <c r="P131" i="41"/>
  <c r="Q131" i="41"/>
  <c r="O132" i="41"/>
  <c r="P132" i="41"/>
  <c r="Q132" i="41"/>
  <c r="O133" i="41"/>
  <c r="P133" i="41"/>
  <c r="Q133" i="41"/>
  <c r="O134" i="41"/>
  <c r="P134" i="41"/>
  <c r="Q134" i="41"/>
  <c r="O135" i="41"/>
  <c r="P135" i="41"/>
  <c r="Q135" i="41"/>
  <c r="O136" i="41"/>
  <c r="P136" i="41"/>
  <c r="Q136" i="41"/>
  <c r="O137" i="41"/>
  <c r="P137" i="41"/>
  <c r="Q137" i="41"/>
  <c r="O138" i="41"/>
  <c r="P138" i="41"/>
  <c r="Q138" i="41"/>
  <c r="O139" i="41"/>
  <c r="P139" i="41"/>
  <c r="Q139" i="41"/>
  <c r="O140" i="41"/>
  <c r="P140" i="41"/>
  <c r="Q140" i="41"/>
  <c r="O141" i="41"/>
  <c r="P141" i="41"/>
  <c r="Q141" i="41"/>
  <c r="O142" i="41"/>
  <c r="P142" i="41"/>
  <c r="Q142" i="41"/>
  <c r="O143" i="41"/>
  <c r="P143" i="41"/>
  <c r="Q143" i="41"/>
  <c r="O144" i="41"/>
  <c r="P144" i="41"/>
  <c r="Q144" i="41"/>
  <c r="O145" i="41"/>
  <c r="P145" i="41"/>
  <c r="Q145" i="41"/>
  <c r="O146" i="41"/>
  <c r="P146" i="41"/>
  <c r="Q146" i="41"/>
  <c r="O147" i="41"/>
  <c r="P147" i="41"/>
  <c r="Q147" i="41"/>
  <c r="O148" i="41"/>
  <c r="P148" i="41"/>
  <c r="Q148" i="41"/>
  <c r="O149" i="41"/>
  <c r="P149" i="41"/>
  <c r="Q149" i="41"/>
  <c r="O150" i="41"/>
  <c r="P150" i="41"/>
  <c r="Q150" i="41"/>
  <c r="O151" i="41"/>
  <c r="P151" i="41"/>
  <c r="Q151" i="41"/>
  <c r="O152" i="41"/>
  <c r="P152" i="41"/>
  <c r="Q152" i="41"/>
  <c r="O153" i="41"/>
  <c r="P153" i="41"/>
  <c r="Q153" i="41"/>
  <c r="Q34" i="41"/>
  <c r="M35" i="41"/>
  <c r="N35" i="41"/>
  <c r="M36" i="41"/>
  <c r="N36" i="41"/>
  <c r="M37" i="41"/>
  <c r="N37" i="41"/>
  <c r="M38" i="41"/>
  <c r="N38" i="41"/>
  <c r="M39" i="41"/>
  <c r="N39" i="41"/>
  <c r="M40" i="41"/>
  <c r="N40" i="41"/>
  <c r="M41" i="41"/>
  <c r="N41" i="41"/>
  <c r="M42" i="41"/>
  <c r="N42" i="41"/>
  <c r="L43" i="41"/>
  <c r="M43" i="41"/>
  <c r="N43" i="41"/>
  <c r="L44" i="41"/>
  <c r="M44" i="41"/>
  <c r="N44" i="41"/>
  <c r="L45" i="41"/>
  <c r="M45" i="41"/>
  <c r="N45" i="41"/>
  <c r="L46" i="41"/>
  <c r="M46" i="41"/>
  <c r="N46" i="41"/>
  <c r="L47" i="41"/>
  <c r="M47" i="41"/>
  <c r="N47" i="41"/>
  <c r="L48" i="41"/>
  <c r="M48" i="41"/>
  <c r="N48" i="41"/>
  <c r="L49" i="41"/>
  <c r="M49" i="41"/>
  <c r="N49" i="41"/>
  <c r="L50" i="41"/>
  <c r="M50" i="41"/>
  <c r="N50" i="41"/>
  <c r="L51" i="41"/>
  <c r="M51" i="41"/>
  <c r="N51" i="41"/>
  <c r="L52" i="41"/>
  <c r="M52" i="41"/>
  <c r="N52" i="41"/>
  <c r="L53" i="41"/>
  <c r="M53" i="41"/>
  <c r="N53" i="41"/>
  <c r="L54" i="41"/>
  <c r="M54" i="41"/>
  <c r="N54" i="41"/>
  <c r="L55" i="41"/>
  <c r="M55" i="41"/>
  <c r="N55" i="41"/>
  <c r="L56" i="41"/>
  <c r="M56" i="41"/>
  <c r="N56" i="41"/>
  <c r="L57" i="41"/>
  <c r="M57" i="41"/>
  <c r="N57" i="41"/>
  <c r="L58" i="41"/>
  <c r="M58" i="41"/>
  <c r="N58" i="41"/>
  <c r="L59" i="41"/>
  <c r="M59" i="41"/>
  <c r="N59" i="41"/>
  <c r="L60" i="41"/>
  <c r="M60" i="41"/>
  <c r="N60" i="41"/>
  <c r="L61" i="41"/>
  <c r="M61" i="41"/>
  <c r="N61" i="41"/>
  <c r="L62" i="41"/>
  <c r="M62" i="41"/>
  <c r="N62" i="41"/>
  <c r="L63" i="41"/>
  <c r="M63" i="41"/>
  <c r="N63" i="41"/>
  <c r="L64" i="41"/>
  <c r="M64" i="41"/>
  <c r="N64" i="41"/>
  <c r="L65" i="41"/>
  <c r="M65" i="41"/>
  <c r="N65" i="41"/>
  <c r="L66" i="41"/>
  <c r="M66" i="41"/>
  <c r="N66" i="41"/>
  <c r="L67" i="41"/>
  <c r="M67" i="41"/>
  <c r="N67" i="41"/>
  <c r="L68" i="41"/>
  <c r="M68" i="41"/>
  <c r="N68" i="41"/>
  <c r="L69" i="41"/>
  <c r="M69" i="41"/>
  <c r="N69" i="41"/>
  <c r="L70" i="41"/>
  <c r="M70" i="41"/>
  <c r="N70" i="41"/>
  <c r="L71" i="41"/>
  <c r="M71" i="41"/>
  <c r="N71" i="41"/>
  <c r="L72" i="41"/>
  <c r="M72" i="41"/>
  <c r="N72" i="41"/>
  <c r="L73" i="41"/>
  <c r="M73" i="41"/>
  <c r="N73" i="41"/>
  <c r="L74" i="41"/>
  <c r="M74" i="41"/>
  <c r="N74" i="41"/>
  <c r="L75" i="41"/>
  <c r="M75" i="41"/>
  <c r="N75" i="41"/>
  <c r="L76" i="41"/>
  <c r="M76" i="41"/>
  <c r="N76" i="41"/>
  <c r="L77" i="41"/>
  <c r="M77" i="41"/>
  <c r="N77" i="41"/>
  <c r="L78" i="41"/>
  <c r="M78" i="41"/>
  <c r="N78" i="41"/>
  <c r="L79" i="41"/>
  <c r="M79" i="41"/>
  <c r="N79" i="41"/>
  <c r="L80" i="41"/>
  <c r="M80" i="41"/>
  <c r="N80" i="41"/>
  <c r="L81" i="41"/>
  <c r="M81" i="41"/>
  <c r="N81" i="41"/>
  <c r="L82" i="41"/>
  <c r="M82" i="41"/>
  <c r="N82" i="41"/>
  <c r="L83" i="41"/>
  <c r="M83" i="41"/>
  <c r="N83" i="41"/>
  <c r="L84" i="41"/>
  <c r="M84" i="41"/>
  <c r="N84" i="41"/>
  <c r="L85" i="41"/>
  <c r="M85" i="41"/>
  <c r="N85" i="41"/>
  <c r="L86" i="41"/>
  <c r="M86" i="41"/>
  <c r="N86" i="41"/>
  <c r="L87" i="41"/>
  <c r="M87" i="41"/>
  <c r="N87" i="41"/>
  <c r="L88" i="41"/>
  <c r="M88" i="41"/>
  <c r="N88" i="41"/>
  <c r="L89" i="41"/>
  <c r="M89" i="41"/>
  <c r="N89" i="41"/>
  <c r="L90" i="41"/>
  <c r="M90" i="41"/>
  <c r="N90" i="41"/>
  <c r="L91" i="41"/>
  <c r="M91" i="41"/>
  <c r="N91" i="41"/>
  <c r="L92" i="41"/>
  <c r="M92" i="41"/>
  <c r="N92" i="41"/>
  <c r="L93" i="41"/>
  <c r="M93" i="41"/>
  <c r="N93" i="41"/>
  <c r="L94" i="41"/>
  <c r="M94" i="41"/>
  <c r="N94" i="41"/>
  <c r="L95" i="41"/>
  <c r="M95" i="41"/>
  <c r="N95" i="41"/>
  <c r="L96" i="41"/>
  <c r="M96" i="41"/>
  <c r="N96" i="41"/>
  <c r="L97" i="41"/>
  <c r="M97" i="41"/>
  <c r="N97" i="41"/>
  <c r="L98" i="41"/>
  <c r="M98" i="41"/>
  <c r="N98" i="41"/>
  <c r="L99" i="41"/>
  <c r="M99" i="41"/>
  <c r="N99" i="41"/>
  <c r="L100" i="41"/>
  <c r="M100" i="41"/>
  <c r="N100" i="41"/>
  <c r="L101" i="41"/>
  <c r="M101" i="41"/>
  <c r="N101" i="41"/>
  <c r="L102" i="41"/>
  <c r="M102" i="41"/>
  <c r="N102" i="41"/>
  <c r="L103" i="41"/>
  <c r="M103" i="41"/>
  <c r="N103" i="41"/>
  <c r="L104" i="41"/>
  <c r="M104" i="41"/>
  <c r="N104" i="41"/>
  <c r="L105" i="41"/>
  <c r="M105" i="41"/>
  <c r="N105" i="41"/>
  <c r="L106" i="41"/>
  <c r="M106" i="41"/>
  <c r="N106" i="41"/>
  <c r="L107" i="41"/>
  <c r="M107" i="41"/>
  <c r="N107" i="41"/>
  <c r="L108" i="41"/>
  <c r="M108" i="41"/>
  <c r="N108" i="41"/>
  <c r="L109" i="41"/>
  <c r="M109" i="41"/>
  <c r="N109" i="41"/>
  <c r="L110" i="41"/>
  <c r="M110" i="41"/>
  <c r="N110" i="41"/>
  <c r="L111" i="41"/>
  <c r="M111" i="41"/>
  <c r="N111" i="41"/>
  <c r="L112" i="41"/>
  <c r="M112" i="41"/>
  <c r="N112" i="41"/>
  <c r="L113" i="41"/>
  <c r="M113" i="41"/>
  <c r="N113" i="41"/>
  <c r="L114" i="41"/>
  <c r="M114" i="41"/>
  <c r="N114" i="41"/>
  <c r="L115" i="41"/>
  <c r="M115" i="41"/>
  <c r="N115" i="41"/>
  <c r="L116" i="41"/>
  <c r="M116" i="41"/>
  <c r="N116" i="41"/>
  <c r="L117" i="41"/>
  <c r="M117" i="41"/>
  <c r="N117" i="41"/>
  <c r="L118" i="41"/>
  <c r="M118" i="41"/>
  <c r="N118" i="41"/>
  <c r="L119" i="41"/>
  <c r="M119" i="41"/>
  <c r="N119" i="41"/>
  <c r="L120" i="41"/>
  <c r="M120" i="41"/>
  <c r="N120" i="41"/>
  <c r="L121" i="41"/>
  <c r="M121" i="41"/>
  <c r="N121" i="41"/>
  <c r="L122" i="41"/>
  <c r="M122" i="41"/>
  <c r="N122" i="41"/>
  <c r="L123" i="41"/>
  <c r="M123" i="41"/>
  <c r="N123" i="41"/>
  <c r="L124" i="41"/>
  <c r="M124" i="41"/>
  <c r="N124" i="41"/>
  <c r="L125" i="41"/>
  <c r="M125" i="41"/>
  <c r="N125" i="41"/>
  <c r="L126" i="41"/>
  <c r="M126" i="41"/>
  <c r="N126" i="41"/>
  <c r="L127" i="41"/>
  <c r="M127" i="41"/>
  <c r="N127" i="41"/>
  <c r="L128" i="41"/>
  <c r="M128" i="41"/>
  <c r="N128" i="41"/>
  <c r="L129" i="41"/>
  <c r="M129" i="41"/>
  <c r="N129" i="41"/>
  <c r="L130" i="41"/>
  <c r="M130" i="41"/>
  <c r="N130" i="41"/>
  <c r="L131" i="41"/>
  <c r="M131" i="41"/>
  <c r="N131" i="41"/>
  <c r="L132" i="41"/>
  <c r="M132" i="41"/>
  <c r="N132" i="41"/>
  <c r="L133" i="41"/>
  <c r="M133" i="41"/>
  <c r="N133" i="41"/>
  <c r="L134" i="41"/>
  <c r="M134" i="41"/>
  <c r="N134" i="41"/>
  <c r="L135" i="41"/>
  <c r="M135" i="41"/>
  <c r="N135" i="41"/>
  <c r="L136" i="41"/>
  <c r="M136" i="41"/>
  <c r="N136" i="41"/>
  <c r="L137" i="41"/>
  <c r="M137" i="41"/>
  <c r="N137" i="41"/>
  <c r="L138" i="41"/>
  <c r="M138" i="41"/>
  <c r="N138" i="41"/>
  <c r="L139" i="41"/>
  <c r="M139" i="41"/>
  <c r="N139" i="41"/>
  <c r="L140" i="41"/>
  <c r="M140" i="41"/>
  <c r="N140" i="41"/>
  <c r="L141" i="41"/>
  <c r="M141" i="41"/>
  <c r="N141" i="41"/>
  <c r="L142" i="41"/>
  <c r="M142" i="41"/>
  <c r="N142" i="41"/>
  <c r="L143" i="41"/>
  <c r="M143" i="41"/>
  <c r="N143" i="41"/>
  <c r="L144" i="41"/>
  <c r="M144" i="41"/>
  <c r="N144" i="41"/>
  <c r="L145" i="41"/>
  <c r="M145" i="41"/>
  <c r="N145" i="41"/>
  <c r="L146" i="41"/>
  <c r="M146" i="41"/>
  <c r="N146" i="41"/>
  <c r="L147" i="41"/>
  <c r="M147" i="41"/>
  <c r="N147" i="41"/>
  <c r="L148" i="41"/>
  <c r="M148" i="41"/>
  <c r="N148" i="41"/>
  <c r="L149" i="41"/>
  <c r="M149" i="41"/>
  <c r="N149" i="41"/>
  <c r="L150" i="41"/>
  <c r="M150" i="41"/>
  <c r="N150" i="41"/>
  <c r="L151" i="41"/>
  <c r="M151" i="41"/>
  <c r="N151" i="41"/>
  <c r="L152" i="41"/>
  <c r="M152" i="41"/>
  <c r="N152" i="41"/>
  <c r="L153" i="41"/>
  <c r="M153" i="41"/>
  <c r="N153" i="41"/>
  <c r="N34" i="41"/>
  <c r="K37" i="41"/>
  <c r="K38" i="41"/>
  <c r="K39" i="41"/>
  <c r="K36" i="41"/>
  <c r="K35" i="41"/>
  <c r="K34" i="41"/>
  <c r="L33" i="39" l="1"/>
  <c r="M33" i="39"/>
  <c r="N33" i="39"/>
  <c r="O33" i="39"/>
  <c r="P33" i="39"/>
  <c r="Q33" i="39"/>
  <c r="L34" i="39"/>
  <c r="M34" i="39"/>
  <c r="N34" i="39"/>
  <c r="O34" i="39"/>
  <c r="P34" i="39"/>
  <c r="Q34" i="39"/>
  <c r="L35" i="39"/>
  <c r="M35" i="39"/>
  <c r="N35" i="39"/>
  <c r="O35" i="39"/>
  <c r="P35" i="39"/>
  <c r="Q35" i="39"/>
  <c r="L36" i="39"/>
  <c r="M36" i="39"/>
  <c r="N36" i="39"/>
  <c r="O36" i="39"/>
  <c r="P36" i="39"/>
  <c r="Q36" i="39"/>
  <c r="L37" i="39"/>
  <c r="M37" i="39"/>
  <c r="N37" i="39"/>
  <c r="O37" i="39"/>
  <c r="P37" i="39"/>
  <c r="Q37" i="39"/>
  <c r="L38" i="39"/>
  <c r="M38" i="39"/>
  <c r="N38" i="39"/>
  <c r="O38" i="39"/>
  <c r="P38" i="39"/>
  <c r="Q38" i="39"/>
  <c r="L39" i="39"/>
  <c r="M39" i="39"/>
  <c r="N39" i="39"/>
  <c r="O39" i="39"/>
  <c r="P39" i="39"/>
  <c r="Q39" i="39"/>
  <c r="L40" i="39"/>
  <c r="M40" i="39"/>
  <c r="N40" i="39"/>
  <c r="O40" i="39"/>
  <c r="P40" i="39"/>
  <c r="Q40" i="39"/>
  <c r="L41" i="39"/>
  <c r="M41" i="39"/>
  <c r="N41" i="39"/>
  <c r="O41" i="39"/>
  <c r="P41" i="39"/>
  <c r="Q41" i="39"/>
  <c r="L42" i="39"/>
  <c r="M42" i="39"/>
  <c r="N42" i="39"/>
  <c r="O42" i="39"/>
  <c r="P42" i="39"/>
  <c r="Q42" i="39"/>
  <c r="L43" i="39"/>
  <c r="M43" i="39"/>
  <c r="N43" i="39"/>
  <c r="O43" i="39"/>
  <c r="P43" i="39"/>
  <c r="Q43" i="39"/>
  <c r="L44" i="39"/>
  <c r="M44" i="39"/>
  <c r="N44" i="39"/>
  <c r="O44" i="39"/>
  <c r="P44" i="39"/>
  <c r="Q44" i="39"/>
  <c r="L45" i="39"/>
  <c r="M45" i="39"/>
  <c r="N45" i="39"/>
  <c r="O45" i="39"/>
  <c r="P45" i="39"/>
  <c r="Q45" i="39"/>
  <c r="L46" i="39"/>
  <c r="M46" i="39"/>
  <c r="N46" i="39"/>
  <c r="O46" i="39"/>
  <c r="P46" i="39"/>
  <c r="Q46" i="39"/>
  <c r="L47" i="39"/>
  <c r="M47" i="39"/>
  <c r="N47" i="39"/>
  <c r="O47" i="39"/>
  <c r="P47" i="39"/>
  <c r="Q47" i="39"/>
  <c r="L48" i="39"/>
  <c r="M48" i="39"/>
  <c r="N48" i="39"/>
  <c r="O48" i="39"/>
  <c r="P48" i="39"/>
  <c r="Q48" i="39"/>
  <c r="L49" i="39"/>
  <c r="M49" i="39"/>
  <c r="N49" i="39"/>
  <c r="O49" i="39"/>
  <c r="P49" i="39"/>
  <c r="Q49" i="39"/>
  <c r="L50" i="39"/>
  <c r="M50" i="39"/>
  <c r="N50" i="39"/>
  <c r="O50" i="39"/>
  <c r="P50" i="39"/>
  <c r="Q50" i="39"/>
  <c r="L51" i="39"/>
  <c r="M51" i="39"/>
  <c r="N51" i="39"/>
  <c r="O51" i="39"/>
  <c r="P51" i="39"/>
  <c r="Q51" i="39"/>
  <c r="L52" i="39"/>
  <c r="M52" i="39"/>
  <c r="N52" i="39"/>
  <c r="O52" i="39"/>
  <c r="P52" i="39"/>
  <c r="Q52" i="39"/>
  <c r="L53" i="39"/>
  <c r="M53" i="39"/>
  <c r="N53" i="39"/>
  <c r="O53" i="39"/>
  <c r="P53" i="39"/>
  <c r="Q53" i="39"/>
  <c r="L54" i="39"/>
  <c r="M54" i="39"/>
  <c r="N54" i="39"/>
  <c r="O54" i="39"/>
  <c r="P54" i="39"/>
  <c r="Q54" i="39"/>
  <c r="L55" i="39"/>
  <c r="M55" i="39"/>
  <c r="N55" i="39"/>
  <c r="O55" i="39"/>
  <c r="P55" i="39"/>
  <c r="Q55" i="39"/>
  <c r="L56" i="39"/>
  <c r="M56" i="39"/>
  <c r="N56" i="39"/>
  <c r="O56" i="39"/>
  <c r="P56" i="39"/>
  <c r="Q56" i="39"/>
  <c r="L57" i="39"/>
  <c r="M57" i="39"/>
  <c r="N57" i="39"/>
  <c r="O57" i="39"/>
  <c r="P57" i="39"/>
  <c r="Q57" i="39"/>
  <c r="L58" i="39"/>
  <c r="M58" i="39"/>
  <c r="N58" i="39"/>
  <c r="O58" i="39"/>
  <c r="P58" i="39"/>
  <c r="Q58" i="39"/>
  <c r="L59" i="39"/>
  <c r="M59" i="39"/>
  <c r="N59" i="39"/>
  <c r="O59" i="39"/>
  <c r="P59" i="39"/>
  <c r="Q59" i="39"/>
  <c r="L60" i="39"/>
  <c r="M60" i="39"/>
  <c r="N60" i="39"/>
  <c r="O60" i="39"/>
  <c r="P60" i="39"/>
  <c r="Q60" i="39"/>
  <c r="L61" i="39"/>
  <c r="M61" i="39"/>
  <c r="N61" i="39"/>
  <c r="O61" i="39"/>
  <c r="P61" i="39"/>
  <c r="Q61" i="39"/>
  <c r="L62" i="39"/>
  <c r="M62" i="39"/>
  <c r="N62" i="39"/>
  <c r="O62" i="39"/>
  <c r="P62" i="39"/>
  <c r="Q62" i="39"/>
  <c r="L63" i="39"/>
  <c r="M63" i="39"/>
  <c r="N63" i="39"/>
  <c r="O63" i="39"/>
  <c r="P63" i="39"/>
  <c r="Q63" i="39"/>
  <c r="L64" i="39"/>
  <c r="M64" i="39"/>
  <c r="N64" i="39"/>
  <c r="O64" i="39"/>
  <c r="P64" i="39"/>
  <c r="Q64" i="39"/>
  <c r="L65" i="39"/>
  <c r="M65" i="39"/>
  <c r="N65" i="39"/>
  <c r="O65" i="39"/>
  <c r="P65" i="39"/>
  <c r="Q65" i="39"/>
  <c r="L66" i="39"/>
  <c r="M66" i="39"/>
  <c r="N66" i="39"/>
  <c r="O66" i="39"/>
  <c r="P66" i="39"/>
  <c r="Q66" i="39"/>
  <c r="L67" i="39"/>
  <c r="M67" i="39"/>
  <c r="N67" i="39"/>
  <c r="O67" i="39"/>
  <c r="P67" i="39"/>
  <c r="Q67" i="39"/>
  <c r="L68" i="39"/>
  <c r="M68" i="39"/>
  <c r="N68" i="39"/>
  <c r="O68" i="39"/>
  <c r="P68" i="39"/>
  <c r="Q68" i="39"/>
  <c r="L69" i="39"/>
  <c r="M69" i="39"/>
  <c r="N69" i="39"/>
  <c r="O69" i="39"/>
  <c r="P69" i="39"/>
  <c r="Q69" i="39"/>
  <c r="L70" i="39"/>
  <c r="M70" i="39"/>
  <c r="N70" i="39"/>
  <c r="O70" i="39"/>
  <c r="P70" i="39"/>
  <c r="Q70" i="39"/>
  <c r="L71" i="39"/>
  <c r="M71" i="39"/>
  <c r="N71" i="39"/>
  <c r="O71" i="39"/>
  <c r="P71" i="39"/>
  <c r="Q71" i="39"/>
  <c r="L72" i="39"/>
  <c r="M72" i="39"/>
  <c r="N72" i="39"/>
  <c r="O72" i="39"/>
  <c r="P72" i="39"/>
  <c r="Q72" i="39"/>
  <c r="L73" i="39"/>
  <c r="M73" i="39"/>
  <c r="N73" i="39"/>
  <c r="O73" i="39"/>
  <c r="P73" i="39"/>
  <c r="Q73" i="39"/>
  <c r="L74" i="39"/>
  <c r="M74" i="39"/>
  <c r="N74" i="39"/>
  <c r="O74" i="39"/>
  <c r="P74" i="39"/>
  <c r="Q74" i="39"/>
  <c r="L75" i="39"/>
  <c r="M75" i="39"/>
  <c r="N75" i="39"/>
  <c r="O75" i="39"/>
  <c r="P75" i="39"/>
  <c r="Q75" i="39"/>
  <c r="L76" i="39"/>
  <c r="M76" i="39"/>
  <c r="N76" i="39"/>
  <c r="O76" i="39"/>
  <c r="P76" i="39"/>
  <c r="Q76" i="39"/>
  <c r="L77" i="39"/>
  <c r="M77" i="39"/>
  <c r="N77" i="39"/>
  <c r="O77" i="39"/>
  <c r="P77" i="39"/>
  <c r="Q77" i="39"/>
  <c r="L78" i="39"/>
  <c r="M78" i="39"/>
  <c r="N78" i="39"/>
  <c r="O78" i="39"/>
  <c r="P78" i="39"/>
  <c r="Q78" i="39"/>
  <c r="L79" i="39"/>
  <c r="M79" i="39"/>
  <c r="N79" i="39"/>
  <c r="O79" i="39"/>
  <c r="P79" i="39"/>
  <c r="Q79" i="39"/>
  <c r="L80" i="39"/>
  <c r="M80" i="39"/>
  <c r="N80" i="39"/>
  <c r="O80" i="39"/>
  <c r="P80" i="39"/>
  <c r="Q80" i="39"/>
  <c r="L81" i="39"/>
  <c r="M81" i="39"/>
  <c r="N81" i="39"/>
  <c r="O81" i="39"/>
  <c r="P81" i="39"/>
  <c r="Q81" i="39"/>
  <c r="L82" i="39"/>
  <c r="M82" i="39"/>
  <c r="N82" i="39"/>
  <c r="O82" i="39"/>
  <c r="P82" i="39"/>
  <c r="Q82" i="39"/>
  <c r="L83" i="39"/>
  <c r="M83" i="39"/>
  <c r="N83" i="39"/>
  <c r="O83" i="39"/>
  <c r="P83" i="39"/>
  <c r="Q83" i="39"/>
  <c r="L84" i="39"/>
  <c r="M84" i="39"/>
  <c r="N84" i="39"/>
  <c r="O84" i="39"/>
  <c r="P84" i="39"/>
  <c r="Q84" i="39"/>
  <c r="L85" i="39"/>
  <c r="M85" i="39"/>
  <c r="N85" i="39"/>
  <c r="O85" i="39"/>
  <c r="P85" i="39"/>
  <c r="Q85" i="39"/>
  <c r="L86" i="39"/>
  <c r="M86" i="39"/>
  <c r="N86" i="39"/>
  <c r="O86" i="39"/>
  <c r="P86" i="39"/>
  <c r="Q86" i="39"/>
  <c r="L87" i="39"/>
  <c r="M87" i="39"/>
  <c r="N87" i="39"/>
  <c r="O87" i="39"/>
  <c r="P87" i="39"/>
  <c r="Q87" i="39"/>
  <c r="L88" i="39"/>
  <c r="M88" i="39"/>
  <c r="N88" i="39"/>
  <c r="O88" i="39"/>
  <c r="P88" i="39"/>
  <c r="Q88" i="39"/>
  <c r="L89" i="39"/>
  <c r="M89" i="39"/>
  <c r="N89" i="39"/>
  <c r="O89" i="39"/>
  <c r="P89" i="39"/>
  <c r="Q89" i="39"/>
  <c r="L90" i="39"/>
  <c r="M90" i="39"/>
  <c r="N90" i="39"/>
  <c r="O90" i="39"/>
  <c r="P90" i="39"/>
  <c r="Q90" i="39"/>
  <c r="L91" i="39"/>
  <c r="M91" i="39"/>
  <c r="N91" i="39"/>
  <c r="O91" i="39"/>
  <c r="P91" i="39"/>
  <c r="Q91" i="39"/>
  <c r="L92" i="39"/>
  <c r="M92" i="39"/>
  <c r="N92" i="39"/>
  <c r="O92" i="39"/>
  <c r="P92" i="39"/>
  <c r="Q92" i="39"/>
  <c r="L93" i="39"/>
  <c r="M93" i="39"/>
  <c r="N93" i="39"/>
  <c r="O93" i="39"/>
  <c r="P93" i="39"/>
  <c r="Q93" i="39"/>
  <c r="L94" i="39"/>
  <c r="M94" i="39"/>
  <c r="N94" i="39"/>
  <c r="O94" i="39"/>
  <c r="P94" i="39"/>
  <c r="Q94" i="39"/>
  <c r="L95" i="39"/>
  <c r="M95" i="39"/>
  <c r="N95" i="39"/>
  <c r="O95" i="39"/>
  <c r="P95" i="39"/>
  <c r="Q95" i="39"/>
  <c r="L96" i="39"/>
  <c r="M96" i="39"/>
  <c r="N96" i="39"/>
  <c r="O96" i="39"/>
  <c r="P96" i="39"/>
  <c r="Q96" i="39"/>
  <c r="L97" i="39"/>
  <c r="M97" i="39"/>
  <c r="N97" i="39"/>
  <c r="O97" i="39"/>
  <c r="P97" i="39"/>
  <c r="Q97" i="39"/>
  <c r="L98" i="39"/>
  <c r="M98" i="39"/>
  <c r="N98" i="39"/>
  <c r="O98" i="39"/>
  <c r="P98" i="39"/>
  <c r="Q98" i="39"/>
  <c r="L99" i="39"/>
  <c r="M99" i="39"/>
  <c r="N99" i="39"/>
  <c r="O99" i="39"/>
  <c r="P99" i="39"/>
  <c r="Q99" i="39"/>
  <c r="L100" i="39"/>
  <c r="M100" i="39"/>
  <c r="N100" i="39"/>
  <c r="O100" i="39"/>
  <c r="P100" i="39"/>
  <c r="Q100" i="39"/>
  <c r="L101" i="39"/>
  <c r="M101" i="39"/>
  <c r="N101" i="39"/>
  <c r="O101" i="39"/>
  <c r="P101" i="39"/>
  <c r="Q101" i="39"/>
  <c r="L102" i="39"/>
  <c r="M102" i="39"/>
  <c r="N102" i="39"/>
  <c r="O102" i="39"/>
  <c r="P102" i="39"/>
  <c r="Q102" i="39"/>
  <c r="L103" i="39"/>
  <c r="M103" i="39"/>
  <c r="N103" i="39"/>
  <c r="O103" i="39"/>
  <c r="P103" i="39"/>
  <c r="Q103" i="39"/>
  <c r="L104" i="39"/>
  <c r="M104" i="39"/>
  <c r="N104" i="39"/>
  <c r="O104" i="39"/>
  <c r="P104" i="39"/>
  <c r="Q104" i="39"/>
  <c r="L105" i="39"/>
  <c r="M105" i="39"/>
  <c r="N105" i="39"/>
  <c r="O105" i="39"/>
  <c r="P105" i="39"/>
  <c r="Q105" i="39"/>
  <c r="L106" i="39"/>
  <c r="M106" i="39"/>
  <c r="N106" i="39"/>
  <c r="O106" i="39"/>
  <c r="P106" i="39"/>
  <c r="Q106" i="39"/>
  <c r="L107" i="39"/>
  <c r="M107" i="39"/>
  <c r="N107" i="39"/>
  <c r="O107" i="39"/>
  <c r="P107" i="39"/>
  <c r="Q107" i="39"/>
  <c r="L108" i="39"/>
  <c r="M108" i="39"/>
  <c r="N108" i="39"/>
  <c r="O108" i="39"/>
  <c r="P108" i="39"/>
  <c r="Q108" i="39"/>
  <c r="L109" i="39"/>
  <c r="M109" i="39"/>
  <c r="N109" i="39"/>
  <c r="O109" i="39"/>
  <c r="P109" i="39"/>
  <c r="Q109" i="39"/>
  <c r="L110" i="39"/>
  <c r="M110" i="39"/>
  <c r="N110" i="39"/>
  <c r="O110" i="39"/>
  <c r="P110" i="39"/>
  <c r="Q110" i="39"/>
  <c r="L111" i="39"/>
  <c r="M111" i="39"/>
  <c r="N111" i="39"/>
  <c r="O111" i="39"/>
  <c r="P111" i="39"/>
  <c r="Q111" i="39"/>
  <c r="L112" i="39"/>
  <c r="M112" i="39"/>
  <c r="N112" i="39"/>
  <c r="O112" i="39"/>
  <c r="P112" i="39"/>
  <c r="Q112" i="39"/>
  <c r="L113" i="39"/>
  <c r="M113" i="39"/>
  <c r="N113" i="39"/>
  <c r="O113" i="39"/>
  <c r="P113" i="39"/>
  <c r="Q113" i="39"/>
  <c r="L114" i="39"/>
  <c r="M114" i="39"/>
  <c r="N114" i="39"/>
  <c r="O114" i="39"/>
  <c r="P114" i="39"/>
  <c r="Q114" i="39"/>
  <c r="L115" i="39"/>
  <c r="M115" i="39"/>
  <c r="N115" i="39"/>
  <c r="O115" i="39"/>
  <c r="P115" i="39"/>
  <c r="Q115" i="39"/>
  <c r="L116" i="39"/>
  <c r="M116" i="39"/>
  <c r="N116" i="39"/>
  <c r="O116" i="39"/>
  <c r="P116" i="39"/>
  <c r="Q116" i="39"/>
  <c r="L117" i="39"/>
  <c r="M117" i="39"/>
  <c r="N117" i="39"/>
  <c r="O117" i="39"/>
  <c r="P117" i="39"/>
  <c r="Q117" i="39"/>
  <c r="L118" i="39"/>
  <c r="M118" i="39"/>
  <c r="N118" i="39"/>
  <c r="O118" i="39"/>
  <c r="P118" i="39"/>
  <c r="Q118" i="39"/>
  <c r="L119" i="39"/>
  <c r="M119" i="39"/>
  <c r="N119" i="39"/>
  <c r="O119" i="39"/>
  <c r="P119" i="39"/>
  <c r="Q119" i="39"/>
  <c r="L120" i="39"/>
  <c r="M120" i="39"/>
  <c r="N120" i="39"/>
  <c r="O120" i="39"/>
  <c r="P120" i="39"/>
  <c r="Q120" i="39"/>
  <c r="L121" i="39"/>
  <c r="M121" i="39"/>
  <c r="N121" i="39"/>
  <c r="O121" i="39"/>
  <c r="P121" i="39"/>
  <c r="Q121" i="39"/>
  <c r="L122" i="39"/>
  <c r="M122" i="39"/>
  <c r="N122" i="39"/>
  <c r="O122" i="39"/>
  <c r="P122" i="39"/>
  <c r="Q122" i="39"/>
  <c r="L123" i="39"/>
  <c r="M123" i="39"/>
  <c r="N123" i="39"/>
  <c r="O123" i="39"/>
  <c r="P123" i="39"/>
  <c r="Q123" i="39"/>
  <c r="L124" i="39"/>
  <c r="M124" i="39"/>
  <c r="N124" i="39"/>
  <c r="O124" i="39"/>
  <c r="P124" i="39"/>
  <c r="Q124" i="39"/>
  <c r="L125" i="39"/>
  <c r="M125" i="39"/>
  <c r="N125" i="39"/>
  <c r="O125" i="39"/>
  <c r="P125" i="39"/>
  <c r="Q125" i="39"/>
  <c r="L126" i="39"/>
  <c r="M126" i="39"/>
  <c r="N126" i="39"/>
  <c r="O126" i="39"/>
  <c r="P126" i="39"/>
  <c r="Q126" i="39"/>
  <c r="L127" i="39"/>
  <c r="M127" i="39"/>
  <c r="N127" i="39"/>
  <c r="O127" i="39"/>
  <c r="P127" i="39"/>
  <c r="Q127" i="39"/>
  <c r="L128" i="39"/>
  <c r="M128" i="39"/>
  <c r="N128" i="39"/>
  <c r="O128" i="39"/>
  <c r="P128" i="39"/>
  <c r="Q128" i="39"/>
  <c r="L129" i="39"/>
  <c r="M129" i="39"/>
  <c r="N129" i="39"/>
  <c r="O129" i="39"/>
  <c r="P129" i="39"/>
  <c r="Q129" i="39"/>
  <c r="L130" i="39"/>
  <c r="M130" i="39"/>
  <c r="N130" i="39"/>
  <c r="O130" i="39"/>
  <c r="P130" i="39"/>
  <c r="Q130" i="39"/>
  <c r="L131" i="39"/>
  <c r="M131" i="39"/>
  <c r="N131" i="39"/>
  <c r="O131" i="39"/>
  <c r="P131" i="39"/>
  <c r="Q131" i="39"/>
  <c r="L132" i="39"/>
  <c r="M132" i="39"/>
  <c r="N132" i="39"/>
  <c r="O132" i="39"/>
  <c r="P132" i="39"/>
  <c r="Q132" i="39"/>
  <c r="L133" i="39"/>
  <c r="M133" i="39"/>
  <c r="N133" i="39"/>
  <c r="O133" i="39"/>
  <c r="P133" i="39"/>
  <c r="Q133" i="39"/>
  <c r="L134" i="39"/>
  <c r="M134" i="39"/>
  <c r="N134" i="39"/>
  <c r="O134" i="39"/>
  <c r="P134" i="39"/>
  <c r="Q134" i="39"/>
  <c r="L135" i="39"/>
  <c r="M135" i="39"/>
  <c r="N135" i="39"/>
  <c r="O135" i="39"/>
  <c r="P135" i="39"/>
  <c r="Q135" i="39"/>
  <c r="L136" i="39"/>
  <c r="M136" i="39"/>
  <c r="N136" i="39"/>
  <c r="O136" i="39"/>
  <c r="P136" i="39"/>
  <c r="Q136" i="39"/>
  <c r="L137" i="39"/>
  <c r="M137" i="39"/>
  <c r="N137" i="39"/>
  <c r="O137" i="39"/>
  <c r="P137" i="39"/>
  <c r="Q137" i="39"/>
  <c r="L138" i="39"/>
  <c r="M138" i="39"/>
  <c r="N138" i="39"/>
  <c r="O138" i="39"/>
  <c r="P138" i="39"/>
  <c r="Q138" i="39"/>
  <c r="L139" i="39"/>
  <c r="M139" i="39"/>
  <c r="N139" i="39"/>
  <c r="O139" i="39"/>
  <c r="P139" i="39"/>
  <c r="Q139" i="39"/>
  <c r="L140" i="39"/>
  <c r="M140" i="39"/>
  <c r="N140" i="39"/>
  <c r="O140" i="39"/>
  <c r="P140" i="39"/>
  <c r="Q140" i="39"/>
  <c r="L141" i="39"/>
  <c r="M141" i="39"/>
  <c r="N141" i="39"/>
  <c r="O141" i="39"/>
  <c r="P141" i="39"/>
  <c r="Q141" i="39"/>
  <c r="L142" i="39"/>
  <c r="M142" i="39"/>
  <c r="N142" i="39"/>
  <c r="O142" i="39"/>
  <c r="P142" i="39"/>
  <c r="Q142" i="39"/>
  <c r="L143" i="39"/>
  <c r="M143" i="39"/>
  <c r="N143" i="39"/>
  <c r="O143" i="39"/>
  <c r="P143" i="39"/>
  <c r="Q143" i="39"/>
  <c r="L144" i="39"/>
  <c r="M144" i="39"/>
  <c r="N144" i="39"/>
  <c r="O144" i="39"/>
  <c r="P144" i="39"/>
  <c r="Q144" i="39"/>
  <c r="L145" i="39"/>
  <c r="M145" i="39"/>
  <c r="N145" i="39"/>
  <c r="O145" i="39"/>
  <c r="P145" i="39"/>
  <c r="Q145" i="39"/>
  <c r="L146" i="39"/>
  <c r="M146" i="39"/>
  <c r="N146" i="39"/>
  <c r="O146" i="39"/>
  <c r="P146" i="39"/>
  <c r="Q146" i="39"/>
  <c r="L147" i="39"/>
  <c r="M147" i="39"/>
  <c r="N147" i="39"/>
  <c r="O147" i="39"/>
  <c r="P147" i="39"/>
  <c r="Q147" i="39"/>
  <c r="L148" i="39"/>
  <c r="M148" i="39"/>
  <c r="N148" i="39"/>
  <c r="O148" i="39"/>
  <c r="P148" i="39"/>
  <c r="Q148" i="39"/>
  <c r="L149" i="39"/>
  <c r="M149" i="39"/>
  <c r="N149" i="39"/>
  <c r="O149" i="39"/>
  <c r="P149" i="39"/>
  <c r="Q149" i="39"/>
  <c r="L150" i="39"/>
  <c r="M150" i="39"/>
  <c r="N150" i="39"/>
  <c r="O150" i="39"/>
  <c r="P150" i="39"/>
  <c r="Q150" i="39"/>
  <c r="L151" i="39"/>
  <c r="M151" i="39"/>
  <c r="N151" i="39"/>
  <c r="O151" i="39"/>
  <c r="P151" i="39"/>
  <c r="Q151" i="39"/>
  <c r="L152" i="39"/>
  <c r="M152" i="39"/>
  <c r="N152" i="39"/>
  <c r="O152" i="39"/>
  <c r="P152" i="39"/>
  <c r="Q152" i="39"/>
  <c r="L153" i="39"/>
  <c r="M153" i="39"/>
  <c r="N153" i="39"/>
  <c r="O153" i="39"/>
  <c r="P153" i="39"/>
  <c r="Q153" i="39"/>
  <c r="Q32" i="39"/>
  <c r="P32" i="39"/>
  <c r="O32" i="39"/>
  <c r="N32" i="39"/>
  <c r="M32" i="39"/>
  <c r="L32" i="39"/>
  <c r="K32" i="39"/>
  <c r="K31" i="39"/>
  <c r="K33" i="41"/>
  <c r="K30" i="39"/>
  <c r="K38" i="37"/>
  <c r="K35" i="35"/>
  <c r="K38" i="33"/>
  <c r="K36" i="31"/>
  <c r="K33" i="28"/>
  <c r="K51" i="24"/>
  <c r="K55" i="22"/>
  <c r="K64" i="20"/>
  <c r="K47" i="18"/>
  <c r="K56" i="16"/>
  <c r="K47" i="14"/>
  <c r="K57" i="11"/>
  <c r="K65" i="9"/>
  <c r="K45" i="7"/>
  <c r="S37" i="37"/>
  <c r="T37" i="37"/>
  <c r="U37" i="37"/>
  <c r="S34" i="35"/>
  <c r="T34" i="35"/>
  <c r="U34" i="35"/>
  <c r="K32" i="41"/>
  <c r="K29" i="39"/>
  <c r="K37" i="37"/>
  <c r="K34" i="35"/>
  <c r="K37" i="33"/>
  <c r="K35" i="31"/>
  <c r="K32" i="28"/>
  <c r="K50" i="24"/>
  <c r="K54" i="22"/>
  <c r="K63" i="20"/>
  <c r="K46" i="18"/>
  <c r="K55" i="16"/>
  <c r="K46" i="14"/>
  <c r="K56" i="11"/>
  <c r="K64" i="9"/>
  <c r="K44" i="7"/>
  <c r="K31" i="41"/>
  <c r="K28" i="39"/>
  <c r="K36" i="37"/>
  <c r="K33" i="35"/>
  <c r="K36" i="33"/>
  <c r="K34" i="31"/>
  <c r="K31" i="28"/>
  <c r="K49" i="24"/>
  <c r="K53" i="22"/>
  <c r="K62" i="20"/>
  <c r="K45" i="18"/>
  <c r="K54" i="16"/>
  <c r="K45" i="14"/>
  <c r="K55" i="11"/>
  <c r="K63" i="9"/>
  <c r="K43" i="7"/>
  <c r="K29" i="41"/>
  <c r="K30" i="41"/>
  <c r="K32" i="35"/>
  <c r="K35" i="33"/>
  <c r="K33" i="31"/>
  <c r="K30" i="28"/>
  <c r="K48" i="24"/>
  <c r="K52" i="22"/>
  <c r="K61" i="20"/>
  <c r="K51" i="22"/>
  <c r="K60" i="20"/>
  <c r="K44" i="18"/>
  <c r="K53" i="16"/>
  <c r="K44" i="14"/>
  <c r="K54" i="11"/>
  <c r="K62" i="9"/>
  <c r="K42" i="7"/>
  <c r="K24" i="39"/>
  <c r="K25" i="39"/>
  <c r="K26" i="39"/>
  <c r="K27" i="39"/>
  <c r="K33" i="37"/>
  <c r="K34" i="37"/>
  <c r="K35" i="37"/>
  <c r="O43" i="37"/>
  <c r="P43" i="37"/>
  <c r="Q43" i="37"/>
  <c r="O44" i="37"/>
  <c r="P44" i="37"/>
  <c r="Q44" i="37"/>
  <c r="O45" i="37"/>
  <c r="P45" i="37"/>
  <c r="Q45" i="37"/>
  <c r="O46" i="37"/>
  <c r="P46" i="37"/>
  <c r="Q46" i="37"/>
  <c r="O47" i="37"/>
  <c r="P47" i="37"/>
  <c r="Q47" i="37"/>
  <c r="O48" i="37"/>
  <c r="P48" i="37"/>
  <c r="Q48" i="37"/>
  <c r="O49" i="37"/>
  <c r="P49" i="37"/>
  <c r="Q49" i="37"/>
  <c r="O50" i="37"/>
  <c r="P50" i="37"/>
  <c r="Q50" i="37"/>
  <c r="O51" i="37"/>
  <c r="P51" i="37"/>
  <c r="Q51" i="37"/>
  <c r="O52" i="37"/>
  <c r="P52" i="37"/>
  <c r="Q52" i="37"/>
  <c r="O53" i="37"/>
  <c r="P53" i="37"/>
  <c r="Q53" i="37"/>
  <c r="O54" i="37"/>
  <c r="P54" i="37"/>
  <c r="Q54" i="37"/>
  <c r="O55" i="37"/>
  <c r="P55" i="37"/>
  <c r="Q55" i="37"/>
  <c r="O56" i="37"/>
  <c r="P56" i="37"/>
  <c r="Q56" i="37"/>
  <c r="O57" i="37"/>
  <c r="P57" i="37"/>
  <c r="Q57" i="37"/>
  <c r="O58" i="37"/>
  <c r="P58" i="37"/>
  <c r="Q58" i="37"/>
  <c r="O59" i="37"/>
  <c r="P59" i="37"/>
  <c r="Q59" i="37"/>
  <c r="O60" i="37"/>
  <c r="P60" i="37"/>
  <c r="Q60" i="37"/>
  <c r="O61" i="37"/>
  <c r="P61" i="37"/>
  <c r="Q61" i="37"/>
  <c r="O62" i="37"/>
  <c r="P62" i="37"/>
  <c r="Q62" i="37"/>
  <c r="O63" i="37"/>
  <c r="P63" i="37"/>
  <c r="Q63" i="37"/>
  <c r="O64" i="37"/>
  <c r="P64" i="37"/>
  <c r="Q64" i="37"/>
  <c r="O65" i="37"/>
  <c r="P65" i="37"/>
  <c r="Q65" i="37"/>
  <c r="O66" i="37"/>
  <c r="P66" i="37"/>
  <c r="Q66" i="37"/>
  <c r="O67" i="37"/>
  <c r="P67" i="37"/>
  <c r="Q67" i="37"/>
  <c r="O68" i="37"/>
  <c r="P68" i="37"/>
  <c r="Q68" i="37"/>
  <c r="O69" i="37"/>
  <c r="P69" i="37"/>
  <c r="Q69" i="37"/>
  <c r="O70" i="37"/>
  <c r="P70" i="37"/>
  <c r="Q70" i="37"/>
  <c r="O71" i="37"/>
  <c r="P71" i="37"/>
  <c r="Q71" i="37"/>
  <c r="O72" i="37"/>
  <c r="P72" i="37"/>
  <c r="Q72" i="37"/>
  <c r="O73" i="37"/>
  <c r="P73" i="37"/>
  <c r="Q73" i="37"/>
  <c r="O74" i="37"/>
  <c r="P74" i="37"/>
  <c r="Q74" i="37"/>
  <c r="O75" i="37"/>
  <c r="P75" i="37"/>
  <c r="Q75" i="37"/>
  <c r="O76" i="37"/>
  <c r="P76" i="37"/>
  <c r="Q76" i="37"/>
  <c r="O77" i="37"/>
  <c r="P77" i="37"/>
  <c r="Q77" i="37"/>
  <c r="O78" i="37"/>
  <c r="P78" i="37"/>
  <c r="Q78" i="37"/>
  <c r="O79" i="37"/>
  <c r="P79" i="37"/>
  <c r="Q79" i="37"/>
  <c r="O80" i="37"/>
  <c r="P80" i="37"/>
  <c r="Q80" i="37"/>
  <c r="O81" i="37"/>
  <c r="P81" i="37"/>
  <c r="Q81" i="37"/>
  <c r="O82" i="37"/>
  <c r="P82" i="37"/>
  <c r="Q82" i="37"/>
  <c r="O83" i="37"/>
  <c r="P83" i="37"/>
  <c r="Q83" i="37"/>
  <c r="O84" i="37"/>
  <c r="P84" i="37"/>
  <c r="Q84" i="37"/>
  <c r="O85" i="37"/>
  <c r="P85" i="37"/>
  <c r="Q85" i="37"/>
  <c r="O86" i="37"/>
  <c r="P86" i="37"/>
  <c r="Q86" i="37"/>
  <c r="O87" i="37"/>
  <c r="P87" i="37"/>
  <c r="Q87" i="37"/>
  <c r="O88" i="37"/>
  <c r="P88" i="37"/>
  <c r="Q88" i="37"/>
  <c r="O89" i="37"/>
  <c r="P89" i="37"/>
  <c r="Q89" i="37"/>
  <c r="O90" i="37"/>
  <c r="P90" i="37"/>
  <c r="Q90" i="37"/>
  <c r="O91" i="37"/>
  <c r="P91" i="37"/>
  <c r="Q91" i="37"/>
  <c r="O92" i="37"/>
  <c r="P92" i="37"/>
  <c r="Q92" i="37"/>
  <c r="O93" i="37"/>
  <c r="P93" i="37"/>
  <c r="Q93" i="37"/>
  <c r="O94" i="37"/>
  <c r="P94" i="37"/>
  <c r="Q94" i="37"/>
  <c r="O95" i="37"/>
  <c r="P95" i="37"/>
  <c r="Q95" i="37"/>
  <c r="O96" i="37"/>
  <c r="P96" i="37"/>
  <c r="Q96" i="37"/>
  <c r="O97" i="37"/>
  <c r="P97" i="37"/>
  <c r="Q97" i="37"/>
  <c r="O98" i="37"/>
  <c r="P98" i="37"/>
  <c r="Q98" i="37"/>
  <c r="O99" i="37"/>
  <c r="P99" i="37"/>
  <c r="Q99" i="37"/>
  <c r="O100" i="37"/>
  <c r="P100" i="37"/>
  <c r="Q100" i="37"/>
  <c r="O101" i="37"/>
  <c r="P101" i="37"/>
  <c r="Q101" i="37"/>
  <c r="O102" i="37"/>
  <c r="P102" i="37"/>
  <c r="Q102" i="37"/>
  <c r="O103" i="37"/>
  <c r="P103" i="37"/>
  <c r="Q103" i="37"/>
  <c r="O104" i="37"/>
  <c r="P104" i="37"/>
  <c r="Q104" i="37"/>
  <c r="O105" i="37"/>
  <c r="P105" i="37"/>
  <c r="Q105" i="37"/>
  <c r="O106" i="37"/>
  <c r="P106" i="37"/>
  <c r="Q106" i="37"/>
  <c r="O107" i="37"/>
  <c r="P107" i="37"/>
  <c r="Q107" i="37"/>
  <c r="O108" i="37"/>
  <c r="P108" i="37"/>
  <c r="Q108" i="37"/>
  <c r="O109" i="37"/>
  <c r="P109" i="37"/>
  <c r="Q109" i="37"/>
  <c r="O110" i="37"/>
  <c r="P110" i="37"/>
  <c r="Q110" i="37"/>
  <c r="O111" i="37"/>
  <c r="P111" i="37"/>
  <c r="Q111" i="37"/>
  <c r="O112" i="37"/>
  <c r="P112" i="37"/>
  <c r="Q112" i="37"/>
  <c r="O113" i="37"/>
  <c r="P113" i="37"/>
  <c r="Q113" i="37"/>
  <c r="O114" i="37"/>
  <c r="P114" i="37"/>
  <c r="Q114" i="37"/>
  <c r="O115" i="37"/>
  <c r="P115" i="37"/>
  <c r="Q115" i="37"/>
  <c r="O116" i="37"/>
  <c r="P116" i="37"/>
  <c r="Q116" i="37"/>
  <c r="O117" i="37"/>
  <c r="P117" i="37"/>
  <c r="Q117" i="37"/>
  <c r="O118" i="37"/>
  <c r="P118" i="37"/>
  <c r="Q118" i="37"/>
  <c r="O119" i="37"/>
  <c r="P119" i="37"/>
  <c r="Q119" i="37"/>
  <c r="O120" i="37"/>
  <c r="P120" i="37"/>
  <c r="Q120" i="37"/>
  <c r="O121" i="37"/>
  <c r="P121" i="37"/>
  <c r="Q121" i="37"/>
  <c r="O122" i="37"/>
  <c r="P122" i="37"/>
  <c r="Q122" i="37"/>
  <c r="O123" i="37"/>
  <c r="P123" i="37"/>
  <c r="Q123" i="37"/>
  <c r="O124" i="37"/>
  <c r="P124" i="37"/>
  <c r="Q124" i="37"/>
  <c r="O125" i="37"/>
  <c r="P125" i="37"/>
  <c r="Q125" i="37"/>
  <c r="O126" i="37"/>
  <c r="P126" i="37"/>
  <c r="Q126" i="37"/>
  <c r="O127" i="37"/>
  <c r="P127" i="37"/>
  <c r="Q127" i="37"/>
  <c r="O128" i="37"/>
  <c r="P128" i="37"/>
  <c r="Q128" i="37"/>
  <c r="O129" i="37"/>
  <c r="P129" i="37"/>
  <c r="Q129" i="37"/>
  <c r="O130" i="37"/>
  <c r="P130" i="37"/>
  <c r="Q130" i="37"/>
  <c r="O131" i="37"/>
  <c r="P131" i="37"/>
  <c r="Q131" i="37"/>
  <c r="O132" i="37"/>
  <c r="P132" i="37"/>
  <c r="Q132" i="37"/>
  <c r="O133" i="37"/>
  <c r="P133" i="37"/>
  <c r="Q133" i="37"/>
  <c r="O134" i="37"/>
  <c r="P134" i="37"/>
  <c r="Q134" i="37"/>
  <c r="O135" i="37"/>
  <c r="P135" i="37"/>
  <c r="Q135" i="37"/>
  <c r="O136" i="37"/>
  <c r="P136" i="37"/>
  <c r="Q136" i="37"/>
  <c r="O137" i="37"/>
  <c r="P137" i="37"/>
  <c r="Q137" i="37"/>
  <c r="O138" i="37"/>
  <c r="P138" i="37"/>
  <c r="Q138" i="37"/>
  <c r="O139" i="37"/>
  <c r="P139" i="37"/>
  <c r="Q139" i="37"/>
  <c r="O140" i="37"/>
  <c r="P140" i="37"/>
  <c r="Q140" i="37"/>
  <c r="O141" i="37"/>
  <c r="P141" i="37"/>
  <c r="Q141" i="37"/>
  <c r="O142" i="37"/>
  <c r="P142" i="37"/>
  <c r="Q142" i="37"/>
  <c r="O143" i="37"/>
  <c r="P143" i="37"/>
  <c r="Q143" i="37"/>
  <c r="O144" i="37"/>
  <c r="P144" i="37"/>
  <c r="Q144" i="37"/>
  <c r="O145" i="37"/>
  <c r="P145" i="37"/>
  <c r="Q145" i="37"/>
  <c r="O146" i="37"/>
  <c r="P146" i="37"/>
  <c r="Q146" i="37"/>
  <c r="O147" i="37"/>
  <c r="P147" i="37"/>
  <c r="Q147" i="37"/>
  <c r="O148" i="37"/>
  <c r="P148" i="37"/>
  <c r="Q148" i="37"/>
  <c r="O149" i="37"/>
  <c r="P149" i="37"/>
  <c r="Q149" i="37"/>
  <c r="O150" i="37"/>
  <c r="P150" i="37"/>
  <c r="Q150" i="37"/>
  <c r="O151" i="37"/>
  <c r="P151" i="37"/>
  <c r="Q151" i="37"/>
  <c r="O152" i="37"/>
  <c r="P152" i="37"/>
  <c r="Q152" i="37"/>
  <c r="O153" i="37"/>
  <c r="P153" i="37"/>
  <c r="Q153" i="37"/>
  <c r="L35" i="35"/>
  <c r="L36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K31" i="35"/>
  <c r="K30" i="35"/>
  <c r="K29" i="35"/>
  <c r="K28" i="35"/>
  <c r="K18" i="41"/>
  <c r="K19" i="41"/>
  <c r="K20" i="41"/>
  <c r="K21" i="41"/>
  <c r="K22" i="41"/>
  <c r="K23" i="41"/>
  <c r="K24" i="41"/>
  <c r="K25" i="41"/>
  <c r="K26" i="41"/>
  <c r="K27" i="41"/>
  <c r="K28" i="41"/>
  <c r="W7" i="41"/>
  <c r="X153" i="41"/>
  <c r="W153" i="41"/>
  <c r="V153" i="41"/>
  <c r="U153" i="41"/>
  <c r="T153" i="41"/>
  <c r="S153" i="41"/>
  <c r="R153" i="41"/>
  <c r="X152" i="41"/>
  <c r="W152" i="41"/>
  <c r="V152" i="41"/>
  <c r="U152" i="41"/>
  <c r="T152" i="41"/>
  <c r="S152" i="41"/>
  <c r="R152" i="41"/>
  <c r="X151" i="41"/>
  <c r="W151" i="41"/>
  <c r="V151" i="41"/>
  <c r="U151" i="41"/>
  <c r="T151" i="41"/>
  <c r="S151" i="41"/>
  <c r="R151" i="41"/>
  <c r="X150" i="41"/>
  <c r="W150" i="41"/>
  <c r="V150" i="41"/>
  <c r="U150" i="41"/>
  <c r="T150" i="41"/>
  <c r="S150" i="41"/>
  <c r="R150" i="41"/>
  <c r="X149" i="41"/>
  <c r="W149" i="41"/>
  <c r="V149" i="41"/>
  <c r="U149" i="41"/>
  <c r="T149" i="41"/>
  <c r="S149" i="41"/>
  <c r="R149" i="41"/>
  <c r="X148" i="41"/>
  <c r="W148" i="41"/>
  <c r="V148" i="41"/>
  <c r="U148" i="41"/>
  <c r="T148" i="41"/>
  <c r="S148" i="41"/>
  <c r="R148" i="41"/>
  <c r="X147" i="41"/>
  <c r="W147" i="41"/>
  <c r="V147" i="41"/>
  <c r="U147" i="41"/>
  <c r="T147" i="41"/>
  <c r="S147" i="41"/>
  <c r="R147" i="41"/>
  <c r="X146" i="41"/>
  <c r="W146" i="41"/>
  <c r="V146" i="41"/>
  <c r="U146" i="41"/>
  <c r="T146" i="41"/>
  <c r="S146" i="41"/>
  <c r="R146" i="41"/>
  <c r="X145" i="41"/>
  <c r="W145" i="41"/>
  <c r="V145" i="41"/>
  <c r="U145" i="41"/>
  <c r="T145" i="41"/>
  <c r="S145" i="41"/>
  <c r="R145" i="41"/>
  <c r="X144" i="41"/>
  <c r="W144" i="41"/>
  <c r="V144" i="41"/>
  <c r="U144" i="41"/>
  <c r="T144" i="41"/>
  <c r="S144" i="41"/>
  <c r="R144" i="41"/>
  <c r="X143" i="41"/>
  <c r="W143" i="41"/>
  <c r="V143" i="41"/>
  <c r="U143" i="41"/>
  <c r="T143" i="41"/>
  <c r="S143" i="41"/>
  <c r="R143" i="41"/>
  <c r="X142" i="41"/>
  <c r="W142" i="41"/>
  <c r="V142" i="41"/>
  <c r="U142" i="41"/>
  <c r="T142" i="41"/>
  <c r="S142" i="41"/>
  <c r="R142" i="41"/>
  <c r="X141" i="41"/>
  <c r="W141" i="41"/>
  <c r="V141" i="41"/>
  <c r="U141" i="41"/>
  <c r="T141" i="41"/>
  <c r="S141" i="41"/>
  <c r="R141" i="41"/>
  <c r="X140" i="41"/>
  <c r="W140" i="41"/>
  <c r="V140" i="41"/>
  <c r="U140" i="41"/>
  <c r="T140" i="41"/>
  <c r="S140" i="41"/>
  <c r="R140" i="41"/>
  <c r="X139" i="41"/>
  <c r="W139" i="41"/>
  <c r="V139" i="41"/>
  <c r="U139" i="41"/>
  <c r="T139" i="41"/>
  <c r="S139" i="41"/>
  <c r="R139" i="41"/>
  <c r="X138" i="41"/>
  <c r="W138" i="41"/>
  <c r="V138" i="41"/>
  <c r="U138" i="41"/>
  <c r="T138" i="41"/>
  <c r="S138" i="41"/>
  <c r="R138" i="41"/>
  <c r="X137" i="41"/>
  <c r="W137" i="41"/>
  <c r="V137" i="41"/>
  <c r="U137" i="41"/>
  <c r="T137" i="41"/>
  <c r="S137" i="41"/>
  <c r="R137" i="41"/>
  <c r="X136" i="41"/>
  <c r="W136" i="41"/>
  <c r="V136" i="41"/>
  <c r="U136" i="41"/>
  <c r="T136" i="41"/>
  <c r="S136" i="41"/>
  <c r="R136" i="41"/>
  <c r="X135" i="41"/>
  <c r="W135" i="41"/>
  <c r="V135" i="41"/>
  <c r="U135" i="41"/>
  <c r="T135" i="41"/>
  <c r="S135" i="41"/>
  <c r="R135" i="41"/>
  <c r="X134" i="41"/>
  <c r="W134" i="41"/>
  <c r="V134" i="41"/>
  <c r="U134" i="41"/>
  <c r="T134" i="41"/>
  <c r="S134" i="41"/>
  <c r="R134" i="41"/>
  <c r="X133" i="41"/>
  <c r="W133" i="41"/>
  <c r="V133" i="41"/>
  <c r="U133" i="41"/>
  <c r="T133" i="41"/>
  <c r="S133" i="41"/>
  <c r="R133" i="41"/>
  <c r="X132" i="41"/>
  <c r="W132" i="41"/>
  <c r="V132" i="41"/>
  <c r="U132" i="41"/>
  <c r="T132" i="41"/>
  <c r="S132" i="41"/>
  <c r="R132" i="41"/>
  <c r="X131" i="41"/>
  <c r="W131" i="41"/>
  <c r="V131" i="41"/>
  <c r="U131" i="41"/>
  <c r="T131" i="41"/>
  <c r="S131" i="41"/>
  <c r="R131" i="41"/>
  <c r="X130" i="41"/>
  <c r="W130" i="41"/>
  <c r="V130" i="41"/>
  <c r="U130" i="41"/>
  <c r="T130" i="41"/>
  <c r="S130" i="41"/>
  <c r="R130" i="41"/>
  <c r="X129" i="41"/>
  <c r="W129" i="41"/>
  <c r="V129" i="41"/>
  <c r="U129" i="41"/>
  <c r="T129" i="41"/>
  <c r="S129" i="41"/>
  <c r="R129" i="41"/>
  <c r="X128" i="41"/>
  <c r="W128" i="41"/>
  <c r="V128" i="41"/>
  <c r="U128" i="41"/>
  <c r="T128" i="41"/>
  <c r="S128" i="41"/>
  <c r="R128" i="41"/>
  <c r="X127" i="41"/>
  <c r="W127" i="41"/>
  <c r="V127" i="41"/>
  <c r="U127" i="41"/>
  <c r="T127" i="41"/>
  <c r="S127" i="41"/>
  <c r="R127" i="41"/>
  <c r="X126" i="41"/>
  <c r="W126" i="41"/>
  <c r="V126" i="41"/>
  <c r="U126" i="41"/>
  <c r="T126" i="41"/>
  <c r="S126" i="41"/>
  <c r="R126" i="41"/>
  <c r="X125" i="41"/>
  <c r="W125" i="41"/>
  <c r="V125" i="41"/>
  <c r="U125" i="41"/>
  <c r="T125" i="41"/>
  <c r="S125" i="41"/>
  <c r="R125" i="41"/>
  <c r="X124" i="41"/>
  <c r="W124" i="41"/>
  <c r="V124" i="41"/>
  <c r="U124" i="41"/>
  <c r="T124" i="41"/>
  <c r="S124" i="41"/>
  <c r="R124" i="41"/>
  <c r="X123" i="41"/>
  <c r="W123" i="41"/>
  <c r="V123" i="41"/>
  <c r="U123" i="41"/>
  <c r="T123" i="41"/>
  <c r="S123" i="41"/>
  <c r="R123" i="41"/>
  <c r="X122" i="41"/>
  <c r="W122" i="41"/>
  <c r="V122" i="41"/>
  <c r="U122" i="41"/>
  <c r="T122" i="41"/>
  <c r="S122" i="41"/>
  <c r="R122" i="41"/>
  <c r="X121" i="41"/>
  <c r="W121" i="41"/>
  <c r="V121" i="41"/>
  <c r="U121" i="41"/>
  <c r="T121" i="41"/>
  <c r="S121" i="41"/>
  <c r="R121" i="41"/>
  <c r="X120" i="41"/>
  <c r="W120" i="41"/>
  <c r="V120" i="41"/>
  <c r="U120" i="41"/>
  <c r="T120" i="41"/>
  <c r="S120" i="41"/>
  <c r="R120" i="41"/>
  <c r="X119" i="41"/>
  <c r="W119" i="41"/>
  <c r="V119" i="41"/>
  <c r="U119" i="41"/>
  <c r="T119" i="41"/>
  <c r="S119" i="41"/>
  <c r="R119" i="41"/>
  <c r="X118" i="41"/>
  <c r="W118" i="41"/>
  <c r="V118" i="41"/>
  <c r="U118" i="41"/>
  <c r="T118" i="41"/>
  <c r="S118" i="41"/>
  <c r="R118" i="41"/>
  <c r="X117" i="41"/>
  <c r="W117" i="41"/>
  <c r="V117" i="41"/>
  <c r="U117" i="41"/>
  <c r="T117" i="41"/>
  <c r="S117" i="41"/>
  <c r="R117" i="41"/>
  <c r="X116" i="41"/>
  <c r="W116" i="41"/>
  <c r="V116" i="41"/>
  <c r="U116" i="41"/>
  <c r="T116" i="41"/>
  <c r="S116" i="41"/>
  <c r="R116" i="41"/>
  <c r="X115" i="41"/>
  <c r="W115" i="41"/>
  <c r="V115" i="41"/>
  <c r="U115" i="41"/>
  <c r="T115" i="41"/>
  <c r="S115" i="41"/>
  <c r="R115" i="41"/>
  <c r="X114" i="41"/>
  <c r="W114" i="41"/>
  <c r="V114" i="41"/>
  <c r="U114" i="41"/>
  <c r="T114" i="41"/>
  <c r="S114" i="41"/>
  <c r="R114" i="41"/>
  <c r="X113" i="41"/>
  <c r="W113" i="41"/>
  <c r="V113" i="41"/>
  <c r="U113" i="41"/>
  <c r="T113" i="41"/>
  <c r="S113" i="41"/>
  <c r="R113" i="41"/>
  <c r="X112" i="41"/>
  <c r="W112" i="41"/>
  <c r="V112" i="41"/>
  <c r="U112" i="41"/>
  <c r="T112" i="41"/>
  <c r="S112" i="41"/>
  <c r="R112" i="41"/>
  <c r="X111" i="41"/>
  <c r="W111" i="41"/>
  <c r="V111" i="41"/>
  <c r="U111" i="41"/>
  <c r="T111" i="41"/>
  <c r="S111" i="41"/>
  <c r="R111" i="41"/>
  <c r="X110" i="41"/>
  <c r="W110" i="41"/>
  <c r="V110" i="41"/>
  <c r="U110" i="41"/>
  <c r="T110" i="41"/>
  <c r="S110" i="41"/>
  <c r="R110" i="41"/>
  <c r="X109" i="41"/>
  <c r="W109" i="41"/>
  <c r="V109" i="41"/>
  <c r="U109" i="41"/>
  <c r="T109" i="41"/>
  <c r="S109" i="41"/>
  <c r="R109" i="41"/>
  <c r="X108" i="41"/>
  <c r="W108" i="41"/>
  <c r="V108" i="41"/>
  <c r="U108" i="41"/>
  <c r="T108" i="41"/>
  <c r="S108" i="41"/>
  <c r="R108" i="41"/>
  <c r="X107" i="41"/>
  <c r="W107" i="41"/>
  <c r="V107" i="41"/>
  <c r="U107" i="41"/>
  <c r="T107" i="41"/>
  <c r="S107" i="41"/>
  <c r="R107" i="41"/>
  <c r="X106" i="41"/>
  <c r="W106" i="41"/>
  <c r="V106" i="41"/>
  <c r="U106" i="41"/>
  <c r="T106" i="41"/>
  <c r="S106" i="41"/>
  <c r="R106" i="41"/>
  <c r="X105" i="41"/>
  <c r="W105" i="41"/>
  <c r="V105" i="41"/>
  <c r="U105" i="41"/>
  <c r="T105" i="41"/>
  <c r="S105" i="41"/>
  <c r="R105" i="41"/>
  <c r="X104" i="41"/>
  <c r="W104" i="41"/>
  <c r="V104" i="41"/>
  <c r="U104" i="41"/>
  <c r="T104" i="41"/>
  <c r="S104" i="41"/>
  <c r="R104" i="41"/>
  <c r="X103" i="41"/>
  <c r="W103" i="41"/>
  <c r="V103" i="41"/>
  <c r="U103" i="41"/>
  <c r="T103" i="41"/>
  <c r="S103" i="41"/>
  <c r="R103" i="41"/>
  <c r="X102" i="41"/>
  <c r="W102" i="41"/>
  <c r="V102" i="41"/>
  <c r="U102" i="41"/>
  <c r="T102" i="41"/>
  <c r="S102" i="41"/>
  <c r="R102" i="41"/>
  <c r="X101" i="41"/>
  <c r="W101" i="41"/>
  <c r="V101" i="41"/>
  <c r="U101" i="41"/>
  <c r="T101" i="41"/>
  <c r="S101" i="41"/>
  <c r="R101" i="41"/>
  <c r="X100" i="41"/>
  <c r="W100" i="41"/>
  <c r="V100" i="41"/>
  <c r="U100" i="41"/>
  <c r="T100" i="41"/>
  <c r="S100" i="41"/>
  <c r="R100" i="41"/>
  <c r="X99" i="41"/>
  <c r="W99" i="41"/>
  <c r="V99" i="41"/>
  <c r="U99" i="41"/>
  <c r="T99" i="41"/>
  <c r="S99" i="41"/>
  <c r="R99" i="41"/>
  <c r="X98" i="41"/>
  <c r="W98" i="41"/>
  <c r="V98" i="41"/>
  <c r="U98" i="41"/>
  <c r="T98" i="41"/>
  <c r="S98" i="41"/>
  <c r="R98" i="41"/>
  <c r="X97" i="41"/>
  <c r="W97" i="41"/>
  <c r="V97" i="41"/>
  <c r="U97" i="41"/>
  <c r="T97" i="41"/>
  <c r="S97" i="41"/>
  <c r="R97" i="41"/>
  <c r="X96" i="41"/>
  <c r="W96" i="41"/>
  <c r="V96" i="41"/>
  <c r="U96" i="41"/>
  <c r="T96" i="41"/>
  <c r="S96" i="41"/>
  <c r="R96" i="41"/>
  <c r="X95" i="41"/>
  <c r="W95" i="41"/>
  <c r="V95" i="41"/>
  <c r="U95" i="41"/>
  <c r="T95" i="41"/>
  <c r="S95" i="41"/>
  <c r="R95" i="41"/>
  <c r="X94" i="41"/>
  <c r="W94" i="41"/>
  <c r="V94" i="41"/>
  <c r="U94" i="41"/>
  <c r="T94" i="41"/>
  <c r="S94" i="41"/>
  <c r="R94" i="41"/>
  <c r="X93" i="41"/>
  <c r="W93" i="41"/>
  <c r="V93" i="41"/>
  <c r="U93" i="41"/>
  <c r="T93" i="41"/>
  <c r="S93" i="41"/>
  <c r="R93" i="41"/>
  <c r="X92" i="41"/>
  <c r="W92" i="41"/>
  <c r="V92" i="41"/>
  <c r="U92" i="41"/>
  <c r="T92" i="41"/>
  <c r="S92" i="41"/>
  <c r="R92" i="41"/>
  <c r="X91" i="41"/>
  <c r="W91" i="41"/>
  <c r="V91" i="41"/>
  <c r="U91" i="41"/>
  <c r="T91" i="41"/>
  <c r="S91" i="41"/>
  <c r="R91" i="41"/>
  <c r="X90" i="41"/>
  <c r="W90" i="41"/>
  <c r="V90" i="41"/>
  <c r="U90" i="41"/>
  <c r="T90" i="41"/>
  <c r="S90" i="41"/>
  <c r="R90" i="41"/>
  <c r="X89" i="41"/>
  <c r="W89" i="41"/>
  <c r="V89" i="41"/>
  <c r="U89" i="41"/>
  <c r="T89" i="41"/>
  <c r="S89" i="41"/>
  <c r="R89" i="41"/>
  <c r="X88" i="41"/>
  <c r="W88" i="41"/>
  <c r="V88" i="41"/>
  <c r="U88" i="41"/>
  <c r="T88" i="41"/>
  <c r="S88" i="41"/>
  <c r="R88" i="41"/>
  <c r="X87" i="41"/>
  <c r="W87" i="41"/>
  <c r="V87" i="41"/>
  <c r="U87" i="41"/>
  <c r="T87" i="41"/>
  <c r="S87" i="41"/>
  <c r="R87" i="41"/>
  <c r="X86" i="41"/>
  <c r="W86" i="41"/>
  <c r="V86" i="41"/>
  <c r="U86" i="41"/>
  <c r="T86" i="41"/>
  <c r="S86" i="41"/>
  <c r="R86" i="41"/>
  <c r="X85" i="41"/>
  <c r="W85" i="41"/>
  <c r="V85" i="41"/>
  <c r="U85" i="41"/>
  <c r="T85" i="41"/>
  <c r="S85" i="41"/>
  <c r="R85" i="41"/>
  <c r="X84" i="41"/>
  <c r="W84" i="41"/>
  <c r="V84" i="41"/>
  <c r="U84" i="41"/>
  <c r="T84" i="41"/>
  <c r="S84" i="41"/>
  <c r="R84" i="41"/>
  <c r="X83" i="41"/>
  <c r="W83" i="41"/>
  <c r="V83" i="41"/>
  <c r="U83" i="41"/>
  <c r="T83" i="41"/>
  <c r="S83" i="41"/>
  <c r="R83" i="41"/>
  <c r="X82" i="41"/>
  <c r="W82" i="41"/>
  <c r="V82" i="41"/>
  <c r="U82" i="41"/>
  <c r="T82" i="41"/>
  <c r="S82" i="41"/>
  <c r="R82" i="41"/>
  <c r="X81" i="41"/>
  <c r="W81" i="41"/>
  <c r="V81" i="41"/>
  <c r="U81" i="41"/>
  <c r="T81" i="41"/>
  <c r="S81" i="41"/>
  <c r="R81" i="41"/>
  <c r="X80" i="41"/>
  <c r="W80" i="41"/>
  <c r="V80" i="41"/>
  <c r="U80" i="41"/>
  <c r="T80" i="41"/>
  <c r="S80" i="41"/>
  <c r="R80" i="41"/>
  <c r="X79" i="41"/>
  <c r="W79" i="41"/>
  <c r="V79" i="41"/>
  <c r="U79" i="41"/>
  <c r="T79" i="41"/>
  <c r="S79" i="41"/>
  <c r="R79" i="41"/>
  <c r="X78" i="41"/>
  <c r="W78" i="41"/>
  <c r="V78" i="41"/>
  <c r="U78" i="41"/>
  <c r="T78" i="41"/>
  <c r="S78" i="41"/>
  <c r="R78" i="41"/>
  <c r="X77" i="41"/>
  <c r="W77" i="41"/>
  <c r="V77" i="41"/>
  <c r="U77" i="41"/>
  <c r="T77" i="41"/>
  <c r="S77" i="41"/>
  <c r="R77" i="41"/>
  <c r="X76" i="41"/>
  <c r="W76" i="41"/>
  <c r="V76" i="41"/>
  <c r="U76" i="41"/>
  <c r="T76" i="41"/>
  <c r="S76" i="41"/>
  <c r="R76" i="41"/>
  <c r="X75" i="41"/>
  <c r="W75" i="41"/>
  <c r="V75" i="41"/>
  <c r="U75" i="41"/>
  <c r="T75" i="41"/>
  <c r="S75" i="41"/>
  <c r="R75" i="41"/>
  <c r="X74" i="41"/>
  <c r="W74" i="41"/>
  <c r="V74" i="41"/>
  <c r="U74" i="41"/>
  <c r="T74" i="41"/>
  <c r="S74" i="41"/>
  <c r="R74" i="41"/>
  <c r="X73" i="41"/>
  <c r="W73" i="41"/>
  <c r="V73" i="41"/>
  <c r="U73" i="41"/>
  <c r="T73" i="41"/>
  <c r="S73" i="41"/>
  <c r="R73" i="41"/>
  <c r="X72" i="41"/>
  <c r="W72" i="41"/>
  <c r="V72" i="41"/>
  <c r="U72" i="41"/>
  <c r="T72" i="41"/>
  <c r="S72" i="41"/>
  <c r="R72" i="41"/>
  <c r="X71" i="41"/>
  <c r="W71" i="41"/>
  <c r="V71" i="41"/>
  <c r="U71" i="41"/>
  <c r="T71" i="41"/>
  <c r="S71" i="41"/>
  <c r="R71" i="41"/>
  <c r="X70" i="41"/>
  <c r="W70" i="41"/>
  <c r="V70" i="41"/>
  <c r="U70" i="41"/>
  <c r="T70" i="41"/>
  <c r="S70" i="41"/>
  <c r="R70" i="41"/>
  <c r="X69" i="41"/>
  <c r="W69" i="41"/>
  <c r="V69" i="41"/>
  <c r="U69" i="41"/>
  <c r="T69" i="41"/>
  <c r="S69" i="41"/>
  <c r="R69" i="41"/>
  <c r="X68" i="41"/>
  <c r="W68" i="41"/>
  <c r="V68" i="41"/>
  <c r="U68" i="41"/>
  <c r="T68" i="41"/>
  <c r="S68" i="41"/>
  <c r="R68" i="41"/>
  <c r="X67" i="41"/>
  <c r="W67" i="41"/>
  <c r="V67" i="41"/>
  <c r="U67" i="41"/>
  <c r="T67" i="41"/>
  <c r="S67" i="41"/>
  <c r="R67" i="41"/>
  <c r="X66" i="41"/>
  <c r="W66" i="41"/>
  <c r="V66" i="41"/>
  <c r="U66" i="41"/>
  <c r="T66" i="41"/>
  <c r="S66" i="41"/>
  <c r="R66" i="41"/>
  <c r="X65" i="41"/>
  <c r="W65" i="41"/>
  <c r="V65" i="41"/>
  <c r="U65" i="41"/>
  <c r="T65" i="41"/>
  <c r="S65" i="41"/>
  <c r="R65" i="41"/>
  <c r="X64" i="41"/>
  <c r="W64" i="41"/>
  <c r="V64" i="41"/>
  <c r="U64" i="41"/>
  <c r="T64" i="41"/>
  <c r="S64" i="41"/>
  <c r="R64" i="41"/>
  <c r="X63" i="41"/>
  <c r="W63" i="41"/>
  <c r="V63" i="41"/>
  <c r="U63" i="41"/>
  <c r="T63" i="41"/>
  <c r="S63" i="41"/>
  <c r="R63" i="41"/>
  <c r="X62" i="41"/>
  <c r="W62" i="41"/>
  <c r="V62" i="41"/>
  <c r="U62" i="41"/>
  <c r="T62" i="41"/>
  <c r="S62" i="41"/>
  <c r="R62" i="41"/>
  <c r="X61" i="41"/>
  <c r="W61" i="41"/>
  <c r="V61" i="41"/>
  <c r="U61" i="41"/>
  <c r="T61" i="41"/>
  <c r="S61" i="41"/>
  <c r="R61" i="41"/>
  <c r="X60" i="41"/>
  <c r="W60" i="41"/>
  <c r="V60" i="41"/>
  <c r="U60" i="41"/>
  <c r="T60" i="41"/>
  <c r="S60" i="41"/>
  <c r="R60" i="41"/>
  <c r="X59" i="41"/>
  <c r="W59" i="41"/>
  <c r="V59" i="41"/>
  <c r="U59" i="41"/>
  <c r="T59" i="41"/>
  <c r="S59" i="41"/>
  <c r="R59" i="41"/>
  <c r="X58" i="41"/>
  <c r="W58" i="41"/>
  <c r="V58" i="41"/>
  <c r="U58" i="41"/>
  <c r="T58" i="41"/>
  <c r="S58" i="41"/>
  <c r="R58" i="41"/>
  <c r="X57" i="41"/>
  <c r="W57" i="41"/>
  <c r="V57" i="41"/>
  <c r="U57" i="41"/>
  <c r="T57" i="41"/>
  <c r="S57" i="41"/>
  <c r="R57" i="41"/>
  <c r="X56" i="41"/>
  <c r="W56" i="41"/>
  <c r="V56" i="41"/>
  <c r="U56" i="41"/>
  <c r="T56" i="41"/>
  <c r="S56" i="41"/>
  <c r="R56" i="41"/>
  <c r="X55" i="41"/>
  <c r="W55" i="41"/>
  <c r="V55" i="41"/>
  <c r="U55" i="41"/>
  <c r="T55" i="41"/>
  <c r="S55" i="41"/>
  <c r="R55" i="41"/>
  <c r="X54" i="41"/>
  <c r="W54" i="41"/>
  <c r="V54" i="41"/>
  <c r="U54" i="41"/>
  <c r="T54" i="41"/>
  <c r="S54" i="41"/>
  <c r="R54" i="41"/>
  <c r="X53" i="41"/>
  <c r="W53" i="41"/>
  <c r="V53" i="41"/>
  <c r="U53" i="41"/>
  <c r="T53" i="41"/>
  <c r="S53" i="41"/>
  <c r="R53" i="41"/>
  <c r="X52" i="41"/>
  <c r="W52" i="41"/>
  <c r="V52" i="41"/>
  <c r="U52" i="41"/>
  <c r="T52" i="41"/>
  <c r="S52" i="41"/>
  <c r="R52" i="41"/>
  <c r="X51" i="41"/>
  <c r="W51" i="41"/>
  <c r="V51" i="41"/>
  <c r="U51" i="41"/>
  <c r="T51" i="41"/>
  <c r="S51" i="41"/>
  <c r="R51" i="41"/>
  <c r="X50" i="41"/>
  <c r="W50" i="41"/>
  <c r="V50" i="41"/>
  <c r="U50" i="41"/>
  <c r="T50" i="41"/>
  <c r="S50" i="41"/>
  <c r="R50" i="41"/>
  <c r="X49" i="41"/>
  <c r="W49" i="41"/>
  <c r="V49" i="41"/>
  <c r="U49" i="41"/>
  <c r="T49" i="41"/>
  <c r="S49" i="41"/>
  <c r="R49" i="41"/>
  <c r="X48" i="41"/>
  <c r="W48" i="41"/>
  <c r="V48" i="41"/>
  <c r="U48" i="41"/>
  <c r="T48" i="41"/>
  <c r="S48" i="41"/>
  <c r="R48" i="41"/>
  <c r="X47" i="41"/>
  <c r="W47" i="41"/>
  <c r="V47" i="41"/>
  <c r="U47" i="41"/>
  <c r="T47" i="41"/>
  <c r="S47" i="41"/>
  <c r="R47" i="41"/>
  <c r="X46" i="41"/>
  <c r="W46" i="41"/>
  <c r="V46" i="41"/>
  <c r="U46" i="41"/>
  <c r="T46" i="41"/>
  <c r="S46" i="41"/>
  <c r="R46" i="41"/>
  <c r="X45" i="41"/>
  <c r="W45" i="41"/>
  <c r="V45" i="41"/>
  <c r="U45" i="41"/>
  <c r="T45" i="41"/>
  <c r="S45" i="41"/>
  <c r="R45" i="41"/>
  <c r="X44" i="41"/>
  <c r="W44" i="41"/>
  <c r="V44" i="41"/>
  <c r="U44" i="41"/>
  <c r="T44" i="41"/>
  <c r="S44" i="41"/>
  <c r="R44" i="41"/>
  <c r="X43" i="41"/>
  <c r="W43" i="41"/>
  <c r="V43" i="41"/>
  <c r="U43" i="41"/>
  <c r="T43" i="41"/>
  <c r="S43" i="41"/>
  <c r="R43" i="41"/>
  <c r="X42" i="41"/>
  <c r="W42" i="41"/>
  <c r="V42" i="41"/>
  <c r="U42" i="41"/>
  <c r="T42" i="41"/>
  <c r="S42" i="41"/>
  <c r="R42" i="41"/>
  <c r="X41" i="41"/>
  <c r="W41" i="41"/>
  <c r="V41" i="41"/>
  <c r="U41" i="41"/>
  <c r="T41" i="41"/>
  <c r="S41" i="41"/>
  <c r="R41" i="41"/>
  <c r="X40" i="41"/>
  <c r="W40" i="41"/>
  <c r="V40" i="41"/>
  <c r="U40" i="41"/>
  <c r="T40" i="41"/>
  <c r="S40" i="41"/>
  <c r="R40" i="41"/>
  <c r="X39" i="41"/>
  <c r="W39" i="41"/>
  <c r="V39" i="41"/>
  <c r="U39" i="41"/>
  <c r="T39" i="41"/>
  <c r="S39" i="41"/>
  <c r="R39" i="41"/>
  <c r="X38" i="41"/>
  <c r="W38" i="41"/>
  <c r="V38" i="41"/>
  <c r="U38" i="41"/>
  <c r="T38" i="41"/>
  <c r="S38" i="41"/>
  <c r="R38" i="41"/>
  <c r="X37" i="41"/>
  <c r="W37" i="41"/>
  <c r="V37" i="41"/>
  <c r="U37" i="41"/>
  <c r="T37" i="41"/>
  <c r="S37" i="41"/>
  <c r="R37" i="41"/>
  <c r="X36" i="41"/>
  <c r="W36" i="41"/>
  <c r="V36" i="41"/>
  <c r="U36" i="41"/>
  <c r="T36" i="41"/>
  <c r="S36" i="41"/>
  <c r="R36" i="41"/>
  <c r="X35" i="41"/>
  <c r="W35" i="41"/>
  <c r="V35" i="41"/>
  <c r="U35" i="41"/>
  <c r="T35" i="41"/>
  <c r="S35" i="41"/>
  <c r="R35" i="41"/>
  <c r="U34" i="41"/>
  <c r="T34" i="41"/>
  <c r="S34" i="41"/>
  <c r="R34" i="41"/>
  <c r="M34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L42" i="41" s="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R16" i="41"/>
  <c r="N16" i="41"/>
  <c r="M16" i="41"/>
  <c r="L16" i="41"/>
  <c r="K16" i="41"/>
  <c r="Y2" i="41"/>
  <c r="K23" i="37"/>
  <c r="K24" i="37"/>
  <c r="K25" i="37"/>
  <c r="K26" i="37"/>
  <c r="K27" i="37"/>
  <c r="K28" i="37"/>
  <c r="K29" i="37"/>
  <c r="K30" i="37"/>
  <c r="K31" i="37"/>
  <c r="K32" i="37"/>
  <c r="K18" i="39"/>
  <c r="K19" i="39"/>
  <c r="K20" i="39"/>
  <c r="K21" i="39"/>
  <c r="K22" i="39"/>
  <c r="K23" i="39"/>
  <c r="X153" i="39"/>
  <c r="W153" i="39"/>
  <c r="V153" i="39"/>
  <c r="U153" i="39"/>
  <c r="T153" i="39"/>
  <c r="S153" i="39"/>
  <c r="R153" i="39"/>
  <c r="X152" i="39"/>
  <c r="W152" i="39"/>
  <c r="V152" i="39"/>
  <c r="U152" i="39"/>
  <c r="T152" i="39"/>
  <c r="S152" i="39"/>
  <c r="R152" i="39"/>
  <c r="X151" i="39"/>
  <c r="W151" i="39"/>
  <c r="V151" i="39"/>
  <c r="U151" i="39"/>
  <c r="T151" i="39"/>
  <c r="S151" i="39"/>
  <c r="R151" i="39"/>
  <c r="X150" i="39"/>
  <c r="W150" i="39"/>
  <c r="V150" i="39"/>
  <c r="U150" i="39"/>
  <c r="T150" i="39"/>
  <c r="S150" i="39"/>
  <c r="R150" i="39"/>
  <c r="X149" i="39"/>
  <c r="W149" i="39"/>
  <c r="V149" i="39"/>
  <c r="U149" i="39"/>
  <c r="T149" i="39"/>
  <c r="S149" i="39"/>
  <c r="R149" i="39"/>
  <c r="X148" i="39"/>
  <c r="W148" i="39"/>
  <c r="V148" i="39"/>
  <c r="U148" i="39"/>
  <c r="T148" i="39"/>
  <c r="S148" i="39"/>
  <c r="R148" i="39"/>
  <c r="X147" i="39"/>
  <c r="W147" i="39"/>
  <c r="V147" i="39"/>
  <c r="U147" i="39"/>
  <c r="T147" i="39"/>
  <c r="S147" i="39"/>
  <c r="R147" i="39"/>
  <c r="X146" i="39"/>
  <c r="W146" i="39"/>
  <c r="V146" i="39"/>
  <c r="U146" i="39"/>
  <c r="T146" i="39"/>
  <c r="S146" i="39"/>
  <c r="R146" i="39"/>
  <c r="X145" i="39"/>
  <c r="W145" i="39"/>
  <c r="V145" i="39"/>
  <c r="U145" i="39"/>
  <c r="T145" i="39"/>
  <c r="S145" i="39"/>
  <c r="R145" i="39"/>
  <c r="X144" i="39"/>
  <c r="W144" i="39"/>
  <c r="V144" i="39"/>
  <c r="U144" i="39"/>
  <c r="T144" i="39"/>
  <c r="S144" i="39"/>
  <c r="R144" i="39"/>
  <c r="X143" i="39"/>
  <c r="W143" i="39"/>
  <c r="V143" i="39"/>
  <c r="U143" i="39"/>
  <c r="T143" i="39"/>
  <c r="S143" i="39"/>
  <c r="R143" i="39"/>
  <c r="X142" i="39"/>
  <c r="W142" i="39"/>
  <c r="V142" i="39"/>
  <c r="U142" i="39"/>
  <c r="T142" i="39"/>
  <c r="S142" i="39"/>
  <c r="R142" i="39"/>
  <c r="X141" i="39"/>
  <c r="W141" i="39"/>
  <c r="V141" i="39"/>
  <c r="U141" i="39"/>
  <c r="T141" i="39"/>
  <c r="S141" i="39"/>
  <c r="R141" i="39"/>
  <c r="X140" i="39"/>
  <c r="W140" i="39"/>
  <c r="V140" i="39"/>
  <c r="U140" i="39"/>
  <c r="T140" i="39"/>
  <c r="S140" i="39"/>
  <c r="R140" i="39"/>
  <c r="X139" i="39"/>
  <c r="W139" i="39"/>
  <c r="V139" i="39"/>
  <c r="U139" i="39"/>
  <c r="T139" i="39"/>
  <c r="S139" i="39"/>
  <c r="R139" i="39"/>
  <c r="X138" i="39"/>
  <c r="W138" i="39"/>
  <c r="V138" i="39"/>
  <c r="U138" i="39"/>
  <c r="T138" i="39"/>
  <c r="S138" i="39"/>
  <c r="R138" i="39"/>
  <c r="X137" i="39"/>
  <c r="W137" i="39"/>
  <c r="V137" i="39"/>
  <c r="U137" i="39"/>
  <c r="T137" i="39"/>
  <c r="S137" i="39"/>
  <c r="R137" i="39"/>
  <c r="X136" i="39"/>
  <c r="W136" i="39"/>
  <c r="V136" i="39"/>
  <c r="U136" i="39"/>
  <c r="T136" i="39"/>
  <c r="S136" i="39"/>
  <c r="R136" i="39"/>
  <c r="X135" i="39"/>
  <c r="W135" i="39"/>
  <c r="V135" i="39"/>
  <c r="U135" i="39"/>
  <c r="T135" i="39"/>
  <c r="S135" i="39"/>
  <c r="R135" i="39"/>
  <c r="X134" i="39"/>
  <c r="W134" i="39"/>
  <c r="V134" i="39"/>
  <c r="U134" i="39"/>
  <c r="T134" i="39"/>
  <c r="S134" i="39"/>
  <c r="R134" i="39"/>
  <c r="X133" i="39"/>
  <c r="W133" i="39"/>
  <c r="V133" i="39"/>
  <c r="U133" i="39"/>
  <c r="T133" i="39"/>
  <c r="S133" i="39"/>
  <c r="R133" i="39"/>
  <c r="X132" i="39"/>
  <c r="W132" i="39"/>
  <c r="V132" i="39"/>
  <c r="U132" i="39"/>
  <c r="T132" i="39"/>
  <c r="S132" i="39"/>
  <c r="R132" i="39"/>
  <c r="X131" i="39"/>
  <c r="W131" i="39"/>
  <c r="V131" i="39"/>
  <c r="U131" i="39"/>
  <c r="T131" i="39"/>
  <c r="S131" i="39"/>
  <c r="R131" i="39"/>
  <c r="X130" i="39"/>
  <c r="W130" i="39"/>
  <c r="V130" i="39"/>
  <c r="U130" i="39"/>
  <c r="T130" i="39"/>
  <c r="S130" i="39"/>
  <c r="R130" i="39"/>
  <c r="X129" i="39"/>
  <c r="W129" i="39"/>
  <c r="V129" i="39"/>
  <c r="U129" i="39"/>
  <c r="T129" i="39"/>
  <c r="S129" i="39"/>
  <c r="R129" i="39"/>
  <c r="X128" i="39"/>
  <c r="W128" i="39"/>
  <c r="V128" i="39"/>
  <c r="U128" i="39"/>
  <c r="T128" i="39"/>
  <c r="S128" i="39"/>
  <c r="R128" i="39"/>
  <c r="X127" i="39"/>
  <c r="W127" i="39"/>
  <c r="V127" i="39"/>
  <c r="U127" i="39"/>
  <c r="T127" i="39"/>
  <c r="S127" i="39"/>
  <c r="R127" i="39"/>
  <c r="X126" i="39"/>
  <c r="W126" i="39"/>
  <c r="V126" i="39"/>
  <c r="U126" i="39"/>
  <c r="T126" i="39"/>
  <c r="S126" i="39"/>
  <c r="R126" i="39"/>
  <c r="X125" i="39"/>
  <c r="W125" i="39"/>
  <c r="V125" i="39"/>
  <c r="U125" i="39"/>
  <c r="T125" i="39"/>
  <c r="S125" i="39"/>
  <c r="R125" i="39"/>
  <c r="X124" i="39"/>
  <c r="W124" i="39"/>
  <c r="V124" i="39"/>
  <c r="U124" i="39"/>
  <c r="T124" i="39"/>
  <c r="S124" i="39"/>
  <c r="R124" i="39"/>
  <c r="X123" i="39"/>
  <c r="W123" i="39"/>
  <c r="V123" i="39"/>
  <c r="U123" i="39"/>
  <c r="T123" i="39"/>
  <c r="S123" i="39"/>
  <c r="R123" i="39"/>
  <c r="X122" i="39"/>
  <c r="W122" i="39"/>
  <c r="V122" i="39"/>
  <c r="U122" i="39"/>
  <c r="T122" i="39"/>
  <c r="S122" i="39"/>
  <c r="R122" i="39"/>
  <c r="X121" i="39"/>
  <c r="W121" i="39"/>
  <c r="V121" i="39"/>
  <c r="U121" i="39"/>
  <c r="T121" i="39"/>
  <c r="S121" i="39"/>
  <c r="R121" i="39"/>
  <c r="X120" i="39"/>
  <c r="W120" i="39"/>
  <c r="V120" i="39"/>
  <c r="U120" i="39"/>
  <c r="T120" i="39"/>
  <c r="S120" i="39"/>
  <c r="R120" i="39"/>
  <c r="X119" i="39"/>
  <c r="W119" i="39"/>
  <c r="V119" i="39"/>
  <c r="U119" i="39"/>
  <c r="T119" i="39"/>
  <c r="S119" i="39"/>
  <c r="R119" i="39"/>
  <c r="X118" i="39"/>
  <c r="W118" i="39"/>
  <c r="V118" i="39"/>
  <c r="U118" i="39"/>
  <c r="T118" i="39"/>
  <c r="S118" i="39"/>
  <c r="R118" i="39"/>
  <c r="X117" i="39"/>
  <c r="W117" i="39"/>
  <c r="V117" i="39"/>
  <c r="U117" i="39"/>
  <c r="T117" i="39"/>
  <c r="S117" i="39"/>
  <c r="R117" i="39"/>
  <c r="X116" i="39"/>
  <c r="W116" i="39"/>
  <c r="V116" i="39"/>
  <c r="U116" i="39"/>
  <c r="T116" i="39"/>
  <c r="S116" i="39"/>
  <c r="R116" i="39"/>
  <c r="X115" i="39"/>
  <c r="W115" i="39"/>
  <c r="V115" i="39"/>
  <c r="U115" i="39"/>
  <c r="T115" i="39"/>
  <c r="S115" i="39"/>
  <c r="R115" i="39"/>
  <c r="X114" i="39"/>
  <c r="W114" i="39"/>
  <c r="V114" i="39"/>
  <c r="U114" i="39"/>
  <c r="T114" i="39"/>
  <c r="S114" i="39"/>
  <c r="R114" i="39"/>
  <c r="X113" i="39"/>
  <c r="W113" i="39"/>
  <c r="V113" i="39"/>
  <c r="U113" i="39"/>
  <c r="T113" i="39"/>
  <c r="S113" i="39"/>
  <c r="R113" i="39"/>
  <c r="X112" i="39"/>
  <c r="W112" i="39"/>
  <c r="V112" i="39"/>
  <c r="U112" i="39"/>
  <c r="T112" i="39"/>
  <c r="S112" i="39"/>
  <c r="R112" i="39"/>
  <c r="X111" i="39"/>
  <c r="W111" i="39"/>
  <c r="V111" i="39"/>
  <c r="U111" i="39"/>
  <c r="T111" i="39"/>
  <c r="S111" i="39"/>
  <c r="R111" i="39"/>
  <c r="X110" i="39"/>
  <c r="W110" i="39"/>
  <c r="V110" i="39"/>
  <c r="U110" i="39"/>
  <c r="T110" i="39"/>
  <c r="S110" i="39"/>
  <c r="R110" i="39"/>
  <c r="X109" i="39"/>
  <c r="W109" i="39"/>
  <c r="V109" i="39"/>
  <c r="U109" i="39"/>
  <c r="T109" i="39"/>
  <c r="S109" i="39"/>
  <c r="R109" i="39"/>
  <c r="X108" i="39"/>
  <c r="W108" i="39"/>
  <c r="V108" i="39"/>
  <c r="U108" i="39"/>
  <c r="T108" i="39"/>
  <c r="S108" i="39"/>
  <c r="R108" i="39"/>
  <c r="X107" i="39"/>
  <c r="W107" i="39"/>
  <c r="V107" i="39"/>
  <c r="U107" i="39"/>
  <c r="T107" i="39"/>
  <c r="S107" i="39"/>
  <c r="R107" i="39"/>
  <c r="X106" i="39"/>
  <c r="W106" i="39"/>
  <c r="V106" i="39"/>
  <c r="U106" i="39"/>
  <c r="T106" i="39"/>
  <c r="S106" i="39"/>
  <c r="R106" i="39"/>
  <c r="X105" i="39"/>
  <c r="W105" i="39"/>
  <c r="V105" i="39"/>
  <c r="U105" i="39"/>
  <c r="T105" i="39"/>
  <c r="S105" i="39"/>
  <c r="R105" i="39"/>
  <c r="X104" i="39"/>
  <c r="W104" i="39"/>
  <c r="V104" i="39"/>
  <c r="U104" i="39"/>
  <c r="T104" i="39"/>
  <c r="S104" i="39"/>
  <c r="R104" i="39"/>
  <c r="X103" i="39"/>
  <c r="W103" i="39"/>
  <c r="V103" i="39"/>
  <c r="U103" i="39"/>
  <c r="T103" i="39"/>
  <c r="S103" i="39"/>
  <c r="R103" i="39"/>
  <c r="X102" i="39"/>
  <c r="W102" i="39"/>
  <c r="V102" i="39"/>
  <c r="U102" i="39"/>
  <c r="T102" i="39"/>
  <c r="S102" i="39"/>
  <c r="R102" i="39"/>
  <c r="X101" i="39"/>
  <c r="W101" i="39"/>
  <c r="V101" i="39"/>
  <c r="U101" i="39"/>
  <c r="T101" i="39"/>
  <c r="S101" i="39"/>
  <c r="R101" i="39"/>
  <c r="X100" i="39"/>
  <c r="W100" i="39"/>
  <c r="V100" i="39"/>
  <c r="U100" i="39"/>
  <c r="T100" i="39"/>
  <c r="S100" i="39"/>
  <c r="R100" i="39"/>
  <c r="X99" i="39"/>
  <c r="W99" i="39"/>
  <c r="V99" i="39"/>
  <c r="U99" i="39"/>
  <c r="T99" i="39"/>
  <c r="S99" i="39"/>
  <c r="R99" i="39"/>
  <c r="X98" i="39"/>
  <c r="W98" i="39"/>
  <c r="V98" i="39"/>
  <c r="U98" i="39"/>
  <c r="T98" i="39"/>
  <c r="S98" i="39"/>
  <c r="R98" i="39"/>
  <c r="X97" i="39"/>
  <c r="W97" i="39"/>
  <c r="V97" i="39"/>
  <c r="U97" i="39"/>
  <c r="T97" i="39"/>
  <c r="S97" i="39"/>
  <c r="R97" i="39"/>
  <c r="X96" i="39"/>
  <c r="W96" i="39"/>
  <c r="V96" i="39"/>
  <c r="U96" i="39"/>
  <c r="T96" i="39"/>
  <c r="S96" i="39"/>
  <c r="R96" i="39"/>
  <c r="X95" i="39"/>
  <c r="W95" i="39"/>
  <c r="V95" i="39"/>
  <c r="U95" i="39"/>
  <c r="T95" i="39"/>
  <c r="S95" i="39"/>
  <c r="R95" i="39"/>
  <c r="X94" i="39"/>
  <c r="W94" i="39"/>
  <c r="V94" i="39"/>
  <c r="U94" i="39"/>
  <c r="T94" i="39"/>
  <c r="S94" i="39"/>
  <c r="R94" i="39"/>
  <c r="X93" i="39"/>
  <c r="W93" i="39"/>
  <c r="V93" i="39"/>
  <c r="U93" i="39"/>
  <c r="T93" i="39"/>
  <c r="S93" i="39"/>
  <c r="R93" i="39"/>
  <c r="X92" i="39"/>
  <c r="W92" i="39"/>
  <c r="V92" i="39"/>
  <c r="U92" i="39"/>
  <c r="T92" i="39"/>
  <c r="S92" i="39"/>
  <c r="R92" i="39"/>
  <c r="X91" i="39"/>
  <c r="W91" i="39"/>
  <c r="V91" i="39"/>
  <c r="U91" i="39"/>
  <c r="T91" i="39"/>
  <c r="S91" i="39"/>
  <c r="R91" i="39"/>
  <c r="X90" i="39"/>
  <c r="W90" i="39"/>
  <c r="V90" i="39"/>
  <c r="U90" i="39"/>
  <c r="T90" i="39"/>
  <c r="S90" i="39"/>
  <c r="R90" i="39"/>
  <c r="X89" i="39"/>
  <c r="W89" i="39"/>
  <c r="V89" i="39"/>
  <c r="U89" i="39"/>
  <c r="T89" i="39"/>
  <c r="S89" i="39"/>
  <c r="R89" i="39"/>
  <c r="X88" i="39"/>
  <c r="W88" i="39"/>
  <c r="V88" i="39"/>
  <c r="U88" i="39"/>
  <c r="T88" i="39"/>
  <c r="S88" i="39"/>
  <c r="R88" i="39"/>
  <c r="X87" i="39"/>
  <c r="W87" i="39"/>
  <c r="V87" i="39"/>
  <c r="U87" i="39"/>
  <c r="T87" i="39"/>
  <c r="S87" i="39"/>
  <c r="R87" i="39"/>
  <c r="X86" i="39"/>
  <c r="W86" i="39"/>
  <c r="V86" i="39"/>
  <c r="U86" i="39"/>
  <c r="T86" i="39"/>
  <c r="S86" i="39"/>
  <c r="R86" i="39"/>
  <c r="X85" i="39"/>
  <c r="W85" i="39"/>
  <c r="V85" i="39"/>
  <c r="U85" i="39"/>
  <c r="T85" i="39"/>
  <c r="S85" i="39"/>
  <c r="R85" i="39"/>
  <c r="X84" i="39"/>
  <c r="W84" i="39"/>
  <c r="V84" i="39"/>
  <c r="U84" i="39"/>
  <c r="T84" i="39"/>
  <c r="S84" i="39"/>
  <c r="R84" i="39"/>
  <c r="X83" i="39"/>
  <c r="W83" i="39"/>
  <c r="V83" i="39"/>
  <c r="U83" i="39"/>
  <c r="T83" i="39"/>
  <c r="S83" i="39"/>
  <c r="R83" i="39"/>
  <c r="X82" i="39"/>
  <c r="W82" i="39"/>
  <c r="V82" i="39"/>
  <c r="U82" i="39"/>
  <c r="T82" i="39"/>
  <c r="S82" i="39"/>
  <c r="R82" i="39"/>
  <c r="X81" i="39"/>
  <c r="W81" i="39"/>
  <c r="V81" i="39"/>
  <c r="U81" i="39"/>
  <c r="T81" i="39"/>
  <c r="S81" i="39"/>
  <c r="R81" i="39"/>
  <c r="X80" i="39"/>
  <c r="W80" i="39"/>
  <c r="V80" i="39"/>
  <c r="U80" i="39"/>
  <c r="T80" i="39"/>
  <c r="S80" i="39"/>
  <c r="R80" i="39"/>
  <c r="X79" i="39"/>
  <c r="W79" i="39"/>
  <c r="V79" i="39"/>
  <c r="U79" i="39"/>
  <c r="T79" i="39"/>
  <c r="S79" i="39"/>
  <c r="R79" i="39"/>
  <c r="X78" i="39"/>
  <c r="W78" i="39"/>
  <c r="V78" i="39"/>
  <c r="U78" i="39"/>
  <c r="T78" i="39"/>
  <c r="S78" i="39"/>
  <c r="R78" i="39"/>
  <c r="X77" i="39"/>
  <c r="W77" i="39"/>
  <c r="V77" i="39"/>
  <c r="U77" i="39"/>
  <c r="T77" i="39"/>
  <c r="S77" i="39"/>
  <c r="R77" i="39"/>
  <c r="X76" i="39"/>
  <c r="W76" i="39"/>
  <c r="V76" i="39"/>
  <c r="U76" i="39"/>
  <c r="T76" i="39"/>
  <c r="S76" i="39"/>
  <c r="R76" i="39"/>
  <c r="X75" i="39"/>
  <c r="W75" i="39"/>
  <c r="V75" i="39"/>
  <c r="U75" i="39"/>
  <c r="T75" i="39"/>
  <c r="S75" i="39"/>
  <c r="R75" i="39"/>
  <c r="X74" i="39"/>
  <c r="W74" i="39"/>
  <c r="V74" i="39"/>
  <c r="U74" i="39"/>
  <c r="T74" i="39"/>
  <c r="S74" i="39"/>
  <c r="R74" i="39"/>
  <c r="X73" i="39"/>
  <c r="W73" i="39"/>
  <c r="V73" i="39"/>
  <c r="U73" i="39"/>
  <c r="T73" i="39"/>
  <c r="S73" i="39"/>
  <c r="R73" i="39"/>
  <c r="X72" i="39"/>
  <c r="W72" i="39"/>
  <c r="V72" i="39"/>
  <c r="U72" i="39"/>
  <c r="T72" i="39"/>
  <c r="S72" i="39"/>
  <c r="R72" i="39"/>
  <c r="X71" i="39"/>
  <c r="W71" i="39"/>
  <c r="V71" i="39"/>
  <c r="U71" i="39"/>
  <c r="T71" i="39"/>
  <c r="S71" i="39"/>
  <c r="R71" i="39"/>
  <c r="X70" i="39"/>
  <c r="W70" i="39"/>
  <c r="V70" i="39"/>
  <c r="U70" i="39"/>
  <c r="T70" i="39"/>
  <c r="S70" i="39"/>
  <c r="R70" i="39"/>
  <c r="X69" i="39"/>
  <c r="W69" i="39"/>
  <c r="V69" i="39"/>
  <c r="U69" i="39"/>
  <c r="T69" i="39"/>
  <c r="S69" i="39"/>
  <c r="R69" i="39"/>
  <c r="X68" i="39"/>
  <c r="W68" i="39"/>
  <c r="V68" i="39"/>
  <c r="U68" i="39"/>
  <c r="T68" i="39"/>
  <c r="S68" i="39"/>
  <c r="R68" i="39"/>
  <c r="X67" i="39"/>
  <c r="W67" i="39"/>
  <c r="V67" i="39"/>
  <c r="U67" i="39"/>
  <c r="T67" i="39"/>
  <c r="S67" i="39"/>
  <c r="R67" i="39"/>
  <c r="X66" i="39"/>
  <c r="W66" i="39"/>
  <c r="V66" i="39"/>
  <c r="U66" i="39"/>
  <c r="T66" i="39"/>
  <c r="S66" i="39"/>
  <c r="R66" i="39"/>
  <c r="X65" i="39"/>
  <c r="W65" i="39"/>
  <c r="V65" i="39"/>
  <c r="U65" i="39"/>
  <c r="T65" i="39"/>
  <c r="S65" i="39"/>
  <c r="R65" i="39"/>
  <c r="X64" i="39"/>
  <c r="W64" i="39"/>
  <c r="V64" i="39"/>
  <c r="U64" i="39"/>
  <c r="T64" i="39"/>
  <c r="S64" i="39"/>
  <c r="R64" i="39"/>
  <c r="X63" i="39"/>
  <c r="W63" i="39"/>
  <c r="V63" i="39"/>
  <c r="U63" i="39"/>
  <c r="T63" i="39"/>
  <c r="S63" i="39"/>
  <c r="R63" i="39"/>
  <c r="X62" i="39"/>
  <c r="W62" i="39"/>
  <c r="V62" i="39"/>
  <c r="U62" i="39"/>
  <c r="T62" i="39"/>
  <c r="S62" i="39"/>
  <c r="R62" i="39"/>
  <c r="X61" i="39"/>
  <c r="W61" i="39"/>
  <c r="V61" i="39"/>
  <c r="U61" i="39"/>
  <c r="T61" i="39"/>
  <c r="S61" i="39"/>
  <c r="R61" i="39"/>
  <c r="X60" i="39"/>
  <c r="W60" i="39"/>
  <c r="V60" i="39"/>
  <c r="U60" i="39"/>
  <c r="T60" i="39"/>
  <c r="S60" i="39"/>
  <c r="R60" i="39"/>
  <c r="X59" i="39"/>
  <c r="W59" i="39"/>
  <c r="V59" i="39"/>
  <c r="U59" i="39"/>
  <c r="T59" i="39"/>
  <c r="S59" i="39"/>
  <c r="R59" i="39"/>
  <c r="X58" i="39"/>
  <c r="W58" i="39"/>
  <c r="V58" i="39"/>
  <c r="U58" i="39"/>
  <c r="T58" i="39"/>
  <c r="S58" i="39"/>
  <c r="R58" i="39"/>
  <c r="X57" i="39"/>
  <c r="W57" i="39"/>
  <c r="V57" i="39"/>
  <c r="U57" i="39"/>
  <c r="T57" i="39"/>
  <c r="S57" i="39"/>
  <c r="R57" i="39"/>
  <c r="X56" i="39"/>
  <c r="W56" i="39"/>
  <c r="V56" i="39"/>
  <c r="U56" i="39"/>
  <c r="T56" i="39"/>
  <c r="S56" i="39"/>
  <c r="R56" i="39"/>
  <c r="X55" i="39"/>
  <c r="W55" i="39"/>
  <c r="V55" i="39"/>
  <c r="U55" i="39"/>
  <c r="T55" i="39"/>
  <c r="S55" i="39"/>
  <c r="R55" i="39"/>
  <c r="X54" i="39"/>
  <c r="W54" i="39"/>
  <c r="V54" i="39"/>
  <c r="U54" i="39"/>
  <c r="T54" i="39"/>
  <c r="S54" i="39"/>
  <c r="R54" i="39"/>
  <c r="X53" i="39"/>
  <c r="W53" i="39"/>
  <c r="V53" i="39"/>
  <c r="U53" i="39"/>
  <c r="T53" i="39"/>
  <c r="S53" i="39"/>
  <c r="R53" i="39"/>
  <c r="X52" i="39"/>
  <c r="W52" i="39"/>
  <c r="V52" i="39"/>
  <c r="U52" i="39"/>
  <c r="T52" i="39"/>
  <c r="S52" i="39"/>
  <c r="R52" i="39"/>
  <c r="X51" i="39"/>
  <c r="W51" i="39"/>
  <c r="V51" i="39"/>
  <c r="U51" i="39"/>
  <c r="T51" i="39"/>
  <c r="S51" i="39"/>
  <c r="R51" i="39"/>
  <c r="X50" i="39"/>
  <c r="W50" i="39"/>
  <c r="V50" i="39"/>
  <c r="U50" i="39"/>
  <c r="T50" i="39"/>
  <c r="S50" i="39"/>
  <c r="R50" i="39"/>
  <c r="X49" i="39"/>
  <c r="W49" i="39"/>
  <c r="V49" i="39"/>
  <c r="U49" i="39"/>
  <c r="T49" i="39"/>
  <c r="S49" i="39"/>
  <c r="R49" i="39"/>
  <c r="X48" i="39"/>
  <c r="W48" i="39"/>
  <c r="V48" i="39"/>
  <c r="U48" i="39"/>
  <c r="T48" i="39"/>
  <c r="S48" i="39"/>
  <c r="R48" i="39"/>
  <c r="X47" i="39"/>
  <c r="W47" i="39"/>
  <c r="V47" i="39"/>
  <c r="U47" i="39"/>
  <c r="T47" i="39"/>
  <c r="S47" i="39"/>
  <c r="R47" i="39"/>
  <c r="X46" i="39"/>
  <c r="W46" i="39"/>
  <c r="V46" i="39"/>
  <c r="U46" i="39"/>
  <c r="T46" i="39"/>
  <c r="S46" i="39"/>
  <c r="R46" i="39"/>
  <c r="X45" i="39"/>
  <c r="W45" i="39"/>
  <c r="V45" i="39"/>
  <c r="U45" i="39"/>
  <c r="T45" i="39"/>
  <c r="S45" i="39"/>
  <c r="R45" i="39"/>
  <c r="X44" i="39"/>
  <c r="W44" i="39"/>
  <c r="V44" i="39"/>
  <c r="U44" i="39"/>
  <c r="T44" i="39"/>
  <c r="S44" i="39"/>
  <c r="R44" i="39"/>
  <c r="X43" i="39"/>
  <c r="W43" i="39"/>
  <c r="V43" i="39"/>
  <c r="U43" i="39"/>
  <c r="T43" i="39"/>
  <c r="S43" i="39"/>
  <c r="R43" i="39"/>
  <c r="X42" i="39"/>
  <c r="W42" i="39"/>
  <c r="V42" i="39"/>
  <c r="U42" i="39"/>
  <c r="T42" i="39"/>
  <c r="S42" i="39"/>
  <c r="R42" i="39"/>
  <c r="X41" i="39"/>
  <c r="W41" i="39"/>
  <c r="V41" i="39"/>
  <c r="U41" i="39"/>
  <c r="T41" i="39"/>
  <c r="S41" i="39"/>
  <c r="R41" i="39"/>
  <c r="X40" i="39"/>
  <c r="W40" i="39"/>
  <c r="V40" i="39"/>
  <c r="U40" i="39"/>
  <c r="T40" i="39"/>
  <c r="S40" i="39"/>
  <c r="R40" i="39"/>
  <c r="X39" i="39"/>
  <c r="W39" i="39"/>
  <c r="V39" i="39"/>
  <c r="U39" i="39"/>
  <c r="T39" i="39"/>
  <c r="S39" i="39"/>
  <c r="R39" i="39"/>
  <c r="X38" i="39"/>
  <c r="W38" i="39"/>
  <c r="V38" i="39"/>
  <c r="U38" i="39"/>
  <c r="T38" i="39"/>
  <c r="S38" i="39"/>
  <c r="R38" i="39"/>
  <c r="X37" i="39"/>
  <c r="W37" i="39"/>
  <c r="V37" i="39"/>
  <c r="U37" i="39"/>
  <c r="T37" i="39"/>
  <c r="S37" i="39"/>
  <c r="R37" i="39"/>
  <c r="X36" i="39"/>
  <c r="W36" i="39"/>
  <c r="V36" i="39"/>
  <c r="U36" i="39"/>
  <c r="T36" i="39"/>
  <c r="S36" i="39"/>
  <c r="R36" i="39"/>
  <c r="X35" i="39"/>
  <c r="W35" i="39"/>
  <c r="V35" i="39"/>
  <c r="U35" i="39"/>
  <c r="T35" i="39"/>
  <c r="S35" i="39"/>
  <c r="R35" i="39"/>
  <c r="X34" i="39"/>
  <c r="W34" i="39"/>
  <c r="V34" i="39"/>
  <c r="U34" i="39"/>
  <c r="T34" i="39"/>
  <c r="S34" i="39"/>
  <c r="R34" i="39"/>
  <c r="X33" i="39"/>
  <c r="W33" i="39"/>
  <c r="V33" i="39"/>
  <c r="U33" i="39"/>
  <c r="T33" i="39"/>
  <c r="S33" i="39"/>
  <c r="R33" i="39"/>
  <c r="X32" i="39"/>
  <c r="W32" i="39"/>
  <c r="V32" i="39"/>
  <c r="R32" i="39"/>
  <c r="U31" i="39"/>
  <c r="T31" i="39"/>
  <c r="S31" i="39"/>
  <c r="R31" i="39"/>
  <c r="N31" i="39"/>
  <c r="M31" i="39"/>
  <c r="L31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R16" i="39"/>
  <c r="N16" i="39"/>
  <c r="M16" i="39"/>
  <c r="L16" i="39"/>
  <c r="K16" i="39"/>
  <c r="Y2" i="39"/>
  <c r="O40" i="35"/>
  <c r="P40" i="35"/>
  <c r="Q40" i="35"/>
  <c r="O41" i="35"/>
  <c r="P41" i="35"/>
  <c r="Q41" i="35"/>
  <c r="O42" i="35"/>
  <c r="P42" i="35"/>
  <c r="Q42" i="35"/>
  <c r="O43" i="35"/>
  <c r="P43" i="35"/>
  <c r="Q43" i="35"/>
  <c r="O44" i="35"/>
  <c r="P44" i="35"/>
  <c r="Q44" i="35"/>
  <c r="O45" i="35"/>
  <c r="P45" i="35"/>
  <c r="Q45" i="35"/>
  <c r="O46" i="35"/>
  <c r="P46" i="35"/>
  <c r="Q46" i="35"/>
  <c r="O47" i="35"/>
  <c r="P47" i="35"/>
  <c r="Q47" i="35"/>
  <c r="O48" i="35"/>
  <c r="P48" i="35"/>
  <c r="Q48" i="35"/>
  <c r="O49" i="35"/>
  <c r="P49" i="35"/>
  <c r="Q49" i="35"/>
  <c r="O50" i="35"/>
  <c r="P50" i="35"/>
  <c r="Q50" i="35"/>
  <c r="O51" i="35"/>
  <c r="P51" i="35"/>
  <c r="Q51" i="35"/>
  <c r="O52" i="35"/>
  <c r="P52" i="35"/>
  <c r="Q52" i="35"/>
  <c r="O53" i="35"/>
  <c r="P53" i="35"/>
  <c r="Q53" i="35"/>
  <c r="O54" i="35"/>
  <c r="P54" i="35"/>
  <c r="Q54" i="35"/>
  <c r="O55" i="35"/>
  <c r="P55" i="35"/>
  <c r="Q55" i="35"/>
  <c r="O56" i="35"/>
  <c r="P56" i="35"/>
  <c r="Q56" i="35"/>
  <c r="O57" i="35"/>
  <c r="P57" i="35"/>
  <c r="Q57" i="35"/>
  <c r="O58" i="35"/>
  <c r="P58" i="35"/>
  <c r="Q58" i="35"/>
  <c r="O59" i="35"/>
  <c r="P59" i="35"/>
  <c r="Q59" i="35"/>
  <c r="O60" i="35"/>
  <c r="P60" i="35"/>
  <c r="Q60" i="35"/>
  <c r="O61" i="35"/>
  <c r="P61" i="35"/>
  <c r="Q61" i="35"/>
  <c r="O62" i="35"/>
  <c r="P62" i="35"/>
  <c r="Q62" i="35"/>
  <c r="O63" i="35"/>
  <c r="P63" i="35"/>
  <c r="Q63" i="35"/>
  <c r="O64" i="35"/>
  <c r="P64" i="35"/>
  <c r="Q64" i="35"/>
  <c r="O65" i="35"/>
  <c r="P65" i="35"/>
  <c r="Q65" i="35"/>
  <c r="O66" i="35"/>
  <c r="P66" i="35"/>
  <c r="Q66" i="35"/>
  <c r="O67" i="35"/>
  <c r="P67" i="35"/>
  <c r="Q67" i="35"/>
  <c r="O68" i="35"/>
  <c r="P68" i="35"/>
  <c r="Q68" i="35"/>
  <c r="O69" i="35"/>
  <c r="P69" i="35"/>
  <c r="Q69" i="35"/>
  <c r="O70" i="35"/>
  <c r="P70" i="35"/>
  <c r="Q70" i="35"/>
  <c r="O71" i="35"/>
  <c r="P71" i="35"/>
  <c r="Q71" i="35"/>
  <c r="O72" i="35"/>
  <c r="P72" i="35"/>
  <c r="Q72" i="35"/>
  <c r="O73" i="35"/>
  <c r="P73" i="35"/>
  <c r="Q73" i="35"/>
  <c r="O74" i="35"/>
  <c r="P74" i="35"/>
  <c r="Q74" i="35"/>
  <c r="O75" i="35"/>
  <c r="P75" i="35"/>
  <c r="Q75" i="35"/>
  <c r="O76" i="35"/>
  <c r="P76" i="35"/>
  <c r="Q76" i="35"/>
  <c r="O77" i="35"/>
  <c r="P77" i="35"/>
  <c r="Q77" i="35"/>
  <c r="O78" i="35"/>
  <c r="P78" i="35"/>
  <c r="Q78" i="35"/>
  <c r="O79" i="35"/>
  <c r="P79" i="35"/>
  <c r="Q79" i="35"/>
  <c r="O80" i="35"/>
  <c r="P80" i="35"/>
  <c r="Q80" i="35"/>
  <c r="O81" i="35"/>
  <c r="P81" i="35"/>
  <c r="Q81" i="35"/>
  <c r="O82" i="35"/>
  <c r="P82" i="35"/>
  <c r="Q82" i="35"/>
  <c r="O83" i="35"/>
  <c r="P83" i="35"/>
  <c r="Q83" i="35"/>
  <c r="O84" i="35"/>
  <c r="P84" i="35"/>
  <c r="Q84" i="35"/>
  <c r="O85" i="35"/>
  <c r="P85" i="35"/>
  <c r="Q85" i="35"/>
  <c r="O86" i="35"/>
  <c r="P86" i="35"/>
  <c r="Q86" i="35"/>
  <c r="O87" i="35"/>
  <c r="P87" i="35"/>
  <c r="Q87" i="35"/>
  <c r="O88" i="35"/>
  <c r="P88" i="35"/>
  <c r="Q88" i="35"/>
  <c r="O89" i="35"/>
  <c r="P89" i="35"/>
  <c r="Q89" i="35"/>
  <c r="O90" i="35"/>
  <c r="P90" i="35"/>
  <c r="Q90" i="35"/>
  <c r="O91" i="35"/>
  <c r="P91" i="35"/>
  <c r="Q91" i="35"/>
  <c r="O92" i="35"/>
  <c r="P92" i="35"/>
  <c r="Q92" i="35"/>
  <c r="O93" i="35"/>
  <c r="P93" i="35"/>
  <c r="Q93" i="35"/>
  <c r="O94" i="35"/>
  <c r="P94" i="35"/>
  <c r="Q94" i="35"/>
  <c r="O95" i="35"/>
  <c r="P95" i="35"/>
  <c r="Q95" i="35"/>
  <c r="O96" i="35"/>
  <c r="P96" i="35"/>
  <c r="Q96" i="35"/>
  <c r="O97" i="35"/>
  <c r="P97" i="35"/>
  <c r="Q97" i="35"/>
  <c r="O98" i="35"/>
  <c r="P98" i="35"/>
  <c r="Q98" i="35"/>
  <c r="O99" i="35"/>
  <c r="P99" i="35"/>
  <c r="Q99" i="35"/>
  <c r="O100" i="35"/>
  <c r="P100" i="35"/>
  <c r="Q100" i="35"/>
  <c r="O101" i="35"/>
  <c r="P101" i="35"/>
  <c r="Q101" i="35"/>
  <c r="O102" i="35"/>
  <c r="P102" i="35"/>
  <c r="Q102" i="35"/>
  <c r="O103" i="35"/>
  <c r="P103" i="35"/>
  <c r="Q103" i="35"/>
  <c r="O104" i="35"/>
  <c r="P104" i="35"/>
  <c r="Q104" i="35"/>
  <c r="O105" i="35"/>
  <c r="P105" i="35"/>
  <c r="Q105" i="35"/>
  <c r="O106" i="35"/>
  <c r="P106" i="35"/>
  <c r="Q106" i="35"/>
  <c r="O107" i="35"/>
  <c r="P107" i="35"/>
  <c r="Q107" i="35"/>
  <c r="O108" i="35"/>
  <c r="P108" i="35"/>
  <c r="Q108" i="35"/>
  <c r="O109" i="35"/>
  <c r="P109" i="35"/>
  <c r="Q109" i="35"/>
  <c r="O110" i="35"/>
  <c r="P110" i="35"/>
  <c r="Q110" i="35"/>
  <c r="O111" i="35"/>
  <c r="P111" i="35"/>
  <c r="Q111" i="35"/>
  <c r="O112" i="35"/>
  <c r="P112" i="35"/>
  <c r="Q112" i="35"/>
  <c r="O113" i="35"/>
  <c r="P113" i="35"/>
  <c r="Q113" i="35"/>
  <c r="O114" i="35"/>
  <c r="P114" i="35"/>
  <c r="Q114" i="35"/>
  <c r="O115" i="35"/>
  <c r="P115" i="35"/>
  <c r="Q115" i="35"/>
  <c r="O116" i="35"/>
  <c r="P116" i="35"/>
  <c r="Q116" i="35"/>
  <c r="O117" i="35"/>
  <c r="P117" i="35"/>
  <c r="Q117" i="35"/>
  <c r="O118" i="35"/>
  <c r="P118" i="35"/>
  <c r="Q118" i="35"/>
  <c r="O119" i="35"/>
  <c r="P119" i="35"/>
  <c r="Q119" i="35"/>
  <c r="O120" i="35"/>
  <c r="P120" i="35"/>
  <c r="Q120" i="35"/>
  <c r="O121" i="35"/>
  <c r="P121" i="35"/>
  <c r="Q121" i="35"/>
  <c r="O122" i="35"/>
  <c r="P122" i="35"/>
  <c r="Q122" i="35"/>
  <c r="O123" i="35"/>
  <c r="P123" i="35"/>
  <c r="Q123" i="35"/>
  <c r="O124" i="35"/>
  <c r="P124" i="35"/>
  <c r="Q124" i="35"/>
  <c r="O125" i="35"/>
  <c r="P125" i="35"/>
  <c r="Q125" i="35"/>
  <c r="O126" i="35"/>
  <c r="P126" i="35"/>
  <c r="Q126" i="35"/>
  <c r="O127" i="35"/>
  <c r="P127" i="35"/>
  <c r="Q127" i="35"/>
  <c r="O128" i="35"/>
  <c r="P128" i="35"/>
  <c r="Q128" i="35"/>
  <c r="O129" i="35"/>
  <c r="P129" i="35"/>
  <c r="Q129" i="35"/>
  <c r="O130" i="35"/>
  <c r="P130" i="35"/>
  <c r="Q130" i="35"/>
  <c r="O131" i="35"/>
  <c r="P131" i="35"/>
  <c r="Q131" i="35"/>
  <c r="O132" i="35"/>
  <c r="P132" i="35"/>
  <c r="Q132" i="35"/>
  <c r="O133" i="35"/>
  <c r="P133" i="35"/>
  <c r="Q133" i="35"/>
  <c r="O134" i="35"/>
  <c r="P134" i="35"/>
  <c r="Q134" i="35"/>
  <c r="O135" i="35"/>
  <c r="P135" i="35"/>
  <c r="Q135" i="35"/>
  <c r="O136" i="35"/>
  <c r="P136" i="35"/>
  <c r="Q136" i="35"/>
  <c r="O137" i="35"/>
  <c r="P137" i="35"/>
  <c r="Q137" i="35"/>
  <c r="O138" i="35"/>
  <c r="P138" i="35"/>
  <c r="Q138" i="35"/>
  <c r="O139" i="35"/>
  <c r="P139" i="35"/>
  <c r="Q139" i="35"/>
  <c r="O140" i="35"/>
  <c r="P140" i="35"/>
  <c r="Q140" i="35"/>
  <c r="O141" i="35"/>
  <c r="P141" i="35"/>
  <c r="Q141" i="35"/>
  <c r="O142" i="35"/>
  <c r="P142" i="35"/>
  <c r="Q142" i="35"/>
  <c r="O143" i="35"/>
  <c r="P143" i="35"/>
  <c r="Q143" i="35"/>
  <c r="O144" i="35"/>
  <c r="P144" i="35"/>
  <c r="Q144" i="35"/>
  <c r="O145" i="35"/>
  <c r="P145" i="35"/>
  <c r="Q145" i="35"/>
  <c r="O146" i="35"/>
  <c r="P146" i="35"/>
  <c r="Q146" i="35"/>
  <c r="O147" i="35"/>
  <c r="P147" i="35"/>
  <c r="Q147" i="35"/>
  <c r="O148" i="35"/>
  <c r="P148" i="35"/>
  <c r="Q148" i="35"/>
  <c r="O149" i="35"/>
  <c r="P149" i="35"/>
  <c r="Q149" i="35"/>
  <c r="O150" i="35"/>
  <c r="P150" i="35"/>
  <c r="Q150" i="35"/>
  <c r="O151" i="35"/>
  <c r="P151" i="35"/>
  <c r="Q151" i="35"/>
  <c r="O152" i="35"/>
  <c r="P152" i="35"/>
  <c r="Q152" i="35"/>
  <c r="O153" i="35"/>
  <c r="P153" i="35"/>
  <c r="Q153" i="35"/>
  <c r="O43" i="33"/>
  <c r="P43" i="33"/>
  <c r="Q43" i="33"/>
  <c r="O44" i="33"/>
  <c r="P44" i="33"/>
  <c r="Q44" i="33"/>
  <c r="O45" i="33"/>
  <c r="P45" i="33"/>
  <c r="Q45" i="33"/>
  <c r="O46" i="33"/>
  <c r="P46" i="33"/>
  <c r="Q46" i="33"/>
  <c r="O47" i="33"/>
  <c r="P47" i="33"/>
  <c r="Q47" i="33"/>
  <c r="O48" i="33"/>
  <c r="P48" i="33"/>
  <c r="Q48" i="33"/>
  <c r="O49" i="33"/>
  <c r="P49" i="33"/>
  <c r="Q49" i="33"/>
  <c r="O50" i="33"/>
  <c r="P50" i="33"/>
  <c r="Q50" i="33"/>
  <c r="O51" i="33"/>
  <c r="P51" i="33"/>
  <c r="Q51" i="33"/>
  <c r="O52" i="33"/>
  <c r="P52" i="33"/>
  <c r="Q52" i="33"/>
  <c r="O53" i="33"/>
  <c r="P53" i="33"/>
  <c r="Q53" i="33"/>
  <c r="O54" i="33"/>
  <c r="P54" i="33"/>
  <c r="Q54" i="33"/>
  <c r="O55" i="33"/>
  <c r="P55" i="33"/>
  <c r="Q55" i="33"/>
  <c r="O56" i="33"/>
  <c r="P56" i="33"/>
  <c r="Q56" i="33"/>
  <c r="O57" i="33"/>
  <c r="P57" i="33"/>
  <c r="Q57" i="33"/>
  <c r="O58" i="33"/>
  <c r="P58" i="33"/>
  <c r="Q58" i="33"/>
  <c r="O59" i="33"/>
  <c r="P59" i="33"/>
  <c r="Q59" i="33"/>
  <c r="O60" i="33"/>
  <c r="P60" i="33"/>
  <c r="Q60" i="33"/>
  <c r="O61" i="33"/>
  <c r="P61" i="33"/>
  <c r="Q61" i="33"/>
  <c r="O62" i="33"/>
  <c r="P62" i="33"/>
  <c r="Q62" i="33"/>
  <c r="O63" i="33"/>
  <c r="P63" i="33"/>
  <c r="Q63" i="33"/>
  <c r="O64" i="33"/>
  <c r="P64" i="33"/>
  <c r="Q64" i="33"/>
  <c r="O65" i="33"/>
  <c r="P65" i="33"/>
  <c r="Q65" i="33"/>
  <c r="O66" i="33"/>
  <c r="P66" i="33"/>
  <c r="Q66" i="33"/>
  <c r="O67" i="33"/>
  <c r="P67" i="33"/>
  <c r="Q67" i="33"/>
  <c r="O68" i="33"/>
  <c r="P68" i="33"/>
  <c r="Q68" i="33"/>
  <c r="O69" i="33"/>
  <c r="P69" i="33"/>
  <c r="Q69" i="33"/>
  <c r="O70" i="33"/>
  <c r="P70" i="33"/>
  <c r="Q70" i="33"/>
  <c r="O71" i="33"/>
  <c r="P71" i="33"/>
  <c r="Q71" i="33"/>
  <c r="O72" i="33"/>
  <c r="P72" i="33"/>
  <c r="Q72" i="33"/>
  <c r="O73" i="33"/>
  <c r="P73" i="33"/>
  <c r="Q73" i="33"/>
  <c r="O74" i="33"/>
  <c r="P74" i="33"/>
  <c r="Q74" i="33"/>
  <c r="O75" i="33"/>
  <c r="P75" i="33"/>
  <c r="Q75" i="33"/>
  <c r="O76" i="33"/>
  <c r="P76" i="33"/>
  <c r="Q76" i="33"/>
  <c r="O77" i="33"/>
  <c r="P77" i="33"/>
  <c r="Q77" i="33"/>
  <c r="O78" i="33"/>
  <c r="P78" i="33"/>
  <c r="Q78" i="33"/>
  <c r="O79" i="33"/>
  <c r="P79" i="33"/>
  <c r="Q79" i="33"/>
  <c r="O80" i="33"/>
  <c r="P80" i="33"/>
  <c r="Q80" i="33"/>
  <c r="O81" i="33"/>
  <c r="P81" i="33"/>
  <c r="Q81" i="33"/>
  <c r="O82" i="33"/>
  <c r="P82" i="33"/>
  <c r="Q82" i="33"/>
  <c r="O83" i="33"/>
  <c r="P83" i="33"/>
  <c r="Q83" i="33"/>
  <c r="O84" i="33"/>
  <c r="P84" i="33"/>
  <c r="Q84" i="33"/>
  <c r="O85" i="33"/>
  <c r="P85" i="33"/>
  <c r="Q85" i="33"/>
  <c r="O86" i="33"/>
  <c r="P86" i="33"/>
  <c r="Q86" i="33"/>
  <c r="O87" i="33"/>
  <c r="P87" i="33"/>
  <c r="Q87" i="33"/>
  <c r="O88" i="33"/>
  <c r="P88" i="33"/>
  <c r="Q88" i="33"/>
  <c r="O89" i="33"/>
  <c r="P89" i="33"/>
  <c r="Q89" i="33"/>
  <c r="O90" i="33"/>
  <c r="P90" i="33"/>
  <c r="Q90" i="33"/>
  <c r="O91" i="33"/>
  <c r="P91" i="33"/>
  <c r="Q91" i="33"/>
  <c r="O92" i="33"/>
  <c r="P92" i="33"/>
  <c r="Q92" i="33"/>
  <c r="O93" i="33"/>
  <c r="P93" i="33"/>
  <c r="Q93" i="33"/>
  <c r="O94" i="33"/>
  <c r="P94" i="33"/>
  <c r="Q94" i="33"/>
  <c r="O95" i="33"/>
  <c r="P95" i="33"/>
  <c r="Q95" i="33"/>
  <c r="O96" i="33"/>
  <c r="P96" i="33"/>
  <c r="Q96" i="33"/>
  <c r="O97" i="33"/>
  <c r="P97" i="33"/>
  <c r="Q97" i="33"/>
  <c r="O98" i="33"/>
  <c r="P98" i="33"/>
  <c r="Q98" i="33"/>
  <c r="O99" i="33"/>
  <c r="P99" i="33"/>
  <c r="Q99" i="33"/>
  <c r="O100" i="33"/>
  <c r="P100" i="33"/>
  <c r="Q100" i="33"/>
  <c r="O101" i="33"/>
  <c r="P101" i="33"/>
  <c r="Q101" i="33"/>
  <c r="O102" i="33"/>
  <c r="P102" i="33"/>
  <c r="Q102" i="33"/>
  <c r="O103" i="33"/>
  <c r="P103" i="33"/>
  <c r="Q103" i="33"/>
  <c r="O104" i="33"/>
  <c r="P104" i="33"/>
  <c r="Q104" i="33"/>
  <c r="O105" i="33"/>
  <c r="P105" i="33"/>
  <c r="Q105" i="33"/>
  <c r="O106" i="33"/>
  <c r="P106" i="33"/>
  <c r="Q106" i="33"/>
  <c r="O107" i="33"/>
  <c r="P107" i="33"/>
  <c r="Q107" i="33"/>
  <c r="O108" i="33"/>
  <c r="P108" i="33"/>
  <c r="Q108" i="33"/>
  <c r="O109" i="33"/>
  <c r="P109" i="33"/>
  <c r="Q109" i="33"/>
  <c r="O110" i="33"/>
  <c r="P110" i="33"/>
  <c r="Q110" i="33"/>
  <c r="O111" i="33"/>
  <c r="P111" i="33"/>
  <c r="Q111" i="33"/>
  <c r="O112" i="33"/>
  <c r="P112" i="33"/>
  <c r="Q112" i="33"/>
  <c r="O113" i="33"/>
  <c r="P113" i="33"/>
  <c r="Q113" i="33"/>
  <c r="O114" i="33"/>
  <c r="P114" i="33"/>
  <c r="Q114" i="33"/>
  <c r="O115" i="33"/>
  <c r="P115" i="33"/>
  <c r="Q115" i="33"/>
  <c r="O116" i="33"/>
  <c r="P116" i="33"/>
  <c r="Q116" i="33"/>
  <c r="O117" i="33"/>
  <c r="P117" i="33"/>
  <c r="Q117" i="33"/>
  <c r="O118" i="33"/>
  <c r="P118" i="33"/>
  <c r="Q118" i="33"/>
  <c r="O119" i="33"/>
  <c r="P119" i="33"/>
  <c r="Q119" i="33"/>
  <c r="O120" i="33"/>
  <c r="P120" i="33"/>
  <c r="Q120" i="33"/>
  <c r="O121" i="33"/>
  <c r="P121" i="33"/>
  <c r="Q121" i="33"/>
  <c r="O122" i="33"/>
  <c r="P122" i="33"/>
  <c r="Q122" i="33"/>
  <c r="O123" i="33"/>
  <c r="P123" i="33"/>
  <c r="Q123" i="33"/>
  <c r="O124" i="33"/>
  <c r="P124" i="33"/>
  <c r="Q124" i="33"/>
  <c r="O125" i="33"/>
  <c r="P125" i="33"/>
  <c r="Q125" i="33"/>
  <c r="O126" i="33"/>
  <c r="P126" i="33"/>
  <c r="Q126" i="33"/>
  <c r="O127" i="33"/>
  <c r="P127" i="33"/>
  <c r="Q127" i="33"/>
  <c r="O128" i="33"/>
  <c r="P128" i="33"/>
  <c r="Q128" i="33"/>
  <c r="O129" i="33"/>
  <c r="P129" i="33"/>
  <c r="Q129" i="33"/>
  <c r="O130" i="33"/>
  <c r="P130" i="33"/>
  <c r="Q130" i="33"/>
  <c r="O131" i="33"/>
  <c r="P131" i="33"/>
  <c r="Q131" i="33"/>
  <c r="O132" i="33"/>
  <c r="P132" i="33"/>
  <c r="Q132" i="33"/>
  <c r="O133" i="33"/>
  <c r="P133" i="33"/>
  <c r="Q133" i="33"/>
  <c r="O134" i="33"/>
  <c r="P134" i="33"/>
  <c r="Q134" i="33"/>
  <c r="O135" i="33"/>
  <c r="P135" i="33"/>
  <c r="Q135" i="33"/>
  <c r="O136" i="33"/>
  <c r="P136" i="33"/>
  <c r="Q136" i="33"/>
  <c r="O137" i="33"/>
  <c r="P137" i="33"/>
  <c r="Q137" i="33"/>
  <c r="O138" i="33"/>
  <c r="P138" i="33"/>
  <c r="Q138" i="33"/>
  <c r="O139" i="33"/>
  <c r="P139" i="33"/>
  <c r="Q139" i="33"/>
  <c r="O140" i="33"/>
  <c r="P140" i="33"/>
  <c r="Q140" i="33"/>
  <c r="O141" i="33"/>
  <c r="P141" i="33"/>
  <c r="Q141" i="33"/>
  <c r="O142" i="33"/>
  <c r="P142" i="33"/>
  <c r="Q142" i="33"/>
  <c r="O143" i="33"/>
  <c r="P143" i="33"/>
  <c r="Q143" i="33"/>
  <c r="O144" i="33"/>
  <c r="P144" i="33"/>
  <c r="Q144" i="33"/>
  <c r="O145" i="33"/>
  <c r="P145" i="33"/>
  <c r="Q145" i="33"/>
  <c r="O146" i="33"/>
  <c r="P146" i="33"/>
  <c r="Q146" i="33"/>
  <c r="O147" i="33"/>
  <c r="P147" i="33"/>
  <c r="Q147" i="33"/>
  <c r="O148" i="33"/>
  <c r="P148" i="33"/>
  <c r="Q148" i="33"/>
  <c r="O149" i="33"/>
  <c r="P149" i="33"/>
  <c r="Q149" i="33"/>
  <c r="O150" i="33"/>
  <c r="P150" i="33"/>
  <c r="Q150" i="33"/>
  <c r="O151" i="33"/>
  <c r="P151" i="33"/>
  <c r="Q151" i="33"/>
  <c r="O152" i="33"/>
  <c r="P152" i="33"/>
  <c r="Q152" i="33"/>
  <c r="O153" i="33"/>
  <c r="P153" i="33"/>
  <c r="Q153" i="33"/>
  <c r="O41" i="31"/>
  <c r="P41" i="31"/>
  <c r="Q41" i="31"/>
  <c r="O42" i="31"/>
  <c r="P42" i="31"/>
  <c r="Q42" i="31"/>
  <c r="O43" i="31"/>
  <c r="P43" i="31"/>
  <c r="Q43" i="31"/>
  <c r="O44" i="31"/>
  <c r="P44" i="31"/>
  <c r="Q44" i="31"/>
  <c r="O45" i="31"/>
  <c r="P45" i="31"/>
  <c r="Q45" i="31"/>
  <c r="O46" i="31"/>
  <c r="P46" i="31"/>
  <c r="Q46" i="31"/>
  <c r="O47" i="31"/>
  <c r="P47" i="31"/>
  <c r="Q47" i="31"/>
  <c r="O48" i="31"/>
  <c r="P48" i="31"/>
  <c r="Q48" i="31"/>
  <c r="O49" i="31"/>
  <c r="P49" i="31"/>
  <c r="Q49" i="31"/>
  <c r="O50" i="31"/>
  <c r="P50" i="31"/>
  <c r="Q50" i="31"/>
  <c r="O51" i="31"/>
  <c r="P51" i="31"/>
  <c r="Q51" i="31"/>
  <c r="O52" i="31"/>
  <c r="P52" i="31"/>
  <c r="Q52" i="31"/>
  <c r="O53" i="31"/>
  <c r="P53" i="31"/>
  <c r="Q53" i="31"/>
  <c r="O54" i="31"/>
  <c r="P54" i="31"/>
  <c r="Q54" i="31"/>
  <c r="O55" i="31"/>
  <c r="P55" i="31"/>
  <c r="Q55" i="31"/>
  <c r="O56" i="31"/>
  <c r="P56" i="31"/>
  <c r="Q56" i="31"/>
  <c r="O57" i="31"/>
  <c r="P57" i="31"/>
  <c r="Q57" i="31"/>
  <c r="O58" i="31"/>
  <c r="P58" i="31"/>
  <c r="Q58" i="31"/>
  <c r="O59" i="31"/>
  <c r="P59" i="31"/>
  <c r="Q59" i="31"/>
  <c r="O60" i="31"/>
  <c r="P60" i="31"/>
  <c r="Q60" i="31"/>
  <c r="O61" i="31"/>
  <c r="P61" i="31"/>
  <c r="Q61" i="31"/>
  <c r="O62" i="31"/>
  <c r="P62" i="31"/>
  <c r="Q62" i="31"/>
  <c r="O63" i="31"/>
  <c r="P63" i="31"/>
  <c r="Q63" i="31"/>
  <c r="O64" i="31"/>
  <c r="P64" i="31"/>
  <c r="Q64" i="31"/>
  <c r="O65" i="31"/>
  <c r="P65" i="31"/>
  <c r="Q65" i="31"/>
  <c r="O66" i="31"/>
  <c r="P66" i="31"/>
  <c r="Q66" i="31"/>
  <c r="O67" i="31"/>
  <c r="P67" i="31"/>
  <c r="Q67" i="31"/>
  <c r="O68" i="31"/>
  <c r="P68" i="31"/>
  <c r="Q68" i="31"/>
  <c r="O69" i="31"/>
  <c r="P69" i="31"/>
  <c r="Q69" i="31"/>
  <c r="O70" i="31"/>
  <c r="P70" i="31"/>
  <c r="Q70" i="31"/>
  <c r="O71" i="31"/>
  <c r="P71" i="31"/>
  <c r="Q71" i="31"/>
  <c r="O72" i="31"/>
  <c r="P72" i="31"/>
  <c r="Q72" i="31"/>
  <c r="O73" i="31"/>
  <c r="P73" i="31"/>
  <c r="Q73" i="31"/>
  <c r="O74" i="31"/>
  <c r="P74" i="31"/>
  <c r="Q74" i="31"/>
  <c r="O75" i="31"/>
  <c r="P75" i="31"/>
  <c r="Q75" i="31"/>
  <c r="O76" i="31"/>
  <c r="P76" i="31"/>
  <c r="Q76" i="31"/>
  <c r="O77" i="31"/>
  <c r="P77" i="31"/>
  <c r="Q77" i="31"/>
  <c r="O78" i="31"/>
  <c r="P78" i="31"/>
  <c r="Q78" i="31"/>
  <c r="O79" i="31"/>
  <c r="P79" i="31"/>
  <c r="Q79" i="31"/>
  <c r="O80" i="31"/>
  <c r="P80" i="31"/>
  <c r="Q80" i="31"/>
  <c r="O81" i="31"/>
  <c r="P81" i="31"/>
  <c r="Q81" i="31"/>
  <c r="O82" i="31"/>
  <c r="P82" i="31"/>
  <c r="Q82" i="31"/>
  <c r="O83" i="31"/>
  <c r="P83" i="31"/>
  <c r="Q83" i="31"/>
  <c r="O84" i="31"/>
  <c r="P84" i="31"/>
  <c r="Q84" i="31"/>
  <c r="O85" i="31"/>
  <c r="P85" i="31"/>
  <c r="Q85" i="31"/>
  <c r="O86" i="31"/>
  <c r="P86" i="31"/>
  <c r="Q86" i="31"/>
  <c r="O87" i="31"/>
  <c r="P87" i="31"/>
  <c r="Q87" i="31"/>
  <c r="O88" i="31"/>
  <c r="P88" i="31"/>
  <c r="Q88" i="31"/>
  <c r="O89" i="31"/>
  <c r="P89" i="31"/>
  <c r="Q89" i="31"/>
  <c r="O90" i="31"/>
  <c r="P90" i="31"/>
  <c r="Q90" i="31"/>
  <c r="O91" i="31"/>
  <c r="P91" i="31"/>
  <c r="Q91" i="31"/>
  <c r="O92" i="31"/>
  <c r="P92" i="31"/>
  <c r="Q92" i="31"/>
  <c r="O93" i="31"/>
  <c r="P93" i="31"/>
  <c r="Q93" i="31"/>
  <c r="O94" i="31"/>
  <c r="P94" i="31"/>
  <c r="Q94" i="31"/>
  <c r="O95" i="31"/>
  <c r="P95" i="31"/>
  <c r="Q95" i="31"/>
  <c r="O96" i="31"/>
  <c r="P96" i="31"/>
  <c r="Q96" i="31"/>
  <c r="O97" i="31"/>
  <c r="P97" i="31"/>
  <c r="Q97" i="31"/>
  <c r="O98" i="31"/>
  <c r="P98" i="31"/>
  <c r="Q98" i="31"/>
  <c r="O99" i="31"/>
  <c r="P99" i="31"/>
  <c r="Q99" i="31"/>
  <c r="O100" i="31"/>
  <c r="P100" i="31"/>
  <c r="Q100" i="31"/>
  <c r="O101" i="31"/>
  <c r="P101" i="31"/>
  <c r="Q101" i="31"/>
  <c r="O102" i="31"/>
  <c r="P102" i="31"/>
  <c r="Q102" i="31"/>
  <c r="O103" i="31"/>
  <c r="P103" i="31"/>
  <c r="Q103" i="31"/>
  <c r="O104" i="31"/>
  <c r="P104" i="31"/>
  <c r="Q104" i="31"/>
  <c r="O105" i="31"/>
  <c r="P105" i="31"/>
  <c r="Q105" i="31"/>
  <c r="O106" i="31"/>
  <c r="P106" i="31"/>
  <c r="Q106" i="31"/>
  <c r="O107" i="31"/>
  <c r="P107" i="31"/>
  <c r="Q107" i="31"/>
  <c r="O108" i="31"/>
  <c r="P108" i="31"/>
  <c r="Q108" i="31"/>
  <c r="O109" i="31"/>
  <c r="P109" i="31"/>
  <c r="Q109" i="31"/>
  <c r="O110" i="31"/>
  <c r="P110" i="31"/>
  <c r="Q110" i="31"/>
  <c r="O111" i="31"/>
  <c r="P111" i="31"/>
  <c r="Q111" i="31"/>
  <c r="O112" i="31"/>
  <c r="P112" i="31"/>
  <c r="Q112" i="31"/>
  <c r="O113" i="31"/>
  <c r="P113" i="31"/>
  <c r="Q113" i="31"/>
  <c r="O114" i="31"/>
  <c r="P114" i="31"/>
  <c r="Q114" i="31"/>
  <c r="O115" i="31"/>
  <c r="P115" i="31"/>
  <c r="Q115" i="31"/>
  <c r="O116" i="31"/>
  <c r="P116" i="31"/>
  <c r="Q116" i="31"/>
  <c r="O117" i="31"/>
  <c r="P117" i="31"/>
  <c r="Q117" i="31"/>
  <c r="O118" i="31"/>
  <c r="P118" i="31"/>
  <c r="Q118" i="31"/>
  <c r="O119" i="31"/>
  <c r="P119" i="31"/>
  <c r="Q119" i="31"/>
  <c r="O120" i="31"/>
  <c r="P120" i="31"/>
  <c r="Q120" i="31"/>
  <c r="O121" i="31"/>
  <c r="P121" i="31"/>
  <c r="Q121" i="31"/>
  <c r="O122" i="31"/>
  <c r="P122" i="31"/>
  <c r="Q122" i="31"/>
  <c r="O123" i="31"/>
  <c r="P123" i="31"/>
  <c r="Q123" i="31"/>
  <c r="O124" i="31"/>
  <c r="P124" i="31"/>
  <c r="Q124" i="31"/>
  <c r="O125" i="31"/>
  <c r="P125" i="31"/>
  <c r="Q125" i="31"/>
  <c r="O126" i="31"/>
  <c r="P126" i="31"/>
  <c r="Q126" i="31"/>
  <c r="O127" i="31"/>
  <c r="P127" i="31"/>
  <c r="Q127" i="31"/>
  <c r="O128" i="31"/>
  <c r="P128" i="31"/>
  <c r="Q128" i="31"/>
  <c r="O129" i="31"/>
  <c r="P129" i="31"/>
  <c r="Q129" i="31"/>
  <c r="O130" i="31"/>
  <c r="P130" i="31"/>
  <c r="Q130" i="31"/>
  <c r="O131" i="31"/>
  <c r="P131" i="31"/>
  <c r="Q131" i="31"/>
  <c r="O132" i="31"/>
  <c r="P132" i="31"/>
  <c r="Q132" i="31"/>
  <c r="O133" i="31"/>
  <c r="P133" i="31"/>
  <c r="Q133" i="31"/>
  <c r="O134" i="31"/>
  <c r="P134" i="31"/>
  <c r="Q134" i="31"/>
  <c r="O135" i="31"/>
  <c r="P135" i="31"/>
  <c r="Q135" i="31"/>
  <c r="O136" i="31"/>
  <c r="P136" i="31"/>
  <c r="Q136" i="31"/>
  <c r="O137" i="31"/>
  <c r="P137" i="31"/>
  <c r="Q137" i="31"/>
  <c r="O138" i="31"/>
  <c r="P138" i="31"/>
  <c r="Q138" i="31"/>
  <c r="O139" i="31"/>
  <c r="P139" i="31"/>
  <c r="Q139" i="31"/>
  <c r="O140" i="31"/>
  <c r="P140" i="31"/>
  <c r="Q140" i="31"/>
  <c r="O141" i="31"/>
  <c r="P141" i="31"/>
  <c r="Q141" i="31"/>
  <c r="O142" i="31"/>
  <c r="P142" i="31"/>
  <c r="Q142" i="31"/>
  <c r="O143" i="31"/>
  <c r="P143" i="31"/>
  <c r="Q143" i="31"/>
  <c r="O144" i="31"/>
  <c r="P144" i="31"/>
  <c r="Q144" i="31"/>
  <c r="O145" i="31"/>
  <c r="P145" i="31"/>
  <c r="Q145" i="31"/>
  <c r="O146" i="31"/>
  <c r="P146" i="31"/>
  <c r="Q146" i="31"/>
  <c r="O147" i="31"/>
  <c r="P147" i="31"/>
  <c r="Q147" i="31"/>
  <c r="O148" i="31"/>
  <c r="P148" i="31"/>
  <c r="Q148" i="31"/>
  <c r="O149" i="31"/>
  <c r="P149" i="31"/>
  <c r="Q149" i="31"/>
  <c r="O150" i="31"/>
  <c r="P150" i="31"/>
  <c r="Q150" i="31"/>
  <c r="O151" i="31"/>
  <c r="P151" i="31"/>
  <c r="Q151" i="31"/>
  <c r="O152" i="31"/>
  <c r="P152" i="31"/>
  <c r="Q152" i="31"/>
  <c r="O153" i="31"/>
  <c r="P153" i="31"/>
  <c r="Q153" i="31"/>
  <c r="N35" i="35"/>
  <c r="N36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105" i="35"/>
  <c r="N106" i="35"/>
  <c r="N107" i="35"/>
  <c r="N108" i="35"/>
  <c r="N109" i="35"/>
  <c r="N110" i="35"/>
  <c r="N111" i="35"/>
  <c r="N112" i="35"/>
  <c r="N113" i="35"/>
  <c r="N114" i="35"/>
  <c r="N115" i="35"/>
  <c r="N116" i="35"/>
  <c r="N117" i="35"/>
  <c r="N118" i="35"/>
  <c r="N119" i="35"/>
  <c r="N120" i="35"/>
  <c r="N121" i="35"/>
  <c r="N122" i="35"/>
  <c r="N123" i="35"/>
  <c r="N124" i="35"/>
  <c r="N125" i="35"/>
  <c r="N126" i="35"/>
  <c r="N127" i="35"/>
  <c r="N128" i="35"/>
  <c r="N129" i="35"/>
  <c r="N130" i="35"/>
  <c r="N131" i="35"/>
  <c r="N132" i="35"/>
  <c r="N133" i="35"/>
  <c r="N134" i="35"/>
  <c r="N135" i="35"/>
  <c r="N136" i="35"/>
  <c r="N137" i="35"/>
  <c r="N138" i="35"/>
  <c r="N139" i="35"/>
  <c r="N140" i="35"/>
  <c r="N141" i="35"/>
  <c r="N142" i="35"/>
  <c r="N143" i="35"/>
  <c r="N144" i="35"/>
  <c r="N145" i="35"/>
  <c r="N146" i="35"/>
  <c r="N147" i="35"/>
  <c r="N148" i="35"/>
  <c r="N149" i="35"/>
  <c r="N150" i="35"/>
  <c r="N151" i="35"/>
  <c r="N152" i="35"/>
  <c r="N153" i="35"/>
  <c r="K24" i="35"/>
  <c r="K25" i="35"/>
  <c r="K26" i="35"/>
  <c r="K27" i="35"/>
  <c r="M35" i="33"/>
  <c r="M36" i="33"/>
  <c r="M37" i="33"/>
  <c r="M38" i="33"/>
  <c r="M39" i="33"/>
  <c r="M40" i="33"/>
  <c r="M42" i="33"/>
  <c r="M43" i="33"/>
  <c r="M44" i="33"/>
  <c r="M45" i="33"/>
  <c r="M46" i="33"/>
  <c r="M47" i="33"/>
  <c r="M48" i="33"/>
  <c r="M49" i="33"/>
  <c r="M50" i="33"/>
  <c r="M51" i="33"/>
  <c r="M52" i="33"/>
  <c r="M53" i="33"/>
  <c r="M54" i="33"/>
  <c r="M55" i="33"/>
  <c r="M56" i="33"/>
  <c r="M57" i="33"/>
  <c r="M58" i="33"/>
  <c r="M59" i="33"/>
  <c r="M60" i="33"/>
  <c r="M61" i="33"/>
  <c r="M62" i="33"/>
  <c r="M63" i="33"/>
  <c r="M64" i="33"/>
  <c r="M65" i="33"/>
  <c r="M66" i="33"/>
  <c r="M67" i="33"/>
  <c r="M68" i="33"/>
  <c r="M69" i="33"/>
  <c r="M70" i="33"/>
  <c r="M71" i="33"/>
  <c r="M72" i="33"/>
  <c r="M73" i="33"/>
  <c r="M74" i="33"/>
  <c r="M75" i="33"/>
  <c r="M76" i="33"/>
  <c r="M77" i="33"/>
  <c r="M78" i="33"/>
  <c r="M79" i="33"/>
  <c r="M80" i="33"/>
  <c r="M81" i="33"/>
  <c r="M82" i="33"/>
  <c r="M83" i="33"/>
  <c r="M84" i="33"/>
  <c r="M85" i="33"/>
  <c r="M86" i="33"/>
  <c r="M87" i="33"/>
  <c r="M88" i="33"/>
  <c r="M89" i="33"/>
  <c r="M90" i="33"/>
  <c r="M91" i="33"/>
  <c r="M92" i="33"/>
  <c r="M93" i="33"/>
  <c r="M94" i="33"/>
  <c r="M95" i="33"/>
  <c r="M96" i="33"/>
  <c r="M97" i="33"/>
  <c r="M98" i="33"/>
  <c r="M99" i="33"/>
  <c r="M100" i="33"/>
  <c r="M101" i="33"/>
  <c r="M102" i="33"/>
  <c r="M103" i="33"/>
  <c r="M104" i="33"/>
  <c r="M105" i="33"/>
  <c r="M106" i="33"/>
  <c r="M107" i="33"/>
  <c r="M108" i="33"/>
  <c r="M109" i="33"/>
  <c r="M110" i="33"/>
  <c r="M111" i="33"/>
  <c r="M112" i="33"/>
  <c r="M113" i="33"/>
  <c r="M114" i="33"/>
  <c r="M115" i="33"/>
  <c r="M116" i="33"/>
  <c r="M117" i="33"/>
  <c r="M118" i="33"/>
  <c r="M119" i="33"/>
  <c r="M120" i="33"/>
  <c r="M121" i="33"/>
  <c r="M122" i="33"/>
  <c r="M123" i="33"/>
  <c r="M124" i="33"/>
  <c r="M125" i="33"/>
  <c r="M126" i="33"/>
  <c r="M127" i="33"/>
  <c r="M128" i="33"/>
  <c r="M129" i="33"/>
  <c r="M130" i="33"/>
  <c r="M131" i="33"/>
  <c r="M132" i="33"/>
  <c r="M133" i="33"/>
  <c r="M134" i="33"/>
  <c r="M135" i="33"/>
  <c r="M136" i="33"/>
  <c r="M137" i="33"/>
  <c r="M138" i="33"/>
  <c r="M139" i="33"/>
  <c r="M140" i="33"/>
  <c r="M141" i="33"/>
  <c r="M142" i="33"/>
  <c r="M143" i="33"/>
  <c r="M144" i="33"/>
  <c r="M145" i="33"/>
  <c r="M146" i="33"/>
  <c r="M147" i="33"/>
  <c r="M148" i="33"/>
  <c r="M149" i="33"/>
  <c r="M150" i="33"/>
  <c r="M151" i="33"/>
  <c r="M152" i="33"/>
  <c r="M153" i="33"/>
  <c r="K31" i="33"/>
  <c r="K32" i="33"/>
  <c r="K33" i="33"/>
  <c r="K34" i="33"/>
  <c r="L33" i="31"/>
  <c r="M33" i="31"/>
  <c r="N33" i="31"/>
  <c r="L34" i="31"/>
  <c r="M34" i="31"/>
  <c r="N34" i="31"/>
  <c r="L35" i="31"/>
  <c r="M35" i="31"/>
  <c r="N35" i="31"/>
  <c r="L36" i="31"/>
  <c r="M36" i="31"/>
  <c r="N36" i="31"/>
  <c r="L37" i="31"/>
  <c r="M37" i="31"/>
  <c r="N37" i="31"/>
  <c r="L38" i="31"/>
  <c r="M38" i="31"/>
  <c r="N38" i="31"/>
  <c r="L40" i="31"/>
  <c r="M40" i="31"/>
  <c r="N40" i="31"/>
  <c r="L41" i="31"/>
  <c r="M41" i="31"/>
  <c r="N41" i="31"/>
  <c r="L42" i="31"/>
  <c r="M42" i="31"/>
  <c r="N42" i="31"/>
  <c r="L43" i="31"/>
  <c r="M43" i="31"/>
  <c r="N43" i="31"/>
  <c r="L44" i="31"/>
  <c r="M44" i="31"/>
  <c r="N44" i="31"/>
  <c r="L45" i="31"/>
  <c r="M45" i="31"/>
  <c r="N45" i="31"/>
  <c r="L46" i="31"/>
  <c r="M46" i="31"/>
  <c r="N46" i="31"/>
  <c r="L47" i="31"/>
  <c r="M47" i="31"/>
  <c r="N47" i="31"/>
  <c r="L48" i="31"/>
  <c r="M48" i="31"/>
  <c r="N48" i="31"/>
  <c r="L49" i="31"/>
  <c r="M49" i="31"/>
  <c r="N49" i="31"/>
  <c r="L50" i="31"/>
  <c r="M50" i="31"/>
  <c r="N50" i="31"/>
  <c r="L51" i="31"/>
  <c r="M51" i="31"/>
  <c r="N51" i="31"/>
  <c r="L52" i="31"/>
  <c r="M52" i="31"/>
  <c r="N52" i="31"/>
  <c r="L53" i="31"/>
  <c r="M53" i="31"/>
  <c r="N53" i="31"/>
  <c r="L54" i="31"/>
  <c r="M54" i="31"/>
  <c r="N54" i="31"/>
  <c r="L55" i="31"/>
  <c r="M55" i="31"/>
  <c r="N55" i="31"/>
  <c r="L56" i="31"/>
  <c r="M56" i="31"/>
  <c r="N56" i="31"/>
  <c r="L57" i="31"/>
  <c r="M57" i="31"/>
  <c r="N57" i="31"/>
  <c r="L58" i="31"/>
  <c r="M58" i="31"/>
  <c r="N58" i="31"/>
  <c r="L59" i="31"/>
  <c r="M59" i="31"/>
  <c r="N59" i="31"/>
  <c r="L60" i="31"/>
  <c r="M60" i="31"/>
  <c r="N60" i="31"/>
  <c r="L61" i="31"/>
  <c r="M61" i="31"/>
  <c r="N61" i="31"/>
  <c r="L62" i="31"/>
  <c r="M62" i="31"/>
  <c r="N62" i="31"/>
  <c r="L63" i="31"/>
  <c r="M63" i="31"/>
  <c r="N63" i="31"/>
  <c r="L64" i="31"/>
  <c r="M64" i="31"/>
  <c r="N64" i="31"/>
  <c r="L65" i="31"/>
  <c r="M65" i="31"/>
  <c r="N65" i="31"/>
  <c r="L66" i="31"/>
  <c r="M66" i="31"/>
  <c r="N66" i="31"/>
  <c r="L67" i="31"/>
  <c r="M67" i="31"/>
  <c r="N67" i="31"/>
  <c r="L68" i="31"/>
  <c r="M68" i="31"/>
  <c r="N68" i="31"/>
  <c r="L69" i="31"/>
  <c r="M69" i="31"/>
  <c r="N69" i="31"/>
  <c r="L70" i="31"/>
  <c r="M70" i="31"/>
  <c r="N70" i="31"/>
  <c r="L71" i="31"/>
  <c r="M71" i="31"/>
  <c r="N71" i="31"/>
  <c r="L72" i="31"/>
  <c r="M72" i="31"/>
  <c r="N72" i="31"/>
  <c r="L73" i="31"/>
  <c r="M73" i="31"/>
  <c r="N73" i="31"/>
  <c r="L74" i="31"/>
  <c r="M74" i="31"/>
  <c r="N74" i="31"/>
  <c r="L75" i="31"/>
  <c r="M75" i="31"/>
  <c r="N75" i="31"/>
  <c r="L76" i="31"/>
  <c r="M76" i="31"/>
  <c r="N76" i="31"/>
  <c r="L77" i="31"/>
  <c r="M77" i="31"/>
  <c r="N77" i="31"/>
  <c r="L78" i="31"/>
  <c r="M78" i="31"/>
  <c r="N78" i="31"/>
  <c r="L79" i="31"/>
  <c r="M79" i="31"/>
  <c r="N79" i="31"/>
  <c r="L80" i="31"/>
  <c r="M80" i="31"/>
  <c r="N80" i="31"/>
  <c r="L81" i="31"/>
  <c r="M81" i="31"/>
  <c r="N81" i="31"/>
  <c r="L82" i="31"/>
  <c r="M82" i="31"/>
  <c r="N82" i="31"/>
  <c r="L83" i="31"/>
  <c r="M83" i="31"/>
  <c r="N83" i="31"/>
  <c r="L84" i="31"/>
  <c r="M84" i="31"/>
  <c r="N84" i="31"/>
  <c r="L85" i="31"/>
  <c r="M85" i="31"/>
  <c r="N85" i="31"/>
  <c r="L86" i="31"/>
  <c r="M86" i="31"/>
  <c r="N86" i="31"/>
  <c r="L87" i="31"/>
  <c r="M87" i="31"/>
  <c r="N87" i="31"/>
  <c r="L88" i="31"/>
  <c r="M88" i="31"/>
  <c r="N88" i="31"/>
  <c r="L89" i="31"/>
  <c r="M89" i="31"/>
  <c r="N89" i="31"/>
  <c r="L90" i="31"/>
  <c r="M90" i="31"/>
  <c r="N90" i="31"/>
  <c r="L91" i="31"/>
  <c r="M91" i="31"/>
  <c r="N91" i="31"/>
  <c r="L92" i="31"/>
  <c r="M92" i="31"/>
  <c r="N92" i="31"/>
  <c r="L93" i="31"/>
  <c r="M93" i="31"/>
  <c r="N93" i="31"/>
  <c r="L94" i="31"/>
  <c r="M94" i="31"/>
  <c r="N94" i="31"/>
  <c r="L95" i="31"/>
  <c r="M95" i="31"/>
  <c r="N95" i="31"/>
  <c r="L96" i="31"/>
  <c r="M96" i="31"/>
  <c r="N96" i="31"/>
  <c r="L97" i="31"/>
  <c r="M97" i="31"/>
  <c r="N97" i="31"/>
  <c r="L98" i="31"/>
  <c r="M98" i="31"/>
  <c r="N98" i="31"/>
  <c r="L99" i="31"/>
  <c r="M99" i="31"/>
  <c r="N99" i="31"/>
  <c r="L100" i="31"/>
  <c r="M100" i="31"/>
  <c r="N100" i="31"/>
  <c r="L101" i="31"/>
  <c r="M101" i="31"/>
  <c r="N101" i="31"/>
  <c r="L102" i="31"/>
  <c r="M102" i="31"/>
  <c r="N102" i="31"/>
  <c r="L103" i="31"/>
  <c r="M103" i="31"/>
  <c r="N103" i="31"/>
  <c r="L104" i="31"/>
  <c r="M104" i="31"/>
  <c r="N104" i="31"/>
  <c r="L105" i="31"/>
  <c r="M105" i="31"/>
  <c r="N105" i="31"/>
  <c r="L106" i="31"/>
  <c r="M106" i="31"/>
  <c r="N106" i="31"/>
  <c r="L107" i="31"/>
  <c r="M107" i="31"/>
  <c r="N107" i="31"/>
  <c r="L108" i="31"/>
  <c r="M108" i="31"/>
  <c r="N108" i="31"/>
  <c r="L109" i="31"/>
  <c r="M109" i="31"/>
  <c r="N109" i="31"/>
  <c r="L110" i="31"/>
  <c r="M110" i="31"/>
  <c r="N110" i="31"/>
  <c r="L111" i="31"/>
  <c r="M111" i="31"/>
  <c r="N111" i="31"/>
  <c r="L112" i="31"/>
  <c r="M112" i="31"/>
  <c r="N112" i="31"/>
  <c r="L113" i="31"/>
  <c r="M113" i="31"/>
  <c r="N113" i="31"/>
  <c r="L114" i="31"/>
  <c r="M114" i="31"/>
  <c r="N114" i="31"/>
  <c r="L115" i="31"/>
  <c r="M115" i="31"/>
  <c r="N115" i="31"/>
  <c r="L116" i="31"/>
  <c r="M116" i="31"/>
  <c r="N116" i="31"/>
  <c r="L117" i="31"/>
  <c r="M117" i="31"/>
  <c r="N117" i="31"/>
  <c r="L118" i="31"/>
  <c r="M118" i="31"/>
  <c r="N118" i="31"/>
  <c r="L119" i="31"/>
  <c r="M119" i="31"/>
  <c r="N119" i="31"/>
  <c r="L120" i="31"/>
  <c r="M120" i="31"/>
  <c r="N120" i="31"/>
  <c r="L121" i="31"/>
  <c r="M121" i="31"/>
  <c r="N121" i="31"/>
  <c r="L122" i="31"/>
  <c r="M122" i="31"/>
  <c r="N122" i="31"/>
  <c r="L123" i="31"/>
  <c r="M123" i="31"/>
  <c r="N123" i="31"/>
  <c r="L124" i="31"/>
  <c r="M124" i="31"/>
  <c r="N124" i="31"/>
  <c r="L125" i="31"/>
  <c r="M125" i="31"/>
  <c r="N125" i="31"/>
  <c r="L126" i="31"/>
  <c r="M126" i="31"/>
  <c r="N126" i="31"/>
  <c r="L127" i="31"/>
  <c r="M127" i="31"/>
  <c r="N127" i="31"/>
  <c r="L128" i="31"/>
  <c r="M128" i="31"/>
  <c r="N128" i="31"/>
  <c r="L129" i="31"/>
  <c r="M129" i="31"/>
  <c r="N129" i="31"/>
  <c r="L130" i="31"/>
  <c r="M130" i="31"/>
  <c r="N130" i="31"/>
  <c r="L131" i="31"/>
  <c r="M131" i="31"/>
  <c r="N131" i="31"/>
  <c r="L132" i="31"/>
  <c r="M132" i="31"/>
  <c r="N132" i="31"/>
  <c r="L133" i="31"/>
  <c r="M133" i="31"/>
  <c r="N133" i="31"/>
  <c r="L134" i="31"/>
  <c r="M134" i="31"/>
  <c r="N134" i="31"/>
  <c r="L135" i="31"/>
  <c r="M135" i="31"/>
  <c r="N135" i="31"/>
  <c r="L136" i="31"/>
  <c r="M136" i="31"/>
  <c r="N136" i="31"/>
  <c r="L137" i="31"/>
  <c r="M137" i="31"/>
  <c r="N137" i="31"/>
  <c r="L138" i="31"/>
  <c r="M138" i="31"/>
  <c r="N138" i="31"/>
  <c r="L139" i="31"/>
  <c r="M139" i="31"/>
  <c r="N139" i="31"/>
  <c r="L140" i="31"/>
  <c r="M140" i="31"/>
  <c r="N140" i="31"/>
  <c r="L141" i="31"/>
  <c r="M141" i="31"/>
  <c r="N141" i="31"/>
  <c r="L142" i="31"/>
  <c r="M142" i="31"/>
  <c r="N142" i="31"/>
  <c r="L143" i="31"/>
  <c r="M143" i="31"/>
  <c r="N143" i="31"/>
  <c r="L144" i="31"/>
  <c r="M144" i="31"/>
  <c r="N144" i="31"/>
  <c r="L145" i="31"/>
  <c r="M145" i="31"/>
  <c r="N145" i="31"/>
  <c r="L146" i="31"/>
  <c r="M146" i="31"/>
  <c r="N146" i="31"/>
  <c r="L147" i="31"/>
  <c r="M147" i="31"/>
  <c r="N147" i="31"/>
  <c r="L148" i="31"/>
  <c r="M148" i="31"/>
  <c r="N148" i="31"/>
  <c r="L149" i="31"/>
  <c r="M149" i="31"/>
  <c r="N149" i="31"/>
  <c r="L150" i="31"/>
  <c r="M150" i="31"/>
  <c r="N150" i="31"/>
  <c r="L151" i="31"/>
  <c r="M151" i="31"/>
  <c r="N151" i="31"/>
  <c r="L152" i="31"/>
  <c r="M152" i="31"/>
  <c r="N152" i="31"/>
  <c r="L153" i="31"/>
  <c r="M153" i="31"/>
  <c r="N153" i="31"/>
  <c r="K26" i="31"/>
  <c r="K27" i="31"/>
  <c r="K28" i="31"/>
  <c r="K29" i="31"/>
  <c r="K30" i="31"/>
  <c r="K31" i="31"/>
  <c r="K32" i="31"/>
  <c r="L30" i="28"/>
  <c r="M30" i="28"/>
  <c r="L31" i="28"/>
  <c r="M31" i="28"/>
  <c r="L32" i="28"/>
  <c r="M32" i="28"/>
  <c r="L33" i="28"/>
  <c r="M33" i="28"/>
  <c r="L34" i="28"/>
  <c r="M34" i="28"/>
  <c r="L35" i="28"/>
  <c r="M35" i="28"/>
  <c r="L37" i="28"/>
  <c r="M37" i="28"/>
  <c r="L38" i="28"/>
  <c r="M38" i="28"/>
  <c r="L39" i="28"/>
  <c r="M39" i="28"/>
  <c r="L40" i="28"/>
  <c r="M40" i="28"/>
  <c r="L41" i="28"/>
  <c r="M41" i="28"/>
  <c r="L42" i="28"/>
  <c r="M42" i="28"/>
  <c r="L43" i="28"/>
  <c r="M43" i="28"/>
  <c r="L44" i="28"/>
  <c r="M44" i="28"/>
  <c r="L45" i="28"/>
  <c r="M45" i="28"/>
  <c r="L46" i="28"/>
  <c r="M46" i="28"/>
  <c r="L47" i="28"/>
  <c r="M47" i="28"/>
  <c r="L48" i="28"/>
  <c r="M48" i="28"/>
  <c r="L49" i="28"/>
  <c r="M49" i="28"/>
  <c r="L50" i="28"/>
  <c r="M50" i="28"/>
  <c r="L51" i="28"/>
  <c r="M51" i="28"/>
  <c r="L52" i="28"/>
  <c r="M52" i="28"/>
  <c r="L53" i="28"/>
  <c r="M53" i="28"/>
  <c r="L54" i="28"/>
  <c r="M54" i="28"/>
  <c r="L55" i="28"/>
  <c r="M55" i="28"/>
  <c r="L56" i="28"/>
  <c r="M56" i="28"/>
  <c r="L57" i="28"/>
  <c r="M57" i="28"/>
  <c r="L58" i="28"/>
  <c r="M58" i="28"/>
  <c r="L59" i="28"/>
  <c r="M59" i="28"/>
  <c r="L60" i="28"/>
  <c r="M60" i="28"/>
  <c r="L61" i="28"/>
  <c r="M61" i="28"/>
  <c r="L62" i="28"/>
  <c r="M62" i="28"/>
  <c r="L63" i="28"/>
  <c r="M63" i="28"/>
  <c r="L64" i="28"/>
  <c r="M64" i="28"/>
  <c r="L65" i="28"/>
  <c r="M65" i="28"/>
  <c r="L66" i="28"/>
  <c r="M66" i="28"/>
  <c r="L67" i="28"/>
  <c r="M67" i="28"/>
  <c r="L68" i="28"/>
  <c r="M68" i="28"/>
  <c r="L69" i="28"/>
  <c r="M69" i="28"/>
  <c r="L70" i="28"/>
  <c r="M70" i="28"/>
  <c r="L71" i="28"/>
  <c r="M71" i="28"/>
  <c r="L72" i="28"/>
  <c r="M72" i="28"/>
  <c r="L73" i="28"/>
  <c r="M73" i="28"/>
  <c r="L74" i="28"/>
  <c r="M74" i="28"/>
  <c r="L75" i="28"/>
  <c r="M75" i="28"/>
  <c r="L76" i="28"/>
  <c r="M76" i="28"/>
  <c r="L77" i="28"/>
  <c r="M77" i="28"/>
  <c r="L78" i="28"/>
  <c r="M78" i="28"/>
  <c r="L79" i="28"/>
  <c r="M79" i="28"/>
  <c r="L80" i="28"/>
  <c r="M80" i="28"/>
  <c r="L81" i="28"/>
  <c r="M81" i="28"/>
  <c r="L82" i="28"/>
  <c r="M82" i="28"/>
  <c r="L83" i="28"/>
  <c r="M83" i="28"/>
  <c r="L84" i="28"/>
  <c r="M84" i="28"/>
  <c r="L85" i="28"/>
  <c r="M85" i="28"/>
  <c r="L86" i="28"/>
  <c r="M86" i="28"/>
  <c r="L87" i="28"/>
  <c r="M87" i="28"/>
  <c r="L88" i="28"/>
  <c r="M88" i="28"/>
  <c r="L89" i="28"/>
  <c r="M89" i="28"/>
  <c r="L90" i="28"/>
  <c r="M90" i="28"/>
  <c r="L91" i="28"/>
  <c r="M91" i="28"/>
  <c r="L92" i="28"/>
  <c r="M92" i="28"/>
  <c r="L93" i="28"/>
  <c r="M93" i="28"/>
  <c r="L94" i="28"/>
  <c r="M94" i="28"/>
  <c r="L95" i="28"/>
  <c r="M95" i="28"/>
  <c r="L96" i="28"/>
  <c r="M96" i="28"/>
  <c r="L97" i="28"/>
  <c r="M97" i="28"/>
  <c r="L98" i="28"/>
  <c r="M98" i="28"/>
  <c r="L99" i="28"/>
  <c r="M99" i="28"/>
  <c r="L100" i="28"/>
  <c r="M100" i="28"/>
  <c r="L101" i="28"/>
  <c r="M101" i="28"/>
  <c r="L102" i="28"/>
  <c r="M102" i="28"/>
  <c r="L103" i="28"/>
  <c r="M103" i="28"/>
  <c r="L104" i="28"/>
  <c r="M104" i="28"/>
  <c r="L105" i="28"/>
  <c r="M105" i="28"/>
  <c r="L106" i="28"/>
  <c r="M106" i="28"/>
  <c r="L107" i="28"/>
  <c r="M107" i="28"/>
  <c r="L108" i="28"/>
  <c r="M108" i="28"/>
  <c r="L109" i="28"/>
  <c r="M109" i="28"/>
  <c r="L110" i="28"/>
  <c r="M110" i="28"/>
  <c r="L111" i="28"/>
  <c r="M111" i="28"/>
  <c r="L112" i="28"/>
  <c r="M112" i="28"/>
  <c r="L113" i="28"/>
  <c r="M113" i="28"/>
  <c r="L114" i="28"/>
  <c r="M114" i="28"/>
  <c r="L115" i="28"/>
  <c r="M115" i="28"/>
  <c r="L116" i="28"/>
  <c r="M116" i="28"/>
  <c r="L117" i="28"/>
  <c r="M117" i="28"/>
  <c r="L118" i="28"/>
  <c r="M118" i="28"/>
  <c r="L119" i="28"/>
  <c r="M119" i="28"/>
  <c r="L120" i="28"/>
  <c r="M120" i="28"/>
  <c r="L121" i="28"/>
  <c r="M121" i="28"/>
  <c r="L122" i="28"/>
  <c r="M122" i="28"/>
  <c r="L123" i="28"/>
  <c r="M123" i="28"/>
  <c r="L124" i="28"/>
  <c r="M124" i="28"/>
  <c r="L125" i="28"/>
  <c r="M125" i="28"/>
  <c r="L126" i="28"/>
  <c r="M126" i="28"/>
  <c r="L127" i="28"/>
  <c r="M127" i="28"/>
  <c r="L128" i="28"/>
  <c r="M128" i="28"/>
  <c r="L129" i="28"/>
  <c r="M129" i="28"/>
  <c r="L130" i="28"/>
  <c r="M130" i="28"/>
  <c r="L131" i="28"/>
  <c r="M131" i="28"/>
  <c r="L132" i="28"/>
  <c r="M132" i="28"/>
  <c r="L133" i="28"/>
  <c r="M133" i="28"/>
  <c r="L134" i="28"/>
  <c r="M134" i="28"/>
  <c r="L135" i="28"/>
  <c r="M135" i="28"/>
  <c r="L136" i="28"/>
  <c r="M136" i="28"/>
  <c r="L137" i="28"/>
  <c r="M137" i="28"/>
  <c r="L138" i="28"/>
  <c r="M138" i="28"/>
  <c r="L139" i="28"/>
  <c r="M139" i="28"/>
  <c r="L140" i="28"/>
  <c r="M140" i="28"/>
  <c r="L141" i="28"/>
  <c r="M141" i="28"/>
  <c r="L142" i="28"/>
  <c r="M142" i="28"/>
  <c r="L143" i="28"/>
  <c r="M143" i="28"/>
  <c r="L144" i="28"/>
  <c r="M144" i="28"/>
  <c r="L145" i="28"/>
  <c r="M145" i="28"/>
  <c r="L146" i="28"/>
  <c r="M146" i="28"/>
  <c r="L147" i="28"/>
  <c r="M147" i="28"/>
  <c r="L148" i="28"/>
  <c r="M148" i="28"/>
  <c r="L149" i="28"/>
  <c r="M149" i="28"/>
  <c r="L150" i="28"/>
  <c r="M150" i="28"/>
  <c r="L151" i="28"/>
  <c r="M151" i="28"/>
  <c r="L152" i="28"/>
  <c r="M152" i="28"/>
  <c r="L153" i="28"/>
  <c r="M153" i="28"/>
  <c r="K23" i="28"/>
  <c r="K24" i="28"/>
  <c r="K25" i="28"/>
  <c r="K26" i="28"/>
  <c r="K27" i="28"/>
  <c r="K28" i="28"/>
  <c r="K29" i="28"/>
  <c r="K45" i="24"/>
  <c r="K46" i="24"/>
  <c r="K47" i="24"/>
  <c r="K48" i="22"/>
  <c r="K49" i="22"/>
  <c r="K50" i="22"/>
  <c r="K59" i="20"/>
  <c r="K57" i="20"/>
  <c r="K58" i="20"/>
  <c r="O38" i="28"/>
  <c r="P38" i="28"/>
  <c r="Q38" i="28"/>
  <c r="O39" i="28"/>
  <c r="P39" i="28"/>
  <c r="Q39" i="28"/>
  <c r="O40" i="28"/>
  <c r="P40" i="28"/>
  <c r="Q40" i="28"/>
  <c r="O41" i="28"/>
  <c r="P41" i="28"/>
  <c r="Q41" i="28"/>
  <c r="O42" i="28"/>
  <c r="P42" i="28"/>
  <c r="Q42" i="28"/>
  <c r="O43" i="28"/>
  <c r="P43" i="28"/>
  <c r="Q43" i="28"/>
  <c r="O44" i="28"/>
  <c r="P44" i="28"/>
  <c r="Q44" i="28"/>
  <c r="O45" i="28"/>
  <c r="P45" i="28"/>
  <c r="Q45" i="28"/>
  <c r="O46" i="28"/>
  <c r="P46" i="28"/>
  <c r="Q46" i="28"/>
  <c r="O47" i="28"/>
  <c r="P47" i="28"/>
  <c r="Q47" i="28"/>
  <c r="O48" i="28"/>
  <c r="P48" i="28"/>
  <c r="Q48" i="28"/>
  <c r="O49" i="28"/>
  <c r="P49" i="28"/>
  <c r="Q49" i="28"/>
  <c r="O50" i="28"/>
  <c r="P50" i="28"/>
  <c r="Q50" i="28"/>
  <c r="O51" i="28"/>
  <c r="P51" i="28"/>
  <c r="Q51" i="28"/>
  <c r="O52" i="28"/>
  <c r="P52" i="28"/>
  <c r="Q52" i="28"/>
  <c r="O53" i="28"/>
  <c r="P53" i="28"/>
  <c r="Q53" i="28"/>
  <c r="O54" i="28"/>
  <c r="P54" i="28"/>
  <c r="Q54" i="28"/>
  <c r="O55" i="28"/>
  <c r="P55" i="28"/>
  <c r="Q55" i="28"/>
  <c r="O56" i="28"/>
  <c r="P56" i="28"/>
  <c r="Q56" i="28"/>
  <c r="O57" i="28"/>
  <c r="P57" i="28"/>
  <c r="Q57" i="28"/>
  <c r="O58" i="28"/>
  <c r="P58" i="28"/>
  <c r="Q58" i="28"/>
  <c r="O59" i="28"/>
  <c r="P59" i="28"/>
  <c r="Q59" i="28"/>
  <c r="O60" i="28"/>
  <c r="P60" i="28"/>
  <c r="Q60" i="28"/>
  <c r="O61" i="28"/>
  <c r="P61" i="28"/>
  <c r="Q61" i="28"/>
  <c r="O62" i="28"/>
  <c r="P62" i="28"/>
  <c r="Q62" i="28"/>
  <c r="O63" i="28"/>
  <c r="P63" i="28"/>
  <c r="Q63" i="28"/>
  <c r="O64" i="28"/>
  <c r="P64" i="28"/>
  <c r="Q64" i="28"/>
  <c r="O65" i="28"/>
  <c r="P65" i="28"/>
  <c r="Q65" i="28"/>
  <c r="O66" i="28"/>
  <c r="P66" i="28"/>
  <c r="Q66" i="28"/>
  <c r="O67" i="28"/>
  <c r="P67" i="28"/>
  <c r="Q67" i="28"/>
  <c r="O68" i="28"/>
  <c r="P68" i="28"/>
  <c r="Q68" i="28"/>
  <c r="O69" i="28"/>
  <c r="P69" i="28"/>
  <c r="Q69" i="28"/>
  <c r="O70" i="28"/>
  <c r="P70" i="28"/>
  <c r="Q70" i="28"/>
  <c r="O71" i="28"/>
  <c r="P71" i="28"/>
  <c r="Q71" i="28"/>
  <c r="O72" i="28"/>
  <c r="P72" i="28"/>
  <c r="Q72" i="28"/>
  <c r="O73" i="28"/>
  <c r="P73" i="28"/>
  <c r="Q73" i="28"/>
  <c r="O74" i="28"/>
  <c r="P74" i="28"/>
  <c r="Q74" i="28"/>
  <c r="O75" i="28"/>
  <c r="P75" i="28"/>
  <c r="Q75" i="28"/>
  <c r="O76" i="28"/>
  <c r="P76" i="28"/>
  <c r="Q76" i="28"/>
  <c r="O77" i="28"/>
  <c r="P77" i="28"/>
  <c r="Q77" i="28"/>
  <c r="O78" i="28"/>
  <c r="P78" i="28"/>
  <c r="Q78" i="28"/>
  <c r="O79" i="28"/>
  <c r="P79" i="28"/>
  <c r="Q79" i="28"/>
  <c r="O80" i="28"/>
  <c r="P80" i="28"/>
  <c r="Q80" i="28"/>
  <c r="O81" i="28"/>
  <c r="P81" i="28"/>
  <c r="Q81" i="28"/>
  <c r="O82" i="28"/>
  <c r="P82" i="28"/>
  <c r="Q82" i="28"/>
  <c r="O83" i="28"/>
  <c r="P83" i="28"/>
  <c r="Q83" i="28"/>
  <c r="O84" i="28"/>
  <c r="P84" i="28"/>
  <c r="Q84" i="28"/>
  <c r="O85" i="28"/>
  <c r="P85" i="28"/>
  <c r="Q85" i="28"/>
  <c r="O86" i="28"/>
  <c r="P86" i="28"/>
  <c r="Q86" i="28"/>
  <c r="O87" i="28"/>
  <c r="P87" i="28"/>
  <c r="Q87" i="28"/>
  <c r="O88" i="28"/>
  <c r="P88" i="28"/>
  <c r="Q88" i="28"/>
  <c r="O89" i="28"/>
  <c r="P89" i="28"/>
  <c r="Q89" i="28"/>
  <c r="O90" i="28"/>
  <c r="P90" i="28"/>
  <c r="Q90" i="28"/>
  <c r="O91" i="28"/>
  <c r="P91" i="28"/>
  <c r="Q91" i="28"/>
  <c r="O92" i="28"/>
  <c r="P92" i="28"/>
  <c r="Q92" i="28"/>
  <c r="O93" i="28"/>
  <c r="P93" i="28"/>
  <c r="Q93" i="28"/>
  <c r="O94" i="28"/>
  <c r="P94" i="28"/>
  <c r="Q94" i="28"/>
  <c r="O95" i="28"/>
  <c r="P95" i="28"/>
  <c r="Q95" i="28"/>
  <c r="O96" i="28"/>
  <c r="P96" i="28"/>
  <c r="Q96" i="28"/>
  <c r="O97" i="28"/>
  <c r="P97" i="28"/>
  <c r="Q97" i="28"/>
  <c r="O98" i="28"/>
  <c r="P98" i="28"/>
  <c r="Q98" i="28"/>
  <c r="O99" i="28"/>
  <c r="P99" i="28"/>
  <c r="Q99" i="28"/>
  <c r="O100" i="28"/>
  <c r="P100" i="28"/>
  <c r="Q100" i="28"/>
  <c r="O101" i="28"/>
  <c r="P101" i="28"/>
  <c r="Q101" i="28"/>
  <c r="O102" i="28"/>
  <c r="P102" i="28"/>
  <c r="Q102" i="28"/>
  <c r="O103" i="28"/>
  <c r="P103" i="28"/>
  <c r="Q103" i="28"/>
  <c r="O104" i="28"/>
  <c r="P104" i="28"/>
  <c r="Q104" i="28"/>
  <c r="O105" i="28"/>
  <c r="P105" i="28"/>
  <c r="Q105" i="28"/>
  <c r="O106" i="28"/>
  <c r="P106" i="28"/>
  <c r="Q106" i="28"/>
  <c r="O107" i="28"/>
  <c r="P107" i="28"/>
  <c r="Q107" i="28"/>
  <c r="O108" i="28"/>
  <c r="P108" i="28"/>
  <c r="Q108" i="28"/>
  <c r="O109" i="28"/>
  <c r="P109" i="28"/>
  <c r="Q109" i="28"/>
  <c r="O110" i="28"/>
  <c r="P110" i="28"/>
  <c r="Q110" i="28"/>
  <c r="O111" i="28"/>
  <c r="P111" i="28"/>
  <c r="Q111" i="28"/>
  <c r="O112" i="28"/>
  <c r="P112" i="28"/>
  <c r="Q112" i="28"/>
  <c r="O113" i="28"/>
  <c r="P113" i="28"/>
  <c r="Q113" i="28"/>
  <c r="O114" i="28"/>
  <c r="P114" i="28"/>
  <c r="Q114" i="28"/>
  <c r="O115" i="28"/>
  <c r="P115" i="28"/>
  <c r="Q115" i="28"/>
  <c r="O116" i="28"/>
  <c r="P116" i="28"/>
  <c r="Q116" i="28"/>
  <c r="O117" i="28"/>
  <c r="P117" i="28"/>
  <c r="Q117" i="28"/>
  <c r="O118" i="28"/>
  <c r="P118" i="28"/>
  <c r="Q118" i="28"/>
  <c r="O119" i="28"/>
  <c r="P119" i="28"/>
  <c r="Q119" i="28"/>
  <c r="O120" i="28"/>
  <c r="P120" i="28"/>
  <c r="Q120" i="28"/>
  <c r="O121" i="28"/>
  <c r="P121" i="28"/>
  <c r="Q121" i="28"/>
  <c r="O122" i="28"/>
  <c r="P122" i="28"/>
  <c r="Q122" i="28"/>
  <c r="O123" i="28"/>
  <c r="P123" i="28"/>
  <c r="Q123" i="28"/>
  <c r="O124" i="28"/>
  <c r="P124" i="28"/>
  <c r="Q124" i="28"/>
  <c r="O125" i="28"/>
  <c r="P125" i="28"/>
  <c r="Q125" i="28"/>
  <c r="O126" i="28"/>
  <c r="P126" i="28"/>
  <c r="Q126" i="28"/>
  <c r="O127" i="28"/>
  <c r="P127" i="28"/>
  <c r="Q127" i="28"/>
  <c r="O128" i="28"/>
  <c r="P128" i="28"/>
  <c r="Q128" i="28"/>
  <c r="O129" i="28"/>
  <c r="P129" i="28"/>
  <c r="Q129" i="28"/>
  <c r="O130" i="28"/>
  <c r="P130" i="28"/>
  <c r="Q130" i="28"/>
  <c r="O131" i="28"/>
  <c r="P131" i="28"/>
  <c r="Q131" i="28"/>
  <c r="O132" i="28"/>
  <c r="P132" i="28"/>
  <c r="Q132" i="28"/>
  <c r="O133" i="28"/>
  <c r="P133" i="28"/>
  <c r="Q133" i="28"/>
  <c r="O134" i="28"/>
  <c r="P134" i="28"/>
  <c r="Q134" i="28"/>
  <c r="O135" i="28"/>
  <c r="P135" i="28"/>
  <c r="Q135" i="28"/>
  <c r="O136" i="28"/>
  <c r="P136" i="28"/>
  <c r="Q136" i="28"/>
  <c r="O137" i="28"/>
  <c r="P137" i="28"/>
  <c r="Q137" i="28"/>
  <c r="O138" i="28"/>
  <c r="P138" i="28"/>
  <c r="Q138" i="28"/>
  <c r="O139" i="28"/>
  <c r="P139" i="28"/>
  <c r="Q139" i="28"/>
  <c r="O140" i="28"/>
  <c r="P140" i="28"/>
  <c r="Q140" i="28"/>
  <c r="O141" i="28"/>
  <c r="P141" i="28"/>
  <c r="Q141" i="28"/>
  <c r="O142" i="28"/>
  <c r="P142" i="28"/>
  <c r="Q142" i="28"/>
  <c r="O143" i="28"/>
  <c r="P143" i="28"/>
  <c r="Q143" i="28"/>
  <c r="O144" i="28"/>
  <c r="P144" i="28"/>
  <c r="Q144" i="28"/>
  <c r="O145" i="28"/>
  <c r="P145" i="28"/>
  <c r="Q145" i="28"/>
  <c r="O146" i="28"/>
  <c r="P146" i="28"/>
  <c r="Q146" i="28"/>
  <c r="O147" i="28"/>
  <c r="P147" i="28"/>
  <c r="Q147" i="28"/>
  <c r="O148" i="28"/>
  <c r="P148" i="28"/>
  <c r="Q148" i="28"/>
  <c r="O149" i="28"/>
  <c r="P149" i="28"/>
  <c r="Q149" i="28"/>
  <c r="O150" i="28"/>
  <c r="P150" i="28"/>
  <c r="Q150" i="28"/>
  <c r="O151" i="28"/>
  <c r="P151" i="28"/>
  <c r="Q151" i="28"/>
  <c r="O152" i="28"/>
  <c r="P152" i="28"/>
  <c r="Q152" i="28"/>
  <c r="O153" i="28"/>
  <c r="P153" i="28"/>
  <c r="Q153" i="28"/>
  <c r="K22" i="28"/>
  <c r="K43" i="24"/>
  <c r="K44" i="24"/>
  <c r="K21" i="28"/>
  <c r="O56" i="24"/>
  <c r="P56" i="24"/>
  <c r="Q56" i="24"/>
  <c r="O57" i="24"/>
  <c r="P57" i="24"/>
  <c r="Q57" i="24"/>
  <c r="O58" i="24"/>
  <c r="P58" i="24"/>
  <c r="Q58" i="24"/>
  <c r="O59" i="24"/>
  <c r="P59" i="24"/>
  <c r="Q59" i="24"/>
  <c r="O60" i="24"/>
  <c r="P60" i="24"/>
  <c r="Q60" i="24"/>
  <c r="O61" i="24"/>
  <c r="P61" i="24"/>
  <c r="Q61" i="24"/>
  <c r="O62" i="24"/>
  <c r="P62" i="24"/>
  <c r="Q62" i="24"/>
  <c r="O63" i="24"/>
  <c r="P63" i="24"/>
  <c r="Q63" i="24"/>
  <c r="O64" i="24"/>
  <c r="P64" i="24"/>
  <c r="Q64" i="24"/>
  <c r="O65" i="24"/>
  <c r="P65" i="24"/>
  <c r="Q65" i="24"/>
  <c r="O66" i="24"/>
  <c r="P66" i="24"/>
  <c r="Q66" i="24"/>
  <c r="O67" i="24"/>
  <c r="P67" i="24"/>
  <c r="Q67" i="24"/>
  <c r="O68" i="24"/>
  <c r="P68" i="24"/>
  <c r="Q68" i="24"/>
  <c r="O69" i="24"/>
  <c r="P69" i="24"/>
  <c r="Q69" i="24"/>
  <c r="O70" i="24"/>
  <c r="P70" i="24"/>
  <c r="Q70" i="24"/>
  <c r="O71" i="24"/>
  <c r="P71" i="24"/>
  <c r="Q71" i="24"/>
  <c r="O72" i="24"/>
  <c r="P72" i="24"/>
  <c r="Q72" i="24"/>
  <c r="O73" i="24"/>
  <c r="P73" i="24"/>
  <c r="Q73" i="24"/>
  <c r="O74" i="24"/>
  <c r="P74" i="24"/>
  <c r="Q74" i="24"/>
  <c r="O75" i="24"/>
  <c r="P75" i="24"/>
  <c r="Q75" i="24"/>
  <c r="O76" i="24"/>
  <c r="P76" i="24"/>
  <c r="Q76" i="24"/>
  <c r="O77" i="24"/>
  <c r="P77" i="24"/>
  <c r="Q77" i="24"/>
  <c r="O78" i="24"/>
  <c r="P78" i="24"/>
  <c r="Q78" i="24"/>
  <c r="O79" i="24"/>
  <c r="P79" i="24"/>
  <c r="Q79" i="24"/>
  <c r="O80" i="24"/>
  <c r="P80" i="24"/>
  <c r="Q80" i="24"/>
  <c r="O81" i="24"/>
  <c r="P81" i="24"/>
  <c r="Q81" i="24"/>
  <c r="O82" i="24"/>
  <c r="P82" i="24"/>
  <c r="Q82" i="24"/>
  <c r="O83" i="24"/>
  <c r="P83" i="24"/>
  <c r="Q83" i="24"/>
  <c r="O84" i="24"/>
  <c r="P84" i="24"/>
  <c r="Q84" i="24"/>
  <c r="O85" i="24"/>
  <c r="P85" i="24"/>
  <c r="Q85" i="24"/>
  <c r="O86" i="24"/>
  <c r="P86" i="24"/>
  <c r="Q86" i="24"/>
  <c r="O87" i="24"/>
  <c r="P87" i="24"/>
  <c r="Q87" i="24"/>
  <c r="O88" i="24"/>
  <c r="P88" i="24"/>
  <c r="Q88" i="24"/>
  <c r="O89" i="24"/>
  <c r="P89" i="24"/>
  <c r="Q89" i="24"/>
  <c r="O90" i="24"/>
  <c r="P90" i="24"/>
  <c r="Q90" i="24"/>
  <c r="O91" i="24"/>
  <c r="P91" i="24"/>
  <c r="Q91" i="24"/>
  <c r="O92" i="24"/>
  <c r="P92" i="24"/>
  <c r="Q92" i="24"/>
  <c r="O93" i="24"/>
  <c r="P93" i="24"/>
  <c r="Q93" i="24"/>
  <c r="O94" i="24"/>
  <c r="P94" i="24"/>
  <c r="Q94" i="24"/>
  <c r="O95" i="24"/>
  <c r="P95" i="24"/>
  <c r="Q95" i="24"/>
  <c r="O96" i="24"/>
  <c r="P96" i="24"/>
  <c r="Q96" i="24"/>
  <c r="O97" i="24"/>
  <c r="P97" i="24"/>
  <c r="Q97" i="24"/>
  <c r="O98" i="24"/>
  <c r="P98" i="24"/>
  <c r="Q98" i="24"/>
  <c r="O99" i="24"/>
  <c r="P99" i="24"/>
  <c r="Q99" i="24"/>
  <c r="O100" i="24"/>
  <c r="P100" i="24"/>
  <c r="Q100" i="24"/>
  <c r="O101" i="24"/>
  <c r="P101" i="24"/>
  <c r="Q101" i="24"/>
  <c r="O102" i="24"/>
  <c r="P102" i="24"/>
  <c r="Q102" i="24"/>
  <c r="O103" i="24"/>
  <c r="P103" i="24"/>
  <c r="Q103" i="24"/>
  <c r="O104" i="24"/>
  <c r="P104" i="24"/>
  <c r="Q104" i="24"/>
  <c r="O105" i="24"/>
  <c r="P105" i="24"/>
  <c r="Q105" i="24"/>
  <c r="O106" i="24"/>
  <c r="P106" i="24"/>
  <c r="Q106" i="24"/>
  <c r="O107" i="24"/>
  <c r="P107" i="24"/>
  <c r="Q107" i="24"/>
  <c r="O108" i="24"/>
  <c r="P108" i="24"/>
  <c r="Q108" i="24"/>
  <c r="O109" i="24"/>
  <c r="P109" i="24"/>
  <c r="Q109" i="24"/>
  <c r="O110" i="24"/>
  <c r="P110" i="24"/>
  <c r="Q110" i="24"/>
  <c r="O111" i="24"/>
  <c r="P111" i="24"/>
  <c r="Q111" i="24"/>
  <c r="O112" i="24"/>
  <c r="P112" i="24"/>
  <c r="Q112" i="24"/>
  <c r="O113" i="24"/>
  <c r="P113" i="24"/>
  <c r="Q113" i="24"/>
  <c r="O114" i="24"/>
  <c r="P114" i="24"/>
  <c r="Q114" i="24"/>
  <c r="O115" i="24"/>
  <c r="P115" i="24"/>
  <c r="Q115" i="24"/>
  <c r="O116" i="24"/>
  <c r="P116" i="24"/>
  <c r="Q116" i="24"/>
  <c r="O117" i="24"/>
  <c r="P117" i="24"/>
  <c r="Q117" i="24"/>
  <c r="O118" i="24"/>
  <c r="P118" i="24"/>
  <c r="Q118" i="24"/>
  <c r="O119" i="24"/>
  <c r="P119" i="24"/>
  <c r="Q119" i="24"/>
  <c r="O120" i="24"/>
  <c r="P120" i="24"/>
  <c r="Q120" i="24"/>
  <c r="O121" i="24"/>
  <c r="P121" i="24"/>
  <c r="Q121" i="24"/>
  <c r="O122" i="24"/>
  <c r="P122" i="24"/>
  <c r="Q122" i="24"/>
  <c r="O123" i="24"/>
  <c r="P123" i="24"/>
  <c r="Q123" i="24"/>
  <c r="O124" i="24"/>
  <c r="P124" i="24"/>
  <c r="Q124" i="24"/>
  <c r="O125" i="24"/>
  <c r="P125" i="24"/>
  <c r="Q125" i="24"/>
  <c r="O126" i="24"/>
  <c r="P126" i="24"/>
  <c r="Q126" i="24"/>
  <c r="O127" i="24"/>
  <c r="P127" i="24"/>
  <c r="Q127" i="24"/>
  <c r="O128" i="24"/>
  <c r="P128" i="24"/>
  <c r="Q128" i="24"/>
  <c r="O129" i="24"/>
  <c r="P129" i="24"/>
  <c r="Q129" i="24"/>
  <c r="O130" i="24"/>
  <c r="P130" i="24"/>
  <c r="Q130" i="24"/>
  <c r="O131" i="24"/>
  <c r="P131" i="24"/>
  <c r="Q131" i="24"/>
  <c r="O132" i="24"/>
  <c r="P132" i="24"/>
  <c r="Q132" i="24"/>
  <c r="O133" i="24"/>
  <c r="P133" i="24"/>
  <c r="Q133" i="24"/>
  <c r="O134" i="24"/>
  <c r="P134" i="24"/>
  <c r="Q134" i="24"/>
  <c r="O135" i="24"/>
  <c r="P135" i="24"/>
  <c r="Q135" i="24"/>
  <c r="O136" i="24"/>
  <c r="P136" i="24"/>
  <c r="Q136" i="24"/>
  <c r="O137" i="24"/>
  <c r="P137" i="24"/>
  <c r="Q137" i="24"/>
  <c r="O138" i="24"/>
  <c r="P138" i="24"/>
  <c r="Q138" i="24"/>
  <c r="O139" i="24"/>
  <c r="P139" i="24"/>
  <c r="Q139" i="24"/>
  <c r="O140" i="24"/>
  <c r="P140" i="24"/>
  <c r="Q140" i="24"/>
  <c r="O141" i="24"/>
  <c r="P141" i="24"/>
  <c r="Q141" i="24"/>
  <c r="O142" i="24"/>
  <c r="P142" i="24"/>
  <c r="Q142" i="24"/>
  <c r="O143" i="24"/>
  <c r="P143" i="24"/>
  <c r="Q143" i="24"/>
  <c r="O144" i="24"/>
  <c r="P144" i="24"/>
  <c r="Q144" i="24"/>
  <c r="O145" i="24"/>
  <c r="P145" i="24"/>
  <c r="Q145" i="24"/>
  <c r="O146" i="24"/>
  <c r="P146" i="24"/>
  <c r="Q146" i="24"/>
  <c r="O147" i="24"/>
  <c r="P147" i="24"/>
  <c r="Q147" i="24"/>
  <c r="O148" i="24"/>
  <c r="P148" i="24"/>
  <c r="Q148" i="24"/>
  <c r="O149" i="24"/>
  <c r="P149" i="24"/>
  <c r="Q149" i="24"/>
  <c r="O150" i="24"/>
  <c r="P150" i="24"/>
  <c r="Q150" i="24"/>
  <c r="O151" i="24"/>
  <c r="P151" i="24"/>
  <c r="Q151" i="24"/>
  <c r="O152" i="24"/>
  <c r="P152" i="24"/>
  <c r="Q152" i="24"/>
  <c r="O153" i="24"/>
  <c r="P153" i="24"/>
  <c r="Q153" i="24"/>
  <c r="S51" i="20"/>
  <c r="T51" i="20"/>
  <c r="U51" i="20"/>
  <c r="K38" i="24"/>
  <c r="K39" i="24"/>
  <c r="K40" i="24"/>
  <c r="K41" i="24"/>
  <c r="K42" i="24"/>
  <c r="K43" i="22"/>
  <c r="K44" i="22"/>
  <c r="K45" i="22"/>
  <c r="K46" i="22"/>
  <c r="K47" i="22"/>
  <c r="K52" i="20"/>
  <c r="K53" i="20"/>
  <c r="K54" i="20"/>
  <c r="K55" i="20"/>
  <c r="K56" i="20"/>
  <c r="O60" i="22"/>
  <c r="P60" i="22"/>
  <c r="O61" i="22"/>
  <c r="P61" i="22"/>
  <c r="O62" i="22"/>
  <c r="P62" i="22"/>
  <c r="O63" i="22"/>
  <c r="P63" i="22"/>
  <c r="O64" i="22"/>
  <c r="P64" i="22"/>
  <c r="O65" i="22"/>
  <c r="P65" i="22"/>
  <c r="O66" i="22"/>
  <c r="P66" i="22"/>
  <c r="O67" i="22"/>
  <c r="P67" i="22"/>
  <c r="O68" i="22"/>
  <c r="P68" i="22"/>
  <c r="O69" i="22"/>
  <c r="P69" i="22"/>
  <c r="O70" i="22"/>
  <c r="P70" i="22"/>
  <c r="O71" i="22"/>
  <c r="P71" i="22"/>
  <c r="O72" i="22"/>
  <c r="P72" i="22"/>
  <c r="O73" i="22"/>
  <c r="P73" i="22"/>
  <c r="O74" i="22"/>
  <c r="P74" i="22"/>
  <c r="O75" i="22"/>
  <c r="P75" i="22"/>
  <c r="O76" i="22"/>
  <c r="P76" i="22"/>
  <c r="O77" i="22"/>
  <c r="P77" i="22"/>
  <c r="O78" i="22"/>
  <c r="P78" i="22"/>
  <c r="O79" i="22"/>
  <c r="P79" i="22"/>
  <c r="O80" i="22"/>
  <c r="P80" i="22"/>
  <c r="O81" i="22"/>
  <c r="P81" i="22"/>
  <c r="O82" i="22"/>
  <c r="P82" i="22"/>
  <c r="O83" i="22"/>
  <c r="P83" i="22"/>
  <c r="O84" i="22"/>
  <c r="P84" i="22"/>
  <c r="O85" i="22"/>
  <c r="P85" i="22"/>
  <c r="O86" i="22"/>
  <c r="P86" i="22"/>
  <c r="O87" i="22"/>
  <c r="P87" i="22"/>
  <c r="O88" i="22"/>
  <c r="P88" i="22"/>
  <c r="O89" i="22"/>
  <c r="P89" i="22"/>
  <c r="O90" i="22"/>
  <c r="P90" i="22"/>
  <c r="O91" i="22"/>
  <c r="P91" i="22"/>
  <c r="O92" i="22"/>
  <c r="P92" i="22"/>
  <c r="O93" i="22"/>
  <c r="P93" i="22"/>
  <c r="O94" i="22"/>
  <c r="P94" i="22"/>
  <c r="O95" i="22"/>
  <c r="P95" i="22"/>
  <c r="O96" i="22"/>
  <c r="P96" i="22"/>
  <c r="O97" i="22"/>
  <c r="P97" i="22"/>
  <c r="O98" i="22"/>
  <c r="P98" i="22"/>
  <c r="O99" i="22"/>
  <c r="P99" i="22"/>
  <c r="O100" i="22"/>
  <c r="P100" i="22"/>
  <c r="O101" i="22"/>
  <c r="P101" i="22"/>
  <c r="O102" i="22"/>
  <c r="P102" i="22"/>
  <c r="O103" i="22"/>
  <c r="P103" i="22"/>
  <c r="O104" i="22"/>
  <c r="P104" i="22"/>
  <c r="O105" i="22"/>
  <c r="P105" i="22"/>
  <c r="O106" i="22"/>
  <c r="P106" i="22"/>
  <c r="O107" i="22"/>
  <c r="P107" i="22"/>
  <c r="O108" i="22"/>
  <c r="P108" i="22"/>
  <c r="O109" i="22"/>
  <c r="P109" i="22"/>
  <c r="O110" i="22"/>
  <c r="P110" i="22"/>
  <c r="O111" i="22"/>
  <c r="P111" i="22"/>
  <c r="O112" i="22"/>
  <c r="P112" i="22"/>
  <c r="O113" i="22"/>
  <c r="P113" i="22"/>
  <c r="O114" i="22"/>
  <c r="P114" i="22"/>
  <c r="O115" i="22"/>
  <c r="P115" i="22"/>
  <c r="O116" i="22"/>
  <c r="P116" i="22"/>
  <c r="O117" i="22"/>
  <c r="P117" i="22"/>
  <c r="O118" i="22"/>
  <c r="P118" i="22"/>
  <c r="O119" i="22"/>
  <c r="P119" i="22"/>
  <c r="O120" i="22"/>
  <c r="P120" i="22"/>
  <c r="O121" i="22"/>
  <c r="P121" i="22"/>
  <c r="O122" i="22"/>
  <c r="P122" i="22"/>
  <c r="O123" i="22"/>
  <c r="P123" i="22"/>
  <c r="O124" i="22"/>
  <c r="P124" i="22"/>
  <c r="O125" i="22"/>
  <c r="P125" i="22"/>
  <c r="O126" i="22"/>
  <c r="P126" i="22"/>
  <c r="O127" i="22"/>
  <c r="P127" i="22"/>
  <c r="O128" i="22"/>
  <c r="P128" i="22"/>
  <c r="O129" i="22"/>
  <c r="P129" i="22"/>
  <c r="O130" i="22"/>
  <c r="P130" i="22"/>
  <c r="O131" i="22"/>
  <c r="P131" i="22"/>
  <c r="O132" i="22"/>
  <c r="P132" i="22"/>
  <c r="O133" i="22"/>
  <c r="P133" i="22"/>
  <c r="O134" i="22"/>
  <c r="P134" i="22"/>
  <c r="O135" i="22"/>
  <c r="P135" i="22"/>
  <c r="O136" i="22"/>
  <c r="P136" i="22"/>
  <c r="O137" i="22"/>
  <c r="P137" i="22"/>
  <c r="O138" i="22"/>
  <c r="P138" i="22"/>
  <c r="O139" i="22"/>
  <c r="P139" i="22"/>
  <c r="O140" i="22"/>
  <c r="P140" i="22"/>
  <c r="O141" i="22"/>
  <c r="P141" i="22"/>
  <c r="O142" i="22"/>
  <c r="P142" i="22"/>
  <c r="O143" i="22"/>
  <c r="P143" i="22"/>
  <c r="O144" i="22"/>
  <c r="P144" i="22"/>
  <c r="O145" i="22"/>
  <c r="P145" i="22"/>
  <c r="O146" i="22"/>
  <c r="P146" i="22"/>
  <c r="O147" i="22"/>
  <c r="P147" i="22"/>
  <c r="O148" i="22"/>
  <c r="P148" i="22"/>
  <c r="O149" i="22"/>
  <c r="P149" i="22"/>
  <c r="O150" i="22"/>
  <c r="P150" i="22"/>
  <c r="O151" i="22"/>
  <c r="P151" i="22"/>
  <c r="O152" i="22"/>
  <c r="P152" i="22"/>
  <c r="O153" i="22"/>
  <c r="P153" i="22"/>
  <c r="K36" i="24"/>
  <c r="K37" i="24"/>
  <c r="K41" i="22"/>
  <c r="K42" i="22"/>
  <c r="K50" i="20"/>
  <c r="K51" i="20"/>
  <c r="K17" i="37"/>
  <c r="K18" i="37"/>
  <c r="K19" i="37"/>
  <c r="K20" i="37"/>
  <c r="K21" i="37"/>
  <c r="K22" i="37"/>
  <c r="X153" i="37"/>
  <c r="W153" i="37"/>
  <c r="V153" i="37"/>
  <c r="U153" i="37"/>
  <c r="T153" i="37"/>
  <c r="S153" i="37"/>
  <c r="R153" i="37"/>
  <c r="N153" i="37"/>
  <c r="M153" i="37"/>
  <c r="L153" i="37"/>
  <c r="X152" i="37"/>
  <c r="W152" i="37"/>
  <c r="V152" i="37"/>
  <c r="U152" i="37"/>
  <c r="T152" i="37"/>
  <c r="S152" i="37"/>
  <c r="R152" i="37"/>
  <c r="N152" i="37"/>
  <c r="M152" i="37"/>
  <c r="L152" i="37"/>
  <c r="X151" i="37"/>
  <c r="W151" i="37"/>
  <c r="V151" i="37"/>
  <c r="U151" i="37"/>
  <c r="T151" i="37"/>
  <c r="S151" i="37"/>
  <c r="R151" i="37"/>
  <c r="N151" i="37"/>
  <c r="M151" i="37"/>
  <c r="L151" i="37"/>
  <c r="X150" i="37"/>
  <c r="W150" i="37"/>
  <c r="V150" i="37"/>
  <c r="U150" i="37"/>
  <c r="T150" i="37"/>
  <c r="S150" i="37"/>
  <c r="R150" i="37"/>
  <c r="N150" i="37"/>
  <c r="M150" i="37"/>
  <c r="L150" i="37"/>
  <c r="X149" i="37"/>
  <c r="W149" i="37"/>
  <c r="V149" i="37"/>
  <c r="U149" i="37"/>
  <c r="T149" i="37"/>
  <c r="S149" i="37"/>
  <c r="R149" i="37"/>
  <c r="N149" i="37"/>
  <c r="M149" i="37"/>
  <c r="L149" i="37"/>
  <c r="X148" i="37"/>
  <c r="W148" i="37"/>
  <c r="V148" i="37"/>
  <c r="U148" i="37"/>
  <c r="T148" i="37"/>
  <c r="S148" i="37"/>
  <c r="R148" i="37"/>
  <c r="N148" i="37"/>
  <c r="M148" i="37"/>
  <c r="L148" i="37"/>
  <c r="X147" i="37"/>
  <c r="W147" i="37"/>
  <c r="V147" i="37"/>
  <c r="U147" i="37"/>
  <c r="T147" i="37"/>
  <c r="S147" i="37"/>
  <c r="R147" i="37"/>
  <c r="N147" i="37"/>
  <c r="M147" i="37"/>
  <c r="L147" i="37"/>
  <c r="X146" i="37"/>
  <c r="W146" i="37"/>
  <c r="V146" i="37"/>
  <c r="U146" i="37"/>
  <c r="T146" i="37"/>
  <c r="S146" i="37"/>
  <c r="R146" i="37"/>
  <c r="N146" i="37"/>
  <c r="M146" i="37"/>
  <c r="L146" i="37"/>
  <c r="X145" i="37"/>
  <c r="W145" i="37"/>
  <c r="V145" i="37"/>
  <c r="U145" i="37"/>
  <c r="T145" i="37"/>
  <c r="S145" i="37"/>
  <c r="R145" i="37"/>
  <c r="N145" i="37"/>
  <c r="M145" i="37"/>
  <c r="L145" i="37"/>
  <c r="X144" i="37"/>
  <c r="W144" i="37"/>
  <c r="V144" i="37"/>
  <c r="U144" i="37"/>
  <c r="T144" i="37"/>
  <c r="S144" i="37"/>
  <c r="R144" i="37"/>
  <c r="N144" i="37"/>
  <c r="M144" i="37"/>
  <c r="L144" i="37"/>
  <c r="X143" i="37"/>
  <c r="W143" i="37"/>
  <c r="V143" i="37"/>
  <c r="U143" i="37"/>
  <c r="T143" i="37"/>
  <c r="S143" i="37"/>
  <c r="R143" i="37"/>
  <c r="N143" i="37"/>
  <c r="M143" i="37"/>
  <c r="L143" i="37"/>
  <c r="X142" i="37"/>
  <c r="W142" i="37"/>
  <c r="V142" i="37"/>
  <c r="U142" i="37"/>
  <c r="T142" i="37"/>
  <c r="S142" i="37"/>
  <c r="R142" i="37"/>
  <c r="N142" i="37"/>
  <c r="M142" i="37"/>
  <c r="L142" i="37"/>
  <c r="X141" i="37"/>
  <c r="W141" i="37"/>
  <c r="V141" i="37"/>
  <c r="U141" i="37"/>
  <c r="T141" i="37"/>
  <c r="S141" i="37"/>
  <c r="R141" i="37"/>
  <c r="N141" i="37"/>
  <c r="M141" i="37"/>
  <c r="L141" i="37"/>
  <c r="X140" i="37"/>
  <c r="W140" i="37"/>
  <c r="V140" i="37"/>
  <c r="U140" i="37"/>
  <c r="T140" i="37"/>
  <c r="S140" i="37"/>
  <c r="R140" i="37"/>
  <c r="N140" i="37"/>
  <c r="M140" i="37"/>
  <c r="L140" i="37"/>
  <c r="X139" i="37"/>
  <c r="W139" i="37"/>
  <c r="V139" i="37"/>
  <c r="U139" i="37"/>
  <c r="T139" i="37"/>
  <c r="S139" i="37"/>
  <c r="R139" i="37"/>
  <c r="N139" i="37"/>
  <c r="M139" i="37"/>
  <c r="L139" i="37"/>
  <c r="X138" i="37"/>
  <c r="W138" i="37"/>
  <c r="V138" i="37"/>
  <c r="U138" i="37"/>
  <c r="T138" i="37"/>
  <c r="S138" i="37"/>
  <c r="R138" i="37"/>
  <c r="N138" i="37"/>
  <c r="M138" i="37"/>
  <c r="L138" i="37"/>
  <c r="X137" i="37"/>
  <c r="W137" i="37"/>
  <c r="V137" i="37"/>
  <c r="U137" i="37"/>
  <c r="T137" i="37"/>
  <c r="S137" i="37"/>
  <c r="R137" i="37"/>
  <c r="N137" i="37"/>
  <c r="M137" i="37"/>
  <c r="L137" i="37"/>
  <c r="X136" i="37"/>
  <c r="W136" i="37"/>
  <c r="V136" i="37"/>
  <c r="U136" i="37"/>
  <c r="T136" i="37"/>
  <c r="S136" i="37"/>
  <c r="R136" i="37"/>
  <c r="N136" i="37"/>
  <c r="M136" i="37"/>
  <c r="L136" i="37"/>
  <c r="X135" i="37"/>
  <c r="W135" i="37"/>
  <c r="V135" i="37"/>
  <c r="U135" i="37"/>
  <c r="T135" i="37"/>
  <c r="S135" i="37"/>
  <c r="R135" i="37"/>
  <c r="N135" i="37"/>
  <c r="M135" i="37"/>
  <c r="L135" i="37"/>
  <c r="X134" i="37"/>
  <c r="W134" i="37"/>
  <c r="V134" i="37"/>
  <c r="U134" i="37"/>
  <c r="T134" i="37"/>
  <c r="S134" i="37"/>
  <c r="R134" i="37"/>
  <c r="N134" i="37"/>
  <c r="M134" i="37"/>
  <c r="L134" i="37"/>
  <c r="X133" i="37"/>
  <c r="W133" i="37"/>
  <c r="V133" i="37"/>
  <c r="U133" i="37"/>
  <c r="T133" i="37"/>
  <c r="S133" i="37"/>
  <c r="R133" i="37"/>
  <c r="N133" i="37"/>
  <c r="M133" i="37"/>
  <c r="L133" i="37"/>
  <c r="X132" i="37"/>
  <c r="W132" i="37"/>
  <c r="V132" i="37"/>
  <c r="U132" i="37"/>
  <c r="T132" i="37"/>
  <c r="S132" i="37"/>
  <c r="R132" i="37"/>
  <c r="N132" i="37"/>
  <c r="M132" i="37"/>
  <c r="L132" i="37"/>
  <c r="X131" i="37"/>
  <c r="W131" i="37"/>
  <c r="V131" i="37"/>
  <c r="U131" i="37"/>
  <c r="T131" i="37"/>
  <c r="S131" i="37"/>
  <c r="R131" i="37"/>
  <c r="N131" i="37"/>
  <c r="M131" i="37"/>
  <c r="L131" i="37"/>
  <c r="X130" i="37"/>
  <c r="W130" i="37"/>
  <c r="V130" i="37"/>
  <c r="U130" i="37"/>
  <c r="T130" i="37"/>
  <c r="S130" i="37"/>
  <c r="R130" i="37"/>
  <c r="N130" i="37"/>
  <c r="M130" i="37"/>
  <c r="L130" i="37"/>
  <c r="X129" i="37"/>
  <c r="W129" i="37"/>
  <c r="V129" i="37"/>
  <c r="U129" i="37"/>
  <c r="T129" i="37"/>
  <c r="S129" i="37"/>
  <c r="R129" i="37"/>
  <c r="N129" i="37"/>
  <c r="M129" i="37"/>
  <c r="L129" i="37"/>
  <c r="X128" i="37"/>
  <c r="W128" i="37"/>
  <c r="V128" i="37"/>
  <c r="U128" i="37"/>
  <c r="T128" i="37"/>
  <c r="S128" i="37"/>
  <c r="R128" i="37"/>
  <c r="N128" i="37"/>
  <c r="M128" i="37"/>
  <c r="L128" i="37"/>
  <c r="X127" i="37"/>
  <c r="W127" i="37"/>
  <c r="V127" i="37"/>
  <c r="U127" i="37"/>
  <c r="T127" i="37"/>
  <c r="S127" i="37"/>
  <c r="R127" i="37"/>
  <c r="N127" i="37"/>
  <c r="M127" i="37"/>
  <c r="L127" i="37"/>
  <c r="X126" i="37"/>
  <c r="W126" i="37"/>
  <c r="V126" i="37"/>
  <c r="U126" i="37"/>
  <c r="T126" i="37"/>
  <c r="S126" i="37"/>
  <c r="R126" i="37"/>
  <c r="N126" i="37"/>
  <c r="M126" i="37"/>
  <c r="L126" i="37"/>
  <c r="X125" i="37"/>
  <c r="W125" i="37"/>
  <c r="V125" i="37"/>
  <c r="U125" i="37"/>
  <c r="T125" i="37"/>
  <c r="S125" i="37"/>
  <c r="R125" i="37"/>
  <c r="N125" i="37"/>
  <c r="M125" i="37"/>
  <c r="L125" i="37"/>
  <c r="X124" i="37"/>
  <c r="W124" i="37"/>
  <c r="V124" i="37"/>
  <c r="U124" i="37"/>
  <c r="T124" i="37"/>
  <c r="S124" i="37"/>
  <c r="R124" i="37"/>
  <c r="N124" i="37"/>
  <c r="M124" i="37"/>
  <c r="L124" i="37"/>
  <c r="X123" i="37"/>
  <c r="W123" i="37"/>
  <c r="V123" i="37"/>
  <c r="U123" i="37"/>
  <c r="T123" i="37"/>
  <c r="S123" i="37"/>
  <c r="R123" i="37"/>
  <c r="N123" i="37"/>
  <c r="M123" i="37"/>
  <c r="L123" i="37"/>
  <c r="X122" i="37"/>
  <c r="W122" i="37"/>
  <c r="V122" i="37"/>
  <c r="U122" i="37"/>
  <c r="T122" i="37"/>
  <c r="S122" i="37"/>
  <c r="R122" i="37"/>
  <c r="N122" i="37"/>
  <c r="M122" i="37"/>
  <c r="L122" i="37"/>
  <c r="X121" i="37"/>
  <c r="W121" i="37"/>
  <c r="V121" i="37"/>
  <c r="U121" i="37"/>
  <c r="T121" i="37"/>
  <c r="S121" i="37"/>
  <c r="R121" i="37"/>
  <c r="N121" i="37"/>
  <c r="M121" i="37"/>
  <c r="L121" i="37"/>
  <c r="X120" i="37"/>
  <c r="W120" i="37"/>
  <c r="V120" i="37"/>
  <c r="U120" i="37"/>
  <c r="T120" i="37"/>
  <c r="S120" i="37"/>
  <c r="R120" i="37"/>
  <c r="N120" i="37"/>
  <c r="M120" i="37"/>
  <c r="L120" i="37"/>
  <c r="X119" i="37"/>
  <c r="W119" i="37"/>
  <c r="V119" i="37"/>
  <c r="U119" i="37"/>
  <c r="T119" i="37"/>
  <c r="S119" i="37"/>
  <c r="R119" i="37"/>
  <c r="N119" i="37"/>
  <c r="M119" i="37"/>
  <c r="L119" i="37"/>
  <c r="X118" i="37"/>
  <c r="W118" i="37"/>
  <c r="V118" i="37"/>
  <c r="U118" i="37"/>
  <c r="T118" i="37"/>
  <c r="S118" i="37"/>
  <c r="R118" i="37"/>
  <c r="N118" i="37"/>
  <c r="M118" i="37"/>
  <c r="L118" i="37"/>
  <c r="X117" i="37"/>
  <c r="W117" i="37"/>
  <c r="V117" i="37"/>
  <c r="U117" i="37"/>
  <c r="T117" i="37"/>
  <c r="S117" i="37"/>
  <c r="R117" i="37"/>
  <c r="N117" i="37"/>
  <c r="M117" i="37"/>
  <c r="L117" i="37"/>
  <c r="X116" i="37"/>
  <c r="W116" i="37"/>
  <c r="V116" i="37"/>
  <c r="U116" i="37"/>
  <c r="T116" i="37"/>
  <c r="S116" i="37"/>
  <c r="R116" i="37"/>
  <c r="N116" i="37"/>
  <c r="M116" i="37"/>
  <c r="L116" i="37"/>
  <c r="X115" i="37"/>
  <c r="W115" i="37"/>
  <c r="V115" i="37"/>
  <c r="U115" i="37"/>
  <c r="T115" i="37"/>
  <c r="S115" i="37"/>
  <c r="R115" i="37"/>
  <c r="N115" i="37"/>
  <c r="M115" i="37"/>
  <c r="L115" i="37"/>
  <c r="X114" i="37"/>
  <c r="W114" i="37"/>
  <c r="V114" i="37"/>
  <c r="U114" i="37"/>
  <c r="T114" i="37"/>
  <c r="S114" i="37"/>
  <c r="R114" i="37"/>
  <c r="N114" i="37"/>
  <c r="M114" i="37"/>
  <c r="L114" i="37"/>
  <c r="X113" i="37"/>
  <c r="W113" i="37"/>
  <c r="V113" i="37"/>
  <c r="U113" i="37"/>
  <c r="T113" i="37"/>
  <c r="S113" i="37"/>
  <c r="R113" i="37"/>
  <c r="N113" i="37"/>
  <c r="M113" i="37"/>
  <c r="L113" i="37"/>
  <c r="X112" i="37"/>
  <c r="W112" i="37"/>
  <c r="V112" i="37"/>
  <c r="U112" i="37"/>
  <c r="T112" i="37"/>
  <c r="S112" i="37"/>
  <c r="R112" i="37"/>
  <c r="N112" i="37"/>
  <c r="M112" i="37"/>
  <c r="L112" i="37"/>
  <c r="X111" i="37"/>
  <c r="W111" i="37"/>
  <c r="V111" i="37"/>
  <c r="U111" i="37"/>
  <c r="T111" i="37"/>
  <c r="S111" i="37"/>
  <c r="R111" i="37"/>
  <c r="N111" i="37"/>
  <c r="M111" i="37"/>
  <c r="L111" i="37"/>
  <c r="X110" i="37"/>
  <c r="W110" i="37"/>
  <c r="V110" i="37"/>
  <c r="U110" i="37"/>
  <c r="T110" i="37"/>
  <c r="S110" i="37"/>
  <c r="R110" i="37"/>
  <c r="N110" i="37"/>
  <c r="M110" i="37"/>
  <c r="L110" i="37"/>
  <c r="X109" i="37"/>
  <c r="W109" i="37"/>
  <c r="V109" i="37"/>
  <c r="U109" i="37"/>
  <c r="T109" i="37"/>
  <c r="S109" i="37"/>
  <c r="R109" i="37"/>
  <c r="N109" i="37"/>
  <c r="M109" i="37"/>
  <c r="L109" i="37"/>
  <c r="X108" i="37"/>
  <c r="W108" i="37"/>
  <c r="V108" i="37"/>
  <c r="U108" i="37"/>
  <c r="T108" i="37"/>
  <c r="S108" i="37"/>
  <c r="R108" i="37"/>
  <c r="N108" i="37"/>
  <c r="M108" i="37"/>
  <c r="L108" i="37"/>
  <c r="X107" i="37"/>
  <c r="W107" i="37"/>
  <c r="V107" i="37"/>
  <c r="U107" i="37"/>
  <c r="T107" i="37"/>
  <c r="S107" i="37"/>
  <c r="R107" i="37"/>
  <c r="N107" i="37"/>
  <c r="M107" i="37"/>
  <c r="L107" i="37"/>
  <c r="X106" i="37"/>
  <c r="W106" i="37"/>
  <c r="V106" i="37"/>
  <c r="U106" i="37"/>
  <c r="T106" i="37"/>
  <c r="S106" i="37"/>
  <c r="R106" i="37"/>
  <c r="N106" i="37"/>
  <c r="M106" i="37"/>
  <c r="L106" i="37"/>
  <c r="X105" i="37"/>
  <c r="W105" i="37"/>
  <c r="V105" i="37"/>
  <c r="U105" i="37"/>
  <c r="T105" i="37"/>
  <c r="S105" i="37"/>
  <c r="R105" i="37"/>
  <c r="N105" i="37"/>
  <c r="M105" i="37"/>
  <c r="L105" i="37"/>
  <c r="X104" i="37"/>
  <c r="W104" i="37"/>
  <c r="V104" i="37"/>
  <c r="U104" i="37"/>
  <c r="T104" i="37"/>
  <c r="S104" i="37"/>
  <c r="R104" i="37"/>
  <c r="N104" i="37"/>
  <c r="M104" i="37"/>
  <c r="L104" i="37"/>
  <c r="X103" i="37"/>
  <c r="W103" i="37"/>
  <c r="V103" i="37"/>
  <c r="U103" i="37"/>
  <c r="T103" i="37"/>
  <c r="S103" i="37"/>
  <c r="R103" i="37"/>
  <c r="N103" i="37"/>
  <c r="M103" i="37"/>
  <c r="L103" i="37"/>
  <c r="X102" i="37"/>
  <c r="W102" i="37"/>
  <c r="V102" i="37"/>
  <c r="U102" i="37"/>
  <c r="T102" i="37"/>
  <c r="S102" i="37"/>
  <c r="R102" i="37"/>
  <c r="N102" i="37"/>
  <c r="M102" i="37"/>
  <c r="L102" i="37"/>
  <c r="X101" i="37"/>
  <c r="W101" i="37"/>
  <c r="V101" i="37"/>
  <c r="U101" i="37"/>
  <c r="T101" i="37"/>
  <c r="S101" i="37"/>
  <c r="R101" i="37"/>
  <c r="N101" i="37"/>
  <c r="M101" i="37"/>
  <c r="L101" i="37"/>
  <c r="X100" i="37"/>
  <c r="W100" i="37"/>
  <c r="V100" i="37"/>
  <c r="U100" i="37"/>
  <c r="T100" i="37"/>
  <c r="S100" i="37"/>
  <c r="R100" i="37"/>
  <c r="N100" i="37"/>
  <c r="M100" i="37"/>
  <c r="L100" i="37"/>
  <c r="X99" i="37"/>
  <c r="W99" i="37"/>
  <c r="V99" i="37"/>
  <c r="U99" i="37"/>
  <c r="T99" i="37"/>
  <c r="S99" i="37"/>
  <c r="R99" i="37"/>
  <c r="N99" i="37"/>
  <c r="M99" i="37"/>
  <c r="L99" i="37"/>
  <c r="X98" i="37"/>
  <c r="W98" i="37"/>
  <c r="V98" i="37"/>
  <c r="U98" i="37"/>
  <c r="T98" i="37"/>
  <c r="S98" i="37"/>
  <c r="R98" i="37"/>
  <c r="N98" i="37"/>
  <c r="M98" i="37"/>
  <c r="L98" i="37"/>
  <c r="X97" i="37"/>
  <c r="W97" i="37"/>
  <c r="V97" i="37"/>
  <c r="U97" i="37"/>
  <c r="T97" i="37"/>
  <c r="S97" i="37"/>
  <c r="R97" i="37"/>
  <c r="N97" i="37"/>
  <c r="M97" i="37"/>
  <c r="L97" i="37"/>
  <c r="X96" i="37"/>
  <c r="W96" i="37"/>
  <c r="V96" i="37"/>
  <c r="U96" i="37"/>
  <c r="T96" i="37"/>
  <c r="S96" i="37"/>
  <c r="R96" i="37"/>
  <c r="N96" i="37"/>
  <c r="M96" i="37"/>
  <c r="L96" i="37"/>
  <c r="X95" i="37"/>
  <c r="W95" i="37"/>
  <c r="V95" i="37"/>
  <c r="U95" i="37"/>
  <c r="T95" i="37"/>
  <c r="S95" i="37"/>
  <c r="R95" i="37"/>
  <c r="N95" i="37"/>
  <c r="M95" i="37"/>
  <c r="L95" i="37"/>
  <c r="X94" i="37"/>
  <c r="W94" i="37"/>
  <c r="V94" i="37"/>
  <c r="U94" i="37"/>
  <c r="T94" i="37"/>
  <c r="S94" i="37"/>
  <c r="R94" i="37"/>
  <c r="N94" i="37"/>
  <c r="M94" i="37"/>
  <c r="L94" i="37"/>
  <c r="X93" i="37"/>
  <c r="W93" i="37"/>
  <c r="V93" i="37"/>
  <c r="U93" i="37"/>
  <c r="T93" i="37"/>
  <c r="S93" i="37"/>
  <c r="R93" i="37"/>
  <c r="N93" i="37"/>
  <c r="M93" i="37"/>
  <c r="L93" i="37"/>
  <c r="X92" i="37"/>
  <c r="W92" i="37"/>
  <c r="V92" i="37"/>
  <c r="U92" i="37"/>
  <c r="T92" i="37"/>
  <c r="S92" i="37"/>
  <c r="R92" i="37"/>
  <c r="N92" i="37"/>
  <c r="M92" i="37"/>
  <c r="L92" i="37"/>
  <c r="X91" i="37"/>
  <c r="W91" i="37"/>
  <c r="V91" i="37"/>
  <c r="U91" i="37"/>
  <c r="T91" i="37"/>
  <c r="S91" i="37"/>
  <c r="R91" i="37"/>
  <c r="N91" i="37"/>
  <c r="M91" i="37"/>
  <c r="L91" i="37"/>
  <c r="X90" i="37"/>
  <c r="W90" i="37"/>
  <c r="V90" i="37"/>
  <c r="U90" i="37"/>
  <c r="T90" i="37"/>
  <c r="S90" i="37"/>
  <c r="R90" i="37"/>
  <c r="N90" i="37"/>
  <c r="M90" i="37"/>
  <c r="L90" i="37"/>
  <c r="X89" i="37"/>
  <c r="W89" i="37"/>
  <c r="V89" i="37"/>
  <c r="U89" i="37"/>
  <c r="T89" i="37"/>
  <c r="S89" i="37"/>
  <c r="R89" i="37"/>
  <c r="N89" i="37"/>
  <c r="M89" i="37"/>
  <c r="L89" i="37"/>
  <c r="X88" i="37"/>
  <c r="W88" i="37"/>
  <c r="V88" i="37"/>
  <c r="U88" i="37"/>
  <c r="T88" i="37"/>
  <c r="S88" i="37"/>
  <c r="R88" i="37"/>
  <c r="N88" i="37"/>
  <c r="M88" i="37"/>
  <c r="L88" i="37"/>
  <c r="X87" i="37"/>
  <c r="W87" i="37"/>
  <c r="V87" i="37"/>
  <c r="U87" i="37"/>
  <c r="T87" i="37"/>
  <c r="S87" i="37"/>
  <c r="R87" i="37"/>
  <c r="N87" i="37"/>
  <c r="M87" i="37"/>
  <c r="L87" i="37"/>
  <c r="X86" i="37"/>
  <c r="W86" i="37"/>
  <c r="V86" i="37"/>
  <c r="U86" i="37"/>
  <c r="T86" i="37"/>
  <c r="S86" i="37"/>
  <c r="R86" i="37"/>
  <c r="N86" i="37"/>
  <c r="M86" i="37"/>
  <c r="L86" i="37"/>
  <c r="X85" i="37"/>
  <c r="W85" i="37"/>
  <c r="V85" i="37"/>
  <c r="U85" i="37"/>
  <c r="T85" i="37"/>
  <c r="S85" i="37"/>
  <c r="R85" i="37"/>
  <c r="N85" i="37"/>
  <c r="M85" i="37"/>
  <c r="L85" i="37"/>
  <c r="X84" i="37"/>
  <c r="W84" i="37"/>
  <c r="V84" i="37"/>
  <c r="U84" i="37"/>
  <c r="T84" i="37"/>
  <c r="S84" i="37"/>
  <c r="R84" i="37"/>
  <c r="N84" i="37"/>
  <c r="M84" i="37"/>
  <c r="L84" i="37"/>
  <c r="X83" i="37"/>
  <c r="W83" i="37"/>
  <c r="V83" i="37"/>
  <c r="U83" i="37"/>
  <c r="T83" i="37"/>
  <c r="S83" i="37"/>
  <c r="R83" i="37"/>
  <c r="N83" i="37"/>
  <c r="M83" i="37"/>
  <c r="L83" i="37"/>
  <c r="X82" i="37"/>
  <c r="W82" i="37"/>
  <c r="V82" i="37"/>
  <c r="U82" i="37"/>
  <c r="T82" i="37"/>
  <c r="S82" i="37"/>
  <c r="R82" i="37"/>
  <c r="N82" i="37"/>
  <c r="M82" i="37"/>
  <c r="L82" i="37"/>
  <c r="X81" i="37"/>
  <c r="W81" i="37"/>
  <c r="V81" i="37"/>
  <c r="U81" i="37"/>
  <c r="T81" i="37"/>
  <c r="S81" i="37"/>
  <c r="R81" i="37"/>
  <c r="N81" i="37"/>
  <c r="M81" i="37"/>
  <c r="L81" i="37"/>
  <c r="X80" i="37"/>
  <c r="W80" i="37"/>
  <c r="V80" i="37"/>
  <c r="U80" i="37"/>
  <c r="T80" i="37"/>
  <c r="S80" i="37"/>
  <c r="R80" i="37"/>
  <c r="N80" i="37"/>
  <c r="M80" i="37"/>
  <c r="L80" i="37"/>
  <c r="X79" i="37"/>
  <c r="W79" i="37"/>
  <c r="V79" i="37"/>
  <c r="U79" i="37"/>
  <c r="T79" i="37"/>
  <c r="S79" i="37"/>
  <c r="R79" i="37"/>
  <c r="N79" i="37"/>
  <c r="M79" i="37"/>
  <c r="L79" i="37"/>
  <c r="X78" i="37"/>
  <c r="W78" i="37"/>
  <c r="V78" i="37"/>
  <c r="U78" i="37"/>
  <c r="T78" i="37"/>
  <c r="S78" i="37"/>
  <c r="R78" i="37"/>
  <c r="N78" i="37"/>
  <c r="M78" i="37"/>
  <c r="L78" i="37"/>
  <c r="X77" i="37"/>
  <c r="W77" i="37"/>
  <c r="V77" i="37"/>
  <c r="U77" i="37"/>
  <c r="T77" i="37"/>
  <c r="S77" i="37"/>
  <c r="R77" i="37"/>
  <c r="N77" i="37"/>
  <c r="M77" i="37"/>
  <c r="L77" i="37"/>
  <c r="X76" i="37"/>
  <c r="W76" i="37"/>
  <c r="V76" i="37"/>
  <c r="U76" i="37"/>
  <c r="T76" i="37"/>
  <c r="S76" i="37"/>
  <c r="R76" i="37"/>
  <c r="N76" i="37"/>
  <c r="M76" i="37"/>
  <c r="L76" i="37"/>
  <c r="X75" i="37"/>
  <c r="W75" i="37"/>
  <c r="V75" i="37"/>
  <c r="U75" i="37"/>
  <c r="T75" i="37"/>
  <c r="S75" i="37"/>
  <c r="R75" i="37"/>
  <c r="N75" i="37"/>
  <c r="M75" i="37"/>
  <c r="L75" i="37"/>
  <c r="X74" i="37"/>
  <c r="W74" i="37"/>
  <c r="V74" i="37"/>
  <c r="U74" i="37"/>
  <c r="T74" i="37"/>
  <c r="S74" i="37"/>
  <c r="R74" i="37"/>
  <c r="N74" i="37"/>
  <c r="M74" i="37"/>
  <c r="L74" i="37"/>
  <c r="X73" i="37"/>
  <c r="W73" i="37"/>
  <c r="V73" i="37"/>
  <c r="U73" i="37"/>
  <c r="T73" i="37"/>
  <c r="S73" i="37"/>
  <c r="R73" i="37"/>
  <c r="N73" i="37"/>
  <c r="M73" i="37"/>
  <c r="L73" i="37"/>
  <c r="X72" i="37"/>
  <c r="W72" i="37"/>
  <c r="V72" i="37"/>
  <c r="U72" i="37"/>
  <c r="T72" i="37"/>
  <c r="S72" i="37"/>
  <c r="R72" i="37"/>
  <c r="N72" i="37"/>
  <c r="M72" i="37"/>
  <c r="L72" i="37"/>
  <c r="X71" i="37"/>
  <c r="W71" i="37"/>
  <c r="V71" i="37"/>
  <c r="U71" i="37"/>
  <c r="T71" i="37"/>
  <c r="S71" i="37"/>
  <c r="R71" i="37"/>
  <c r="N71" i="37"/>
  <c r="M71" i="37"/>
  <c r="L71" i="37"/>
  <c r="X70" i="37"/>
  <c r="W70" i="37"/>
  <c r="V70" i="37"/>
  <c r="U70" i="37"/>
  <c r="T70" i="37"/>
  <c r="S70" i="37"/>
  <c r="R70" i="37"/>
  <c r="N70" i="37"/>
  <c r="M70" i="37"/>
  <c r="L70" i="37"/>
  <c r="X69" i="37"/>
  <c r="W69" i="37"/>
  <c r="V69" i="37"/>
  <c r="U69" i="37"/>
  <c r="T69" i="37"/>
  <c r="S69" i="37"/>
  <c r="R69" i="37"/>
  <c r="N69" i="37"/>
  <c r="M69" i="37"/>
  <c r="L69" i="37"/>
  <c r="X68" i="37"/>
  <c r="W68" i="37"/>
  <c r="V68" i="37"/>
  <c r="U68" i="37"/>
  <c r="T68" i="37"/>
  <c r="S68" i="37"/>
  <c r="R68" i="37"/>
  <c r="N68" i="37"/>
  <c r="M68" i="37"/>
  <c r="L68" i="37"/>
  <c r="X67" i="37"/>
  <c r="W67" i="37"/>
  <c r="V67" i="37"/>
  <c r="U67" i="37"/>
  <c r="T67" i="37"/>
  <c r="S67" i="37"/>
  <c r="R67" i="37"/>
  <c r="N67" i="37"/>
  <c r="M67" i="37"/>
  <c r="L67" i="37"/>
  <c r="X66" i="37"/>
  <c r="W66" i="37"/>
  <c r="V66" i="37"/>
  <c r="U66" i="37"/>
  <c r="T66" i="37"/>
  <c r="S66" i="37"/>
  <c r="R66" i="37"/>
  <c r="N66" i="37"/>
  <c r="M66" i="37"/>
  <c r="L66" i="37"/>
  <c r="X65" i="37"/>
  <c r="W65" i="37"/>
  <c r="V65" i="37"/>
  <c r="U65" i="37"/>
  <c r="T65" i="37"/>
  <c r="S65" i="37"/>
  <c r="R65" i="37"/>
  <c r="N65" i="37"/>
  <c r="M65" i="37"/>
  <c r="L65" i="37"/>
  <c r="X64" i="37"/>
  <c r="W64" i="37"/>
  <c r="V64" i="37"/>
  <c r="U64" i="37"/>
  <c r="T64" i="37"/>
  <c r="S64" i="37"/>
  <c r="R64" i="37"/>
  <c r="N64" i="37"/>
  <c r="M64" i="37"/>
  <c r="L64" i="37"/>
  <c r="X63" i="37"/>
  <c r="W63" i="37"/>
  <c r="V63" i="37"/>
  <c r="U63" i="37"/>
  <c r="T63" i="37"/>
  <c r="S63" i="37"/>
  <c r="R63" i="37"/>
  <c r="N63" i="37"/>
  <c r="M63" i="37"/>
  <c r="L63" i="37"/>
  <c r="X62" i="37"/>
  <c r="W62" i="37"/>
  <c r="V62" i="37"/>
  <c r="U62" i="37"/>
  <c r="T62" i="37"/>
  <c r="S62" i="37"/>
  <c r="R62" i="37"/>
  <c r="N62" i="37"/>
  <c r="M62" i="37"/>
  <c r="L62" i="37"/>
  <c r="X61" i="37"/>
  <c r="W61" i="37"/>
  <c r="V61" i="37"/>
  <c r="U61" i="37"/>
  <c r="T61" i="37"/>
  <c r="S61" i="37"/>
  <c r="R61" i="37"/>
  <c r="N61" i="37"/>
  <c r="M61" i="37"/>
  <c r="L61" i="37"/>
  <c r="X60" i="37"/>
  <c r="W60" i="37"/>
  <c r="V60" i="37"/>
  <c r="U60" i="37"/>
  <c r="T60" i="37"/>
  <c r="S60" i="37"/>
  <c r="R60" i="37"/>
  <c r="N60" i="37"/>
  <c r="M60" i="37"/>
  <c r="L60" i="37"/>
  <c r="X59" i="37"/>
  <c r="W59" i="37"/>
  <c r="V59" i="37"/>
  <c r="U59" i="37"/>
  <c r="T59" i="37"/>
  <c r="S59" i="37"/>
  <c r="R59" i="37"/>
  <c r="N59" i="37"/>
  <c r="M59" i="37"/>
  <c r="L59" i="37"/>
  <c r="X58" i="37"/>
  <c r="W58" i="37"/>
  <c r="V58" i="37"/>
  <c r="U58" i="37"/>
  <c r="T58" i="37"/>
  <c r="S58" i="37"/>
  <c r="R58" i="37"/>
  <c r="N58" i="37"/>
  <c r="M58" i="37"/>
  <c r="L58" i="37"/>
  <c r="X57" i="37"/>
  <c r="W57" i="37"/>
  <c r="V57" i="37"/>
  <c r="U57" i="37"/>
  <c r="T57" i="37"/>
  <c r="S57" i="37"/>
  <c r="R57" i="37"/>
  <c r="N57" i="37"/>
  <c r="M57" i="37"/>
  <c r="L57" i="37"/>
  <c r="X56" i="37"/>
  <c r="W56" i="37"/>
  <c r="V56" i="37"/>
  <c r="U56" i="37"/>
  <c r="T56" i="37"/>
  <c r="S56" i="37"/>
  <c r="R56" i="37"/>
  <c r="N56" i="37"/>
  <c r="M56" i="37"/>
  <c r="L56" i="37"/>
  <c r="X55" i="37"/>
  <c r="W55" i="37"/>
  <c r="V55" i="37"/>
  <c r="U55" i="37"/>
  <c r="T55" i="37"/>
  <c r="S55" i="37"/>
  <c r="R55" i="37"/>
  <c r="N55" i="37"/>
  <c r="M55" i="37"/>
  <c r="L55" i="37"/>
  <c r="X54" i="37"/>
  <c r="W54" i="37"/>
  <c r="V54" i="37"/>
  <c r="U54" i="37"/>
  <c r="T54" i="37"/>
  <c r="S54" i="37"/>
  <c r="R54" i="37"/>
  <c r="N54" i="37"/>
  <c r="M54" i="37"/>
  <c r="L54" i="37"/>
  <c r="X53" i="37"/>
  <c r="W53" i="37"/>
  <c r="V53" i="37"/>
  <c r="U53" i="37"/>
  <c r="T53" i="37"/>
  <c r="S53" i="37"/>
  <c r="R53" i="37"/>
  <c r="N53" i="37"/>
  <c r="M53" i="37"/>
  <c r="L53" i="37"/>
  <c r="X52" i="37"/>
  <c r="W52" i="37"/>
  <c r="V52" i="37"/>
  <c r="U52" i="37"/>
  <c r="T52" i="37"/>
  <c r="S52" i="37"/>
  <c r="R52" i="37"/>
  <c r="N52" i="37"/>
  <c r="M52" i="37"/>
  <c r="L52" i="37"/>
  <c r="X51" i="37"/>
  <c r="W51" i="37"/>
  <c r="V51" i="37"/>
  <c r="U51" i="37"/>
  <c r="T51" i="37"/>
  <c r="S51" i="37"/>
  <c r="R51" i="37"/>
  <c r="N51" i="37"/>
  <c r="M51" i="37"/>
  <c r="L51" i="37"/>
  <c r="X50" i="37"/>
  <c r="W50" i="37"/>
  <c r="V50" i="37"/>
  <c r="U50" i="37"/>
  <c r="T50" i="37"/>
  <c r="S50" i="37"/>
  <c r="R50" i="37"/>
  <c r="N50" i="37"/>
  <c r="M50" i="37"/>
  <c r="L50" i="37"/>
  <c r="X49" i="37"/>
  <c r="W49" i="37"/>
  <c r="V49" i="37"/>
  <c r="U49" i="37"/>
  <c r="T49" i="37"/>
  <c r="S49" i="37"/>
  <c r="R49" i="37"/>
  <c r="N49" i="37"/>
  <c r="M49" i="37"/>
  <c r="L49" i="37"/>
  <c r="X48" i="37"/>
  <c r="W48" i="37"/>
  <c r="V48" i="37"/>
  <c r="U48" i="37"/>
  <c r="T48" i="37"/>
  <c r="S48" i="37"/>
  <c r="R48" i="37"/>
  <c r="N48" i="37"/>
  <c r="M48" i="37"/>
  <c r="L48" i="37"/>
  <c r="X47" i="37"/>
  <c r="W47" i="37"/>
  <c r="V47" i="37"/>
  <c r="U47" i="37"/>
  <c r="T47" i="37"/>
  <c r="S47" i="37"/>
  <c r="R47" i="37"/>
  <c r="N47" i="37"/>
  <c r="M47" i="37"/>
  <c r="L47" i="37"/>
  <c r="X46" i="37"/>
  <c r="W46" i="37"/>
  <c r="V46" i="37"/>
  <c r="U46" i="37"/>
  <c r="T46" i="37"/>
  <c r="S46" i="37"/>
  <c r="R46" i="37"/>
  <c r="N46" i="37"/>
  <c r="M46" i="37"/>
  <c r="L46" i="37"/>
  <c r="X45" i="37"/>
  <c r="W45" i="37"/>
  <c r="V45" i="37"/>
  <c r="U45" i="37"/>
  <c r="T45" i="37"/>
  <c r="S45" i="37"/>
  <c r="R45" i="37"/>
  <c r="N45" i="37"/>
  <c r="M45" i="37"/>
  <c r="L45" i="37"/>
  <c r="X44" i="37"/>
  <c r="W44" i="37"/>
  <c r="V44" i="37"/>
  <c r="U44" i="37"/>
  <c r="T44" i="37"/>
  <c r="S44" i="37"/>
  <c r="R44" i="37"/>
  <c r="N44" i="37"/>
  <c r="M44" i="37"/>
  <c r="L44" i="37"/>
  <c r="X43" i="37"/>
  <c r="W43" i="37"/>
  <c r="V43" i="37"/>
  <c r="U43" i="37"/>
  <c r="T43" i="37"/>
  <c r="S43" i="37"/>
  <c r="R43" i="37"/>
  <c r="N43" i="37"/>
  <c r="M43" i="37"/>
  <c r="L43" i="37"/>
  <c r="X42" i="37"/>
  <c r="W42" i="37"/>
  <c r="V42" i="37"/>
  <c r="U42" i="37"/>
  <c r="T42" i="37"/>
  <c r="S42" i="37"/>
  <c r="R42" i="37"/>
  <c r="N42" i="37"/>
  <c r="M42" i="37"/>
  <c r="L42" i="37"/>
  <c r="X41" i="37"/>
  <c r="W41" i="37"/>
  <c r="V41" i="37"/>
  <c r="U41" i="37"/>
  <c r="T41" i="37"/>
  <c r="S41" i="37"/>
  <c r="R41" i="37"/>
  <c r="N41" i="37"/>
  <c r="M41" i="37"/>
  <c r="L41" i="37"/>
  <c r="X40" i="37"/>
  <c r="W40" i="37"/>
  <c r="V40" i="37"/>
  <c r="R40" i="37"/>
  <c r="N40" i="37"/>
  <c r="M40" i="37"/>
  <c r="L40" i="37"/>
  <c r="X39" i="37"/>
  <c r="W39" i="37"/>
  <c r="V39" i="37"/>
  <c r="U39" i="37"/>
  <c r="T39" i="37"/>
  <c r="S39" i="37"/>
  <c r="R39" i="37"/>
  <c r="N39" i="37"/>
  <c r="M39" i="37"/>
  <c r="L39" i="37"/>
  <c r="X38" i="37"/>
  <c r="W38" i="37"/>
  <c r="V38" i="37"/>
  <c r="U38" i="37"/>
  <c r="T38" i="37"/>
  <c r="S38" i="37"/>
  <c r="R38" i="37"/>
  <c r="N38" i="37"/>
  <c r="M38" i="37"/>
  <c r="L38" i="37"/>
  <c r="X37" i="37"/>
  <c r="W37" i="37"/>
  <c r="V37" i="37"/>
  <c r="R37" i="37"/>
  <c r="N37" i="37"/>
  <c r="M37" i="37"/>
  <c r="L37" i="37"/>
  <c r="X36" i="37"/>
  <c r="W36" i="37"/>
  <c r="V36" i="37"/>
  <c r="U36" i="37"/>
  <c r="T36" i="37"/>
  <c r="S36" i="37"/>
  <c r="R36" i="37"/>
  <c r="N36" i="37"/>
  <c r="M36" i="37"/>
  <c r="L36" i="37"/>
  <c r="X35" i="37"/>
  <c r="W35" i="37"/>
  <c r="V35" i="37"/>
  <c r="U35" i="37"/>
  <c r="T35" i="37"/>
  <c r="S35" i="37"/>
  <c r="R35" i="37"/>
  <c r="N35" i="37"/>
  <c r="M35" i="37"/>
  <c r="L35" i="37"/>
  <c r="X34" i="37"/>
  <c r="W34" i="37"/>
  <c r="V34" i="37"/>
  <c r="U34" i="37"/>
  <c r="T34" i="37"/>
  <c r="S34" i="37"/>
  <c r="R34" i="37"/>
  <c r="N34" i="37"/>
  <c r="M34" i="37"/>
  <c r="L34" i="37"/>
  <c r="X33" i="37"/>
  <c r="W33" i="37"/>
  <c r="V33" i="37"/>
  <c r="U33" i="37"/>
  <c r="T33" i="37"/>
  <c r="S33" i="37"/>
  <c r="R33" i="37"/>
  <c r="N33" i="37"/>
  <c r="M33" i="37"/>
  <c r="L33" i="37"/>
  <c r="X32" i="37"/>
  <c r="W32" i="37"/>
  <c r="V32" i="37"/>
  <c r="U32" i="37"/>
  <c r="T32" i="37"/>
  <c r="S32" i="37"/>
  <c r="R32" i="37"/>
  <c r="N32" i="37"/>
  <c r="M32" i="37"/>
  <c r="L32" i="37"/>
  <c r="X31" i="37"/>
  <c r="W31" i="37"/>
  <c r="V31" i="37"/>
  <c r="U31" i="37"/>
  <c r="T31" i="37"/>
  <c r="S31" i="37"/>
  <c r="R31" i="37"/>
  <c r="N31" i="37"/>
  <c r="M31" i="37"/>
  <c r="L31" i="37"/>
  <c r="X30" i="37"/>
  <c r="W30" i="37"/>
  <c r="V30" i="37"/>
  <c r="U30" i="37"/>
  <c r="T30" i="37"/>
  <c r="S30" i="37"/>
  <c r="R30" i="37"/>
  <c r="N30" i="37"/>
  <c r="M30" i="37"/>
  <c r="L30" i="37"/>
  <c r="X29" i="37"/>
  <c r="W29" i="37"/>
  <c r="V29" i="37"/>
  <c r="U29" i="37"/>
  <c r="T29" i="37"/>
  <c r="S29" i="37"/>
  <c r="R29" i="37"/>
  <c r="N29" i="37"/>
  <c r="M29" i="37"/>
  <c r="L29" i="37"/>
  <c r="X28" i="37"/>
  <c r="W28" i="37"/>
  <c r="V28" i="37"/>
  <c r="U28" i="37"/>
  <c r="T28" i="37"/>
  <c r="S28" i="37"/>
  <c r="R28" i="37"/>
  <c r="N28" i="37"/>
  <c r="M28" i="37"/>
  <c r="L28" i="37"/>
  <c r="X27" i="37"/>
  <c r="W27" i="37"/>
  <c r="V27" i="37"/>
  <c r="U27" i="37"/>
  <c r="T27" i="37"/>
  <c r="S27" i="37"/>
  <c r="R27" i="37"/>
  <c r="N27" i="37"/>
  <c r="M27" i="37"/>
  <c r="L27" i="37"/>
  <c r="X26" i="37"/>
  <c r="W26" i="37"/>
  <c r="V26" i="37"/>
  <c r="U26" i="37"/>
  <c r="T26" i="37"/>
  <c r="S26" i="37"/>
  <c r="R26" i="37"/>
  <c r="N26" i="37"/>
  <c r="M26" i="37"/>
  <c r="L26" i="37"/>
  <c r="X25" i="37"/>
  <c r="W25" i="37"/>
  <c r="V25" i="37"/>
  <c r="U25" i="37"/>
  <c r="T25" i="37"/>
  <c r="S25" i="37"/>
  <c r="R25" i="37"/>
  <c r="N25" i="37"/>
  <c r="M25" i="37"/>
  <c r="L25" i="37"/>
  <c r="X24" i="37"/>
  <c r="W24" i="37"/>
  <c r="V24" i="37"/>
  <c r="U24" i="37"/>
  <c r="T24" i="37"/>
  <c r="S24" i="37"/>
  <c r="R24" i="37"/>
  <c r="N24" i="37"/>
  <c r="M24" i="37"/>
  <c r="L24" i="37"/>
  <c r="X23" i="37"/>
  <c r="W23" i="37"/>
  <c r="V23" i="37"/>
  <c r="U23" i="37"/>
  <c r="T23" i="37"/>
  <c r="S23" i="37"/>
  <c r="R23" i="37"/>
  <c r="N23" i="37"/>
  <c r="Q41" i="37" s="1"/>
  <c r="M23" i="37"/>
  <c r="P25" i="37" s="1"/>
  <c r="L23" i="37"/>
  <c r="O25" i="37" s="1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R16" i="37"/>
  <c r="N16" i="37"/>
  <c r="M16" i="37"/>
  <c r="L16" i="37"/>
  <c r="K16" i="37"/>
  <c r="Y2" i="37"/>
  <c r="K23" i="35"/>
  <c r="K30" i="33"/>
  <c r="K40" i="22"/>
  <c r="K48" i="20"/>
  <c r="K49" i="20"/>
  <c r="K43" i="18"/>
  <c r="K52" i="16"/>
  <c r="K43" i="14"/>
  <c r="K53" i="11"/>
  <c r="K61" i="9"/>
  <c r="K41" i="7"/>
  <c r="K25" i="31"/>
  <c r="K20" i="28"/>
  <c r="K35" i="24"/>
  <c r="K20" i="33"/>
  <c r="K21" i="33"/>
  <c r="K22" i="33"/>
  <c r="K23" i="33"/>
  <c r="K24" i="33"/>
  <c r="K25" i="33"/>
  <c r="K26" i="33"/>
  <c r="K27" i="33"/>
  <c r="K28" i="33"/>
  <c r="K29" i="33"/>
  <c r="K22" i="35"/>
  <c r="X153" i="35"/>
  <c r="W153" i="35"/>
  <c r="V153" i="35"/>
  <c r="U153" i="35"/>
  <c r="T153" i="35"/>
  <c r="S153" i="35"/>
  <c r="R153" i="35"/>
  <c r="M153" i="35"/>
  <c r="X152" i="35"/>
  <c r="W152" i="35"/>
  <c r="V152" i="35"/>
  <c r="U152" i="35"/>
  <c r="T152" i="35"/>
  <c r="S152" i="35"/>
  <c r="R152" i="35"/>
  <c r="M152" i="35"/>
  <c r="X151" i="35"/>
  <c r="W151" i="35"/>
  <c r="V151" i="35"/>
  <c r="U151" i="35"/>
  <c r="T151" i="35"/>
  <c r="S151" i="35"/>
  <c r="R151" i="35"/>
  <c r="M151" i="35"/>
  <c r="X150" i="35"/>
  <c r="W150" i="35"/>
  <c r="V150" i="35"/>
  <c r="U150" i="35"/>
  <c r="T150" i="35"/>
  <c r="S150" i="35"/>
  <c r="R150" i="35"/>
  <c r="M150" i="35"/>
  <c r="X149" i="35"/>
  <c r="W149" i="35"/>
  <c r="V149" i="35"/>
  <c r="U149" i="35"/>
  <c r="T149" i="35"/>
  <c r="S149" i="35"/>
  <c r="R149" i="35"/>
  <c r="M149" i="35"/>
  <c r="X148" i="35"/>
  <c r="W148" i="35"/>
  <c r="V148" i="35"/>
  <c r="U148" i="35"/>
  <c r="T148" i="35"/>
  <c r="S148" i="35"/>
  <c r="R148" i="35"/>
  <c r="M148" i="35"/>
  <c r="X147" i="35"/>
  <c r="W147" i="35"/>
  <c r="V147" i="35"/>
  <c r="U147" i="35"/>
  <c r="T147" i="35"/>
  <c r="S147" i="35"/>
  <c r="R147" i="35"/>
  <c r="M147" i="35"/>
  <c r="X146" i="35"/>
  <c r="W146" i="35"/>
  <c r="V146" i="35"/>
  <c r="U146" i="35"/>
  <c r="T146" i="35"/>
  <c r="S146" i="35"/>
  <c r="R146" i="35"/>
  <c r="M146" i="35"/>
  <c r="X145" i="35"/>
  <c r="W145" i="35"/>
  <c r="V145" i="35"/>
  <c r="U145" i="35"/>
  <c r="T145" i="35"/>
  <c r="S145" i="35"/>
  <c r="R145" i="35"/>
  <c r="M145" i="35"/>
  <c r="X144" i="35"/>
  <c r="W144" i="35"/>
  <c r="V144" i="35"/>
  <c r="U144" i="35"/>
  <c r="T144" i="35"/>
  <c r="S144" i="35"/>
  <c r="R144" i="35"/>
  <c r="M144" i="35"/>
  <c r="X143" i="35"/>
  <c r="W143" i="35"/>
  <c r="V143" i="35"/>
  <c r="U143" i="35"/>
  <c r="T143" i="35"/>
  <c r="S143" i="35"/>
  <c r="R143" i="35"/>
  <c r="M143" i="35"/>
  <c r="X142" i="35"/>
  <c r="W142" i="35"/>
  <c r="V142" i="35"/>
  <c r="U142" i="35"/>
  <c r="T142" i="35"/>
  <c r="S142" i="35"/>
  <c r="R142" i="35"/>
  <c r="M142" i="35"/>
  <c r="X141" i="35"/>
  <c r="W141" i="35"/>
  <c r="V141" i="35"/>
  <c r="U141" i="35"/>
  <c r="T141" i="35"/>
  <c r="S141" i="35"/>
  <c r="R141" i="35"/>
  <c r="M141" i="35"/>
  <c r="X140" i="35"/>
  <c r="W140" i="35"/>
  <c r="V140" i="35"/>
  <c r="U140" i="35"/>
  <c r="T140" i="35"/>
  <c r="S140" i="35"/>
  <c r="R140" i="35"/>
  <c r="M140" i="35"/>
  <c r="X139" i="35"/>
  <c r="W139" i="35"/>
  <c r="V139" i="35"/>
  <c r="U139" i="35"/>
  <c r="T139" i="35"/>
  <c r="S139" i="35"/>
  <c r="R139" i="35"/>
  <c r="M139" i="35"/>
  <c r="X138" i="35"/>
  <c r="W138" i="35"/>
  <c r="V138" i="35"/>
  <c r="U138" i="35"/>
  <c r="T138" i="35"/>
  <c r="S138" i="35"/>
  <c r="R138" i="35"/>
  <c r="M138" i="35"/>
  <c r="X137" i="35"/>
  <c r="W137" i="35"/>
  <c r="V137" i="35"/>
  <c r="U137" i="35"/>
  <c r="T137" i="35"/>
  <c r="S137" i="35"/>
  <c r="R137" i="35"/>
  <c r="M137" i="35"/>
  <c r="X136" i="35"/>
  <c r="W136" i="35"/>
  <c r="V136" i="35"/>
  <c r="U136" i="35"/>
  <c r="T136" i="35"/>
  <c r="S136" i="35"/>
  <c r="R136" i="35"/>
  <c r="M136" i="35"/>
  <c r="X135" i="35"/>
  <c r="W135" i="35"/>
  <c r="V135" i="35"/>
  <c r="U135" i="35"/>
  <c r="T135" i="35"/>
  <c r="S135" i="35"/>
  <c r="R135" i="35"/>
  <c r="M135" i="35"/>
  <c r="X134" i="35"/>
  <c r="W134" i="35"/>
  <c r="V134" i="35"/>
  <c r="U134" i="35"/>
  <c r="T134" i="35"/>
  <c r="S134" i="35"/>
  <c r="R134" i="35"/>
  <c r="M134" i="35"/>
  <c r="X133" i="35"/>
  <c r="W133" i="35"/>
  <c r="V133" i="35"/>
  <c r="U133" i="35"/>
  <c r="T133" i="35"/>
  <c r="S133" i="35"/>
  <c r="R133" i="35"/>
  <c r="M133" i="35"/>
  <c r="X132" i="35"/>
  <c r="W132" i="35"/>
  <c r="V132" i="35"/>
  <c r="U132" i="35"/>
  <c r="T132" i="35"/>
  <c r="S132" i="35"/>
  <c r="R132" i="35"/>
  <c r="M132" i="35"/>
  <c r="X131" i="35"/>
  <c r="W131" i="35"/>
  <c r="V131" i="35"/>
  <c r="U131" i="35"/>
  <c r="T131" i="35"/>
  <c r="S131" i="35"/>
  <c r="R131" i="35"/>
  <c r="M131" i="35"/>
  <c r="X130" i="35"/>
  <c r="W130" i="35"/>
  <c r="V130" i="35"/>
  <c r="U130" i="35"/>
  <c r="T130" i="35"/>
  <c r="S130" i="35"/>
  <c r="R130" i="35"/>
  <c r="M130" i="35"/>
  <c r="X129" i="35"/>
  <c r="W129" i="35"/>
  <c r="V129" i="35"/>
  <c r="U129" i="35"/>
  <c r="T129" i="35"/>
  <c r="S129" i="35"/>
  <c r="R129" i="35"/>
  <c r="M129" i="35"/>
  <c r="X128" i="35"/>
  <c r="W128" i="35"/>
  <c r="V128" i="35"/>
  <c r="U128" i="35"/>
  <c r="T128" i="35"/>
  <c r="S128" i="35"/>
  <c r="R128" i="35"/>
  <c r="M128" i="35"/>
  <c r="X127" i="35"/>
  <c r="W127" i="35"/>
  <c r="V127" i="35"/>
  <c r="U127" i="35"/>
  <c r="T127" i="35"/>
  <c r="S127" i="35"/>
  <c r="R127" i="35"/>
  <c r="M127" i="35"/>
  <c r="X126" i="35"/>
  <c r="W126" i="35"/>
  <c r="V126" i="35"/>
  <c r="U126" i="35"/>
  <c r="T126" i="35"/>
  <c r="S126" i="35"/>
  <c r="R126" i="35"/>
  <c r="M126" i="35"/>
  <c r="X125" i="35"/>
  <c r="W125" i="35"/>
  <c r="V125" i="35"/>
  <c r="U125" i="35"/>
  <c r="T125" i="35"/>
  <c r="S125" i="35"/>
  <c r="R125" i="35"/>
  <c r="M125" i="35"/>
  <c r="X124" i="35"/>
  <c r="W124" i="35"/>
  <c r="V124" i="35"/>
  <c r="U124" i="35"/>
  <c r="T124" i="35"/>
  <c r="S124" i="35"/>
  <c r="R124" i="35"/>
  <c r="M124" i="35"/>
  <c r="X123" i="35"/>
  <c r="W123" i="35"/>
  <c r="V123" i="35"/>
  <c r="U123" i="35"/>
  <c r="T123" i="35"/>
  <c r="S123" i="35"/>
  <c r="R123" i="35"/>
  <c r="M123" i="35"/>
  <c r="X122" i="35"/>
  <c r="W122" i="35"/>
  <c r="V122" i="35"/>
  <c r="U122" i="35"/>
  <c r="T122" i="35"/>
  <c r="S122" i="35"/>
  <c r="R122" i="35"/>
  <c r="M122" i="35"/>
  <c r="X121" i="35"/>
  <c r="W121" i="35"/>
  <c r="V121" i="35"/>
  <c r="U121" i="35"/>
  <c r="T121" i="35"/>
  <c r="S121" i="35"/>
  <c r="R121" i="35"/>
  <c r="M121" i="35"/>
  <c r="X120" i="35"/>
  <c r="W120" i="35"/>
  <c r="V120" i="35"/>
  <c r="U120" i="35"/>
  <c r="T120" i="35"/>
  <c r="S120" i="35"/>
  <c r="R120" i="35"/>
  <c r="M120" i="35"/>
  <c r="X119" i="35"/>
  <c r="W119" i="35"/>
  <c r="V119" i="35"/>
  <c r="U119" i="35"/>
  <c r="T119" i="35"/>
  <c r="S119" i="35"/>
  <c r="R119" i="35"/>
  <c r="M119" i="35"/>
  <c r="X118" i="35"/>
  <c r="W118" i="35"/>
  <c r="V118" i="35"/>
  <c r="U118" i="35"/>
  <c r="T118" i="35"/>
  <c r="S118" i="35"/>
  <c r="R118" i="35"/>
  <c r="M118" i="35"/>
  <c r="X117" i="35"/>
  <c r="W117" i="35"/>
  <c r="V117" i="35"/>
  <c r="U117" i="35"/>
  <c r="T117" i="35"/>
  <c r="S117" i="35"/>
  <c r="R117" i="35"/>
  <c r="M117" i="35"/>
  <c r="X116" i="35"/>
  <c r="W116" i="35"/>
  <c r="V116" i="35"/>
  <c r="U116" i="35"/>
  <c r="T116" i="35"/>
  <c r="S116" i="35"/>
  <c r="R116" i="35"/>
  <c r="M116" i="35"/>
  <c r="X115" i="35"/>
  <c r="W115" i="35"/>
  <c r="V115" i="35"/>
  <c r="U115" i="35"/>
  <c r="T115" i="35"/>
  <c r="S115" i="35"/>
  <c r="R115" i="35"/>
  <c r="M115" i="35"/>
  <c r="X114" i="35"/>
  <c r="W114" i="35"/>
  <c r="V114" i="35"/>
  <c r="U114" i="35"/>
  <c r="T114" i="35"/>
  <c r="S114" i="35"/>
  <c r="R114" i="35"/>
  <c r="M114" i="35"/>
  <c r="X113" i="35"/>
  <c r="W113" i="35"/>
  <c r="V113" i="35"/>
  <c r="U113" i="35"/>
  <c r="T113" i="35"/>
  <c r="S113" i="35"/>
  <c r="R113" i="35"/>
  <c r="M113" i="35"/>
  <c r="X112" i="35"/>
  <c r="W112" i="35"/>
  <c r="V112" i="35"/>
  <c r="U112" i="35"/>
  <c r="T112" i="35"/>
  <c r="S112" i="35"/>
  <c r="R112" i="35"/>
  <c r="M112" i="35"/>
  <c r="X111" i="35"/>
  <c r="W111" i="35"/>
  <c r="V111" i="35"/>
  <c r="U111" i="35"/>
  <c r="T111" i="35"/>
  <c r="S111" i="35"/>
  <c r="R111" i="35"/>
  <c r="M111" i="35"/>
  <c r="X110" i="35"/>
  <c r="W110" i="35"/>
  <c r="V110" i="35"/>
  <c r="U110" i="35"/>
  <c r="T110" i="35"/>
  <c r="S110" i="35"/>
  <c r="R110" i="35"/>
  <c r="M110" i="35"/>
  <c r="X109" i="35"/>
  <c r="W109" i="35"/>
  <c r="V109" i="35"/>
  <c r="U109" i="35"/>
  <c r="T109" i="35"/>
  <c r="S109" i="35"/>
  <c r="R109" i="35"/>
  <c r="M109" i="35"/>
  <c r="X108" i="35"/>
  <c r="W108" i="35"/>
  <c r="V108" i="35"/>
  <c r="U108" i="35"/>
  <c r="T108" i="35"/>
  <c r="S108" i="35"/>
  <c r="R108" i="35"/>
  <c r="M108" i="35"/>
  <c r="X107" i="35"/>
  <c r="W107" i="35"/>
  <c r="V107" i="35"/>
  <c r="U107" i="35"/>
  <c r="T107" i="35"/>
  <c r="S107" i="35"/>
  <c r="R107" i="35"/>
  <c r="M107" i="35"/>
  <c r="X106" i="35"/>
  <c r="W106" i="35"/>
  <c r="V106" i="35"/>
  <c r="U106" i="35"/>
  <c r="T106" i="35"/>
  <c r="S106" i="35"/>
  <c r="R106" i="35"/>
  <c r="M106" i="35"/>
  <c r="X105" i="35"/>
  <c r="W105" i="35"/>
  <c r="V105" i="35"/>
  <c r="U105" i="35"/>
  <c r="T105" i="35"/>
  <c r="S105" i="35"/>
  <c r="R105" i="35"/>
  <c r="M105" i="35"/>
  <c r="X104" i="35"/>
  <c r="W104" i="35"/>
  <c r="V104" i="35"/>
  <c r="U104" i="35"/>
  <c r="T104" i="35"/>
  <c r="S104" i="35"/>
  <c r="R104" i="35"/>
  <c r="M104" i="35"/>
  <c r="X103" i="35"/>
  <c r="W103" i="35"/>
  <c r="V103" i="35"/>
  <c r="U103" i="35"/>
  <c r="T103" i="35"/>
  <c r="S103" i="35"/>
  <c r="R103" i="35"/>
  <c r="M103" i="35"/>
  <c r="X102" i="35"/>
  <c r="W102" i="35"/>
  <c r="V102" i="35"/>
  <c r="U102" i="35"/>
  <c r="T102" i="35"/>
  <c r="S102" i="35"/>
  <c r="R102" i="35"/>
  <c r="M102" i="35"/>
  <c r="X101" i="35"/>
  <c r="W101" i="35"/>
  <c r="V101" i="35"/>
  <c r="U101" i="35"/>
  <c r="T101" i="35"/>
  <c r="S101" i="35"/>
  <c r="R101" i="35"/>
  <c r="M101" i="35"/>
  <c r="X100" i="35"/>
  <c r="W100" i="35"/>
  <c r="V100" i="35"/>
  <c r="U100" i="35"/>
  <c r="T100" i="35"/>
  <c r="S100" i="35"/>
  <c r="R100" i="35"/>
  <c r="M100" i="35"/>
  <c r="X99" i="35"/>
  <c r="W99" i="35"/>
  <c r="V99" i="35"/>
  <c r="U99" i="35"/>
  <c r="T99" i="35"/>
  <c r="S99" i="35"/>
  <c r="R99" i="35"/>
  <c r="M99" i="35"/>
  <c r="X98" i="35"/>
  <c r="W98" i="35"/>
  <c r="V98" i="35"/>
  <c r="U98" i="35"/>
  <c r="T98" i="35"/>
  <c r="S98" i="35"/>
  <c r="R98" i="35"/>
  <c r="M98" i="35"/>
  <c r="X97" i="35"/>
  <c r="W97" i="35"/>
  <c r="V97" i="35"/>
  <c r="U97" i="35"/>
  <c r="T97" i="35"/>
  <c r="S97" i="35"/>
  <c r="R97" i="35"/>
  <c r="M97" i="35"/>
  <c r="X96" i="35"/>
  <c r="W96" i="35"/>
  <c r="V96" i="35"/>
  <c r="U96" i="35"/>
  <c r="T96" i="35"/>
  <c r="S96" i="35"/>
  <c r="R96" i="35"/>
  <c r="M96" i="35"/>
  <c r="X95" i="35"/>
  <c r="W95" i="35"/>
  <c r="V95" i="35"/>
  <c r="U95" i="35"/>
  <c r="T95" i="35"/>
  <c r="S95" i="35"/>
  <c r="R95" i="35"/>
  <c r="M95" i="35"/>
  <c r="X94" i="35"/>
  <c r="W94" i="35"/>
  <c r="V94" i="35"/>
  <c r="U94" i="35"/>
  <c r="T94" i="35"/>
  <c r="S94" i="35"/>
  <c r="R94" i="35"/>
  <c r="M94" i="35"/>
  <c r="X93" i="35"/>
  <c r="W93" i="35"/>
  <c r="V93" i="35"/>
  <c r="U93" i="35"/>
  <c r="T93" i="35"/>
  <c r="S93" i="35"/>
  <c r="R93" i="35"/>
  <c r="M93" i="35"/>
  <c r="X92" i="35"/>
  <c r="W92" i="35"/>
  <c r="V92" i="35"/>
  <c r="U92" i="35"/>
  <c r="T92" i="35"/>
  <c r="S92" i="35"/>
  <c r="R92" i="35"/>
  <c r="M92" i="35"/>
  <c r="X91" i="35"/>
  <c r="W91" i="35"/>
  <c r="V91" i="35"/>
  <c r="U91" i="35"/>
  <c r="T91" i="35"/>
  <c r="S91" i="35"/>
  <c r="R91" i="35"/>
  <c r="M91" i="35"/>
  <c r="X90" i="35"/>
  <c r="W90" i="35"/>
  <c r="V90" i="35"/>
  <c r="U90" i="35"/>
  <c r="T90" i="35"/>
  <c r="S90" i="35"/>
  <c r="R90" i="35"/>
  <c r="M90" i="35"/>
  <c r="X89" i="35"/>
  <c r="W89" i="35"/>
  <c r="V89" i="35"/>
  <c r="U89" i="35"/>
  <c r="T89" i="35"/>
  <c r="S89" i="35"/>
  <c r="R89" i="35"/>
  <c r="M89" i="35"/>
  <c r="X88" i="35"/>
  <c r="W88" i="35"/>
  <c r="V88" i="35"/>
  <c r="U88" i="35"/>
  <c r="T88" i="35"/>
  <c r="S88" i="35"/>
  <c r="R88" i="35"/>
  <c r="M88" i="35"/>
  <c r="X87" i="35"/>
  <c r="W87" i="35"/>
  <c r="V87" i="35"/>
  <c r="U87" i="35"/>
  <c r="T87" i="35"/>
  <c r="S87" i="35"/>
  <c r="R87" i="35"/>
  <c r="M87" i="35"/>
  <c r="X86" i="35"/>
  <c r="W86" i="35"/>
  <c r="V86" i="35"/>
  <c r="U86" i="35"/>
  <c r="T86" i="35"/>
  <c r="S86" i="35"/>
  <c r="R86" i="35"/>
  <c r="M86" i="35"/>
  <c r="X85" i="35"/>
  <c r="W85" i="35"/>
  <c r="V85" i="35"/>
  <c r="U85" i="35"/>
  <c r="T85" i="35"/>
  <c r="S85" i="35"/>
  <c r="R85" i="35"/>
  <c r="M85" i="35"/>
  <c r="X84" i="35"/>
  <c r="W84" i="35"/>
  <c r="V84" i="35"/>
  <c r="U84" i="35"/>
  <c r="T84" i="35"/>
  <c r="S84" i="35"/>
  <c r="R84" i="35"/>
  <c r="M84" i="35"/>
  <c r="X83" i="35"/>
  <c r="W83" i="35"/>
  <c r="V83" i="35"/>
  <c r="U83" i="35"/>
  <c r="T83" i="35"/>
  <c r="S83" i="35"/>
  <c r="R83" i="35"/>
  <c r="M83" i="35"/>
  <c r="X82" i="35"/>
  <c r="W82" i="35"/>
  <c r="V82" i="35"/>
  <c r="U82" i="35"/>
  <c r="T82" i="35"/>
  <c r="S82" i="35"/>
  <c r="R82" i="35"/>
  <c r="M82" i="35"/>
  <c r="X81" i="35"/>
  <c r="W81" i="35"/>
  <c r="V81" i="35"/>
  <c r="U81" i="35"/>
  <c r="T81" i="35"/>
  <c r="S81" i="35"/>
  <c r="R81" i="35"/>
  <c r="M81" i="35"/>
  <c r="X80" i="35"/>
  <c r="W80" i="35"/>
  <c r="V80" i="35"/>
  <c r="U80" i="35"/>
  <c r="T80" i="35"/>
  <c r="S80" i="35"/>
  <c r="R80" i="35"/>
  <c r="M80" i="35"/>
  <c r="X79" i="35"/>
  <c r="W79" i="35"/>
  <c r="V79" i="35"/>
  <c r="U79" i="35"/>
  <c r="T79" i="35"/>
  <c r="S79" i="35"/>
  <c r="R79" i="35"/>
  <c r="M79" i="35"/>
  <c r="X78" i="35"/>
  <c r="W78" i="35"/>
  <c r="V78" i="35"/>
  <c r="U78" i="35"/>
  <c r="T78" i="35"/>
  <c r="S78" i="35"/>
  <c r="R78" i="35"/>
  <c r="M78" i="35"/>
  <c r="X77" i="35"/>
  <c r="W77" i="35"/>
  <c r="V77" i="35"/>
  <c r="U77" i="35"/>
  <c r="T77" i="35"/>
  <c r="S77" i="35"/>
  <c r="R77" i="35"/>
  <c r="M77" i="35"/>
  <c r="X76" i="35"/>
  <c r="W76" i="35"/>
  <c r="V76" i="35"/>
  <c r="U76" i="35"/>
  <c r="T76" i="35"/>
  <c r="S76" i="35"/>
  <c r="R76" i="35"/>
  <c r="M76" i="35"/>
  <c r="X75" i="35"/>
  <c r="W75" i="35"/>
  <c r="V75" i="35"/>
  <c r="U75" i="35"/>
  <c r="T75" i="35"/>
  <c r="S75" i="35"/>
  <c r="R75" i="35"/>
  <c r="M75" i="35"/>
  <c r="X74" i="35"/>
  <c r="W74" i="35"/>
  <c r="V74" i="35"/>
  <c r="U74" i="35"/>
  <c r="T74" i="35"/>
  <c r="S74" i="35"/>
  <c r="R74" i="35"/>
  <c r="M74" i="35"/>
  <c r="X73" i="35"/>
  <c r="W73" i="35"/>
  <c r="V73" i="35"/>
  <c r="U73" i="35"/>
  <c r="T73" i="35"/>
  <c r="S73" i="35"/>
  <c r="R73" i="35"/>
  <c r="M73" i="35"/>
  <c r="X72" i="35"/>
  <c r="W72" i="35"/>
  <c r="V72" i="35"/>
  <c r="U72" i="35"/>
  <c r="T72" i="35"/>
  <c r="S72" i="35"/>
  <c r="R72" i="35"/>
  <c r="M72" i="35"/>
  <c r="X71" i="35"/>
  <c r="W71" i="35"/>
  <c r="V71" i="35"/>
  <c r="U71" i="35"/>
  <c r="T71" i="35"/>
  <c r="S71" i="35"/>
  <c r="R71" i="35"/>
  <c r="M71" i="35"/>
  <c r="X70" i="35"/>
  <c r="W70" i="35"/>
  <c r="V70" i="35"/>
  <c r="U70" i="35"/>
  <c r="T70" i="35"/>
  <c r="S70" i="35"/>
  <c r="R70" i="35"/>
  <c r="M70" i="35"/>
  <c r="X69" i="35"/>
  <c r="W69" i="35"/>
  <c r="V69" i="35"/>
  <c r="U69" i="35"/>
  <c r="T69" i="35"/>
  <c r="S69" i="35"/>
  <c r="R69" i="35"/>
  <c r="M69" i="35"/>
  <c r="X68" i="35"/>
  <c r="W68" i="35"/>
  <c r="V68" i="35"/>
  <c r="U68" i="35"/>
  <c r="T68" i="35"/>
  <c r="S68" i="35"/>
  <c r="R68" i="35"/>
  <c r="M68" i="35"/>
  <c r="X67" i="35"/>
  <c r="W67" i="35"/>
  <c r="V67" i="35"/>
  <c r="U67" i="35"/>
  <c r="T67" i="35"/>
  <c r="S67" i="35"/>
  <c r="R67" i="35"/>
  <c r="M67" i="35"/>
  <c r="X66" i="35"/>
  <c r="W66" i="35"/>
  <c r="V66" i="35"/>
  <c r="U66" i="35"/>
  <c r="T66" i="35"/>
  <c r="S66" i="35"/>
  <c r="R66" i="35"/>
  <c r="M66" i="35"/>
  <c r="X65" i="35"/>
  <c r="W65" i="35"/>
  <c r="V65" i="35"/>
  <c r="U65" i="35"/>
  <c r="T65" i="35"/>
  <c r="S65" i="35"/>
  <c r="R65" i="35"/>
  <c r="M65" i="35"/>
  <c r="X64" i="35"/>
  <c r="W64" i="35"/>
  <c r="V64" i="35"/>
  <c r="U64" i="35"/>
  <c r="T64" i="35"/>
  <c r="S64" i="35"/>
  <c r="R64" i="35"/>
  <c r="M64" i="35"/>
  <c r="X63" i="35"/>
  <c r="W63" i="35"/>
  <c r="V63" i="35"/>
  <c r="U63" i="35"/>
  <c r="T63" i="35"/>
  <c r="S63" i="35"/>
  <c r="R63" i="35"/>
  <c r="M63" i="35"/>
  <c r="X62" i="35"/>
  <c r="W62" i="35"/>
  <c r="V62" i="35"/>
  <c r="U62" i="35"/>
  <c r="T62" i="35"/>
  <c r="S62" i="35"/>
  <c r="R62" i="35"/>
  <c r="M62" i="35"/>
  <c r="X61" i="35"/>
  <c r="W61" i="35"/>
  <c r="V61" i="35"/>
  <c r="U61" i="35"/>
  <c r="T61" i="35"/>
  <c r="S61" i="35"/>
  <c r="R61" i="35"/>
  <c r="M61" i="35"/>
  <c r="X60" i="35"/>
  <c r="W60" i="35"/>
  <c r="V60" i="35"/>
  <c r="U60" i="35"/>
  <c r="T60" i="35"/>
  <c r="S60" i="35"/>
  <c r="R60" i="35"/>
  <c r="M60" i="35"/>
  <c r="X59" i="35"/>
  <c r="W59" i="35"/>
  <c r="V59" i="35"/>
  <c r="U59" i="35"/>
  <c r="T59" i="35"/>
  <c r="S59" i="35"/>
  <c r="R59" i="35"/>
  <c r="M59" i="35"/>
  <c r="X58" i="35"/>
  <c r="W58" i="35"/>
  <c r="V58" i="35"/>
  <c r="U58" i="35"/>
  <c r="T58" i="35"/>
  <c r="S58" i="35"/>
  <c r="R58" i="35"/>
  <c r="M58" i="35"/>
  <c r="X57" i="35"/>
  <c r="W57" i="35"/>
  <c r="V57" i="35"/>
  <c r="U57" i="35"/>
  <c r="T57" i="35"/>
  <c r="S57" i="35"/>
  <c r="R57" i="35"/>
  <c r="M57" i="35"/>
  <c r="X56" i="35"/>
  <c r="W56" i="35"/>
  <c r="V56" i="35"/>
  <c r="U56" i="35"/>
  <c r="T56" i="35"/>
  <c r="S56" i="35"/>
  <c r="R56" i="35"/>
  <c r="M56" i="35"/>
  <c r="X55" i="35"/>
  <c r="W55" i="35"/>
  <c r="V55" i="35"/>
  <c r="U55" i="35"/>
  <c r="T55" i="35"/>
  <c r="S55" i="35"/>
  <c r="R55" i="35"/>
  <c r="M55" i="35"/>
  <c r="X54" i="35"/>
  <c r="W54" i="35"/>
  <c r="V54" i="35"/>
  <c r="U54" i="35"/>
  <c r="T54" i="35"/>
  <c r="S54" i="35"/>
  <c r="R54" i="35"/>
  <c r="M54" i="35"/>
  <c r="X53" i="35"/>
  <c r="W53" i="35"/>
  <c r="V53" i="35"/>
  <c r="U53" i="35"/>
  <c r="T53" i="35"/>
  <c r="S53" i="35"/>
  <c r="R53" i="35"/>
  <c r="M53" i="35"/>
  <c r="X52" i="35"/>
  <c r="W52" i="35"/>
  <c r="V52" i="35"/>
  <c r="U52" i="35"/>
  <c r="T52" i="35"/>
  <c r="S52" i="35"/>
  <c r="R52" i="35"/>
  <c r="M52" i="35"/>
  <c r="X51" i="35"/>
  <c r="W51" i="35"/>
  <c r="V51" i="35"/>
  <c r="U51" i="35"/>
  <c r="T51" i="35"/>
  <c r="S51" i="35"/>
  <c r="R51" i="35"/>
  <c r="M51" i="35"/>
  <c r="X50" i="35"/>
  <c r="W50" i="35"/>
  <c r="V50" i="35"/>
  <c r="U50" i="35"/>
  <c r="T50" i="35"/>
  <c r="S50" i="35"/>
  <c r="R50" i="35"/>
  <c r="M50" i="35"/>
  <c r="X49" i="35"/>
  <c r="W49" i="35"/>
  <c r="V49" i="35"/>
  <c r="U49" i="35"/>
  <c r="T49" i="35"/>
  <c r="S49" i="35"/>
  <c r="R49" i="35"/>
  <c r="M49" i="35"/>
  <c r="X48" i="35"/>
  <c r="W48" i="35"/>
  <c r="V48" i="35"/>
  <c r="U48" i="35"/>
  <c r="T48" i="35"/>
  <c r="S48" i="35"/>
  <c r="R48" i="35"/>
  <c r="M48" i="35"/>
  <c r="X47" i="35"/>
  <c r="W47" i="35"/>
  <c r="V47" i="35"/>
  <c r="U47" i="35"/>
  <c r="T47" i="35"/>
  <c r="S47" i="35"/>
  <c r="R47" i="35"/>
  <c r="M47" i="35"/>
  <c r="X46" i="35"/>
  <c r="W46" i="35"/>
  <c r="V46" i="35"/>
  <c r="U46" i="35"/>
  <c r="T46" i="35"/>
  <c r="S46" i="35"/>
  <c r="R46" i="35"/>
  <c r="M46" i="35"/>
  <c r="X45" i="35"/>
  <c r="W45" i="35"/>
  <c r="V45" i="35"/>
  <c r="U45" i="35"/>
  <c r="T45" i="35"/>
  <c r="S45" i="35"/>
  <c r="R45" i="35"/>
  <c r="M45" i="35"/>
  <c r="X44" i="35"/>
  <c r="W44" i="35"/>
  <c r="V44" i="35"/>
  <c r="U44" i="35"/>
  <c r="T44" i="35"/>
  <c r="S44" i="35"/>
  <c r="R44" i="35"/>
  <c r="M44" i="35"/>
  <c r="X43" i="35"/>
  <c r="W43" i="35"/>
  <c r="V43" i="35"/>
  <c r="U43" i="35"/>
  <c r="T43" i="35"/>
  <c r="S43" i="35"/>
  <c r="R43" i="35"/>
  <c r="M43" i="35"/>
  <c r="X42" i="35"/>
  <c r="W42" i="35"/>
  <c r="V42" i="35"/>
  <c r="U42" i="35"/>
  <c r="T42" i="35"/>
  <c r="S42" i="35"/>
  <c r="R42" i="35"/>
  <c r="M42" i="35"/>
  <c r="X41" i="35"/>
  <c r="W41" i="35"/>
  <c r="V41" i="35"/>
  <c r="U41" i="35"/>
  <c r="T41" i="35"/>
  <c r="S41" i="35"/>
  <c r="R41" i="35"/>
  <c r="M41" i="35"/>
  <c r="X40" i="35"/>
  <c r="W40" i="35"/>
  <c r="V40" i="35"/>
  <c r="U40" i="35"/>
  <c r="T40" i="35"/>
  <c r="S40" i="35"/>
  <c r="R40" i="35"/>
  <c r="M40" i="35"/>
  <c r="X39" i="35"/>
  <c r="W39" i="35"/>
  <c r="V39" i="35"/>
  <c r="U39" i="35"/>
  <c r="T39" i="35"/>
  <c r="S39" i="35"/>
  <c r="R39" i="35"/>
  <c r="M39" i="35"/>
  <c r="X38" i="35"/>
  <c r="W38" i="35"/>
  <c r="V38" i="35"/>
  <c r="U38" i="35"/>
  <c r="T38" i="35"/>
  <c r="S38" i="35"/>
  <c r="R38" i="35"/>
  <c r="M38" i="35"/>
  <c r="X37" i="35"/>
  <c r="W37" i="35"/>
  <c r="V37" i="35"/>
  <c r="R37" i="35"/>
  <c r="M37" i="35"/>
  <c r="X36" i="35"/>
  <c r="W36" i="35"/>
  <c r="V36" i="35"/>
  <c r="U36" i="35"/>
  <c r="T36" i="35"/>
  <c r="S36" i="35"/>
  <c r="R36" i="35"/>
  <c r="M36" i="35"/>
  <c r="X35" i="35"/>
  <c r="W35" i="35"/>
  <c r="V35" i="35"/>
  <c r="U35" i="35"/>
  <c r="T35" i="35"/>
  <c r="S35" i="35"/>
  <c r="R35" i="35"/>
  <c r="M35" i="35"/>
  <c r="X34" i="35"/>
  <c r="W34" i="35"/>
  <c r="V34" i="35"/>
  <c r="R34" i="35"/>
  <c r="M34" i="35"/>
  <c r="X33" i="35"/>
  <c r="W33" i="35"/>
  <c r="V33" i="35"/>
  <c r="U33" i="35"/>
  <c r="T33" i="35"/>
  <c r="S33" i="35"/>
  <c r="R33" i="35"/>
  <c r="M33" i="35"/>
  <c r="X32" i="35"/>
  <c r="W32" i="35"/>
  <c r="V32" i="35"/>
  <c r="U32" i="35"/>
  <c r="T32" i="35"/>
  <c r="S32" i="35"/>
  <c r="R32" i="35"/>
  <c r="M32" i="35"/>
  <c r="X31" i="35"/>
  <c r="W31" i="35"/>
  <c r="V31" i="35"/>
  <c r="U31" i="35"/>
  <c r="T31" i="35"/>
  <c r="S31" i="35"/>
  <c r="R31" i="35"/>
  <c r="M31" i="35"/>
  <c r="X30" i="35"/>
  <c r="W30" i="35"/>
  <c r="V30" i="35"/>
  <c r="U30" i="35"/>
  <c r="T30" i="35"/>
  <c r="S30" i="35"/>
  <c r="R30" i="35"/>
  <c r="M30" i="35"/>
  <c r="X29" i="35"/>
  <c r="W29" i="35"/>
  <c r="V29" i="35"/>
  <c r="U29" i="35"/>
  <c r="T29" i="35"/>
  <c r="S29" i="35"/>
  <c r="R29" i="35"/>
  <c r="M29" i="35"/>
  <c r="X28" i="35"/>
  <c r="W28" i="35"/>
  <c r="V28" i="35"/>
  <c r="U28" i="35"/>
  <c r="T28" i="35"/>
  <c r="S28" i="35"/>
  <c r="R28" i="35"/>
  <c r="M28" i="35"/>
  <c r="X27" i="35"/>
  <c r="W27" i="35"/>
  <c r="V27" i="35"/>
  <c r="U27" i="35"/>
  <c r="T27" i="35"/>
  <c r="S27" i="35"/>
  <c r="R27" i="35"/>
  <c r="M27" i="35"/>
  <c r="L27" i="35"/>
  <c r="U26" i="35"/>
  <c r="T26" i="35"/>
  <c r="S26" i="35"/>
  <c r="R26" i="35"/>
  <c r="M26" i="35"/>
  <c r="P38" i="35" s="1"/>
  <c r="L26" i="35"/>
  <c r="O33" i="35" s="1"/>
  <c r="X25" i="35"/>
  <c r="W25" i="35"/>
  <c r="V25" i="35"/>
  <c r="U25" i="35"/>
  <c r="T25" i="35"/>
  <c r="S25" i="35"/>
  <c r="R25" i="35"/>
  <c r="Q25" i="35"/>
  <c r="P25" i="35"/>
  <c r="O25" i="35"/>
  <c r="N25" i="35"/>
  <c r="N37" i="35" s="1"/>
  <c r="M25" i="35"/>
  <c r="L25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R16" i="35"/>
  <c r="N16" i="35"/>
  <c r="M16" i="35"/>
  <c r="L16" i="35"/>
  <c r="K16" i="35"/>
  <c r="Y2" i="35"/>
  <c r="X153" i="33"/>
  <c r="W153" i="33"/>
  <c r="V153" i="33"/>
  <c r="U153" i="33"/>
  <c r="T153" i="33"/>
  <c r="S153" i="33"/>
  <c r="R153" i="33"/>
  <c r="N153" i="33"/>
  <c r="L153" i="33"/>
  <c r="X152" i="33"/>
  <c r="W152" i="33"/>
  <c r="V152" i="33"/>
  <c r="U152" i="33"/>
  <c r="T152" i="33"/>
  <c r="S152" i="33"/>
  <c r="R152" i="33"/>
  <c r="N152" i="33"/>
  <c r="L152" i="33"/>
  <c r="X151" i="33"/>
  <c r="W151" i="33"/>
  <c r="V151" i="33"/>
  <c r="U151" i="33"/>
  <c r="T151" i="33"/>
  <c r="S151" i="33"/>
  <c r="R151" i="33"/>
  <c r="N151" i="33"/>
  <c r="L151" i="33"/>
  <c r="X150" i="33"/>
  <c r="W150" i="33"/>
  <c r="V150" i="33"/>
  <c r="U150" i="33"/>
  <c r="T150" i="33"/>
  <c r="S150" i="33"/>
  <c r="R150" i="33"/>
  <c r="N150" i="33"/>
  <c r="L150" i="33"/>
  <c r="X149" i="33"/>
  <c r="W149" i="33"/>
  <c r="V149" i="33"/>
  <c r="U149" i="33"/>
  <c r="T149" i="33"/>
  <c r="S149" i="33"/>
  <c r="R149" i="33"/>
  <c r="N149" i="33"/>
  <c r="L149" i="33"/>
  <c r="X148" i="33"/>
  <c r="W148" i="33"/>
  <c r="V148" i="33"/>
  <c r="U148" i="33"/>
  <c r="T148" i="33"/>
  <c r="S148" i="33"/>
  <c r="R148" i="33"/>
  <c r="N148" i="33"/>
  <c r="L148" i="33"/>
  <c r="X147" i="33"/>
  <c r="W147" i="33"/>
  <c r="V147" i="33"/>
  <c r="U147" i="33"/>
  <c r="T147" i="33"/>
  <c r="S147" i="33"/>
  <c r="R147" i="33"/>
  <c r="N147" i="33"/>
  <c r="L147" i="33"/>
  <c r="X146" i="33"/>
  <c r="W146" i="33"/>
  <c r="V146" i="33"/>
  <c r="U146" i="33"/>
  <c r="T146" i="33"/>
  <c r="S146" i="33"/>
  <c r="R146" i="33"/>
  <c r="N146" i="33"/>
  <c r="L146" i="33"/>
  <c r="X145" i="33"/>
  <c r="W145" i="33"/>
  <c r="V145" i="33"/>
  <c r="U145" i="33"/>
  <c r="T145" i="33"/>
  <c r="S145" i="33"/>
  <c r="R145" i="33"/>
  <c r="N145" i="33"/>
  <c r="L145" i="33"/>
  <c r="X144" i="33"/>
  <c r="W144" i="33"/>
  <c r="V144" i="33"/>
  <c r="U144" i="33"/>
  <c r="T144" i="33"/>
  <c r="S144" i="33"/>
  <c r="R144" i="33"/>
  <c r="N144" i="33"/>
  <c r="L144" i="33"/>
  <c r="X143" i="33"/>
  <c r="W143" i="33"/>
  <c r="V143" i="33"/>
  <c r="U143" i="33"/>
  <c r="T143" i="33"/>
  <c r="S143" i="33"/>
  <c r="R143" i="33"/>
  <c r="N143" i="33"/>
  <c r="L143" i="33"/>
  <c r="X142" i="33"/>
  <c r="W142" i="33"/>
  <c r="V142" i="33"/>
  <c r="U142" i="33"/>
  <c r="T142" i="33"/>
  <c r="S142" i="33"/>
  <c r="R142" i="33"/>
  <c r="N142" i="33"/>
  <c r="L142" i="33"/>
  <c r="X141" i="33"/>
  <c r="W141" i="33"/>
  <c r="V141" i="33"/>
  <c r="U141" i="33"/>
  <c r="T141" i="33"/>
  <c r="S141" i="33"/>
  <c r="R141" i="33"/>
  <c r="N141" i="33"/>
  <c r="L141" i="33"/>
  <c r="X140" i="33"/>
  <c r="W140" i="33"/>
  <c r="V140" i="33"/>
  <c r="U140" i="33"/>
  <c r="T140" i="33"/>
  <c r="S140" i="33"/>
  <c r="R140" i="33"/>
  <c r="N140" i="33"/>
  <c r="L140" i="33"/>
  <c r="X139" i="33"/>
  <c r="W139" i="33"/>
  <c r="V139" i="33"/>
  <c r="U139" i="33"/>
  <c r="T139" i="33"/>
  <c r="S139" i="33"/>
  <c r="R139" i="33"/>
  <c r="N139" i="33"/>
  <c r="L139" i="33"/>
  <c r="X138" i="33"/>
  <c r="W138" i="33"/>
  <c r="V138" i="33"/>
  <c r="U138" i="33"/>
  <c r="T138" i="33"/>
  <c r="S138" i="33"/>
  <c r="R138" i="33"/>
  <c r="N138" i="33"/>
  <c r="L138" i="33"/>
  <c r="X137" i="33"/>
  <c r="W137" i="33"/>
  <c r="V137" i="33"/>
  <c r="U137" i="33"/>
  <c r="T137" i="33"/>
  <c r="S137" i="33"/>
  <c r="R137" i="33"/>
  <c r="N137" i="33"/>
  <c r="L137" i="33"/>
  <c r="X136" i="33"/>
  <c r="W136" i="33"/>
  <c r="V136" i="33"/>
  <c r="U136" i="33"/>
  <c r="T136" i="33"/>
  <c r="S136" i="33"/>
  <c r="R136" i="33"/>
  <c r="N136" i="33"/>
  <c r="L136" i="33"/>
  <c r="X135" i="33"/>
  <c r="W135" i="33"/>
  <c r="V135" i="33"/>
  <c r="U135" i="33"/>
  <c r="T135" i="33"/>
  <c r="S135" i="33"/>
  <c r="R135" i="33"/>
  <c r="N135" i="33"/>
  <c r="L135" i="33"/>
  <c r="X134" i="33"/>
  <c r="W134" i="33"/>
  <c r="V134" i="33"/>
  <c r="U134" i="33"/>
  <c r="T134" i="33"/>
  <c r="S134" i="33"/>
  <c r="R134" i="33"/>
  <c r="N134" i="33"/>
  <c r="L134" i="33"/>
  <c r="X133" i="33"/>
  <c r="W133" i="33"/>
  <c r="V133" i="33"/>
  <c r="U133" i="33"/>
  <c r="T133" i="33"/>
  <c r="S133" i="33"/>
  <c r="R133" i="33"/>
  <c r="N133" i="33"/>
  <c r="L133" i="33"/>
  <c r="X132" i="33"/>
  <c r="W132" i="33"/>
  <c r="V132" i="33"/>
  <c r="U132" i="33"/>
  <c r="T132" i="33"/>
  <c r="S132" i="33"/>
  <c r="R132" i="33"/>
  <c r="N132" i="33"/>
  <c r="L132" i="33"/>
  <c r="X131" i="33"/>
  <c r="W131" i="33"/>
  <c r="V131" i="33"/>
  <c r="U131" i="33"/>
  <c r="T131" i="33"/>
  <c r="S131" i="33"/>
  <c r="R131" i="33"/>
  <c r="N131" i="33"/>
  <c r="L131" i="33"/>
  <c r="X130" i="33"/>
  <c r="W130" i="33"/>
  <c r="V130" i="33"/>
  <c r="U130" i="33"/>
  <c r="T130" i="33"/>
  <c r="S130" i="33"/>
  <c r="R130" i="33"/>
  <c r="N130" i="33"/>
  <c r="L130" i="33"/>
  <c r="X129" i="33"/>
  <c r="W129" i="33"/>
  <c r="V129" i="33"/>
  <c r="U129" i="33"/>
  <c r="T129" i="33"/>
  <c r="S129" i="33"/>
  <c r="R129" i="33"/>
  <c r="N129" i="33"/>
  <c r="L129" i="33"/>
  <c r="X128" i="33"/>
  <c r="W128" i="33"/>
  <c r="V128" i="33"/>
  <c r="U128" i="33"/>
  <c r="T128" i="33"/>
  <c r="S128" i="33"/>
  <c r="R128" i="33"/>
  <c r="N128" i="33"/>
  <c r="L128" i="33"/>
  <c r="X127" i="33"/>
  <c r="W127" i="33"/>
  <c r="V127" i="33"/>
  <c r="U127" i="33"/>
  <c r="T127" i="33"/>
  <c r="S127" i="33"/>
  <c r="R127" i="33"/>
  <c r="N127" i="33"/>
  <c r="L127" i="33"/>
  <c r="X126" i="33"/>
  <c r="W126" i="33"/>
  <c r="V126" i="33"/>
  <c r="U126" i="33"/>
  <c r="T126" i="33"/>
  <c r="S126" i="33"/>
  <c r="R126" i="33"/>
  <c r="N126" i="33"/>
  <c r="L126" i="33"/>
  <c r="X125" i="33"/>
  <c r="W125" i="33"/>
  <c r="V125" i="33"/>
  <c r="U125" i="33"/>
  <c r="T125" i="33"/>
  <c r="S125" i="33"/>
  <c r="R125" i="33"/>
  <c r="N125" i="33"/>
  <c r="L125" i="33"/>
  <c r="X124" i="33"/>
  <c r="W124" i="33"/>
  <c r="V124" i="33"/>
  <c r="U124" i="33"/>
  <c r="T124" i="33"/>
  <c r="S124" i="33"/>
  <c r="R124" i="33"/>
  <c r="N124" i="33"/>
  <c r="L124" i="33"/>
  <c r="X123" i="33"/>
  <c r="W123" i="33"/>
  <c r="V123" i="33"/>
  <c r="U123" i="33"/>
  <c r="T123" i="33"/>
  <c r="S123" i="33"/>
  <c r="R123" i="33"/>
  <c r="N123" i="33"/>
  <c r="L123" i="33"/>
  <c r="X122" i="33"/>
  <c r="W122" i="33"/>
  <c r="V122" i="33"/>
  <c r="U122" i="33"/>
  <c r="T122" i="33"/>
  <c r="S122" i="33"/>
  <c r="R122" i="33"/>
  <c r="N122" i="33"/>
  <c r="L122" i="33"/>
  <c r="X121" i="33"/>
  <c r="W121" i="33"/>
  <c r="V121" i="33"/>
  <c r="U121" i="33"/>
  <c r="T121" i="33"/>
  <c r="S121" i="33"/>
  <c r="R121" i="33"/>
  <c r="N121" i="33"/>
  <c r="L121" i="33"/>
  <c r="X120" i="33"/>
  <c r="W120" i="33"/>
  <c r="V120" i="33"/>
  <c r="U120" i="33"/>
  <c r="T120" i="33"/>
  <c r="S120" i="33"/>
  <c r="R120" i="33"/>
  <c r="N120" i="33"/>
  <c r="L120" i="33"/>
  <c r="X119" i="33"/>
  <c r="W119" i="33"/>
  <c r="V119" i="33"/>
  <c r="U119" i="33"/>
  <c r="T119" i="33"/>
  <c r="S119" i="33"/>
  <c r="R119" i="33"/>
  <c r="N119" i="33"/>
  <c r="L119" i="33"/>
  <c r="X118" i="33"/>
  <c r="W118" i="33"/>
  <c r="V118" i="33"/>
  <c r="U118" i="33"/>
  <c r="T118" i="33"/>
  <c r="S118" i="33"/>
  <c r="R118" i="33"/>
  <c r="N118" i="33"/>
  <c r="L118" i="33"/>
  <c r="X117" i="33"/>
  <c r="W117" i="33"/>
  <c r="V117" i="33"/>
  <c r="U117" i="33"/>
  <c r="T117" i="33"/>
  <c r="S117" i="33"/>
  <c r="R117" i="33"/>
  <c r="N117" i="33"/>
  <c r="L117" i="33"/>
  <c r="X116" i="33"/>
  <c r="W116" i="33"/>
  <c r="V116" i="33"/>
  <c r="U116" i="33"/>
  <c r="T116" i="33"/>
  <c r="S116" i="33"/>
  <c r="R116" i="33"/>
  <c r="N116" i="33"/>
  <c r="L116" i="33"/>
  <c r="X115" i="33"/>
  <c r="W115" i="33"/>
  <c r="V115" i="33"/>
  <c r="U115" i="33"/>
  <c r="T115" i="33"/>
  <c r="S115" i="33"/>
  <c r="R115" i="33"/>
  <c r="N115" i="33"/>
  <c r="L115" i="33"/>
  <c r="X114" i="33"/>
  <c r="W114" i="33"/>
  <c r="V114" i="33"/>
  <c r="U114" i="33"/>
  <c r="T114" i="33"/>
  <c r="S114" i="33"/>
  <c r="R114" i="33"/>
  <c r="N114" i="33"/>
  <c r="L114" i="33"/>
  <c r="X113" i="33"/>
  <c r="W113" i="33"/>
  <c r="V113" i="33"/>
  <c r="U113" i="33"/>
  <c r="T113" i="33"/>
  <c r="S113" i="33"/>
  <c r="R113" i="33"/>
  <c r="N113" i="33"/>
  <c r="L113" i="33"/>
  <c r="X112" i="33"/>
  <c r="W112" i="33"/>
  <c r="V112" i="33"/>
  <c r="U112" i="33"/>
  <c r="T112" i="33"/>
  <c r="S112" i="33"/>
  <c r="R112" i="33"/>
  <c r="N112" i="33"/>
  <c r="L112" i="33"/>
  <c r="X111" i="33"/>
  <c r="W111" i="33"/>
  <c r="V111" i="33"/>
  <c r="U111" i="33"/>
  <c r="T111" i="33"/>
  <c r="S111" i="33"/>
  <c r="R111" i="33"/>
  <c r="N111" i="33"/>
  <c r="L111" i="33"/>
  <c r="X110" i="33"/>
  <c r="W110" i="33"/>
  <c r="V110" i="33"/>
  <c r="U110" i="33"/>
  <c r="T110" i="33"/>
  <c r="S110" i="33"/>
  <c r="R110" i="33"/>
  <c r="N110" i="33"/>
  <c r="L110" i="33"/>
  <c r="X109" i="33"/>
  <c r="W109" i="33"/>
  <c r="V109" i="33"/>
  <c r="U109" i="33"/>
  <c r="T109" i="33"/>
  <c r="S109" i="33"/>
  <c r="R109" i="33"/>
  <c r="N109" i="33"/>
  <c r="L109" i="33"/>
  <c r="X108" i="33"/>
  <c r="W108" i="33"/>
  <c r="V108" i="33"/>
  <c r="U108" i="33"/>
  <c r="T108" i="33"/>
  <c r="S108" i="33"/>
  <c r="R108" i="33"/>
  <c r="N108" i="33"/>
  <c r="L108" i="33"/>
  <c r="X107" i="33"/>
  <c r="W107" i="33"/>
  <c r="V107" i="33"/>
  <c r="U107" i="33"/>
  <c r="T107" i="33"/>
  <c r="S107" i="33"/>
  <c r="R107" i="33"/>
  <c r="N107" i="33"/>
  <c r="L107" i="33"/>
  <c r="X106" i="33"/>
  <c r="W106" i="33"/>
  <c r="V106" i="33"/>
  <c r="U106" i="33"/>
  <c r="T106" i="33"/>
  <c r="S106" i="33"/>
  <c r="R106" i="33"/>
  <c r="N106" i="33"/>
  <c r="L106" i="33"/>
  <c r="X105" i="33"/>
  <c r="W105" i="33"/>
  <c r="V105" i="33"/>
  <c r="U105" i="33"/>
  <c r="T105" i="33"/>
  <c r="S105" i="33"/>
  <c r="R105" i="33"/>
  <c r="N105" i="33"/>
  <c r="L105" i="33"/>
  <c r="X104" i="33"/>
  <c r="W104" i="33"/>
  <c r="V104" i="33"/>
  <c r="U104" i="33"/>
  <c r="T104" i="33"/>
  <c r="S104" i="33"/>
  <c r="R104" i="33"/>
  <c r="N104" i="33"/>
  <c r="L104" i="33"/>
  <c r="X103" i="33"/>
  <c r="W103" i="33"/>
  <c r="V103" i="33"/>
  <c r="U103" i="33"/>
  <c r="T103" i="33"/>
  <c r="S103" i="33"/>
  <c r="R103" i="33"/>
  <c r="N103" i="33"/>
  <c r="L103" i="33"/>
  <c r="X102" i="33"/>
  <c r="W102" i="33"/>
  <c r="V102" i="33"/>
  <c r="U102" i="33"/>
  <c r="T102" i="33"/>
  <c r="S102" i="33"/>
  <c r="R102" i="33"/>
  <c r="N102" i="33"/>
  <c r="L102" i="33"/>
  <c r="X101" i="33"/>
  <c r="W101" i="33"/>
  <c r="V101" i="33"/>
  <c r="U101" i="33"/>
  <c r="T101" i="33"/>
  <c r="S101" i="33"/>
  <c r="R101" i="33"/>
  <c r="N101" i="33"/>
  <c r="L101" i="33"/>
  <c r="X100" i="33"/>
  <c r="W100" i="33"/>
  <c r="V100" i="33"/>
  <c r="U100" i="33"/>
  <c r="T100" i="33"/>
  <c r="S100" i="33"/>
  <c r="R100" i="33"/>
  <c r="N100" i="33"/>
  <c r="L100" i="33"/>
  <c r="X99" i="33"/>
  <c r="W99" i="33"/>
  <c r="V99" i="33"/>
  <c r="U99" i="33"/>
  <c r="T99" i="33"/>
  <c r="S99" i="33"/>
  <c r="R99" i="33"/>
  <c r="N99" i="33"/>
  <c r="L99" i="33"/>
  <c r="X98" i="33"/>
  <c r="W98" i="33"/>
  <c r="V98" i="33"/>
  <c r="U98" i="33"/>
  <c r="T98" i="33"/>
  <c r="S98" i="33"/>
  <c r="R98" i="33"/>
  <c r="N98" i="33"/>
  <c r="L98" i="33"/>
  <c r="X97" i="33"/>
  <c r="W97" i="33"/>
  <c r="V97" i="33"/>
  <c r="U97" i="33"/>
  <c r="T97" i="33"/>
  <c r="S97" i="33"/>
  <c r="R97" i="33"/>
  <c r="N97" i="33"/>
  <c r="L97" i="33"/>
  <c r="X96" i="33"/>
  <c r="W96" i="33"/>
  <c r="V96" i="33"/>
  <c r="U96" i="33"/>
  <c r="T96" i="33"/>
  <c r="S96" i="33"/>
  <c r="R96" i="33"/>
  <c r="N96" i="33"/>
  <c r="L96" i="33"/>
  <c r="X95" i="33"/>
  <c r="W95" i="33"/>
  <c r="V95" i="33"/>
  <c r="U95" i="33"/>
  <c r="T95" i="33"/>
  <c r="S95" i="33"/>
  <c r="R95" i="33"/>
  <c r="N95" i="33"/>
  <c r="L95" i="33"/>
  <c r="X94" i="33"/>
  <c r="W94" i="33"/>
  <c r="V94" i="33"/>
  <c r="U94" i="33"/>
  <c r="T94" i="33"/>
  <c r="S94" i="33"/>
  <c r="R94" i="33"/>
  <c r="N94" i="33"/>
  <c r="L94" i="33"/>
  <c r="X93" i="33"/>
  <c r="W93" i="33"/>
  <c r="V93" i="33"/>
  <c r="U93" i="33"/>
  <c r="T93" i="33"/>
  <c r="S93" i="33"/>
  <c r="R93" i="33"/>
  <c r="N93" i="33"/>
  <c r="L93" i="33"/>
  <c r="X92" i="33"/>
  <c r="W92" i="33"/>
  <c r="V92" i="33"/>
  <c r="U92" i="33"/>
  <c r="T92" i="33"/>
  <c r="S92" i="33"/>
  <c r="R92" i="33"/>
  <c r="N92" i="33"/>
  <c r="L92" i="33"/>
  <c r="X91" i="33"/>
  <c r="W91" i="33"/>
  <c r="V91" i="33"/>
  <c r="U91" i="33"/>
  <c r="T91" i="33"/>
  <c r="S91" i="33"/>
  <c r="R91" i="33"/>
  <c r="N91" i="33"/>
  <c r="L91" i="33"/>
  <c r="X90" i="33"/>
  <c r="W90" i="33"/>
  <c r="V90" i="33"/>
  <c r="U90" i="33"/>
  <c r="T90" i="33"/>
  <c r="S90" i="33"/>
  <c r="R90" i="33"/>
  <c r="N90" i="33"/>
  <c r="L90" i="33"/>
  <c r="X89" i="33"/>
  <c r="W89" i="33"/>
  <c r="V89" i="33"/>
  <c r="U89" i="33"/>
  <c r="T89" i="33"/>
  <c r="S89" i="33"/>
  <c r="R89" i="33"/>
  <c r="N89" i="33"/>
  <c r="L89" i="33"/>
  <c r="X88" i="33"/>
  <c r="W88" i="33"/>
  <c r="V88" i="33"/>
  <c r="U88" i="33"/>
  <c r="T88" i="33"/>
  <c r="S88" i="33"/>
  <c r="R88" i="33"/>
  <c r="N88" i="33"/>
  <c r="L88" i="33"/>
  <c r="X87" i="33"/>
  <c r="W87" i="33"/>
  <c r="V87" i="33"/>
  <c r="U87" i="33"/>
  <c r="T87" i="33"/>
  <c r="S87" i="33"/>
  <c r="R87" i="33"/>
  <c r="N87" i="33"/>
  <c r="L87" i="33"/>
  <c r="X86" i="33"/>
  <c r="W86" i="33"/>
  <c r="V86" i="33"/>
  <c r="U86" i="33"/>
  <c r="T86" i="33"/>
  <c r="S86" i="33"/>
  <c r="R86" i="33"/>
  <c r="N86" i="33"/>
  <c r="L86" i="33"/>
  <c r="X85" i="33"/>
  <c r="W85" i="33"/>
  <c r="V85" i="33"/>
  <c r="U85" i="33"/>
  <c r="T85" i="33"/>
  <c r="S85" i="33"/>
  <c r="R85" i="33"/>
  <c r="N85" i="33"/>
  <c r="L85" i="33"/>
  <c r="X84" i="33"/>
  <c r="W84" i="33"/>
  <c r="V84" i="33"/>
  <c r="U84" i="33"/>
  <c r="T84" i="33"/>
  <c r="S84" i="33"/>
  <c r="R84" i="33"/>
  <c r="N84" i="33"/>
  <c r="L84" i="33"/>
  <c r="X83" i="33"/>
  <c r="W83" i="33"/>
  <c r="V83" i="33"/>
  <c r="U83" i="33"/>
  <c r="T83" i="33"/>
  <c r="S83" i="33"/>
  <c r="R83" i="33"/>
  <c r="N83" i="33"/>
  <c r="L83" i="33"/>
  <c r="X82" i="33"/>
  <c r="W82" i="33"/>
  <c r="V82" i="33"/>
  <c r="U82" i="33"/>
  <c r="T82" i="33"/>
  <c r="S82" i="33"/>
  <c r="R82" i="33"/>
  <c r="N82" i="33"/>
  <c r="L82" i="33"/>
  <c r="X81" i="33"/>
  <c r="W81" i="33"/>
  <c r="V81" i="33"/>
  <c r="U81" i="33"/>
  <c r="T81" i="33"/>
  <c r="S81" i="33"/>
  <c r="R81" i="33"/>
  <c r="N81" i="33"/>
  <c r="L81" i="33"/>
  <c r="X80" i="33"/>
  <c r="W80" i="33"/>
  <c r="V80" i="33"/>
  <c r="U80" i="33"/>
  <c r="T80" i="33"/>
  <c r="S80" i="33"/>
  <c r="R80" i="33"/>
  <c r="N80" i="33"/>
  <c r="L80" i="33"/>
  <c r="X79" i="33"/>
  <c r="W79" i="33"/>
  <c r="V79" i="33"/>
  <c r="U79" i="33"/>
  <c r="T79" i="33"/>
  <c r="S79" i="33"/>
  <c r="R79" i="33"/>
  <c r="N79" i="33"/>
  <c r="L79" i="33"/>
  <c r="X78" i="33"/>
  <c r="W78" i="33"/>
  <c r="V78" i="33"/>
  <c r="U78" i="33"/>
  <c r="T78" i="33"/>
  <c r="S78" i="33"/>
  <c r="R78" i="33"/>
  <c r="N78" i="33"/>
  <c r="L78" i="33"/>
  <c r="X77" i="33"/>
  <c r="W77" i="33"/>
  <c r="V77" i="33"/>
  <c r="U77" i="33"/>
  <c r="T77" i="33"/>
  <c r="S77" i="33"/>
  <c r="R77" i="33"/>
  <c r="N77" i="33"/>
  <c r="L77" i="33"/>
  <c r="X76" i="33"/>
  <c r="W76" i="33"/>
  <c r="V76" i="33"/>
  <c r="U76" i="33"/>
  <c r="T76" i="33"/>
  <c r="S76" i="33"/>
  <c r="R76" i="33"/>
  <c r="N76" i="33"/>
  <c r="L76" i="33"/>
  <c r="X75" i="33"/>
  <c r="W75" i="33"/>
  <c r="V75" i="33"/>
  <c r="U75" i="33"/>
  <c r="T75" i="33"/>
  <c r="S75" i="33"/>
  <c r="R75" i="33"/>
  <c r="N75" i="33"/>
  <c r="L75" i="33"/>
  <c r="X74" i="33"/>
  <c r="W74" i="33"/>
  <c r="V74" i="33"/>
  <c r="U74" i="33"/>
  <c r="T74" i="33"/>
  <c r="S74" i="33"/>
  <c r="R74" i="33"/>
  <c r="N74" i="33"/>
  <c r="L74" i="33"/>
  <c r="X73" i="33"/>
  <c r="W73" i="33"/>
  <c r="V73" i="33"/>
  <c r="U73" i="33"/>
  <c r="T73" i="33"/>
  <c r="S73" i="33"/>
  <c r="R73" i="33"/>
  <c r="N73" i="33"/>
  <c r="L73" i="33"/>
  <c r="X72" i="33"/>
  <c r="W72" i="33"/>
  <c r="V72" i="33"/>
  <c r="U72" i="33"/>
  <c r="T72" i="33"/>
  <c r="S72" i="33"/>
  <c r="R72" i="33"/>
  <c r="N72" i="33"/>
  <c r="L72" i="33"/>
  <c r="X71" i="33"/>
  <c r="W71" i="33"/>
  <c r="V71" i="33"/>
  <c r="U71" i="33"/>
  <c r="T71" i="33"/>
  <c r="S71" i="33"/>
  <c r="R71" i="33"/>
  <c r="N71" i="33"/>
  <c r="L71" i="33"/>
  <c r="X70" i="33"/>
  <c r="W70" i="33"/>
  <c r="V70" i="33"/>
  <c r="U70" i="33"/>
  <c r="T70" i="33"/>
  <c r="S70" i="33"/>
  <c r="R70" i="33"/>
  <c r="N70" i="33"/>
  <c r="L70" i="33"/>
  <c r="X69" i="33"/>
  <c r="W69" i="33"/>
  <c r="V69" i="33"/>
  <c r="U69" i="33"/>
  <c r="T69" i="33"/>
  <c r="S69" i="33"/>
  <c r="R69" i="33"/>
  <c r="N69" i="33"/>
  <c r="L69" i="33"/>
  <c r="X68" i="33"/>
  <c r="W68" i="33"/>
  <c r="V68" i="33"/>
  <c r="U68" i="33"/>
  <c r="T68" i="33"/>
  <c r="S68" i="33"/>
  <c r="R68" i="33"/>
  <c r="N68" i="33"/>
  <c r="L68" i="33"/>
  <c r="X67" i="33"/>
  <c r="W67" i="33"/>
  <c r="V67" i="33"/>
  <c r="U67" i="33"/>
  <c r="T67" i="33"/>
  <c r="S67" i="33"/>
  <c r="R67" i="33"/>
  <c r="N67" i="33"/>
  <c r="L67" i="33"/>
  <c r="X66" i="33"/>
  <c r="W66" i="33"/>
  <c r="V66" i="33"/>
  <c r="U66" i="33"/>
  <c r="T66" i="33"/>
  <c r="S66" i="33"/>
  <c r="R66" i="33"/>
  <c r="N66" i="33"/>
  <c r="L66" i="33"/>
  <c r="X65" i="33"/>
  <c r="W65" i="33"/>
  <c r="V65" i="33"/>
  <c r="U65" i="33"/>
  <c r="T65" i="33"/>
  <c r="S65" i="33"/>
  <c r="R65" i="33"/>
  <c r="N65" i="33"/>
  <c r="L65" i="33"/>
  <c r="X64" i="33"/>
  <c r="W64" i="33"/>
  <c r="V64" i="33"/>
  <c r="U64" i="33"/>
  <c r="T64" i="33"/>
  <c r="S64" i="33"/>
  <c r="R64" i="33"/>
  <c r="N64" i="33"/>
  <c r="L64" i="33"/>
  <c r="X63" i="33"/>
  <c r="W63" i="33"/>
  <c r="V63" i="33"/>
  <c r="U63" i="33"/>
  <c r="T63" i="33"/>
  <c r="S63" i="33"/>
  <c r="R63" i="33"/>
  <c r="N63" i="33"/>
  <c r="L63" i="33"/>
  <c r="X62" i="33"/>
  <c r="W62" i="33"/>
  <c r="V62" i="33"/>
  <c r="U62" i="33"/>
  <c r="T62" i="33"/>
  <c r="S62" i="33"/>
  <c r="R62" i="33"/>
  <c r="N62" i="33"/>
  <c r="L62" i="33"/>
  <c r="X61" i="33"/>
  <c r="W61" i="33"/>
  <c r="V61" i="33"/>
  <c r="U61" i="33"/>
  <c r="T61" i="33"/>
  <c r="S61" i="33"/>
  <c r="R61" i="33"/>
  <c r="N61" i="33"/>
  <c r="L61" i="33"/>
  <c r="X60" i="33"/>
  <c r="W60" i="33"/>
  <c r="V60" i="33"/>
  <c r="U60" i="33"/>
  <c r="T60" i="33"/>
  <c r="S60" i="33"/>
  <c r="R60" i="33"/>
  <c r="N60" i="33"/>
  <c r="L60" i="33"/>
  <c r="X59" i="33"/>
  <c r="W59" i="33"/>
  <c r="V59" i="33"/>
  <c r="U59" i="33"/>
  <c r="T59" i="33"/>
  <c r="S59" i="33"/>
  <c r="R59" i="33"/>
  <c r="N59" i="33"/>
  <c r="L59" i="33"/>
  <c r="X58" i="33"/>
  <c r="W58" i="33"/>
  <c r="V58" i="33"/>
  <c r="U58" i="33"/>
  <c r="T58" i="33"/>
  <c r="S58" i="33"/>
  <c r="R58" i="33"/>
  <c r="N58" i="33"/>
  <c r="L58" i="33"/>
  <c r="X57" i="33"/>
  <c r="W57" i="33"/>
  <c r="V57" i="33"/>
  <c r="U57" i="33"/>
  <c r="T57" i="33"/>
  <c r="S57" i="33"/>
  <c r="R57" i="33"/>
  <c r="N57" i="33"/>
  <c r="L57" i="33"/>
  <c r="X56" i="33"/>
  <c r="W56" i="33"/>
  <c r="V56" i="33"/>
  <c r="U56" i="33"/>
  <c r="T56" i="33"/>
  <c r="S56" i="33"/>
  <c r="R56" i="33"/>
  <c r="N56" i="33"/>
  <c r="L56" i="33"/>
  <c r="X55" i="33"/>
  <c r="W55" i="33"/>
  <c r="V55" i="33"/>
  <c r="U55" i="33"/>
  <c r="T55" i="33"/>
  <c r="S55" i="33"/>
  <c r="R55" i="33"/>
  <c r="N55" i="33"/>
  <c r="L55" i="33"/>
  <c r="X54" i="33"/>
  <c r="W54" i="33"/>
  <c r="V54" i="33"/>
  <c r="U54" i="33"/>
  <c r="T54" i="33"/>
  <c r="S54" i="33"/>
  <c r="R54" i="33"/>
  <c r="N54" i="33"/>
  <c r="L54" i="33"/>
  <c r="X53" i="33"/>
  <c r="W53" i="33"/>
  <c r="V53" i="33"/>
  <c r="U53" i="33"/>
  <c r="T53" i="33"/>
  <c r="S53" i="33"/>
  <c r="R53" i="33"/>
  <c r="N53" i="33"/>
  <c r="L53" i="33"/>
  <c r="X52" i="33"/>
  <c r="W52" i="33"/>
  <c r="V52" i="33"/>
  <c r="U52" i="33"/>
  <c r="T52" i="33"/>
  <c r="S52" i="33"/>
  <c r="R52" i="33"/>
  <c r="N52" i="33"/>
  <c r="L52" i="33"/>
  <c r="X51" i="33"/>
  <c r="W51" i="33"/>
  <c r="V51" i="33"/>
  <c r="U51" i="33"/>
  <c r="T51" i="33"/>
  <c r="S51" i="33"/>
  <c r="R51" i="33"/>
  <c r="N51" i="33"/>
  <c r="L51" i="33"/>
  <c r="X50" i="33"/>
  <c r="W50" i="33"/>
  <c r="V50" i="33"/>
  <c r="U50" i="33"/>
  <c r="T50" i="33"/>
  <c r="S50" i="33"/>
  <c r="R50" i="33"/>
  <c r="N50" i="33"/>
  <c r="L50" i="33"/>
  <c r="X49" i="33"/>
  <c r="W49" i="33"/>
  <c r="V49" i="33"/>
  <c r="U49" i="33"/>
  <c r="T49" i="33"/>
  <c r="S49" i="33"/>
  <c r="R49" i="33"/>
  <c r="N49" i="33"/>
  <c r="L49" i="33"/>
  <c r="X48" i="33"/>
  <c r="W48" i="33"/>
  <c r="V48" i="33"/>
  <c r="U48" i="33"/>
  <c r="T48" i="33"/>
  <c r="S48" i="33"/>
  <c r="R48" i="33"/>
  <c r="N48" i="33"/>
  <c r="L48" i="33"/>
  <c r="X47" i="33"/>
  <c r="W47" i="33"/>
  <c r="V47" i="33"/>
  <c r="U47" i="33"/>
  <c r="T47" i="33"/>
  <c r="S47" i="33"/>
  <c r="R47" i="33"/>
  <c r="N47" i="33"/>
  <c r="L47" i="33"/>
  <c r="X46" i="33"/>
  <c r="W46" i="33"/>
  <c r="V46" i="33"/>
  <c r="U46" i="33"/>
  <c r="T46" i="33"/>
  <c r="S46" i="33"/>
  <c r="R46" i="33"/>
  <c r="N46" i="33"/>
  <c r="L46" i="33"/>
  <c r="X45" i="33"/>
  <c r="W45" i="33"/>
  <c r="V45" i="33"/>
  <c r="U45" i="33"/>
  <c r="T45" i="33"/>
  <c r="S45" i="33"/>
  <c r="R45" i="33"/>
  <c r="N45" i="33"/>
  <c r="L45" i="33"/>
  <c r="X44" i="33"/>
  <c r="W44" i="33"/>
  <c r="V44" i="33"/>
  <c r="U44" i="33"/>
  <c r="T44" i="33"/>
  <c r="S44" i="33"/>
  <c r="R44" i="33"/>
  <c r="N44" i="33"/>
  <c r="L44" i="33"/>
  <c r="X43" i="33"/>
  <c r="W43" i="33"/>
  <c r="V43" i="33"/>
  <c r="U43" i="33"/>
  <c r="T43" i="33"/>
  <c r="S43" i="33"/>
  <c r="R43" i="33"/>
  <c r="N43" i="33"/>
  <c r="L43" i="33"/>
  <c r="X42" i="33"/>
  <c r="W42" i="33"/>
  <c r="V42" i="33"/>
  <c r="U42" i="33"/>
  <c r="T42" i="33"/>
  <c r="S42" i="33"/>
  <c r="R42" i="33"/>
  <c r="N42" i="33"/>
  <c r="L42" i="33"/>
  <c r="X41" i="33"/>
  <c r="W41" i="33"/>
  <c r="V41" i="33"/>
  <c r="R41" i="33"/>
  <c r="X40" i="33"/>
  <c r="W40" i="33"/>
  <c r="V40" i="33"/>
  <c r="U40" i="33"/>
  <c r="T40" i="33"/>
  <c r="S40" i="33"/>
  <c r="R40" i="33"/>
  <c r="N40" i="33"/>
  <c r="L40" i="33"/>
  <c r="X39" i="33"/>
  <c r="W39" i="33"/>
  <c r="V39" i="33"/>
  <c r="U39" i="33"/>
  <c r="T39" i="33"/>
  <c r="S39" i="33"/>
  <c r="R39" i="33"/>
  <c r="N39" i="33"/>
  <c r="L39" i="33"/>
  <c r="X38" i="33"/>
  <c r="W38" i="33"/>
  <c r="V38" i="33"/>
  <c r="U38" i="33"/>
  <c r="T38" i="33"/>
  <c r="S38" i="33"/>
  <c r="R38" i="33"/>
  <c r="N38" i="33"/>
  <c r="L38" i="33"/>
  <c r="X37" i="33"/>
  <c r="W37" i="33"/>
  <c r="V37" i="33"/>
  <c r="U37" i="33"/>
  <c r="T37" i="33"/>
  <c r="S37" i="33"/>
  <c r="R37" i="33"/>
  <c r="N37" i="33"/>
  <c r="L37" i="33"/>
  <c r="X36" i="33"/>
  <c r="W36" i="33"/>
  <c r="V36" i="33"/>
  <c r="U36" i="33"/>
  <c r="T36" i="33"/>
  <c r="S36" i="33"/>
  <c r="R36" i="33"/>
  <c r="N36" i="33"/>
  <c r="L36" i="33"/>
  <c r="X35" i="33"/>
  <c r="W35" i="33"/>
  <c r="V35" i="33"/>
  <c r="U35" i="33"/>
  <c r="T35" i="33"/>
  <c r="S35" i="33"/>
  <c r="R35" i="33"/>
  <c r="N35" i="33"/>
  <c r="L35" i="33"/>
  <c r="X34" i="33"/>
  <c r="W34" i="33"/>
  <c r="V34" i="33"/>
  <c r="U34" i="33"/>
  <c r="T34" i="33"/>
  <c r="S34" i="33"/>
  <c r="R34" i="33"/>
  <c r="N34" i="33"/>
  <c r="L34" i="33"/>
  <c r="X33" i="33"/>
  <c r="W33" i="33"/>
  <c r="V33" i="33"/>
  <c r="U33" i="33"/>
  <c r="T33" i="33"/>
  <c r="S33" i="33"/>
  <c r="R33" i="33"/>
  <c r="N33" i="33"/>
  <c r="L33" i="33"/>
  <c r="X32" i="33"/>
  <c r="W32" i="33"/>
  <c r="V32" i="33"/>
  <c r="U32" i="33"/>
  <c r="T32" i="33"/>
  <c r="S32" i="33"/>
  <c r="R32" i="33"/>
  <c r="N32" i="33"/>
  <c r="M32" i="33"/>
  <c r="M34" i="33" s="1"/>
  <c r="L32" i="33"/>
  <c r="U31" i="33"/>
  <c r="T31" i="33"/>
  <c r="S31" i="33"/>
  <c r="R31" i="33"/>
  <c r="N31" i="33"/>
  <c r="Q38" i="33" s="1"/>
  <c r="M31" i="33"/>
  <c r="P36" i="33" s="1"/>
  <c r="L31" i="33"/>
  <c r="O39" i="33" s="1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R16" i="33"/>
  <c r="N16" i="33"/>
  <c r="M16" i="33"/>
  <c r="L16" i="33"/>
  <c r="K16" i="33"/>
  <c r="W7" i="33"/>
  <c r="Y2" i="33"/>
  <c r="X153" i="31"/>
  <c r="W153" i="31"/>
  <c r="V153" i="31"/>
  <c r="U153" i="31"/>
  <c r="T153" i="31"/>
  <c r="S153" i="31"/>
  <c r="R153" i="31"/>
  <c r="X152" i="31"/>
  <c r="W152" i="31"/>
  <c r="V152" i="31"/>
  <c r="U152" i="31"/>
  <c r="T152" i="31"/>
  <c r="S152" i="31"/>
  <c r="R152" i="31"/>
  <c r="X151" i="31"/>
  <c r="W151" i="31"/>
  <c r="V151" i="31"/>
  <c r="U151" i="31"/>
  <c r="T151" i="31"/>
  <c r="S151" i="31"/>
  <c r="R151" i="31"/>
  <c r="X150" i="31"/>
  <c r="W150" i="31"/>
  <c r="V150" i="31"/>
  <c r="U150" i="31"/>
  <c r="T150" i="31"/>
  <c r="S150" i="31"/>
  <c r="R150" i="31"/>
  <c r="X149" i="31"/>
  <c r="W149" i="31"/>
  <c r="V149" i="31"/>
  <c r="U149" i="31"/>
  <c r="T149" i="31"/>
  <c r="S149" i="31"/>
  <c r="R149" i="31"/>
  <c r="X148" i="31"/>
  <c r="W148" i="31"/>
  <c r="V148" i="31"/>
  <c r="U148" i="31"/>
  <c r="T148" i="31"/>
  <c r="S148" i="31"/>
  <c r="R148" i="31"/>
  <c r="X147" i="31"/>
  <c r="W147" i="31"/>
  <c r="V147" i="31"/>
  <c r="U147" i="31"/>
  <c r="T147" i="31"/>
  <c r="S147" i="31"/>
  <c r="R147" i="31"/>
  <c r="X146" i="31"/>
  <c r="W146" i="31"/>
  <c r="V146" i="31"/>
  <c r="U146" i="31"/>
  <c r="T146" i="31"/>
  <c r="S146" i="31"/>
  <c r="R146" i="31"/>
  <c r="X145" i="31"/>
  <c r="W145" i="31"/>
  <c r="V145" i="31"/>
  <c r="U145" i="31"/>
  <c r="T145" i="31"/>
  <c r="S145" i="31"/>
  <c r="R145" i="31"/>
  <c r="X144" i="31"/>
  <c r="W144" i="31"/>
  <c r="V144" i="31"/>
  <c r="U144" i="31"/>
  <c r="T144" i="31"/>
  <c r="S144" i="31"/>
  <c r="R144" i="31"/>
  <c r="X143" i="31"/>
  <c r="W143" i="31"/>
  <c r="V143" i="31"/>
  <c r="U143" i="31"/>
  <c r="T143" i="31"/>
  <c r="S143" i="31"/>
  <c r="R143" i="31"/>
  <c r="X142" i="31"/>
  <c r="W142" i="31"/>
  <c r="V142" i="31"/>
  <c r="U142" i="31"/>
  <c r="T142" i="31"/>
  <c r="S142" i="31"/>
  <c r="R142" i="31"/>
  <c r="X141" i="31"/>
  <c r="W141" i="31"/>
  <c r="V141" i="31"/>
  <c r="U141" i="31"/>
  <c r="T141" i="31"/>
  <c r="S141" i="31"/>
  <c r="R141" i="31"/>
  <c r="X140" i="31"/>
  <c r="W140" i="31"/>
  <c r="V140" i="31"/>
  <c r="U140" i="31"/>
  <c r="T140" i="31"/>
  <c r="S140" i="31"/>
  <c r="R140" i="31"/>
  <c r="X139" i="31"/>
  <c r="W139" i="31"/>
  <c r="V139" i="31"/>
  <c r="U139" i="31"/>
  <c r="T139" i="31"/>
  <c r="S139" i="31"/>
  <c r="R139" i="31"/>
  <c r="X138" i="31"/>
  <c r="W138" i="31"/>
  <c r="V138" i="31"/>
  <c r="U138" i="31"/>
  <c r="T138" i="31"/>
  <c r="S138" i="31"/>
  <c r="R138" i="31"/>
  <c r="X137" i="31"/>
  <c r="W137" i="31"/>
  <c r="V137" i="31"/>
  <c r="U137" i="31"/>
  <c r="T137" i="31"/>
  <c r="S137" i="31"/>
  <c r="R137" i="31"/>
  <c r="X136" i="31"/>
  <c r="W136" i="31"/>
  <c r="V136" i="31"/>
  <c r="U136" i="31"/>
  <c r="T136" i="31"/>
  <c r="S136" i="31"/>
  <c r="R136" i="31"/>
  <c r="X135" i="31"/>
  <c r="W135" i="31"/>
  <c r="V135" i="31"/>
  <c r="U135" i="31"/>
  <c r="T135" i="31"/>
  <c r="S135" i="31"/>
  <c r="R135" i="31"/>
  <c r="X134" i="31"/>
  <c r="W134" i="31"/>
  <c r="V134" i="31"/>
  <c r="U134" i="31"/>
  <c r="T134" i="31"/>
  <c r="S134" i="31"/>
  <c r="R134" i="31"/>
  <c r="X133" i="31"/>
  <c r="W133" i="31"/>
  <c r="V133" i="31"/>
  <c r="U133" i="31"/>
  <c r="T133" i="31"/>
  <c r="S133" i="31"/>
  <c r="R133" i="31"/>
  <c r="X132" i="31"/>
  <c r="W132" i="31"/>
  <c r="V132" i="31"/>
  <c r="U132" i="31"/>
  <c r="T132" i="31"/>
  <c r="S132" i="31"/>
  <c r="R132" i="31"/>
  <c r="X131" i="31"/>
  <c r="W131" i="31"/>
  <c r="V131" i="31"/>
  <c r="U131" i="31"/>
  <c r="T131" i="31"/>
  <c r="S131" i="31"/>
  <c r="R131" i="31"/>
  <c r="X130" i="31"/>
  <c r="W130" i="31"/>
  <c r="V130" i="31"/>
  <c r="U130" i="31"/>
  <c r="T130" i="31"/>
  <c r="S130" i="31"/>
  <c r="R130" i="31"/>
  <c r="X129" i="31"/>
  <c r="W129" i="31"/>
  <c r="V129" i="31"/>
  <c r="U129" i="31"/>
  <c r="T129" i="31"/>
  <c r="S129" i="31"/>
  <c r="R129" i="31"/>
  <c r="X128" i="31"/>
  <c r="W128" i="31"/>
  <c r="V128" i="31"/>
  <c r="U128" i="31"/>
  <c r="T128" i="31"/>
  <c r="S128" i="31"/>
  <c r="R128" i="31"/>
  <c r="X127" i="31"/>
  <c r="W127" i="31"/>
  <c r="V127" i="31"/>
  <c r="U127" i="31"/>
  <c r="T127" i="31"/>
  <c r="S127" i="31"/>
  <c r="R127" i="31"/>
  <c r="X126" i="31"/>
  <c r="W126" i="31"/>
  <c r="V126" i="31"/>
  <c r="U126" i="31"/>
  <c r="T126" i="31"/>
  <c r="S126" i="31"/>
  <c r="R126" i="31"/>
  <c r="X125" i="31"/>
  <c r="W125" i="31"/>
  <c r="V125" i="31"/>
  <c r="U125" i="31"/>
  <c r="T125" i="31"/>
  <c r="S125" i="31"/>
  <c r="R125" i="31"/>
  <c r="X124" i="31"/>
  <c r="W124" i="31"/>
  <c r="V124" i="31"/>
  <c r="U124" i="31"/>
  <c r="T124" i="31"/>
  <c r="S124" i="31"/>
  <c r="R124" i="31"/>
  <c r="X123" i="31"/>
  <c r="W123" i="31"/>
  <c r="V123" i="31"/>
  <c r="U123" i="31"/>
  <c r="T123" i="31"/>
  <c r="S123" i="31"/>
  <c r="R123" i="31"/>
  <c r="X122" i="31"/>
  <c r="W122" i="31"/>
  <c r="V122" i="31"/>
  <c r="U122" i="31"/>
  <c r="T122" i="31"/>
  <c r="S122" i="31"/>
  <c r="R122" i="31"/>
  <c r="X121" i="31"/>
  <c r="W121" i="31"/>
  <c r="V121" i="31"/>
  <c r="U121" i="31"/>
  <c r="T121" i="31"/>
  <c r="S121" i="31"/>
  <c r="R121" i="31"/>
  <c r="X120" i="31"/>
  <c r="W120" i="31"/>
  <c r="V120" i="31"/>
  <c r="U120" i="31"/>
  <c r="T120" i="31"/>
  <c r="S120" i="31"/>
  <c r="R120" i="31"/>
  <c r="X119" i="31"/>
  <c r="W119" i="31"/>
  <c r="V119" i="31"/>
  <c r="U119" i="31"/>
  <c r="T119" i="31"/>
  <c r="S119" i="31"/>
  <c r="R119" i="31"/>
  <c r="X118" i="31"/>
  <c r="W118" i="31"/>
  <c r="V118" i="31"/>
  <c r="U118" i="31"/>
  <c r="T118" i="31"/>
  <c r="S118" i="31"/>
  <c r="R118" i="31"/>
  <c r="X117" i="31"/>
  <c r="W117" i="31"/>
  <c r="V117" i="31"/>
  <c r="U117" i="31"/>
  <c r="T117" i="31"/>
  <c r="S117" i="31"/>
  <c r="R117" i="31"/>
  <c r="X116" i="31"/>
  <c r="W116" i="31"/>
  <c r="V116" i="31"/>
  <c r="U116" i="31"/>
  <c r="T116" i="31"/>
  <c r="S116" i="31"/>
  <c r="R116" i="31"/>
  <c r="X115" i="31"/>
  <c r="W115" i="31"/>
  <c r="V115" i="31"/>
  <c r="U115" i="31"/>
  <c r="T115" i="31"/>
  <c r="S115" i="31"/>
  <c r="R115" i="31"/>
  <c r="X114" i="31"/>
  <c r="W114" i="31"/>
  <c r="V114" i="31"/>
  <c r="U114" i="31"/>
  <c r="T114" i="31"/>
  <c r="S114" i="31"/>
  <c r="R114" i="31"/>
  <c r="X113" i="31"/>
  <c r="W113" i="31"/>
  <c r="V113" i="31"/>
  <c r="U113" i="31"/>
  <c r="T113" i="31"/>
  <c r="S113" i="31"/>
  <c r="R113" i="31"/>
  <c r="X112" i="31"/>
  <c r="W112" i="31"/>
  <c r="V112" i="31"/>
  <c r="U112" i="31"/>
  <c r="T112" i="31"/>
  <c r="S112" i="31"/>
  <c r="R112" i="31"/>
  <c r="X111" i="31"/>
  <c r="W111" i="31"/>
  <c r="V111" i="31"/>
  <c r="U111" i="31"/>
  <c r="T111" i="31"/>
  <c r="S111" i="31"/>
  <c r="R111" i="31"/>
  <c r="X110" i="31"/>
  <c r="W110" i="31"/>
  <c r="V110" i="31"/>
  <c r="U110" i="31"/>
  <c r="T110" i="31"/>
  <c r="S110" i="31"/>
  <c r="R110" i="31"/>
  <c r="X109" i="31"/>
  <c r="W109" i="31"/>
  <c r="V109" i="31"/>
  <c r="U109" i="31"/>
  <c r="T109" i="31"/>
  <c r="S109" i="31"/>
  <c r="R109" i="31"/>
  <c r="X108" i="31"/>
  <c r="W108" i="31"/>
  <c r="V108" i="31"/>
  <c r="U108" i="31"/>
  <c r="T108" i="31"/>
  <c r="S108" i="31"/>
  <c r="R108" i="31"/>
  <c r="X107" i="31"/>
  <c r="W107" i="31"/>
  <c r="V107" i="31"/>
  <c r="U107" i="31"/>
  <c r="T107" i="31"/>
  <c r="S107" i="31"/>
  <c r="R107" i="31"/>
  <c r="X106" i="31"/>
  <c r="W106" i="31"/>
  <c r="V106" i="31"/>
  <c r="U106" i="31"/>
  <c r="T106" i="31"/>
  <c r="S106" i="31"/>
  <c r="R106" i="31"/>
  <c r="X105" i="31"/>
  <c r="W105" i="31"/>
  <c r="V105" i="31"/>
  <c r="U105" i="31"/>
  <c r="T105" i="31"/>
  <c r="S105" i="31"/>
  <c r="R105" i="31"/>
  <c r="X104" i="31"/>
  <c r="W104" i="31"/>
  <c r="V104" i="31"/>
  <c r="U104" i="31"/>
  <c r="T104" i="31"/>
  <c r="S104" i="31"/>
  <c r="R104" i="31"/>
  <c r="X103" i="31"/>
  <c r="W103" i="31"/>
  <c r="V103" i="31"/>
  <c r="U103" i="31"/>
  <c r="T103" i="31"/>
  <c r="S103" i="31"/>
  <c r="R103" i="31"/>
  <c r="X102" i="31"/>
  <c r="W102" i="31"/>
  <c r="V102" i="31"/>
  <c r="U102" i="31"/>
  <c r="T102" i="31"/>
  <c r="S102" i="31"/>
  <c r="R102" i="31"/>
  <c r="X101" i="31"/>
  <c r="W101" i="31"/>
  <c r="V101" i="31"/>
  <c r="U101" i="31"/>
  <c r="T101" i="31"/>
  <c r="S101" i="31"/>
  <c r="R101" i="31"/>
  <c r="X100" i="31"/>
  <c r="W100" i="31"/>
  <c r="V100" i="31"/>
  <c r="U100" i="31"/>
  <c r="T100" i="31"/>
  <c r="S100" i="31"/>
  <c r="R100" i="31"/>
  <c r="X99" i="31"/>
  <c r="W99" i="31"/>
  <c r="V99" i="31"/>
  <c r="U99" i="31"/>
  <c r="T99" i="31"/>
  <c r="S99" i="31"/>
  <c r="R99" i="31"/>
  <c r="X98" i="31"/>
  <c r="W98" i="31"/>
  <c r="V98" i="31"/>
  <c r="U98" i="31"/>
  <c r="T98" i="31"/>
  <c r="S98" i="31"/>
  <c r="R98" i="31"/>
  <c r="X97" i="31"/>
  <c r="W97" i="31"/>
  <c r="V97" i="31"/>
  <c r="U97" i="31"/>
  <c r="T97" i="31"/>
  <c r="S97" i="31"/>
  <c r="R97" i="31"/>
  <c r="X96" i="31"/>
  <c r="W96" i="31"/>
  <c r="V96" i="31"/>
  <c r="U96" i="31"/>
  <c r="T96" i="31"/>
  <c r="S96" i="31"/>
  <c r="R96" i="31"/>
  <c r="X95" i="31"/>
  <c r="W95" i="31"/>
  <c r="V95" i="31"/>
  <c r="U95" i="31"/>
  <c r="T95" i="31"/>
  <c r="S95" i="31"/>
  <c r="R95" i="31"/>
  <c r="X94" i="31"/>
  <c r="W94" i="31"/>
  <c r="V94" i="31"/>
  <c r="U94" i="31"/>
  <c r="T94" i="31"/>
  <c r="S94" i="31"/>
  <c r="R94" i="31"/>
  <c r="X93" i="31"/>
  <c r="W93" i="31"/>
  <c r="V93" i="31"/>
  <c r="U93" i="31"/>
  <c r="T93" i="31"/>
  <c r="S93" i="31"/>
  <c r="R93" i="31"/>
  <c r="X92" i="31"/>
  <c r="W92" i="31"/>
  <c r="V92" i="31"/>
  <c r="U92" i="31"/>
  <c r="T92" i="31"/>
  <c r="S92" i="31"/>
  <c r="R92" i="31"/>
  <c r="X91" i="31"/>
  <c r="W91" i="31"/>
  <c r="V91" i="31"/>
  <c r="U91" i="31"/>
  <c r="T91" i="31"/>
  <c r="S91" i="31"/>
  <c r="R91" i="31"/>
  <c r="X90" i="31"/>
  <c r="W90" i="31"/>
  <c r="V90" i="31"/>
  <c r="U90" i="31"/>
  <c r="T90" i="31"/>
  <c r="S90" i="31"/>
  <c r="R90" i="31"/>
  <c r="X89" i="31"/>
  <c r="W89" i="31"/>
  <c r="V89" i="31"/>
  <c r="U89" i="31"/>
  <c r="T89" i="31"/>
  <c r="S89" i="31"/>
  <c r="R89" i="31"/>
  <c r="X88" i="31"/>
  <c r="W88" i="31"/>
  <c r="V88" i="31"/>
  <c r="U88" i="31"/>
  <c r="T88" i="31"/>
  <c r="S88" i="31"/>
  <c r="R88" i="31"/>
  <c r="X87" i="31"/>
  <c r="W87" i="31"/>
  <c r="V87" i="31"/>
  <c r="U87" i="31"/>
  <c r="T87" i="31"/>
  <c r="S87" i="31"/>
  <c r="R87" i="31"/>
  <c r="X86" i="31"/>
  <c r="W86" i="31"/>
  <c r="V86" i="31"/>
  <c r="U86" i="31"/>
  <c r="T86" i="31"/>
  <c r="S86" i="31"/>
  <c r="R86" i="31"/>
  <c r="X85" i="31"/>
  <c r="W85" i="31"/>
  <c r="V85" i="31"/>
  <c r="U85" i="31"/>
  <c r="T85" i="31"/>
  <c r="S85" i="31"/>
  <c r="R85" i="31"/>
  <c r="X84" i="31"/>
  <c r="W84" i="31"/>
  <c r="V84" i="31"/>
  <c r="U84" i="31"/>
  <c r="T84" i="31"/>
  <c r="S84" i="31"/>
  <c r="R84" i="31"/>
  <c r="X83" i="31"/>
  <c r="W83" i="31"/>
  <c r="V83" i="31"/>
  <c r="U83" i="31"/>
  <c r="T83" i="31"/>
  <c r="S83" i="31"/>
  <c r="R83" i="31"/>
  <c r="X82" i="31"/>
  <c r="W82" i="31"/>
  <c r="V82" i="31"/>
  <c r="U82" i="31"/>
  <c r="T82" i="31"/>
  <c r="S82" i="31"/>
  <c r="R82" i="31"/>
  <c r="X81" i="31"/>
  <c r="W81" i="31"/>
  <c r="V81" i="31"/>
  <c r="U81" i="31"/>
  <c r="T81" i="31"/>
  <c r="S81" i="31"/>
  <c r="R81" i="31"/>
  <c r="X80" i="31"/>
  <c r="W80" i="31"/>
  <c r="V80" i="31"/>
  <c r="U80" i="31"/>
  <c r="T80" i="31"/>
  <c r="S80" i="31"/>
  <c r="R80" i="31"/>
  <c r="X79" i="31"/>
  <c r="W79" i="31"/>
  <c r="V79" i="31"/>
  <c r="U79" i="31"/>
  <c r="T79" i="31"/>
  <c r="S79" i="31"/>
  <c r="R79" i="31"/>
  <c r="X78" i="31"/>
  <c r="W78" i="31"/>
  <c r="V78" i="31"/>
  <c r="U78" i="31"/>
  <c r="T78" i="31"/>
  <c r="S78" i="31"/>
  <c r="R78" i="31"/>
  <c r="X77" i="31"/>
  <c r="W77" i="31"/>
  <c r="V77" i="31"/>
  <c r="U77" i="31"/>
  <c r="T77" i="31"/>
  <c r="S77" i="31"/>
  <c r="R77" i="31"/>
  <c r="X76" i="31"/>
  <c r="W76" i="31"/>
  <c r="V76" i="31"/>
  <c r="U76" i="31"/>
  <c r="T76" i="31"/>
  <c r="S76" i="31"/>
  <c r="R76" i="31"/>
  <c r="X75" i="31"/>
  <c r="W75" i="31"/>
  <c r="V75" i="31"/>
  <c r="U75" i="31"/>
  <c r="T75" i="31"/>
  <c r="S75" i="31"/>
  <c r="R75" i="31"/>
  <c r="X74" i="31"/>
  <c r="W74" i="31"/>
  <c r="V74" i="31"/>
  <c r="U74" i="31"/>
  <c r="T74" i="31"/>
  <c r="S74" i="31"/>
  <c r="R74" i="31"/>
  <c r="X73" i="31"/>
  <c r="W73" i="31"/>
  <c r="V73" i="31"/>
  <c r="U73" i="31"/>
  <c r="T73" i="31"/>
  <c r="S73" i="31"/>
  <c r="R73" i="31"/>
  <c r="X72" i="31"/>
  <c r="W72" i="31"/>
  <c r="V72" i="31"/>
  <c r="U72" i="31"/>
  <c r="T72" i="31"/>
  <c r="S72" i="31"/>
  <c r="R72" i="31"/>
  <c r="X71" i="31"/>
  <c r="W71" i="31"/>
  <c r="V71" i="31"/>
  <c r="U71" i="31"/>
  <c r="T71" i="31"/>
  <c r="S71" i="31"/>
  <c r="R71" i="31"/>
  <c r="X70" i="31"/>
  <c r="W70" i="31"/>
  <c r="V70" i="31"/>
  <c r="U70" i="31"/>
  <c r="T70" i="31"/>
  <c r="S70" i="31"/>
  <c r="R70" i="31"/>
  <c r="X69" i="31"/>
  <c r="W69" i="31"/>
  <c r="V69" i="31"/>
  <c r="U69" i="31"/>
  <c r="T69" i="31"/>
  <c r="S69" i="31"/>
  <c r="R69" i="31"/>
  <c r="X68" i="31"/>
  <c r="W68" i="31"/>
  <c r="V68" i="31"/>
  <c r="U68" i="31"/>
  <c r="T68" i="31"/>
  <c r="S68" i="31"/>
  <c r="R68" i="31"/>
  <c r="X67" i="31"/>
  <c r="W67" i="31"/>
  <c r="V67" i="31"/>
  <c r="U67" i="31"/>
  <c r="T67" i="31"/>
  <c r="S67" i="31"/>
  <c r="R67" i="31"/>
  <c r="X66" i="31"/>
  <c r="W66" i="31"/>
  <c r="V66" i="31"/>
  <c r="U66" i="31"/>
  <c r="T66" i="31"/>
  <c r="S66" i="31"/>
  <c r="R66" i="31"/>
  <c r="X65" i="31"/>
  <c r="W65" i="31"/>
  <c r="V65" i="31"/>
  <c r="U65" i="31"/>
  <c r="T65" i="31"/>
  <c r="S65" i="31"/>
  <c r="R65" i="31"/>
  <c r="X64" i="31"/>
  <c r="W64" i="31"/>
  <c r="V64" i="31"/>
  <c r="U64" i="31"/>
  <c r="T64" i="31"/>
  <c r="S64" i="31"/>
  <c r="R64" i="31"/>
  <c r="X63" i="31"/>
  <c r="W63" i="31"/>
  <c r="V63" i="31"/>
  <c r="U63" i="31"/>
  <c r="T63" i="31"/>
  <c r="S63" i="31"/>
  <c r="R63" i="31"/>
  <c r="X62" i="31"/>
  <c r="W62" i="31"/>
  <c r="V62" i="31"/>
  <c r="U62" i="31"/>
  <c r="T62" i="31"/>
  <c r="S62" i="31"/>
  <c r="R62" i="31"/>
  <c r="X61" i="31"/>
  <c r="W61" i="31"/>
  <c r="V61" i="31"/>
  <c r="U61" i="31"/>
  <c r="T61" i="31"/>
  <c r="S61" i="31"/>
  <c r="R61" i="31"/>
  <c r="X60" i="31"/>
  <c r="W60" i="31"/>
  <c r="V60" i="31"/>
  <c r="U60" i="31"/>
  <c r="T60" i="31"/>
  <c r="S60" i="31"/>
  <c r="R60" i="31"/>
  <c r="X59" i="31"/>
  <c r="W59" i="31"/>
  <c r="V59" i="31"/>
  <c r="U59" i="31"/>
  <c r="T59" i="31"/>
  <c r="S59" i="31"/>
  <c r="R59" i="31"/>
  <c r="X58" i="31"/>
  <c r="W58" i="31"/>
  <c r="V58" i="31"/>
  <c r="U58" i="31"/>
  <c r="T58" i="31"/>
  <c r="S58" i="31"/>
  <c r="R58" i="31"/>
  <c r="X57" i="31"/>
  <c r="W57" i="31"/>
  <c r="V57" i="31"/>
  <c r="U57" i="31"/>
  <c r="T57" i="31"/>
  <c r="S57" i="31"/>
  <c r="R57" i="31"/>
  <c r="X56" i="31"/>
  <c r="W56" i="31"/>
  <c r="V56" i="31"/>
  <c r="U56" i="31"/>
  <c r="T56" i="31"/>
  <c r="S56" i="31"/>
  <c r="R56" i="31"/>
  <c r="X55" i="31"/>
  <c r="W55" i="31"/>
  <c r="V55" i="31"/>
  <c r="U55" i="31"/>
  <c r="T55" i="31"/>
  <c r="S55" i="31"/>
  <c r="R55" i="31"/>
  <c r="X54" i="31"/>
  <c r="W54" i="31"/>
  <c r="V54" i="31"/>
  <c r="U54" i="31"/>
  <c r="T54" i="31"/>
  <c r="S54" i="31"/>
  <c r="R54" i="31"/>
  <c r="X53" i="31"/>
  <c r="W53" i="31"/>
  <c r="V53" i="31"/>
  <c r="U53" i="31"/>
  <c r="T53" i="31"/>
  <c r="S53" i="31"/>
  <c r="R53" i="31"/>
  <c r="X52" i="31"/>
  <c r="W52" i="31"/>
  <c r="V52" i="31"/>
  <c r="U52" i="31"/>
  <c r="T52" i="31"/>
  <c r="S52" i="31"/>
  <c r="R52" i="31"/>
  <c r="X51" i="31"/>
  <c r="W51" i="31"/>
  <c r="V51" i="31"/>
  <c r="U51" i="31"/>
  <c r="T51" i="31"/>
  <c r="S51" i="31"/>
  <c r="R51" i="31"/>
  <c r="X50" i="31"/>
  <c r="W50" i="31"/>
  <c r="V50" i="31"/>
  <c r="U50" i="31"/>
  <c r="T50" i="31"/>
  <c r="S50" i="31"/>
  <c r="R50" i="31"/>
  <c r="X49" i="31"/>
  <c r="W49" i="31"/>
  <c r="V49" i="31"/>
  <c r="U49" i="31"/>
  <c r="T49" i="31"/>
  <c r="S49" i="31"/>
  <c r="R49" i="31"/>
  <c r="X48" i="31"/>
  <c r="W48" i="31"/>
  <c r="V48" i="31"/>
  <c r="U48" i="31"/>
  <c r="T48" i="31"/>
  <c r="S48" i="31"/>
  <c r="R48" i="31"/>
  <c r="X47" i="31"/>
  <c r="W47" i="31"/>
  <c r="V47" i="31"/>
  <c r="U47" i="31"/>
  <c r="T47" i="31"/>
  <c r="S47" i="31"/>
  <c r="R47" i="31"/>
  <c r="X46" i="31"/>
  <c r="W46" i="31"/>
  <c r="V46" i="31"/>
  <c r="U46" i="31"/>
  <c r="T46" i="31"/>
  <c r="S46" i="31"/>
  <c r="R46" i="31"/>
  <c r="X45" i="31"/>
  <c r="W45" i="31"/>
  <c r="V45" i="31"/>
  <c r="U45" i="31"/>
  <c r="T45" i="31"/>
  <c r="S45" i="31"/>
  <c r="R45" i="31"/>
  <c r="X44" i="31"/>
  <c r="W44" i="31"/>
  <c r="V44" i="31"/>
  <c r="U44" i="31"/>
  <c r="T44" i="31"/>
  <c r="S44" i="31"/>
  <c r="R44" i="31"/>
  <c r="X43" i="31"/>
  <c r="W43" i="31"/>
  <c r="V43" i="31"/>
  <c r="U43" i="31"/>
  <c r="T43" i="31"/>
  <c r="S43" i="31"/>
  <c r="R43" i="31"/>
  <c r="X42" i="31"/>
  <c r="W42" i="31"/>
  <c r="V42" i="31"/>
  <c r="U42" i="31"/>
  <c r="T42" i="31"/>
  <c r="S42" i="31"/>
  <c r="R42" i="31"/>
  <c r="X41" i="31"/>
  <c r="W41" i="31"/>
  <c r="V41" i="31"/>
  <c r="U41" i="31"/>
  <c r="T41" i="31"/>
  <c r="S41" i="31"/>
  <c r="R41" i="31"/>
  <c r="X40" i="31"/>
  <c r="W40" i="31"/>
  <c r="V40" i="31"/>
  <c r="U40" i="31"/>
  <c r="T40" i="31"/>
  <c r="S40" i="31"/>
  <c r="R40" i="31"/>
  <c r="X39" i="31"/>
  <c r="W39" i="31"/>
  <c r="V39" i="31"/>
  <c r="R39" i="31"/>
  <c r="X38" i="31"/>
  <c r="W38" i="31"/>
  <c r="V38" i="31"/>
  <c r="U38" i="31"/>
  <c r="T38" i="31"/>
  <c r="S38" i="31"/>
  <c r="R38" i="31"/>
  <c r="X37" i="31"/>
  <c r="W37" i="31"/>
  <c r="V37" i="31"/>
  <c r="U37" i="31"/>
  <c r="T37" i="31"/>
  <c r="S37" i="31"/>
  <c r="R37" i="31"/>
  <c r="X36" i="31"/>
  <c r="W36" i="31"/>
  <c r="V36" i="31"/>
  <c r="U36" i="31"/>
  <c r="T36" i="31"/>
  <c r="S36" i="31"/>
  <c r="R36" i="31"/>
  <c r="X35" i="31"/>
  <c r="W35" i="31"/>
  <c r="V35" i="31"/>
  <c r="U35" i="31"/>
  <c r="T35" i="31"/>
  <c r="S35" i="31"/>
  <c r="R35" i="31"/>
  <c r="X34" i="31"/>
  <c r="W34" i="31"/>
  <c r="V34" i="31"/>
  <c r="U34" i="31"/>
  <c r="T34" i="31"/>
  <c r="S34" i="31"/>
  <c r="R34" i="31"/>
  <c r="X33" i="31"/>
  <c r="W33" i="31"/>
  <c r="V33" i="31"/>
  <c r="U33" i="31"/>
  <c r="T33" i="31"/>
  <c r="S33" i="31"/>
  <c r="R33" i="31"/>
  <c r="X32" i="31"/>
  <c r="W32" i="31"/>
  <c r="V32" i="31"/>
  <c r="U32" i="31"/>
  <c r="T32" i="31"/>
  <c r="S32" i="31"/>
  <c r="R32" i="31"/>
  <c r="X31" i="31"/>
  <c r="W31" i="31"/>
  <c r="V31" i="31"/>
  <c r="U31" i="31"/>
  <c r="T31" i="31"/>
  <c r="S31" i="31"/>
  <c r="R31" i="31"/>
  <c r="X30" i="31"/>
  <c r="W30" i="31"/>
  <c r="V30" i="31"/>
  <c r="U30" i="31"/>
  <c r="T30" i="31"/>
  <c r="S30" i="31"/>
  <c r="R30" i="31"/>
  <c r="X29" i="31"/>
  <c r="W29" i="31"/>
  <c r="V29" i="31"/>
  <c r="U29" i="31"/>
  <c r="T29" i="31"/>
  <c r="S29" i="31"/>
  <c r="R29" i="31"/>
  <c r="N29" i="31"/>
  <c r="N32" i="31" s="1"/>
  <c r="M29" i="31"/>
  <c r="M31" i="31" s="1"/>
  <c r="L29" i="31"/>
  <c r="L31" i="31" s="1"/>
  <c r="U28" i="31"/>
  <c r="T28" i="31"/>
  <c r="S28" i="31"/>
  <c r="R28" i="31"/>
  <c r="N28" i="31"/>
  <c r="Q40" i="31" s="1"/>
  <c r="M28" i="31"/>
  <c r="P38" i="31" s="1"/>
  <c r="L28" i="31"/>
  <c r="O37" i="31" s="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R16" i="31"/>
  <c r="N16" i="31"/>
  <c r="M16" i="31"/>
  <c r="L16" i="31"/>
  <c r="K16" i="31"/>
  <c r="W7" i="31"/>
  <c r="Y2" i="31"/>
  <c r="K32" i="24"/>
  <c r="K33" i="24"/>
  <c r="K34" i="24"/>
  <c r="K19" i="28"/>
  <c r="K17" i="28"/>
  <c r="K18" i="28"/>
  <c r="R26" i="24"/>
  <c r="R27" i="24"/>
  <c r="R28" i="24"/>
  <c r="R29" i="24"/>
  <c r="R30" i="24"/>
  <c r="R31" i="24"/>
  <c r="R32" i="24"/>
  <c r="R33" i="24"/>
  <c r="R34" i="24"/>
  <c r="R35" i="24"/>
  <c r="R36" i="24"/>
  <c r="R37" i="24"/>
  <c r="R38" i="24"/>
  <c r="R39" i="24"/>
  <c r="R40" i="24"/>
  <c r="R41" i="24"/>
  <c r="R42" i="24"/>
  <c r="R43" i="24"/>
  <c r="R44" i="24"/>
  <c r="R45" i="24"/>
  <c r="R46" i="24"/>
  <c r="R47" i="24"/>
  <c r="R48" i="24"/>
  <c r="R49" i="24"/>
  <c r="R50" i="24"/>
  <c r="R51" i="24"/>
  <c r="R52" i="24"/>
  <c r="R53" i="24"/>
  <c r="R54" i="24"/>
  <c r="R55" i="24"/>
  <c r="R56" i="24"/>
  <c r="R57" i="24"/>
  <c r="R58" i="24"/>
  <c r="R59" i="24"/>
  <c r="R60" i="24"/>
  <c r="R61" i="24"/>
  <c r="R62" i="24"/>
  <c r="R63" i="24"/>
  <c r="R64" i="24"/>
  <c r="R65" i="24"/>
  <c r="R66" i="24"/>
  <c r="R67" i="24"/>
  <c r="R68" i="24"/>
  <c r="R69" i="24"/>
  <c r="R70" i="24"/>
  <c r="R71" i="24"/>
  <c r="R72" i="24"/>
  <c r="R73" i="24"/>
  <c r="R74" i="24"/>
  <c r="R75" i="24"/>
  <c r="R76" i="24"/>
  <c r="R77" i="24"/>
  <c r="R78" i="24"/>
  <c r="R79" i="24"/>
  <c r="R80" i="24"/>
  <c r="R81" i="24"/>
  <c r="R82" i="24"/>
  <c r="R83" i="24"/>
  <c r="R84" i="24"/>
  <c r="R85" i="24"/>
  <c r="R86" i="24"/>
  <c r="R87" i="24"/>
  <c r="R88" i="24"/>
  <c r="R89" i="24"/>
  <c r="R90" i="24"/>
  <c r="R91" i="24"/>
  <c r="R92" i="24"/>
  <c r="R93" i="24"/>
  <c r="R94" i="24"/>
  <c r="R95" i="24"/>
  <c r="R96" i="24"/>
  <c r="R97" i="24"/>
  <c r="R98" i="24"/>
  <c r="R99" i="24"/>
  <c r="R100" i="24"/>
  <c r="R101" i="24"/>
  <c r="R102" i="24"/>
  <c r="R103" i="24"/>
  <c r="R104" i="24"/>
  <c r="R105" i="24"/>
  <c r="R106" i="24"/>
  <c r="R107" i="24"/>
  <c r="R108" i="24"/>
  <c r="R109" i="24"/>
  <c r="R110" i="24"/>
  <c r="R111" i="24"/>
  <c r="R112" i="24"/>
  <c r="R113" i="24"/>
  <c r="R114" i="24"/>
  <c r="R115" i="24"/>
  <c r="R116" i="24"/>
  <c r="R117" i="24"/>
  <c r="R118" i="24"/>
  <c r="R119" i="24"/>
  <c r="R120" i="24"/>
  <c r="R121" i="24"/>
  <c r="R122" i="24"/>
  <c r="R123" i="24"/>
  <c r="R124" i="24"/>
  <c r="R125" i="24"/>
  <c r="R126" i="24"/>
  <c r="R127" i="24"/>
  <c r="R128" i="24"/>
  <c r="R129" i="24"/>
  <c r="R130" i="24"/>
  <c r="R131" i="24"/>
  <c r="R132" i="24"/>
  <c r="R133" i="24"/>
  <c r="R134" i="24"/>
  <c r="R135" i="24"/>
  <c r="R136" i="24"/>
  <c r="R137" i="24"/>
  <c r="R138" i="24"/>
  <c r="R139" i="24"/>
  <c r="R140" i="24"/>
  <c r="R141" i="24"/>
  <c r="R142" i="24"/>
  <c r="R143" i="24"/>
  <c r="R144" i="24"/>
  <c r="R145" i="24"/>
  <c r="R146" i="24"/>
  <c r="R147" i="24"/>
  <c r="R148" i="24"/>
  <c r="R149" i="24"/>
  <c r="R150" i="24"/>
  <c r="R151" i="24"/>
  <c r="R152" i="24"/>
  <c r="R153" i="24"/>
  <c r="R25" i="24"/>
  <c r="Q60" i="22"/>
  <c r="Q61" i="22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135" i="22"/>
  <c r="Q136" i="22"/>
  <c r="Q137" i="22"/>
  <c r="Q138" i="22"/>
  <c r="Q139" i="22"/>
  <c r="Q140" i="22"/>
  <c r="Q141" i="22"/>
  <c r="Q142" i="22"/>
  <c r="Q143" i="22"/>
  <c r="Q144" i="22"/>
  <c r="Q145" i="22"/>
  <c r="Q146" i="22"/>
  <c r="Q147" i="22"/>
  <c r="Q148" i="22"/>
  <c r="Q149" i="22"/>
  <c r="Q150" i="22"/>
  <c r="Q151" i="22"/>
  <c r="Q152" i="22"/>
  <c r="Q153" i="22"/>
  <c r="O69" i="20"/>
  <c r="P69" i="20"/>
  <c r="Q69" i="20"/>
  <c r="O70" i="20"/>
  <c r="P70" i="20"/>
  <c r="Q70" i="20"/>
  <c r="O71" i="20"/>
  <c r="P71" i="20"/>
  <c r="Q71" i="20"/>
  <c r="O72" i="20"/>
  <c r="P72" i="20"/>
  <c r="Q72" i="20"/>
  <c r="O73" i="20"/>
  <c r="P73" i="20"/>
  <c r="Q73" i="20"/>
  <c r="O74" i="20"/>
  <c r="P74" i="20"/>
  <c r="Q74" i="20"/>
  <c r="O75" i="20"/>
  <c r="P75" i="20"/>
  <c r="Q75" i="20"/>
  <c r="O76" i="20"/>
  <c r="P76" i="20"/>
  <c r="Q76" i="20"/>
  <c r="O77" i="20"/>
  <c r="P77" i="20"/>
  <c r="Q77" i="20"/>
  <c r="O78" i="20"/>
  <c r="P78" i="20"/>
  <c r="Q78" i="20"/>
  <c r="O79" i="20"/>
  <c r="P79" i="20"/>
  <c r="Q79" i="20"/>
  <c r="O80" i="20"/>
  <c r="P80" i="20"/>
  <c r="Q80" i="20"/>
  <c r="O81" i="20"/>
  <c r="P81" i="20"/>
  <c r="Q81" i="20"/>
  <c r="O82" i="20"/>
  <c r="P82" i="20"/>
  <c r="Q82" i="20"/>
  <c r="O83" i="20"/>
  <c r="P83" i="20"/>
  <c r="Q83" i="20"/>
  <c r="O84" i="20"/>
  <c r="P84" i="20"/>
  <c r="Q84" i="20"/>
  <c r="O85" i="20"/>
  <c r="P85" i="20"/>
  <c r="Q85" i="20"/>
  <c r="O86" i="20"/>
  <c r="P86" i="20"/>
  <c r="Q86" i="20"/>
  <c r="O87" i="20"/>
  <c r="P87" i="20"/>
  <c r="Q87" i="20"/>
  <c r="O88" i="20"/>
  <c r="P88" i="20"/>
  <c r="Q88" i="20"/>
  <c r="O89" i="20"/>
  <c r="P89" i="20"/>
  <c r="Q89" i="20"/>
  <c r="O90" i="20"/>
  <c r="P90" i="20"/>
  <c r="Q90" i="20"/>
  <c r="O91" i="20"/>
  <c r="P91" i="20"/>
  <c r="Q91" i="20"/>
  <c r="O92" i="20"/>
  <c r="P92" i="20"/>
  <c r="Q92" i="20"/>
  <c r="O93" i="20"/>
  <c r="P93" i="20"/>
  <c r="Q93" i="20"/>
  <c r="O94" i="20"/>
  <c r="P94" i="20"/>
  <c r="Q94" i="20"/>
  <c r="O95" i="20"/>
  <c r="P95" i="20"/>
  <c r="Q95" i="20"/>
  <c r="O96" i="20"/>
  <c r="P96" i="20"/>
  <c r="Q96" i="20"/>
  <c r="O97" i="20"/>
  <c r="P97" i="20"/>
  <c r="Q97" i="20"/>
  <c r="O98" i="20"/>
  <c r="P98" i="20"/>
  <c r="Q98" i="20"/>
  <c r="O99" i="20"/>
  <c r="P99" i="20"/>
  <c r="Q99" i="20"/>
  <c r="O100" i="20"/>
  <c r="P100" i="20"/>
  <c r="Q100" i="20"/>
  <c r="O101" i="20"/>
  <c r="P101" i="20"/>
  <c r="Q101" i="20"/>
  <c r="O102" i="20"/>
  <c r="P102" i="20"/>
  <c r="Q102" i="20"/>
  <c r="O103" i="20"/>
  <c r="P103" i="20"/>
  <c r="Q103" i="20"/>
  <c r="O104" i="20"/>
  <c r="P104" i="20"/>
  <c r="Q104" i="20"/>
  <c r="O105" i="20"/>
  <c r="P105" i="20"/>
  <c r="Q105" i="20"/>
  <c r="O106" i="20"/>
  <c r="P106" i="20"/>
  <c r="Q106" i="20"/>
  <c r="O107" i="20"/>
  <c r="P107" i="20"/>
  <c r="Q107" i="20"/>
  <c r="O108" i="20"/>
  <c r="P108" i="20"/>
  <c r="Q108" i="20"/>
  <c r="O109" i="20"/>
  <c r="P109" i="20"/>
  <c r="Q109" i="20"/>
  <c r="O110" i="20"/>
  <c r="P110" i="20"/>
  <c r="Q110" i="20"/>
  <c r="O111" i="20"/>
  <c r="P111" i="20"/>
  <c r="Q111" i="20"/>
  <c r="O112" i="20"/>
  <c r="P112" i="20"/>
  <c r="Q112" i="20"/>
  <c r="O113" i="20"/>
  <c r="P113" i="20"/>
  <c r="Q113" i="20"/>
  <c r="O114" i="20"/>
  <c r="P114" i="20"/>
  <c r="Q114" i="20"/>
  <c r="O115" i="20"/>
  <c r="P115" i="20"/>
  <c r="Q115" i="20"/>
  <c r="O116" i="20"/>
  <c r="P116" i="20"/>
  <c r="Q116" i="20"/>
  <c r="O117" i="20"/>
  <c r="P117" i="20"/>
  <c r="Q117" i="20"/>
  <c r="O118" i="20"/>
  <c r="P118" i="20"/>
  <c r="Q118" i="20"/>
  <c r="O119" i="20"/>
  <c r="P119" i="20"/>
  <c r="Q119" i="20"/>
  <c r="O120" i="20"/>
  <c r="P120" i="20"/>
  <c r="Q120" i="20"/>
  <c r="O121" i="20"/>
  <c r="P121" i="20"/>
  <c r="Q121" i="20"/>
  <c r="O122" i="20"/>
  <c r="P122" i="20"/>
  <c r="Q122" i="20"/>
  <c r="O123" i="20"/>
  <c r="P123" i="20"/>
  <c r="Q123" i="20"/>
  <c r="O124" i="20"/>
  <c r="P124" i="20"/>
  <c r="Q124" i="20"/>
  <c r="O125" i="20"/>
  <c r="P125" i="20"/>
  <c r="Q125" i="20"/>
  <c r="O126" i="20"/>
  <c r="P126" i="20"/>
  <c r="Q126" i="20"/>
  <c r="O127" i="20"/>
  <c r="P127" i="20"/>
  <c r="Q127" i="20"/>
  <c r="O128" i="20"/>
  <c r="P128" i="20"/>
  <c r="Q128" i="20"/>
  <c r="O129" i="20"/>
  <c r="P129" i="20"/>
  <c r="Q129" i="20"/>
  <c r="O130" i="20"/>
  <c r="P130" i="20"/>
  <c r="Q130" i="20"/>
  <c r="O131" i="20"/>
  <c r="P131" i="20"/>
  <c r="Q131" i="20"/>
  <c r="O132" i="20"/>
  <c r="P132" i="20"/>
  <c r="Q132" i="20"/>
  <c r="O133" i="20"/>
  <c r="P133" i="20"/>
  <c r="Q133" i="20"/>
  <c r="O134" i="20"/>
  <c r="P134" i="20"/>
  <c r="Q134" i="20"/>
  <c r="O135" i="20"/>
  <c r="P135" i="20"/>
  <c r="Q135" i="20"/>
  <c r="O136" i="20"/>
  <c r="P136" i="20"/>
  <c r="Q136" i="20"/>
  <c r="O137" i="20"/>
  <c r="P137" i="20"/>
  <c r="Q137" i="20"/>
  <c r="O138" i="20"/>
  <c r="P138" i="20"/>
  <c r="Q138" i="20"/>
  <c r="O139" i="20"/>
  <c r="P139" i="20"/>
  <c r="Q139" i="20"/>
  <c r="O140" i="20"/>
  <c r="P140" i="20"/>
  <c r="Q140" i="20"/>
  <c r="O141" i="20"/>
  <c r="P141" i="20"/>
  <c r="Q141" i="20"/>
  <c r="O142" i="20"/>
  <c r="P142" i="20"/>
  <c r="Q142" i="20"/>
  <c r="O143" i="20"/>
  <c r="P143" i="20"/>
  <c r="Q143" i="20"/>
  <c r="O144" i="20"/>
  <c r="P144" i="20"/>
  <c r="Q144" i="20"/>
  <c r="O145" i="20"/>
  <c r="P145" i="20"/>
  <c r="Q145" i="20"/>
  <c r="O146" i="20"/>
  <c r="P146" i="20"/>
  <c r="Q146" i="20"/>
  <c r="O147" i="20"/>
  <c r="P147" i="20"/>
  <c r="Q147" i="20"/>
  <c r="O148" i="20"/>
  <c r="P148" i="20"/>
  <c r="Q148" i="20"/>
  <c r="O149" i="20"/>
  <c r="P149" i="20"/>
  <c r="Q149" i="20"/>
  <c r="O150" i="20"/>
  <c r="P150" i="20"/>
  <c r="Q150" i="20"/>
  <c r="O151" i="20"/>
  <c r="P151" i="20"/>
  <c r="Q151" i="20"/>
  <c r="O152" i="20"/>
  <c r="P152" i="20"/>
  <c r="Q152" i="20"/>
  <c r="O153" i="20"/>
  <c r="P153" i="20"/>
  <c r="Q153" i="20"/>
  <c r="O52" i="18"/>
  <c r="P52" i="18"/>
  <c r="Q52" i="18"/>
  <c r="O53" i="18"/>
  <c r="P53" i="18"/>
  <c r="Q53" i="18"/>
  <c r="O54" i="18"/>
  <c r="P54" i="18"/>
  <c r="Q54" i="18"/>
  <c r="O55" i="18"/>
  <c r="P55" i="18"/>
  <c r="Q55" i="18"/>
  <c r="O56" i="18"/>
  <c r="P56" i="18"/>
  <c r="Q56" i="18"/>
  <c r="O57" i="18"/>
  <c r="P57" i="18"/>
  <c r="Q57" i="18"/>
  <c r="O58" i="18"/>
  <c r="P58" i="18"/>
  <c r="Q58" i="18"/>
  <c r="O59" i="18"/>
  <c r="P59" i="18"/>
  <c r="Q59" i="18"/>
  <c r="O60" i="18"/>
  <c r="P60" i="18"/>
  <c r="Q60" i="18"/>
  <c r="O61" i="18"/>
  <c r="P61" i="18"/>
  <c r="Q61" i="18"/>
  <c r="O62" i="18"/>
  <c r="P62" i="18"/>
  <c r="Q62" i="18"/>
  <c r="O63" i="18"/>
  <c r="P63" i="18"/>
  <c r="Q63" i="18"/>
  <c r="O64" i="18"/>
  <c r="P64" i="18"/>
  <c r="Q64" i="18"/>
  <c r="O65" i="18"/>
  <c r="P65" i="18"/>
  <c r="Q65" i="18"/>
  <c r="O66" i="18"/>
  <c r="P66" i="18"/>
  <c r="Q66" i="18"/>
  <c r="O67" i="18"/>
  <c r="P67" i="18"/>
  <c r="Q67" i="18"/>
  <c r="O68" i="18"/>
  <c r="P68" i="18"/>
  <c r="Q68" i="18"/>
  <c r="O69" i="18"/>
  <c r="P69" i="18"/>
  <c r="Q69" i="18"/>
  <c r="O70" i="18"/>
  <c r="P70" i="18"/>
  <c r="Q70" i="18"/>
  <c r="O71" i="18"/>
  <c r="P71" i="18"/>
  <c r="Q71" i="18"/>
  <c r="O72" i="18"/>
  <c r="P72" i="18"/>
  <c r="Q72" i="18"/>
  <c r="O73" i="18"/>
  <c r="P73" i="18"/>
  <c r="Q73" i="18"/>
  <c r="O74" i="18"/>
  <c r="P74" i="18"/>
  <c r="Q74" i="18"/>
  <c r="O75" i="18"/>
  <c r="P75" i="18"/>
  <c r="Q75" i="18"/>
  <c r="O76" i="18"/>
  <c r="P76" i="18"/>
  <c r="Q76" i="18"/>
  <c r="O77" i="18"/>
  <c r="P77" i="18"/>
  <c r="Q77" i="18"/>
  <c r="O78" i="18"/>
  <c r="P78" i="18"/>
  <c r="Q78" i="18"/>
  <c r="O79" i="18"/>
  <c r="P79" i="18"/>
  <c r="Q79" i="18"/>
  <c r="O80" i="18"/>
  <c r="P80" i="18"/>
  <c r="Q80" i="18"/>
  <c r="O81" i="18"/>
  <c r="P81" i="18"/>
  <c r="Q81" i="18"/>
  <c r="O82" i="18"/>
  <c r="P82" i="18"/>
  <c r="Q82" i="18"/>
  <c r="O83" i="18"/>
  <c r="P83" i="18"/>
  <c r="Q83" i="18"/>
  <c r="O84" i="18"/>
  <c r="P84" i="18"/>
  <c r="Q84" i="18"/>
  <c r="O85" i="18"/>
  <c r="P85" i="18"/>
  <c r="Q85" i="18"/>
  <c r="O86" i="18"/>
  <c r="P86" i="18"/>
  <c r="Q86" i="18"/>
  <c r="O87" i="18"/>
  <c r="P87" i="18"/>
  <c r="Q87" i="18"/>
  <c r="O88" i="18"/>
  <c r="P88" i="18"/>
  <c r="Q88" i="18"/>
  <c r="O89" i="18"/>
  <c r="P89" i="18"/>
  <c r="Q89" i="18"/>
  <c r="O90" i="18"/>
  <c r="P90" i="18"/>
  <c r="Q90" i="18"/>
  <c r="O91" i="18"/>
  <c r="P91" i="18"/>
  <c r="Q91" i="18"/>
  <c r="O92" i="18"/>
  <c r="P92" i="18"/>
  <c r="Q92" i="18"/>
  <c r="O93" i="18"/>
  <c r="P93" i="18"/>
  <c r="Q93" i="18"/>
  <c r="O94" i="18"/>
  <c r="P94" i="18"/>
  <c r="Q94" i="18"/>
  <c r="O95" i="18"/>
  <c r="P95" i="18"/>
  <c r="Q95" i="18"/>
  <c r="O96" i="18"/>
  <c r="P96" i="18"/>
  <c r="Q96" i="18"/>
  <c r="O97" i="18"/>
  <c r="P97" i="18"/>
  <c r="Q97" i="18"/>
  <c r="O98" i="18"/>
  <c r="P98" i="18"/>
  <c r="Q98" i="18"/>
  <c r="O99" i="18"/>
  <c r="P99" i="18"/>
  <c r="Q99" i="18"/>
  <c r="O100" i="18"/>
  <c r="P100" i="18"/>
  <c r="Q100" i="18"/>
  <c r="O101" i="18"/>
  <c r="P101" i="18"/>
  <c r="Q101" i="18"/>
  <c r="O102" i="18"/>
  <c r="P102" i="18"/>
  <c r="Q102" i="18"/>
  <c r="O103" i="18"/>
  <c r="P103" i="18"/>
  <c r="Q103" i="18"/>
  <c r="O104" i="18"/>
  <c r="P104" i="18"/>
  <c r="Q104" i="18"/>
  <c r="O105" i="18"/>
  <c r="P105" i="18"/>
  <c r="Q105" i="18"/>
  <c r="O106" i="18"/>
  <c r="P106" i="18"/>
  <c r="Q106" i="18"/>
  <c r="O107" i="18"/>
  <c r="P107" i="18"/>
  <c r="Q107" i="18"/>
  <c r="O108" i="18"/>
  <c r="P108" i="18"/>
  <c r="Q108" i="18"/>
  <c r="O109" i="18"/>
  <c r="P109" i="18"/>
  <c r="Q109" i="18"/>
  <c r="O110" i="18"/>
  <c r="P110" i="18"/>
  <c r="Q110" i="18"/>
  <c r="O111" i="18"/>
  <c r="P111" i="18"/>
  <c r="Q111" i="18"/>
  <c r="O112" i="18"/>
  <c r="P112" i="18"/>
  <c r="Q112" i="18"/>
  <c r="O113" i="18"/>
  <c r="P113" i="18"/>
  <c r="Q113" i="18"/>
  <c r="O114" i="18"/>
  <c r="P114" i="18"/>
  <c r="Q114" i="18"/>
  <c r="O115" i="18"/>
  <c r="P115" i="18"/>
  <c r="Q115" i="18"/>
  <c r="O116" i="18"/>
  <c r="P116" i="18"/>
  <c r="Q116" i="18"/>
  <c r="O117" i="18"/>
  <c r="P117" i="18"/>
  <c r="Q117" i="18"/>
  <c r="O118" i="18"/>
  <c r="P118" i="18"/>
  <c r="Q118" i="18"/>
  <c r="O119" i="18"/>
  <c r="P119" i="18"/>
  <c r="Q119" i="18"/>
  <c r="O120" i="18"/>
  <c r="P120" i="18"/>
  <c r="Q120" i="18"/>
  <c r="O121" i="18"/>
  <c r="P121" i="18"/>
  <c r="Q121" i="18"/>
  <c r="O122" i="18"/>
  <c r="P122" i="18"/>
  <c r="Q122" i="18"/>
  <c r="O123" i="18"/>
  <c r="P123" i="18"/>
  <c r="Q123" i="18"/>
  <c r="O124" i="18"/>
  <c r="P124" i="18"/>
  <c r="Q124" i="18"/>
  <c r="O125" i="18"/>
  <c r="P125" i="18"/>
  <c r="Q125" i="18"/>
  <c r="O126" i="18"/>
  <c r="P126" i="18"/>
  <c r="Q126" i="18"/>
  <c r="O127" i="18"/>
  <c r="P127" i="18"/>
  <c r="Q127" i="18"/>
  <c r="O128" i="18"/>
  <c r="P128" i="18"/>
  <c r="Q128" i="18"/>
  <c r="O129" i="18"/>
  <c r="P129" i="18"/>
  <c r="Q129" i="18"/>
  <c r="O130" i="18"/>
  <c r="P130" i="18"/>
  <c r="Q130" i="18"/>
  <c r="O131" i="18"/>
  <c r="P131" i="18"/>
  <c r="Q131" i="18"/>
  <c r="O132" i="18"/>
  <c r="P132" i="18"/>
  <c r="Q132" i="18"/>
  <c r="O133" i="18"/>
  <c r="P133" i="18"/>
  <c r="Q133" i="18"/>
  <c r="O134" i="18"/>
  <c r="P134" i="18"/>
  <c r="Q134" i="18"/>
  <c r="O135" i="18"/>
  <c r="P135" i="18"/>
  <c r="Q135" i="18"/>
  <c r="O136" i="18"/>
  <c r="P136" i="18"/>
  <c r="Q136" i="18"/>
  <c r="O137" i="18"/>
  <c r="P137" i="18"/>
  <c r="Q137" i="18"/>
  <c r="O138" i="18"/>
  <c r="P138" i="18"/>
  <c r="Q138" i="18"/>
  <c r="O139" i="18"/>
  <c r="P139" i="18"/>
  <c r="Q139" i="18"/>
  <c r="O140" i="18"/>
  <c r="P140" i="18"/>
  <c r="Q140" i="18"/>
  <c r="O141" i="18"/>
  <c r="P141" i="18"/>
  <c r="Q141" i="18"/>
  <c r="O142" i="18"/>
  <c r="P142" i="18"/>
  <c r="Q142" i="18"/>
  <c r="O143" i="18"/>
  <c r="P143" i="18"/>
  <c r="Q143" i="18"/>
  <c r="O144" i="18"/>
  <c r="P144" i="18"/>
  <c r="Q144" i="18"/>
  <c r="O145" i="18"/>
  <c r="P145" i="18"/>
  <c r="Q145" i="18"/>
  <c r="O146" i="18"/>
  <c r="P146" i="18"/>
  <c r="Q146" i="18"/>
  <c r="O147" i="18"/>
  <c r="P147" i="18"/>
  <c r="Q147" i="18"/>
  <c r="O148" i="18"/>
  <c r="P148" i="18"/>
  <c r="Q148" i="18"/>
  <c r="O149" i="18"/>
  <c r="P149" i="18"/>
  <c r="Q149" i="18"/>
  <c r="O150" i="18"/>
  <c r="P150" i="18"/>
  <c r="Q150" i="18"/>
  <c r="O151" i="18"/>
  <c r="P151" i="18"/>
  <c r="Q151" i="18"/>
  <c r="O152" i="18"/>
  <c r="P152" i="18"/>
  <c r="Q152" i="18"/>
  <c r="O153" i="18"/>
  <c r="P153" i="18"/>
  <c r="Q153" i="18"/>
  <c r="O61" i="16"/>
  <c r="P61" i="16"/>
  <c r="Q61" i="16"/>
  <c r="O62" i="16"/>
  <c r="P62" i="16"/>
  <c r="Q62" i="16"/>
  <c r="O63" i="16"/>
  <c r="P63" i="16"/>
  <c r="Q63" i="16"/>
  <c r="O64" i="16"/>
  <c r="P64" i="16"/>
  <c r="Q64" i="16"/>
  <c r="O65" i="16"/>
  <c r="P65" i="16"/>
  <c r="Q65" i="16"/>
  <c r="O66" i="16"/>
  <c r="P66" i="16"/>
  <c r="Q66" i="16"/>
  <c r="O67" i="16"/>
  <c r="P67" i="16"/>
  <c r="Q67" i="16"/>
  <c r="O68" i="16"/>
  <c r="P68" i="16"/>
  <c r="Q68" i="16"/>
  <c r="O69" i="16"/>
  <c r="P69" i="16"/>
  <c r="Q69" i="16"/>
  <c r="O70" i="16"/>
  <c r="P70" i="16"/>
  <c r="Q70" i="16"/>
  <c r="O71" i="16"/>
  <c r="P71" i="16"/>
  <c r="Q71" i="16"/>
  <c r="O72" i="16"/>
  <c r="P72" i="16"/>
  <c r="Q72" i="16"/>
  <c r="O73" i="16"/>
  <c r="P73" i="16"/>
  <c r="Q73" i="16"/>
  <c r="O74" i="16"/>
  <c r="P74" i="16"/>
  <c r="Q74" i="16"/>
  <c r="O75" i="16"/>
  <c r="P75" i="16"/>
  <c r="Q75" i="16"/>
  <c r="O76" i="16"/>
  <c r="P76" i="16"/>
  <c r="Q76" i="16"/>
  <c r="O77" i="16"/>
  <c r="P77" i="16"/>
  <c r="Q77" i="16"/>
  <c r="O78" i="16"/>
  <c r="P78" i="16"/>
  <c r="Q78" i="16"/>
  <c r="O79" i="16"/>
  <c r="P79" i="16"/>
  <c r="Q79" i="16"/>
  <c r="O80" i="16"/>
  <c r="P80" i="16"/>
  <c r="Q80" i="16"/>
  <c r="O81" i="16"/>
  <c r="P81" i="16"/>
  <c r="Q81" i="16"/>
  <c r="O82" i="16"/>
  <c r="P82" i="16"/>
  <c r="Q82" i="16"/>
  <c r="O83" i="16"/>
  <c r="P83" i="16"/>
  <c r="Q83" i="16"/>
  <c r="O84" i="16"/>
  <c r="P84" i="16"/>
  <c r="Q84" i="16"/>
  <c r="O85" i="16"/>
  <c r="P85" i="16"/>
  <c r="Q85" i="16"/>
  <c r="O86" i="16"/>
  <c r="P86" i="16"/>
  <c r="Q86" i="16"/>
  <c r="O87" i="16"/>
  <c r="P87" i="16"/>
  <c r="Q87" i="16"/>
  <c r="O88" i="16"/>
  <c r="P88" i="16"/>
  <c r="Q88" i="16"/>
  <c r="O89" i="16"/>
  <c r="P89" i="16"/>
  <c r="Q89" i="16"/>
  <c r="O90" i="16"/>
  <c r="P90" i="16"/>
  <c r="Q90" i="16"/>
  <c r="O91" i="16"/>
  <c r="P91" i="16"/>
  <c r="Q91" i="16"/>
  <c r="O92" i="16"/>
  <c r="P92" i="16"/>
  <c r="Q92" i="16"/>
  <c r="O93" i="16"/>
  <c r="P93" i="16"/>
  <c r="Q93" i="16"/>
  <c r="O94" i="16"/>
  <c r="P94" i="16"/>
  <c r="Q94" i="16"/>
  <c r="O95" i="16"/>
  <c r="P95" i="16"/>
  <c r="Q95" i="16"/>
  <c r="O96" i="16"/>
  <c r="P96" i="16"/>
  <c r="Q96" i="16"/>
  <c r="O97" i="16"/>
  <c r="P97" i="16"/>
  <c r="Q97" i="16"/>
  <c r="O98" i="16"/>
  <c r="P98" i="16"/>
  <c r="Q98" i="16"/>
  <c r="O99" i="16"/>
  <c r="P99" i="16"/>
  <c r="Q99" i="16"/>
  <c r="O100" i="16"/>
  <c r="P100" i="16"/>
  <c r="Q100" i="16"/>
  <c r="O101" i="16"/>
  <c r="P101" i="16"/>
  <c r="Q101" i="16"/>
  <c r="O102" i="16"/>
  <c r="P102" i="16"/>
  <c r="Q102" i="16"/>
  <c r="O103" i="16"/>
  <c r="P103" i="16"/>
  <c r="Q103" i="16"/>
  <c r="O104" i="16"/>
  <c r="P104" i="16"/>
  <c r="Q104" i="16"/>
  <c r="O105" i="16"/>
  <c r="P105" i="16"/>
  <c r="Q105" i="16"/>
  <c r="O106" i="16"/>
  <c r="P106" i="16"/>
  <c r="Q106" i="16"/>
  <c r="O107" i="16"/>
  <c r="P107" i="16"/>
  <c r="Q107" i="16"/>
  <c r="O108" i="16"/>
  <c r="P108" i="16"/>
  <c r="Q108" i="16"/>
  <c r="O109" i="16"/>
  <c r="P109" i="16"/>
  <c r="Q109" i="16"/>
  <c r="O110" i="16"/>
  <c r="P110" i="16"/>
  <c r="Q110" i="16"/>
  <c r="O111" i="16"/>
  <c r="P111" i="16"/>
  <c r="Q111" i="16"/>
  <c r="O112" i="16"/>
  <c r="P112" i="16"/>
  <c r="Q112" i="16"/>
  <c r="O113" i="16"/>
  <c r="P113" i="16"/>
  <c r="Q113" i="16"/>
  <c r="O114" i="16"/>
  <c r="P114" i="16"/>
  <c r="Q114" i="16"/>
  <c r="O115" i="16"/>
  <c r="P115" i="16"/>
  <c r="Q115" i="16"/>
  <c r="O116" i="16"/>
  <c r="P116" i="16"/>
  <c r="Q116" i="16"/>
  <c r="O117" i="16"/>
  <c r="P117" i="16"/>
  <c r="Q117" i="16"/>
  <c r="O118" i="16"/>
  <c r="P118" i="16"/>
  <c r="Q118" i="16"/>
  <c r="O119" i="16"/>
  <c r="P119" i="16"/>
  <c r="Q119" i="16"/>
  <c r="O120" i="16"/>
  <c r="P120" i="16"/>
  <c r="Q120" i="16"/>
  <c r="O121" i="16"/>
  <c r="P121" i="16"/>
  <c r="Q121" i="16"/>
  <c r="O122" i="16"/>
  <c r="P122" i="16"/>
  <c r="Q122" i="16"/>
  <c r="O123" i="16"/>
  <c r="P123" i="16"/>
  <c r="Q123" i="16"/>
  <c r="O124" i="16"/>
  <c r="P124" i="16"/>
  <c r="Q124" i="16"/>
  <c r="O125" i="16"/>
  <c r="P125" i="16"/>
  <c r="Q125" i="16"/>
  <c r="O126" i="16"/>
  <c r="P126" i="16"/>
  <c r="Q126" i="16"/>
  <c r="O127" i="16"/>
  <c r="P127" i="16"/>
  <c r="Q127" i="16"/>
  <c r="O128" i="16"/>
  <c r="P128" i="16"/>
  <c r="Q128" i="16"/>
  <c r="O129" i="16"/>
  <c r="P129" i="16"/>
  <c r="Q129" i="16"/>
  <c r="O130" i="16"/>
  <c r="P130" i="16"/>
  <c r="Q130" i="16"/>
  <c r="O131" i="16"/>
  <c r="P131" i="16"/>
  <c r="Q131" i="16"/>
  <c r="O132" i="16"/>
  <c r="P132" i="16"/>
  <c r="Q132" i="16"/>
  <c r="O133" i="16"/>
  <c r="P133" i="16"/>
  <c r="Q133" i="16"/>
  <c r="O134" i="16"/>
  <c r="P134" i="16"/>
  <c r="Q134" i="16"/>
  <c r="O135" i="16"/>
  <c r="P135" i="16"/>
  <c r="Q135" i="16"/>
  <c r="O136" i="16"/>
  <c r="P136" i="16"/>
  <c r="Q136" i="16"/>
  <c r="O137" i="16"/>
  <c r="P137" i="16"/>
  <c r="Q137" i="16"/>
  <c r="O138" i="16"/>
  <c r="P138" i="16"/>
  <c r="Q138" i="16"/>
  <c r="O139" i="16"/>
  <c r="P139" i="16"/>
  <c r="Q139" i="16"/>
  <c r="O140" i="16"/>
  <c r="P140" i="16"/>
  <c r="Q140" i="16"/>
  <c r="O141" i="16"/>
  <c r="P141" i="16"/>
  <c r="Q141" i="16"/>
  <c r="O142" i="16"/>
  <c r="P142" i="16"/>
  <c r="Q142" i="16"/>
  <c r="O143" i="16"/>
  <c r="P143" i="16"/>
  <c r="Q143" i="16"/>
  <c r="O144" i="16"/>
  <c r="P144" i="16"/>
  <c r="Q144" i="16"/>
  <c r="O145" i="16"/>
  <c r="P145" i="16"/>
  <c r="Q145" i="16"/>
  <c r="O146" i="16"/>
  <c r="P146" i="16"/>
  <c r="Q146" i="16"/>
  <c r="O147" i="16"/>
  <c r="P147" i="16"/>
  <c r="Q147" i="16"/>
  <c r="O148" i="16"/>
  <c r="P148" i="16"/>
  <c r="Q148" i="16"/>
  <c r="O149" i="16"/>
  <c r="P149" i="16"/>
  <c r="Q149" i="16"/>
  <c r="O150" i="16"/>
  <c r="P150" i="16"/>
  <c r="Q150" i="16"/>
  <c r="O151" i="16"/>
  <c r="P151" i="16"/>
  <c r="Q151" i="16"/>
  <c r="O152" i="16"/>
  <c r="P152" i="16"/>
  <c r="Q152" i="16"/>
  <c r="O153" i="16"/>
  <c r="P153" i="16"/>
  <c r="Q153" i="16"/>
  <c r="K25" i="24"/>
  <c r="K26" i="24"/>
  <c r="K27" i="24"/>
  <c r="K28" i="24"/>
  <c r="K29" i="24"/>
  <c r="K30" i="24"/>
  <c r="K31" i="24"/>
  <c r="K34" i="18"/>
  <c r="L34" i="18"/>
  <c r="O41" i="18" s="1"/>
  <c r="R24" i="18"/>
  <c r="R48" i="18" s="1"/>
  <c r="S34" i="18"/>
  <c r="T34" i="18"/>
  <c r="U34" i="18"/>
  <c r="K33" i="22"/>
  <c r="K34" i="22"/>
  <c r="K35" i="22"/>
  <c r="K36" i="22"/>
  <c r="K37" i="22"/>
  <c r="K38" i="22"/>
  <c r="K39" i="22"/>
  <c r="K39" i="20"/>
  <c r="K40" i="20"/>
  <c r="K41" i="20"/>
  <c r="K42" i="20"/>
  <c r="K43" i="20"/>
  <c r="K44" i="20"/>
  <c r="K45" i="20"/>
  <c r="K46" i="20"/>
  <c r="K47" i="20"/>
  <c r="K32" i="18"/>
  <c r="K33" i="18"/>
  <c r="K35" i="18"/>
  <c r="K36" i="18"/>
  <c r="K37" i="18"/>
  <c r="K38" i="18"/>
  <c r="K39" i="18"/>
  <c r="K40" i="18"/>
  <c r="K41" i="18"/>
  <c r="K42" i="18"/>
  <c r="K41" i="16"/>
  <c r="K42" i="16"/>
  <c r="K43" i="16"/>
  <c r="K44" i="16"/>
  <c r="K45" i="16"/>
  <c r="K46" i="16"/>
  <c r="K47" i="16"/>
  <c r="K48" i="16"/>
  <c r="K49" i="16"/>
  <c r="K50" i="16"/>
  <c r="K51" i="16"/>
  <c r="K50" i="11"/>
  <c r="K51" i="11"/>
  <c r="K52" i="11"/>
  <c r="K40" i="14"/>
  <c r="K41" i="14"/>
  <c r="K42" i="14"/>
  <c r="K58" i="9"/>
  <c r="K59" i="9"/>
  <c r="K60" i="9"/>
  <c r="K40" i="7"/>
  <c r="K16" i="28"/>
  <c r="W7" i="28"/>
  <c r="Y2" i="28"/>
  <c r="L16" i="28"/>
  <c r="M16" i="28"/>
  <c r="N16" i="28"/>
  <c r="R16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L22" i="28"/>
  <c r="O32" i="28" s="1"/>
  <c r="M22" i="28"/>
  <c r="P37" i="28" s="1"/>
  <c r="N22" i="28"/>
  <c r="Q33" i="28" s="1"/>
  <c r="R22" i="28"/>
  <c r="S22" i="28"/>
  <c r="T22" i="28"/>
  <c r="U22" i="28"/>
  <c r="N23" i="28"/>
  <c r="R23" i="28"/>
  <c r="S23" i="28"/>
  <c r="T23" i="28"/>
  <c r="U23" i="28"/>
  <c r="V23" i="28"/>
  <c r="W23" i="28"/>
  <c r="X23" i="28"/>
  <c r="N24" i="28"/>
  <c r="R24" i="28"/>
  <c r="S24" i="28"/>
  <c r="T24" i="28"/>
  <c r="U24" i="28"/>
  <c r="V24" i="28"/>
  <c r="W24" i="28"/>
  <c r="X24" i="28"/>
  <c r="N25" i="28"/>
  <c r="R25" i="28"/>
  <c r="S25" i="28"/>
  <c r="T25" i="28"/>
  <c r="U25" i="28"/>
  <c r="V25" i="28"/>
  <c r="W25" i="28"/>
  <c r="X25" i="28"/>
  <c r="N26" i="28"/>
  <c r="R26" i="28"/>
  <c r="S26" i="28"/>
  <c r="T26" i="28"/>
  <c r="U26" i="28"/>
  <c r="V26" i="28"/>
  <c r="W26" i="28"/>
  <c r="X26" i="28"/>
  <c r="N27" i="28"/>
  <c r="R27" i="28"/>
  <c r="S27" i="28"/>
  <c r="T27" i="28"/>
  <c r="U27" i="28"/>
  <c r="V27" i="28"/>
  <c r="W27" i="28"/>
  <c r="X27" i="28"/>
  <c r="N28" i="28"/>
  <c r="R28" i="28"/>
  <c r="S28" i="28"/>
  <c r="T28" i="28"/>
  <c r="U28" i="28"/>
  <c r="V28" i="28"/>
  <c r="W28" i="28"/>
  <c r="X28" i="28"/>
  <c r="N29" i="28"/>
  <c r="R29" i="28"/>
  <c r="S29" i="28"/>
  <c r="T29" i="28"/>
  <c r="U29" i="28"/>
  <c r="V29" i="28"/>
  <c r="W29" i="28"/>
  <c r="X29" i="28"/>
  <c r="N30" i="28"/>
  <c r="R30" i="28"/>
  <c r="S30" i="28"/>
  <c r="T30" i="28"/>
  <c r="U30" i="28"/>
  <c r="V30" i="28"/>
  <c r="W30" i="28"/>
  <c r="X30" i="28"/>
  <c r="N31" i="28"/>
  <c r="R31" i="28"/>
  <c r="S31" i="28"/>
  <c r="T31" i="28"/>
  <c r="U31" i="28"/>
  <c r="V31" i="28"/>
  <c r="W31" i="28"/>
  <c r="X31" i="28"/>
  <c r="N32" i="28"/>
  <c r="R32" i="28"/>
  <c r="S32" i="28"/>
  <c r="T32" i="28"/>
  <c r="U32" i="28"/>
  <c r="V32" i="28"/>
  <c r="W32" i="28"/>
  <c r="X32" i="28"/>
  <c r="N33" i="28"/>
  <c r="R33" i="28"/>
  <c r="S33" i="28"/>
  <c r="T33" i="28"/>
  <c r="U33" i="28"/>
  <c r="V33" i="28"/>
  <c r="W33" i="28"/>
  <c r="X33" i="28"/>
  <c r="N34" i="28"/>
  <c r="R34" i="28"/>
  <c r="S34" i="28"/>
  <c r="T34" i="28"/>
  <c r="U34" i="28"/>
  <c r="V34" i="28"/>
  <c r="W34" i="28"/>
  <c r="X34" i="28"/>
  <c r="N35" i="28"/>
  <c r="R35" i="28"/>
  <c r="S35" i="28"/>
  <c r="T35" i="28"/>
  <c r="U35" i="28"/>
  <c r="V35" i="28"/>
  <c r="W35" i="28"/>
  <c r="X35" i="28"/>
  <c r="R36" i="28"/>
  <c r="V36" i="28"/>
  <c r="W36" i="28"/>
  <c r="X36" i="28"/>
  <c r="N37" i="28"/>
  <c r="R37" i="28"/>
  <c r="S37" i="28"/>
  <c r="T37" i="28"/>
  <c r="U37" i="28"/>
  <c r="V37" i="28"/>
  <c r="W37" i="28"/>
  <c r="X37" i="28"/>
  <c r="N38" i="28"/>
  <c r="R38" i="28"/>
  <c r="S38" i="28"/>
  <c r="T38" i="28"/>
  <c r="U38" i="28"/>
  <c r="V38" i="28"/>
  <c r="W38" i="28"/>
  <c r="X38" i="28"/>
  <c r="N39" i="28"/>
  <c r="R39" i="28"/>
  <c r="S39" i="28"/>
  <c r="T39" i="28"/>
  <c r="U39" i="28"/>
  <c r="V39" i="28"/>
  <c r="W39" i="28"/>
  <c r="X39" i="28"/>
  <c r="N40" i="28"/>
  <c r="R40" i="28"/>
  <c r="S40" i="28"/>
  <c r="T40" i="28"/>
  <c r="U40" i="28"/>
  <c r="V40" i="28"/>
  <c r="W40" i="28"/>
  <c r="X40" i="28"/>
  <c r="N41" i="28"/>
  <c r="R41" i="28"/>
  <c r="S41" i="28"/>
  <c r="T41" i="28"/>
  <c r="U41" i="28"/>
  <c r="V41" i="28"/>
  <c r="W41" i="28"/>
  <c r="X41" i="28"/>
  <c r="N42" i="28"/>
  <c r="R42" i="28"/>
  <c r="S42" i="28"/>
  <c r="T42" i="28"/>
  <c r="U42" i="28"/>
  <c r="V42" i="28"/>
  <c r="W42" i="28"/>
  <c r="X42" i="28"/>
  <c r="N43" i="28"/>
  <c r="R43" i="28"/>
  <c r="S43" i="28"/>
  <c r="T43" i="28"/>
  <c r="U43" i="28"/>
  <c r="V43" i="28"/>
  <c r="W43" i="28"/>
  <c r="X43" i="28"/>
  <c r="N44" i="28"/>
  <c r="R44" i="28"/>
  <c r="S44" i="28"/>
  <c r="T44" i="28"/>
  <c r="U44" i="28"/>
  <c r="V44" i="28"/>
  <c r="W44" i="28"/>
  <c r="X44" i="28"/>
  <c r="N45" i="28"/>
  <c r="R45" i="28"/>
  <c r="S45" i="28"/>
  <c r="T45" i="28"/>
  <c r="U45" i="28"/>
  <c r="V45" i="28"/>
  <c r="W45" i="28"/>
  <c r="X45" i="28"/>
  <c r="N46" i="28"/>
  <c r="R46" i="28"/>
  <c r="S46" i="28"/>
  <c r="T46" i="28"/>
  <c r="U46" i="28"/>
  <c r="V46" i="28"/>
  <c r="W46" i="28"/>
  <c r="X46" i="28"/>
  <c r="N47" i="28"/>
  <c r="R47" i="28"/>
  <c r="S47" i="28"/>
  <c r="T47" i="28"/>
  <c r="U47" i="28"/>
  <c r="V47" i="28"/>
  <c r="W47" i="28"/>
  <c r="X47" i="28"/>
  <c r="N48" i="28"/>
  <c r="R48" i="28"/>
  <c r="S48" i="28"/>
  <c r="T48" i="28"/>
  <c r="U48" i="28"/>
  <c r="V48" i="28"/>
  <c r="W48" i="28"/>
  <c r="X48" i="28"/>
  <c r="N49" i="28"/>
  <c r="R49" i="28"/>
  <c r="S49" i="28"/>
  <c r="T49" i="28"/>
  <c r="U49" i="28"/>
  <c r="V49" i="28"/>
  <c r="W49" i="28"/>
  <c r="X49" i="28"/>
  <c r="N50" i="28"/>
  <c r="R50" i="28"/>
  <c r="S50" i="28"/>
  <c r="T50" i="28"/>
  <c r="U50" i="28"/>
  <c r="V50" i="28"/>
  <c r="W50" i="28"/>
  <c r="X50" i="28"/>
  <c r="N51" i="28"/>
  <c r="R51" i="28"/>
  <c r="S51" i="28"/>
  <c r="T51" i="28"/>
  <c r="U51" i="28"/>
  <c r="V51" i="28"/>
  <c r="W51" i="28"/>
  <c r="X51" i="28"/>
  <c r="N52" i="28"/>
  <c r="R52" i="28"/>
  <c r="S52" i="28"/>
  <c r="T52" i="28"/>
  <c r="U52" i="28"/>
  <c r="V52" i="28"/>
  <c r="W52" i="28"/>
  <c r="X52" i="28"/>
  <c r="N53" i="28"/>
  <c r="R53" i="28"/>
  <c r="S53" i="28"/>
  <c r="T53" i="28"/>
  <c r="U53" i="28"/>
  <c r="V53" i="28"/>
  <c r="W53" i="28"/>
  <c r="X53" i="28"/>
  <c r="N54" i="28"/>
  <c r="R54" i="28"/>
  <c r="S54" i="28"/>
  <c r="T54" i="28"/>
  <c r="U54" i="28"/>
  <c r="V54" i="28"/>
  <c r="W54" i="28"/>
  <c r="X54" i="28"/>
  <c r="N55" i="28"/>
  <c r="R55" i="28"/>
  <c r="S55" i="28"/>
  <c r="T55" i="28"/>
  <c r="U55" i="28"/>
  <c r="V55" i="28"/>
  <c r="W55" i="28"/>
  <c r="X55" i="28"/>
  <c r="N56" i="28"/>
  <c r="R56" i="28"/>
  <c r="S56" i="28"/>
  <c r="T56" i="28"/>
  <c r="U56" i="28"/>
  <c r="V56" i="28"/>
  <c r="W56" i="28"/>
  <c r="X56" i="28"/>
  <c r="N57" i="28"/>
  <c r="R57" i="28"/>
  <c r="S57" i="28"/>
  <c r="T57" i="28"/>
  <c r="U57" i="28"/>
  <c r="V57" i="28"/>
  <c r="W57" i="28"/>
  <c r="X57" i="28"/>
  <c r="N58" i="28"/>
  <c r="R58" i="28"/>
  <c r="S58" i="28"/>
  <c r="T58" i="28"/>
  <c r="U58" i="28"/>
  <c r="V58" i="28"/>
  <c r="W58" i="28"/>
  <c r="X58" i="28"/>
  <c r="N59" i="28"/>
  <c r="R59" i="28"/>
  <c r="S59" i="28"/>
  <c r="T59" i="28"/>
  <c r="U59" i="28"/>
  <c r="V59" i="28"/>
  <c r="W59" i="28"/>
  <c r="X59" i="28"/>
  <c r="N60" i="28"/>
  <c r="R60" i="28"/>
  <c r="S60" i="28"/>
  <c r="T60" i="28"/>
  <c r="U60" i="28"/>
  <c r="V60" i="28"/>
  <c r="W60" i="28"/>
  <c r="X60" i="28"/>
  <c r="N61" i="28"/>
  <c r="R61" i="28"/>
  <c r="S61" i="28"/>
  <c r="T61" i="28"/>
  <c r="U61" i="28"/>
  <c r="V61" i="28"/>
  <c r="W61" i="28"/>
  <c r="X61" i="28"/>
  <c r="N62" i="28"/>
  <c r="R62" i="28"/>
  <c r="S62" i="28"/>
  <c r="T62" i="28"/>
  <c r="U62" i="28"/>
  <c r="V62" i="28"/>
  <c r="W62" i="28"/>
  <c r="X62" i="28"/>
  <c r="N63" i="28"/>
  <c r="R63" i="28"/>
  <c r="S63" i="28"/>
  <c r="T63" i="28"/>
  <c r="U63" i="28"/>
  <c r="V63" i="28"/>
  <c r="W63" i="28"/>
  <c r="X63" i="28"/>
  <c r="N64" i="28"/>
  <c r="R64" i="28"/>
  <c r="S64" i="28"/>
  <c r="T64" i="28"/>
  <c r="U64" i="28"/>
  <c r="V64" i="28"/>
  <c r="W64" i="28"/>
  <c r="X64" i="28"/>
  <c r="N65" i="28"/>
  <c r="R65" i="28"/>
  <c r="S65" i="28"/>
  <c r="T65" i="28"/>
  <c r="U65" i="28"/>
  <c r="V65" i="28"/>
  <c r="W65" i="28"/>
  <c r="X65" i="28"/>
  <c r="N66" i="28"/>
  <c r="R66" i="28"/>
  <c r="S66" i="28"/>
  <c r="T66" i="28"/>
  <c r="U66" i="28"/>
  <c r="V66" i="28"/>
  <c r="W66" i="28"/>
  <c r="X66" i="28"/>
  <c r="N67" i="28"/>
  <c r="R67" i="28"/>
  <c r="S67" i="28"/>
  <c r="T67" i="28"/>
  <c r="U67" i="28"/>
  <c r="V67" i="28"/>
  <c r="W67" i="28"/>
  <c r="X67" i="28"/>
  <c r="N68" i="28"/>
  <c r="R68" i="28"/>
  <c r="S68" i="28"/>
  <c r="T68" i="28"/>
  <c r="U68" i="28"/>
  <c r="V68" i="28"/>
  <c r="W68" i="28"/>
  <c r="X68" i="28"/>
  <c r="N69" i="28"/>
  <c r="R69" i="28"/>
  <c r="S69" i="28"/>
  <c r="T69" i="28"/>
  <c r="U69" i="28"/>
  <c r="V69" i="28"/>
  <c r="W69" i="28"/>
  <c r="X69" i="28"/>
  <c r="N70" i="28"/>
  <c r="R70" i="28"/>
  <c r="S70" i="28"/>
  <c r="T70" i="28"/>
  <c r="U70" i="28"/>
  <c r="V70" i="28"/>
  <c r="W70" i="28"/>
  <c r="X70" i="28"/>
  <c r="N71" i="28"/>
  <c r="R71" i="28"/>
  <c r="S71" i="28"/>
  <c r="T71" i="28"/>
  <c r="U71" i="28"/>
  <c r="V71" i="28"/>
  <c r="W71" i="28"/>
  <c r="X71" i="28"/>
  <c r="N72" i="28"/>
  <c r="R72" i="28"/>
  <c r="S72" i="28"/>
  <c r="T72" i="28"/>
  <c r="U72" i="28"/>
  <c r="V72" i="28"/>
  <c r="W72" i="28"/>
  <c r="X72" i="28"/>
  <c r="N73" i="28"/>
  <c r="R73" i="28"/>
  <c r="S73" i="28"/>
  <c r="T73" i="28"/>
  <c r="U73" i="28"/>
  <c r="V73" i="28"/>
  <c r="W73" i="28"/>
  <c r="X73" i="28"/>
  <c r="N74" i="28"/>
  <c r="R74" i="28"/>
  <c r="S74" i="28"/>
  <c r="T74" i="28"/>
  <c r="U74" i="28"/>
  <c r="V74" i="28"/>
  <c r="W74" i="28"/>
  <c r="X74" i="28"/>
  <c r="N75" i="28"/>
  <c r="R75" i="28"/>
  <c r="S75" i="28"/>
  <c r="T75" i="28"/>
  <c r="U75" i="28"/>
  <c r="V75" i="28"/>
  <c r="W75" i="28"/>
  <c r="X75" i="28"/>
  <c r="N76" i="28"/>
  <c r="R76" i="28"/>
  <c r="S76" i="28"/>
  <c r="T76" i="28"/>
  <c r="U76" i="28"/>
  <c r="V76" i="28"/>
  <c r="W76" i="28"/>
  <c r="X76" i="28"/>
  <c r="N77" i="28"/>
  <c r="R77" i="28"/>
  <c r="S77" i="28"/>
  <c r="T77" i="28"/>
  <c r="U77" i="28"/>
  <c r="V77" i="28"/>
  <c r="W77" i="28"/>
  <c r="X77" i="28"/>
  <c r="N78" i="28"/>
  <c r="R78" i="28"/>
  <c r="S78" i="28"/>
  <c r="T78" i="28"/>
  <c r="U78" i="28"/>
  <c r="V78" i="28"/>
  <c r="W78" i="28"/>
  <c r="X78" i="28"/>
  <c r="N79" i="28"/>
  <c r="R79" i="28"/>
  <c r="S79" i="28"/>
  <c r="T79" i="28"/>
  <c r="U79" i="28"/>
  <c r="V79" i="28"/>
  <c r="W79" i="28"/>
  <c r="X79" i="28"/>
  <c r="N80" i="28"/>
  <c r="R80" i="28"/>
  <c r="S80" i="28"/>
  <c r="T80" i="28"/>
  <c r="U80" i="28"/>
  <c r="V80" i="28"/>
  <c r="W80" i="28"/>
  <c r="X80" i="28"/>
  <c r="N81" i="28"/>
  <c r="R81" i="28"/>
  <c r="S81" i="28"/>
  <c r="T81" i="28"/>
  <c r="U81" i="28"/>
  <c r="V81" i="28"/>
  <c r="W81" i="28"/>
  <c r="X81" i="28"/>
  <c r="N82" i="28"/>
  <c r="R82" i="28"/>
  <c r="S82" i="28"/>
  <c r="T82" i="28"/>
  <c r="U82" i="28"/>
  <c r="V82" i="28"/>
  <c r="W82" i="28"/>
  <c r="X82" i="28"/>
  <c r="N83" i="28"/>
  <c r="R83" i="28"/>
  <c r="S83" i="28"/>
  <c r="T83" i="28"/>
  <c r="U83" i="28"/>
  <c r="V83" i="28"/>
  <c r="W83" i="28"/>
  <c r="X83" i="28"/>
  <c r="N84" i="28"/>
  <c r="R84" i="28"/>
  <c r="S84" i="28"/>
  <c r="T84" i="28"/>
  <c r="U84" i="28"/>
  <c r="V84" i="28"/>
  <c r="W84" i="28"/>
  <c r="X84" i="28"/>
  <c r="N85" i="28"/>
  <c r="R85" i="28"/>
  <c r="S85" i="28"/>
  <c r="T85" i="28"/>
  <c r="U85" i="28"/>
  <c r="V85" i="28"/>
  <c r="W85" i="28"/>
  <c r="X85" i="28"/>
  <c r="N86" i="28"/>
  <c r="R86" i="28"/>
  <c r="S86" i="28"/>
  <c r="T86" i="28"/>
  <c r="U86" i="28"/>
  <c r="V86" i="28"/>
  <c r="W86" i="28"/>
  <c r="X86" i="28"/>
  <c r="N87" i="28"/>
  <c r="R87" i="28"/>
  <c r="S87" i="28"/>
  <c r="T87" i="28"/>
  <c r="U87" i="28"/>
  <c r="V87" i="28"/>
  <c r="W87" i="28"/>
  <c r="X87" i="28"/>
  <c r="N88" i="28"/>
  <c r="R88" i="28"/>
  <c r="S88" i="28"/>
  <c r="T88" i="28"/>
  <c r="U88" i="28"/>
  <c r="V88" i="28"/>
  <c r="W88" i="28"/>
  <c r="X88" i="28"/>
  <c r="N89" i="28"/>
  <c r="R89" i="28"/>
  <c r="S89" i="28"/>
  <c r="T89" i="28"/>
  <c r="U89" i="28"/>
  <c r="V89" i="28"/>
  <c r="W89" i="28"/>
  <c r="X89" i="28"/>
  <c r="N90" i="28"/>
  <c r="R90" i="28"/>
  <c r="S90" i="28"/>
  <c r="T90" i="28"/>
  <c r="U90" i="28"/>
  <c r="V90" i="28"/>
  <c r="W90" i="28"/>
  <c r="X90" i="28"/>
  <c r="N91" i="28"/>
  <c r="R91" i="28"/>
  <c r="S91" i="28"/>
  <c r="T91" i="28"/>
  <c r="U91" i="28"/>
  <c r="V91" i="28"/>
  <c r="W91" i="28"/>
  <c r="X91" i="28"/>
  <c r="N92" i="28"/>
  <c r="R92" i="28"/>
  <c r="S92" i="28"/>
  <c r="T92" i="28"/>
  <c r="U92" i="28"/>
  <c r="V92" i="28"/>
  <c r="W92" i="28"/>
  <c r="X92" i="28"/>
  <c r="N93" i="28"/>
  <c r="R93" i="28"/>
  <c r="S93" i="28"/>
  <c r="T93" i="28"/>
  <c r="U93" i="28"/>
  <c r="V93" i="28"/>
  <c r="W93" i="28"/>
  <c r="X93" i="28"/>
  <c r="N94" i="28"/>
  <c r="R94" i="28"/>
  <c r="S94" i="28"/>
  <c r="T94" i="28"/>
  <c r="U94" i="28"/>
  <c r="V94" i="28"/>
  <c r="W94" i="28"/>
  <c r="X94" i="28"/>
  <c r="N95" i="28"/>
  <c r="R95" i="28"/>
  <c r="S95" i="28"/>
  <c r="T95" i="28"/>
  <c r="U95" i="28"/>
  <c r="V95" i="28"/>
  <c r="W95" i="28"/>
  <c r="X95" i="28"/>
  <c r="N96" i="28"/>
  <c r="R96" i="28"/>
  <c r="S96" i="28"/>
  <c r="T96" i="28"/>
  <c r="U96" i="28"/>
  <c r="V96" i="28"/>
  <c r="W96" i="28"/>
  <c r="X96" i="28"/>
  <c r="N97" i="28"/>
  <c r="R97" i="28"/>
  <c r="S97" i="28"/>
  <c r="T97" i="28"/>
  <c r="U97" i="28"/>
  <c r="V97" i="28"/>
  <c r="W97" i="28"/>
  <c r="X97" i="28"/>
  <c r="N98" i="28"/>
  <c r="R98" i="28"/>
  <c r="S98" i="28"/>
  <c r="T98" i="28"/>
  <c r="U98" i="28"/>
  <c r="V98" i="28"/>
  <c r="W98" i="28"/>
  <c r="X98" i="28"/>
  <c r="N99" i="28"/>
  <c r="R99" i="28"/>
  <c r="S99" i="28"/>
  <c r="T99" i="28"/>
  <c r="U99" i="28"/>
  <c r="V99" i="28"/>
  <c r="W99" i="28"/>
  <c r="X99" i="28"/>
  <c r="N100" i="28"/>
  <c r="R100" i="28"/>
  <c r="S100" i="28"/>
  <c r="T100" i="28"/>
  <c r="U100" i="28"/>
  <c r="V100" i="28"/>
  <c r="W100" i="28"/>
  <c r="X100" i="28"/>
  <c r="N101" i="28"/>
  <c r="R101" i="28"/>
  <c r="S101" i="28"/>
  <c r="T101" i="28"/>
  <c r="U101" i="28"/>
  <c r="V101" i="28"/>
  <c r="W101" i="28"/>
  <c r="X101" i="28"/>
  <c r="N102" i="28"/>
  <c r="R102" i="28"/>
  <c r="S102" i="28"/>
  <c r="T102" i="28"/>
  <c r="U102" i="28"/>
  <c r="V102" i="28"/>
  <c r="W102" i="28"/>
  <c r="X102" i="28"/>
  <c r="N103" i="28"/>
  <c r="R103" i="28"/>
  <c r="S103" i="28"/>
  <c r="T103" i="28"/>
  <c r="U103" i="28"/>
  <c r="V103" i="28"/>
  <c r="W103" i="28"/>
  <c r="X103" i="28"/>
  <c r="N104" i="28"/>
  <c r="R104" i="28"/>
  <c r="S104" i="28"/>
  <c r="T104" i="28"/>
  <c r="U104" i="28"/>
  <c r="V104" i="28"/>
  <c r="W104" i="28"/>
  <c r="X104" i="28"/>
  <c r="N105" i="28"/>
  <c r="R105" i="28"/>
  <c r="S105" i="28"/>
  <c r="T105" i="28"/>
  <c r="U105" i="28"/>
  <c r="V105" i="28"/>
  <c r="W105" i="28"/>
  <c r="X105" i="28"/>
  <c r="N106" i="28"/>
  <c r="R106" i="28"/>
  <c r="S106" i="28"/>
  <c r="T106" i="28"/>
  <c r="U106" i="28"/>
  <c r="V106" i="28"/>
  <c r="W106" i="28"/>
  <c r="X106" i="28"/>
  <c r="N107" i="28"/>
  <c r="R107" i="28"/>
  <c r="S107" i="28"/>
  <c r="T107" i="28"/>
  <c r="U107" i="28"/>
  <c r="V107" i="28"/>
  <c r="W107" i="28"/>
  <c r="X107" i="28"/>
  <c r="N108" i="28"/>
  <c r="R108" i="28"/>
  <c r="S108" i="28"/>
  <c r="T108" i="28"/>
  <c r="U108" i="28"/>
  <c r="V108" i="28"/>
  <c r="W108" i="28"/>
  <c r="X108" i="28"/>
  <c r="N109" i="28"/>
  <c r="R109" i="28"/>
  <c r="S109" i="28"/>
  <c r="T109" i="28"/>
  <c r="U109" i="28"/>
  <c r="V109" i="28"/>
  <c r="W109" i="28"/>
  <c r="X109" i="28"/>
  <c r="N110" i="28"/>
  <c r="R110" i="28"/>
  <c r="S110" i="28"/>
  <c r="T110" i="28"/>
  <c r="U110" i="28"/>
  <c r="V110" i="28"/>
  <c r="W110" i="28"/>
  <c r="X110" i="28"/>
  <c r="N111" i="28"/>
  <c r="R111" i="28"/>
  <c r="S111" i="28"/>
  <c r="T111" i="28"/>
  <c r="U111" i="28"/>
  <c r="V111" i="28"/>
  <c r="W111" i="28"/>
  <c r="X111" i="28"/>
  <c r="N112" i="28"/>
  <c r="R112" i="28"/>
  <c r="S112" i="28"/>
  <c r="T112" i="28"/>
  <c r="U112" i="28"/>
  <c r="V112" i="28"/>
  <c r="W112" i="28"/>
  <c r="X112" i="28"/>
  <c r="N113" i="28"/>
  <c r="R113" i="28"/>
  <c r="S113" i="28"/>
  <c r="T113" i="28"/>
  <c r="U113" i="28"/>
  <c r="V113" i="28"/>
  <c r="W113" i="28"/>
  <c r="X113" i="28"/>
  <c r="N114" i="28"/>
  <c r="R114" i="28"/>
  <c r="S114" i="28"/>
  <c r="T114" i="28"/>
  <c r="U114" i="28"/>
  <c r="V114" i="28"/>
  <c r="W114" i="28"/>
  <c r="X114" i="28"/>
  <c r="N115" i="28"/>
  <c r="R115" i="28"/>
  <c r="S115" i="28"/>
  <c r="T115" i="28"/>
  <c r="U115" i="28"/>
  <c r="V115" i="28"/>
  <c r="W115" i="28"/>
  <c r="X115" i="28"/>
  <c r="N116" i="28"/>
  <c r="R116" i="28"/>
  <c r="S116" i="28"/>
  <c r="T116" i="28"/>
  <c r="U116" i="28"/>
  <c r="V116" i="28"/>
  <c r="W116" i="28"/>
  <c r="X116" i="28"/>
  <c r="N117" i="28"/>
  <c r="R117" i="28"/>
  <c r="S117" i="28"/>
  <c r="T117" i="28"/>
  <c r="U117" i="28"/>
  <c r="V117" i="28"/>
  <c r="W117" i="28"/>
  <c r="X117" i="28"/>
  <c r="N118" i="28"/>
  <c r="R118" i="28"/>
  <c r="S118" i="28"/>
  <c r="T118" i="28"/>
  <c r="U118" i="28"/>
  <c r="V118" i="28"/>
  <c r="W118" i="28"/>
  <c r="X118" i="28"/>
  <c r="N119" i="28"/>
  <c r="R119" i="28"/>
  <c r="S119" i="28"/>
  <c r="T119" i="28"/>
  <c r="U119" i="28"/>
  <c r="V119" i="28"/>
  <c r="W119" i="28"/>
  <c r="X119" i="28"/>
  <c r="N120" i="28"/>
  <c r="R120" i="28"/>
  <c r="S120" i="28"/>
  <c r="T120" i="28"/>
  <c r="U120" i="28"/>
  <c r="V120" i="28"/>
  <c r="W120" i="28"/>
  <c r="X120" i="28"/>
  <c r="N121" i="28"/>
  <c r="R121" i="28"/>
  <c r="S121" i="28"/>
  <c r="T121" i="28"/>
  <c r="U121" i="28"/>
  <c r="V121" i="28"/>
  <c r="W121" i="28"/>
  <c r="X121" i="28"/>
  <c r="N122" i="28"/>
  <c r="R122" i="28"/>
  <c r="S122" i="28"/>
  <c r="T122" i="28"/>
  <c r="U122" i="28"/>
  <c r="V122" i="28"/>
  <c r="W122" i="28"/>
  <c r="X122" i="28"/>
  <c r="N123" i="28"/>
  <c r="R123" i="28"/>
  <c r="S123" i="28"/>
  <c r="T123" i="28"/>
  <c r="U123" i="28"/>
  <c r="V123" i="28"/>
  <c r="W123" i="28"/>
  <c r="X123" i="28"/>
  <c r="N124" i="28"/>
  <c r="R124" i="28"/>
  <c r="S124" i="28"/>
  <c r="T124" i="28"/>
  <c r="U124" i="28"/>
  <c r="V124" i="28"/>
  <c r="W124" i="28"/>
  <c r="X124" i="28"/>
  <c r="N125" i="28"/>
  <c r="R125" i="28"/>
  <c r="S125" i="28"/>
  <c r="T125" i="28"/>
  <c r="U125" i="28"/>
  <c r="V125" i="28"/>
  <c r="W125" i="28"/>
  <c r="X125" i="28"/>
  <c r="N126" i="28"/>
  <c r="R126" i="28"/>
  <c r="S126" i="28"/>
  <c r="T126" i="28"/>
  <c r="U126" i="28"/>
  <c r="V126" i="28"/>
  <c r="W126" i="28"/>
  <c r="X126" i="28"/>
  <c r="N127" i="28"/>
  <c r="R127" i="28"/>
  <c r="S127" i="28"/>
  <c r="T127" i="28"/>
  <c r="U127" i="28"/>
  <c r="V127" i="28"/>
  <c r="W127" i="28"/>
  <c r="X127" i="28"/>
  <c r="N128" i="28"/>
  <c r="R128" i="28"/>
  <c r="S128" i="28"/>
  <c r="T128" i="28"/>
  <c r="U128" i="28"/>
  <c r="V128" i="28"/>
  <c r="W128" i="28"/>
  <c r="X128" i="28"/>
  <c r="N129" i="28"/>
  <c r="R129" i="28"/>
  <c r="S129" i="28"/>
  <c r="T129" i="28"/>
  <c r="U129" i="28"/>
  <c r="V129" i="28"/>
  <c r="W129" i="28"/>
  <c r="X129" i="28"/>
  <c r="N130" i="28"/>
  <c r="R130" i="28"/>
  <c r="S130" i="28"/>
  <c r="T130" i="28"/>
  <c r="U130" i="28"/>
  <c r="V130" i="28"/>
  <c r="W130" i="28"/>
  <c r="X130" i="28"/>
  <c r="N131" i="28"/>
  <c r="R131" i="28"/>
  <c r="S131" i="28"/>
  <c r="T131" i="28"/>
  <c r="U131" i="28"/>
  <c r="V131" i="28"/>
  <c r="W131" i="28"/>
  <c r="X131" i="28"/>
  <c r="N132" i="28"/>
  <c r="R132" i="28"/>
  <c r="S132" i="28"/>
  <c r="T132" i="28"/>
  <c r="U132" i="28"/>
  <c r="V132" i="28"/>
  <c r="W132" i="28"/>
  <c r="X132" i="28"/>
  <c r="N133" i="28"/>
  <c r="R133" i="28"/>
  <c r="S133" i="28"/>
  <c r="T133" i="28"/>
  <c r="U133" i="28"/>
  <c r="V133" i="28"/>
  <c r="W133" i="28"/>
  <c r="X133" i="28"/>
  <c r="N134" i="28"/>
  <c r="R134" i="28"/>
  <c r="S134" i="28"/>
  <c r="T134" i="28"/>
  <c r="U134" i="28"/>
  <c r="V134" i="28"/>
  <c r="W134" i="28"/>
  <c r="X134" i="28"/>
  <c r="N135" i="28"/>
  <c r="R135" i="28"/>
  <c r="S135" i="28"/>
  <c r="T135" i="28"/>
  <c r="U135" i="28"/>
  <c r="V135" i="28"/>
  <c r="W135" i="28"/>
  <c r="X135" i="28"/>
  <c r="N136" i="28"/>
  <c r="R136" i="28"/>
  <c r="S136" i="28"/>
  <c r="T136" i="28"/>
  <c r="U136" i="28"/>
  <c r="V136" i="28"/>
  <c r="W136" i="28"/>
  <c r="X136" i="28"/>
  <c r="N137" i="28"/>
  <c r="R137" i="28"/>
  <c r="S137" i="28"/>
  <c r="T137" i="28"/>
  <c r="U137" i="28"/>
  <c r="V137" i="28"/>
  <c r="W137" i="28"/>
  <c r="X137" i="28"/>
  <c r="N138" i="28"/>
  <c r="R138" i="28"/>
  <c r="S138" i="28"/>
  <c r="T138" i="28"/>
  <c r="U138" i="28"/>
  <c r="V138" i="28"/>
  <c r="W138" i="28"/>
  <c r="X138" i="28"/>
  <c r="N139" i="28"/>
  <c r="R139" i="28"/>
  <c r="S139" i="28"/>
  <c r="T139" i="28"/>
  <c r="U139" i="28"/>
  <c r="V139" i="28"/>
  <c r="W139" i="28"/>
  <c r="X139" i="28"/>
  <c r="N140" i="28"/>
  <c r="R140" i="28"/>
  <c r="S140" i="28"/>
  <c r="T140" i="28"/>
  <c r="U140" i="28"/>
  <c r="V140" i="28"/>
  <c r="W140" i="28"/>
  <c r="X140" i="28"/>
  <c r="N141" i="28"/>
  <c r="R141" i="28"/>
  <c r="S141" i="28"/>
  <c r="T141" i="28"/>
  <c r="U141" i="28"/>
  <c r="V141" i="28"/>
  <c r="W141" i="28"/>
  <c r="X141" i="28"/>
  <c r="N142" i="28"/>
  <c r="R142" i="28"/>
  <c r="S142" i="28"/>
  <c r="T142" i="28"/>
  <c r="U142" i="28"/>
  <c r="V142" i="28"/>
  <c r="W142" i="28"/>
  <c r="X142" i="28"/>
  <c r="N143" i="28"/>
  <c r="R143" i="28"/>
  <c r="S143" i="28"/>
  <c r="T143" i="28"/>
  <c r="U143" i="28"/>
  <c r="V143" i="28"/>
  <c r="W143" i="28"/>
  <c r="X143" i="28"/>
  <c r="N144" i="28"/>
  <c r="R144" i="28"/>
  <c r="S144" i="28"/>
  <c r="T144" i="28"/>
  <c r="U144" i="28"/>
  <c r="V144" i="28"/>
  <c r="W144" i="28"/>
  <c r="X144" i="28"/>
  <c r="N145" i="28"/>
  <c r="R145" i="28"/>
  <c r="S145" i="28"/>
  <c r="T145" i="28"/>
  <c r="U145" i="28"/>
  <c r="V145" i="28"/>
  <c r="W145" i="28"/>
  <c r="X145" i="28"/>
  <c r="N146" i="28"/>
  <c r="R146" i="28"/>
  <c r="S146" i="28"/>
  <c r="T146" i="28"/>
  <c r="U146" i="28"/>
  <c r="V146" i="28"/>
  <c r="W146" i="28"/>
  <c r="X146" i="28"/>
  <c r="N147" i="28"/>
  <c r="R147" i="28"/>
  <c r="S147" i="28"/>
  <c r="T147" i="28"/>
  <c r="U147" i="28"/>
  <c r="V147" i="28"/>
  <c r="W147" i="28"/>
  <c r="X147" i="28"/>
  <c r="N148" i="28"/>
  <c r="R148" i="28"/>
  <c r="S148" i="28"/>
  <c r="T148" i="28"/>
  <c r="U148" i="28"/>
  <c r="V148" i="28"/>
  <c r="W148" i="28"/>
  <c r="X148" i="28"/>
  <c r="N149" i="28"/>
  <c r="R149" i="28"/>
  <c r="S149" i="28"/>
  <c r="T149" i="28"/>
  <c r="U149" i="28"/>
  <c r="V149" i="28"/>
  <c r="W149" i="28"/>
  <c r="X149" i="28"/>
  <c r="N150" i="28"/>
  <c r="R150" i="28"/>
  <c r="S150" i="28"/>
  <c r="T150" i="28"/>
  <c r="U150" i="28"/>
  <c r="V150" i="28"/>
  <c r="W150" i="28"/>
  <c r="X150" i="28"/>
  <c r="N151" i="28"/>
  <c r="R151" i="28"/>
  <c r="S151" i="28"/>
  <c r="T151" i="28"/>
  <c r="U151" i="28"/>
  <c r="V151" i="28"/>
  <c r="W151" i="28"/>
  <c r="X151" i="28"/>
  <c r="N152" i="28"/>
  <c r="R152" i="28"/>
  <c r="S152" i="28"/>
  <c r="T152" i="28"/>
  <c r="U152" i="28"/>
  <c r="V152" i="28"/>
  <c r="W152" i="28"/>
  <c r="X152" i="28"/>
  <c r="N153" i="28"/>
  <c r="R153" i="28"/>
  <c r="S153" i="28"/>
  <c r="T153" i="28"/>
  <c r="U153" i="28"/>
  <c r="V153" i="28"/>
  <c r="W153" i="28"/>
  <c r="X153" i="28"/>
  <c r="K31" i="18"/>
  <c r="K38" i="16"/>
  <c r="K39" i="16"/>
  <c r="K40" i="16"/>
  <c r="K37" i="14"/>
  <c r="K38" i="14"/>
  <c r="K39" i="14"/>
  <c r="K47" i="11"/>
  <c r="K48" i="11"/>
  <c r="K49" i="11"/>
  <c r="K55" i="9"/>
  <c r="K56" i="9"/>
  <c r="K57" i="9"/>
  <c r="K39" i="7"/>
  <c r="K36" i="16"/>
  <c r="K37" i="16"/>
  <c r="K35" i="14"/>
  <c r="K36" i="14"/>
  <c r="K45" i="11"/>
  <c r="K46" i="11"/>
  <c r="K53" i="9"/>
  <c r="K54" i="9"/>
  <c r="O52" i="14"/>
  <c r="P52" i="14"/>
  <c r="Q52" i="14"/>
  <c r="O53" i="14"/>
  <c r="P53" i="14"/>
  <c r="Q53" i="14"/>
  <c r="O54" i="14"/>
  <c r="P54" i="14"/>
  <c r="Q54" i="14"/>
  <c r="O55" i="14"/>
  <c r="P55" i="14"/>
  <c r="Q55" i="14"/>
  <c r="O56" i="14"/>
  <c r="P56" i="14"/>
  <c r="Q56" i="14"/>
  <c r="O57" i="14"/>
  <c r="P57" i="14"/>
  <c r="Q57" i="14"/>
  <c r="O58" i="14"/>
  <c r="P58" i="14"/>
  <c r="Q58" i="14"/>
  <c r="O59" i="14"/>
  <c r="P59" i="14"/>
  <c r="Q59" i="14"/>
  <c r="O60" i="14"/>
  <c r="P60" i="14"/>
  <c r="Q60" i="14"/>
  <c r="O61" i="14"/>
  <c r="P61" i="14"/>
  <c r="Q61" i="14"/>
  <c r="O62" i="14"/>
  <c r="P62" i="14"/>
  <c r="Q62" i="14"/>
  <c r="O63" i="14"/>
  <c r="P63" i="14"/>
  <c r="Q63" i="14"/>
  <c r="O64" i="14"/>
  <c r="P64" i="14"/>
  <c r="Q64" i="14"/>
  <c r="O65" i="14"/>
  <c r="P65" i="14"/>
  <c r="Q65" i="14"/>
  <c r="O66" i="14"/>
  <c r="P66" i="14"/>
  <c r="Q66" i="14"/>
  <c r="O67" i="14"/>
  <c r="P67" i="14"/>
  <c r="Q67" i="14"/>
  <c r="O68" i="14"/>
  <c r="P68" i="14"/>
  <c r="Q68" i="14"/>
  <c r="O69" i="14"/>
  <c r="P69" i="14"/>
  <c r="Q69" i="14"/>
  <c r="O70" i="14"/>
  <c r="P70" i="14"/>
  <c r="Q70" i="14"/>
  <c r="O71" i="14"/>
  <c r="P71" i="14"/>
  <c r="Q71" i="14"/>
  <c r="O72" i="14"/>
  <c r="P72" i="14"/>
  <c r="Q72" i="14"/>
  <c r="O73" i="14"/>
  <c r="P73" i="14"/>
  <c r="Q73" i="14"/>
  <c r="O74" i="14"/>
  <c r="P74" i="14"/>
  <c r="Q74" i="14"/>
  <c r="O75" i="14"/>
  <c r="P75" i="14"/>
  <c r="Q75" i="14"/>
  <c r="O76" i="14"/>
  <c r="P76" i="14"/>
  <c r="Q76" i="14"/>
  <c r="O77" i="14"/>
  <c r="P77" i="14"/>
  <c r="Q77" i="14"/>
  <c r="O78" i="14"/>
  <c r="P78" i="14"/>
  <c r="Q78" i="14"/>
  <c r="O79" i="14"/>
  <c r="P79" i="14"/>
  <c r="Q79" i="14"/>
  <c r="O80" i="14"/>
  <c r="P80" i="14"/>
  <c r="Q80" i="14"/>
  <c r="O81" i="14"/>
  <c r="P81" i="14"/>
  <c r="Q81" i="14"/>
  <c r="O82" i="14"/>
  <c r="P82" i="14"/>
  <c r="Q82" i="14"/>
  <c r="O83" i="14"/>
  <c r="P83" i="14"/>
  <c r="Q83" i="14"/>
  <c r="O84" i="14"/>
  <c r="P84" i="14"/>
  <c r="Q84" i="14"/>
  <c r="O85" i="14"/>
  <c r="P85" i="14"/>
  <c r="Q85" i="14"/>
  <c r="O86" i="14"/>
  <c r="P86" i="14"/>
  <c r="Q86" i="14"/>
  <c r="O87" i="14"/>
  <c r="P87" i="14"/>
  <c r="Q87" i="14"/>
  <c r="O88" i="14"/>
  <c r="P88" i="14"/>
  <c r="Q88" i="14"/>
  <c r="O89" i="14"/>
  <c r="P89" i="14"/>
  <c r="Q89" i="14"/>
  <c r="O90" i="14"/>
  <c r="P90" i="14"/>
  <c r="Q90" i="14"/>
  <c r="O91" i="14"/>
  <c r="P91" i="14"/>
  <c r="Q91" i="14"/>
  <c r="O92" i="14"/>
  <c r="P92" i="14"/>
  <c r="Q92" i="14"/>
  <c r="O93" i="14"/>
  <c r="P93" i="14"/>
  <c r="Q93" i="14"/>
  <c r="O94" i="14"/>
  <c r="P94" i="14"/>
  <c r="Q94" i="14"/>
  <c r="O95" i="14"/>
  <c r="P95" i="14"/>
  <c r="Q95" i="14"/>
  <c r="O96" i="14"/>
  <c r="P96" i="14"/>
  <c r="Q96" i="14"/>
  <c r="O97" i="14"/>
  <c r="P97" i="14"/>
  <c r="Q97" i="14"/>
  <c r="O98" i="14"/>
  <c r="P98" i="14"/>
  <c r="Q98" i="14"/>
  <c r="O99" i="14"/>
  <c r="P99" i="14"/>
  <c r="Q99" i="14"/>
  <c r="O100" i="14"/>
  <c r="P100" i="14"/>
  <c r="Q100" i="14"/>
  <c r="O101" i="14"/>
  <c r="P101" i="14"/>
  <c r="Q101" i="14"/>
  <c r="O102" i="14"/>
  <c r="P102" i="14"/>
  <c r="Q102" i="14"/>
  <c r="O103" i="14"/>
  <c r="P103" i="14"/>
  <c r="Q103" i="14"/>
  <c r="O104" i="14"/>
  <c r="P104" i="14"/>
  <c r="Q104" i="14"/>
  <c r="O105" i="14"/>
  <c r="P105" i="14"/>
  <c r="Q105" i="14"/>
  <c r="O106" i="14"/>
  <c r="P106" i="14"/>
  <c r="Q106" i="14"/>
  <c r="O107" i="14"/>
  <c r="P107" i="14"/>
  <c r="Q107" i="14"/>
  <c r="O108" i="14"/>
  <c r="P108" i="14"/>
  <c r="Q108" i="14"/>
  <c r="O109" i="14"/>
  <c r="P109" i="14"/>
  <c r="Q109" i="14"/>
  <c r="O110" i="14"/>
  <c r="P110" i="14"/>
  <c r="Q110" i="14"/>
  <c r="O111" i="14"/>
  <c r="P111" i="14"/>
  <c r="Q111" i="14"/>
  <c r="O112" i="14"/>
  <c r="P112" i="14"/>
  <c r="Q112" i="14"/>
  <c r="O113" i="14"/>
  <c r="P113" i="14"/>
  <c r="Q113" i="14"/>
  <c r="O114" i="14"/>
  <c r="P114" i="14"/>
  <c r="Q114" i="14"/>
  <c r="O115" i="14"/>
  <c r="P115" i="14"/>
  <c r="Q115" i="14"/>
  <c r="O116" i="14"/>
  <c r="P116" i="14"/>
  <c r="Q116" i="14"/>
  <c r="O117" i="14"/>
  <c r="P117" i="14"/>
  <c r="Q117" i="14"/>
  <c r="O118" i="14"/>
  <c r="P118" i="14"/>
  <c r="Q118" i="14"/>
  <c r="O119" i="14"/>
  <c r="P119" i="14"/>
  <c r="Q119" i="14"/>
  <c r="O120" i="14"/>
  <c r="P120" i="14"/>
  <c r="Q120" i="14"/>
  <c r="O121" i="14"/>
  <c r="P121" i="14"/>
  <c r="Q121" i="14"/>
  <c r="O122" i="14"/>
  <c r="P122" i="14"/>
  <c r="Q122" i="14"/>
  <c r="O123" i="14"/>
  <c r="P123" i="14"/>
  <c r="Q123" i="14"/>
  <c r="O124" i="14"/>
  <c r="P124" i="14"/>
  <c r="Q124" i="14"/>
  <c r="O125" i="14"/>
  <c r="P125" i="14"/>
  <c r="Q125" i="14"/>
  <c r="O126" i="14"/>
  <c r="P126" i="14"/>
  <c r="Q126" i="14"/>
  <c r="O127" i="14"/>
  <c r="P127" i="14"/>
  <c r="Q127" i="14"/>
  <c r="O128" i="14"/>
  <c r="P128" i="14"/>
  <c r="Q128" i="14"/>
  <c r="O129" i="14"/>
  <c r="P129" i="14"/>
  <c r="Q129" i="14"/>
  <c r="O130" i="14"/>
  <c r="P130" i="14"/>
  <c r="Q130" i="14"/>
  <c r="O131" i="14"/>
  <c r="P131" i="14"/>
  <c r="Q131" i="14"/>
  <c r="O132" i="14"/>
  <c r="P132" i="14"/>
  <c r="Q132" i="14"/>
  <c r="O133" i="14"/>
  <c r="P133" i="14"/>
  <c r="Q133" i="14"/>
  <c r="O134" i="14"/>
  <c r="P134" i="14"/>
  <c r="Q134" i="14"/>
  <c r="O135" i="14"/>
  <c r="P135" i="14"/>
  <c r="Q135" i="14"/>
  <c r="O136" i="14"/>
  <c r="P136" i="14"/>
  <c r="Q136" i="14"/>
  <c r="O137" i="14"/>
  <c r="P137" i="14"/>
  <c r="Q137" i="14"/>
  <c r="O138" i="14"/>
  <c r="P138" i="14"/>
  <c r="Q138" i="14"/>
  <c r="O139" i="14"/>
  <c r="P139" i="14"/>
  <c r="Q139" i="14"/>
  <c r="O140" i="14"/>
  <c r="P140" i="14"/>
  <c r="Q140" i="14"/>
  <c r="O141" i="14"/>
  <c r="P141" i="14"/>
  <c r="Q141" i="14"/>
  <c r="O142" i="14"/>
  <c r="P142" i="14"/>
  <c r="Q142" i="14"/>
  <c r="O143" i="14"/>
  <c r="P143" i="14"/>
  <c r="Q143" i="14"/>
  <c r="O144" i="14"/>
  <c r="P144" i="14"/>
  <c r="Q144" i="14"/>
  <c r="O145" i="14"/>
  <c r="P145" i="14"/>
  <c r="Q145" i="14"/>
  <c r="O146" i="14"/>
  <c r="P146" i="14"/>
  <c r="Q146" i="14"/>
  <c r="O147" i="14"/>
  <c r="P147" i="14"/>
  <c r="Q147" i="14"/>
  <c r="O148" i="14"/>
  <c r="P148" i="14"/>
  <c r="Q148" i="14"/>
  <c r="O149" i="14"/>
  <c r="P149" i="14"/>
  <c r="Q149" i="14"/>
  <c r="O150" i="14"/>
  <c r="P150" i="14"/>
  <c r="Q150" i="14"/>
  <c r="O151" i="14"/>
  <c r="P151" i="14"/>
  <c r="Q151" i="14"/>
  <c r="O152" i="14"/>
  <c r="P152" i="14"/>
  <c r="Q152" i="14"/>
  <c r="O153" i="14"/>
  <c r="P153" i="14"/>
  <c r="Q153" i="14"/>
  <c r="K24" i="24"/>
  <c r="K32" i="22"/>
  <c r="K38" i="20"/>
  <c r="K30" i="18"/>
  <c r="K35" i="16"/>
  <c r="K34" i="14"/>
  <c r="K44" i="11"/>
  <c r="K52" i="9"/>
  <c r="O62" i="11"/>
  <c r="P62" i="11"/>
  <c r="Q62" i="11"/>
  <c r="O63" i="11"/>
  <c r="P63" i="11"/>
  <c r="Q63" i="11"/>
  <c r="O64" i="11"/>
  <c r="P64" i="11"/>
  <c r="Q64" i="11"/>
  <c r="O65" i="11"/>
  <c r="P65" i="11"/>
  <c r="Q65" i="11"/>
  <c r="O66" i="11"/>
  <c r="P66" i="11"/>
  <c r="Q66" i="11"/>
  <c r="O67" i="11"/>
  <c r="P67" i="11"/>
  <c r="Q67" i="11"/>
  <c r="O68" i="11"/>
  <c r="P68" i="11"/>
  <c r="Q68" i="11"/>
  <c r="O69" i="11"/>
  <c r="P69" i="11"/>
  <c r="Q69" i="11"/>
  <c r="O70" i="11"/>
  <c r="P70" i="11"/>
  <c r="Q70" i="11"/>
  <c r="O71" i="11"/>
  <c r="P71" i="11"/>
  <c r="Q71" i="11"/>
  <c r="O72" i="11"/>
  <c r="P72" i="11"/>
  <c r="Q72" i="11"/>
  <c r="O73" i="11"/>
  <c r="P73" i="11"/>
  <c r="Q73" i="11"/>
  <c r="O74" i="11"/>
  <c r="P74" i="11"/>
  <c r="Q74" i="11"/>
  <c r="O75" i="11"/>
  <c r="P75" i="11"/>
  <c r="Q75" i="11"/>
  <c r="O76" i="11"/>
  <c r="P76" i="11"/>
  <c r="Q76" i="11"/>
  <c r="O77" i="11"/>
  <c r="P77" i="11"/>
  <c r="Q77" i="11"/>
  <c r="O78" i="11"/>
  <c r="P78" i="11"/>
  <c r="Q78" i="11"/>
  <c r="O79" i="11"/>
  <c r="P79" i="11"/>
  <c r="Q79" i="11"/>
  <c r="O80" i="11"/>
  <c r="P80" i="11"/>
  <c r="Q80" i="11"/>
  <c r="O81" i="11"/>
  <c r="P81" i="11"/>
  <c r="Q81" i="11"/>
  <c r="O82" i="11"/>
  <c r="P82" i="11"/>
  <c r="Q82" i="11"/>
  <c r="O83" i="11"/>
  <c r="P83" i="11"/>
  <c r="Q83" i="11"/>
  <c r="O84" i="11"/>
  <c r="P84" i="11"/>
  <c r="Q84" i="11"/>
  <c r="O85" i="11"/>
  <c r="P85" i="11"/>
  <c r="Q85" i="11"/>
  <c r="O86" i="11"/>
  <c r="P86" i="11"/>
  <c r="Q86" i="11"/>
  <c r="O87" i="11"/>
  <c r="P87" i="11"/>
  <c r="Q87" i="11"/>
  <c r="O88" i="11"/>
  <c r="P88" i="11"/>
  <c r="Q88" i="11"/>
  <c r="O89" i="11"/>
  <c r="P89" i="11"/>
  <c r="Q89" i="11"/>
  <c r="O90" i="11"/>
  <c r="P90" i="11"/>
  <c r="Q90" i="11"/>
  <c r="O91" i="11"/>
  <c r="P91" i="11"/>
  <c r="Q91" i="11"/>
  <c r="O92" i="11"/>
  <c r="P92" i="11"/>
  <c r="Q92" i="11"/>
  <c r="O93" i="11"/>
  <c r="P93" i="11"/>
  <c r="Q93" i="11"/>
  <c r="O94" i="11"/>
  <c r="P94" i="11"/>
  <c r="Q94" i="11"/>
  <c r="O95" i="11"/>
  <c r="P95" i="11"/>
  <c r="Q95" i="11"/>
  <c r="O96" i="11"/>
  <c r="P96" i="11"/>
  <c r="Q96" i="11"/>
  <c r="O97" i="11"/>
  <c r="P97" i="11"/>
  <c r="Q97" i="11"/>
  <c r="O98" i="11"/>
  <c r="P98" i="11"/>
  <c r="Q98" i="11"/>
  <c r="O99" i="11"/>
  <c r="P99" i="11"/>
  <c r="Q99" i="11"/>
  <c r="O100" i="11"/>
  <c r="P100" i="11"/>
  <c r="Q100" i="11"/>
  <c r="O101" i="11"/>
  <c r="P101" i="11"/>
  <c r="Q101" i="11"/>
  <c r="O102" i="11"/>
  <c r="P102" i="11"/>
  <c r="Q102" i="11"/>
  <c r="O103" i="11"/>
  <c r="P103" i="11"/>
  <c r="Q103" i="11"/>
  <c r="O104" i="11"/>
  <c r="P104" i="11"/>
  <c r="Q104" i="11"/>
  <c r="O105" i="11"/>
  <c r="P105" i="11"/>
  <c r="Q105" i="11"/>
  <c r="O106" i="11"/>
  <c r="P106" i="11"/>
  <c r="Q106" i="11"/>
  <c r="O107" i="11"/>
  <c r="P107" i="11"/>
  <c r="Q107" i="11"/>
  <c r="O108" i="11"/>
  <c r="P108" i="11"/>
  <c r="Q108" i="11"/>
  <c r="O109" i="11"/>
  <c r="P109" i="11"/>
  <c r="Q109" i="11"/>
  <c r="O110" i="11"/>
  <c r="P110" i="11"/>
  <c r="Q110" i="11"/>
  <c r="O111" i="11"/>
  <c r="P111" i="11"/>
  <c r="Q111" i="11"/>
  <c r="O112" i="11"/>
  <c r="P112" i="11"/>
  <c r="Q112" i="11"/>
  <c r="O113" i="11"/>
  <c r="P113" i="11"/>
  <c r="Q113" i="11"/>
  <c r="O114" i="11"/>
  <c r="P114" i="11"/>
  <c r="Q114" i="11"/>
  <c r="O115" i="11"/>
  <c r="P115" i="11"/>
  <c r="Q115" i="11"/>
  <c r="O116" i="11"/>
  <c r="P116" i="11"/>
  <c r="Q116" i="11"/>
  <c r="O117" i="11"/>
  <c r="P117" i="11"/>
  <c r="Q117" i="11"/>
  <c r="O118" i="11"/>
  <c r="P118" i="11"/>
  <c r="Q118" i="11"/>
  <c r="O119" i="11"/>
  <c r="P119" i="11"/>
  <c r="Q119" i="11"/>
  <c r="O120" i="11"/>
  <c r="P120" i="11"/>
  <c r="Q120" i="11"/>
  <c r="O121" i="11"/>
  <c r="P121" i="11"/>
  <c r="Q121" i="11"/>
  <c r="O122" i="11"/>
  <c r="P122" i="11"/>
  <c r="Q122" i="11"/>
  <c r="O123" i="11"/>
  <c r="P123" i="11"/>
  <c r="Q123" i="11"/>
  <c r="O124" i="11"/>
  <c r="P124" i="11"/>
  <c r="Q124" i="11"/>
  <c r="O125" i="11"/>
  <c r="P125" i="11"/>
  <c r="Q125" i="11"/>
  <c r="O126" i="11"/>
  <c r="P126" i="11"/>
  <c r="Q126" i="11"/>
  <c r="O127" i="11"/>
  <c r="P127" i="11"/>
  <c r="Q127" i="11"/>
  <c r="O128" i="11"/>
  <c r="P128" i="11"/>
  <c r="Q128" i="11"/>
  <c r="O129" i="11"/>
  <c r="P129" i="11"/>
  <c r="Q129" i="11"/>
  <c r="O130" i="11"/>
  <c r="P130" i="11"/>
  <c r="Q130" i="11"/>
  <c r="O131" i="11"/>
  <c r="P131" i="11"/>
  <c r="Q131" i="11"/>
  <c r="O132" i="11"/>
  <c r="P132" i="11"/>
  <c r="Q132" i="11"/>
  <c r="O133" i="11"/>
  <c r="P133" i="11"/>
  <c r="Q133" i="11"/>
  <c r="O134" i="11"/>
  <c r="P134" i="11"/>
  <c r="Q134" i="11"/>
  <c r="O135" i="11"/>
  <c r="P135" i="11"/>
  <c r="Q135" i="11"/>
  <c r="O136" i="11"/>
  <c r="P136" i="11"/>
  <c r="Q136" i="11"/>
  <c r="O137" i="11"/>
  <c r="P137" i="11"/>
  <c r="Q137" i="11"/>
  <c r="O138" i="11"/>
  <c r="P138" i="11"/>
  <c r="Q138" i="11"/>
  <c r="O139" i="11"/>
  <c r="P139" i="11"/>
  <c r="Q139" i="11"/>
  <c r="O140" i="11"/>
  <c r="P140" i="11"/>
  <c r="Q140" i="11"/>
  <c r="O141" i="11"/>
  <c r="P141" i="11"/>
  <c r="Q141" i="11"/>
  <c r="O142" i="11"/>
  <c r="P142" i="11"/>
  <c r="Q142" i="11"/>
  <c r="O143" i="11"/>
  <c r="P143" i="11"/>
  <c r="Q143" i="11"/>
  <c r="O144" i="11"/>
  <c r="P144" i="11"/>
  <c r="Q144" i="11"/>
  <c r="O145" i="11"/>
  <c r="P145" i="11"/>
  <c r="Q145" i="11"/>
  <c r="O146" i="11"/>
  <c r="P146" i="11"/>
  <c r="Q146" i="11"/>
  <c r="O147" i="11"/>
  <c r="P147" i="11"/>
  <c r="Q147" i="11"/>
  <c r="O148" i="11"/>
  <c r="P148" i="11"/>
  <c r="Q148" i="11"/>
  <c r="O149" i="11"/>
  <c r="P149" i="11"/>
  <c r="Q149" i="11"/>
  <c r="O150" i="11"/>
  <c r="P150" i="11"/>
  <c r="Q150" i="11"/>
  <c r="O151" i="11"/>
  <c r="P151" i="11"/>
  <c r="Q151" i="11"/>
  <c r="O152" i="11"/>
  <c r="P152" i="11"/>
  <c r="Q152" i="11"/>
  <c r="O153" i="11"/>
  <c r="P153" i="11"/>
  <c r="Q153" i="11"/>
  <c r="O70" i="9"/>
  <c r="P70" i="9"/>
  <c r="Q70" i="9"/>
  <c r="O71" i="9"/>
  <c r="P71" i="9"/>
  <c r="Q71" i="9"/>
  <c r="O72" i="9"/>
  <c r="P72" i="9"/>
  <c r="Q72" i="9"/>
  <c r="O73" i="9"/>
  <c r="P73" i="9"/>
  <c r="Q73" i="9"/>
  <c r="O74" i="9"/>
  <c r="P74" i="9"/>
  <c r="Q74" i="9"/>
  <c r="O75" i="9"/>
  <c r="P75" i="9"/>
  <c r="Q75" i="9"/>
  <c r="O76" i="9"/>
  <c r="P76" i="9"/>
  <c r="Q76" i="9"/>
  <c r="O77" i="9"/>
  <c r="P77" i="9"/>
  <c r="Q77" i="9"/>
  <c r="O78" i="9"/>
  <c r="P78" i="9"/>
  <c r="Q78" i="9"/>
  <c r="O79" i="9"/>
  <c r="P79" i="9"/>
  <c r="Q79" i="9"/>
  <c r="O80" i="9"/>
  <c r="P80" i="9"/>
  <c r="Q80" i="9"/>
  <c r="O81" i="9"/>
  <c r="P81" i="9"/>
  <c r="Q81" i="9"/>
  <c r="O82" i="9"/>
  <c r="P82" i="9"/>
  <c r="Q82" i="9"/>
  <c r="O83" i="9"/>
  <c r="P83" i="9"/>
  <c r="Q83" i="9"/>
  <c r="O84" i="9"/>
  <c r="P84" i="9"/>
  <c r="Q84" i="9"/>
  <c r="O85" i="9"/>
  <c r="P85" i="9"/>
  <c r="Q85" i="9"/>
  <c r="O86" i="9"/>
  <c r="P86" i="9"/>
  <c r="Q86" i="9"/>
  <c r="O87" i="9"/>
  <c r="P87" i="9"/>
  <c r="Q87" i="9"/>
  <c r="O88" i="9"/>
  <c r="P88" i="9"/>
  <c r="Q88" i="9"/>
  <c r="O89" i="9"/>
  <c r="P89" i="9"/>
  <c r="Q89" i="9"/>
  <c r="O90" i="9"/>
  <c r="P90" i="9"/>
  <c r="Q90" i="9"/>
  <c r="O91" i="9"/>
  <c r="P91" i="9"/>
  <c r="Q91" i="9"/>
  <c r="O92" i="9"/>
  <c r="P92" i="9"/>
  <c r="Q92" i="9"/>
  <c r="O93" i="9"/>
  <c r="P93" i="9"/>
  <c r="Q93" i="9"/>
  <c r="O94" i="9"/>
  <c r="P94" i="9"/>
  <c r="Q94" i="9"/>
  <c r="O95" i="9"/>
  <c r="P95" i="9"/>
  <c r="Q95" i="9"/>
  <c r="O96" i="9"/>
  <c r="P96" i="9"/>
  <c r="Q96" i="9"/>
  <c r="O97" i="9"/>
  <c r="P97" i="9"/>
  <c r="Q97" i="9"/>
  <c r="O98" i="9"/>
  <c r="P98" i="9"/>
  <c r="Q98" i="9"/>
  <c r="O99" i="9"/>
  <c r="P99" i="9"/>
  <c r="Q99" i="9"/>
  <c r="O100" i="9"/>
  <c r="P100" i="9"/>
  <c r="Q100" i="9"/>
  <c r="O101" i="9"/>
  <c r="P101" i="9"/>
  <c r="Q101" i="9"/>
  <c r="O102" i="9"/>
  <c r="P102" i="9"/>
  <c r="Q102" i="9"/>
  <c r="O103" i="9"/>
  <c r="P103" i="9"/>
  <c r="Q103" i="9"/>
  <c r="O104" i="9"/>
  <c r="P104" i="9"/>
  <c r="Q104" i="9"/>
  <c r="O105" i="9"/>
  <c r="P105" i="9"/>
  <c r="Q105" i="9"/>
  <c r="O106" i="9"/>
  <c r="P106" i="9"/>
  <c r="Q106" i="9"/>
  <c r="O107" i="9"/>
  <c r="P107" i="9"/>
  <c r="Q107" i="9"/>
  <c r="O108" i="9"/>
  <c r="P108" i="9"/>
  <c r="Q108" i="9"/>
  <c r="O109" i="9"/>
  <c r="P109" i="9"/>
  <c r="Q109" i="9"/>
  <c r="O110" i="9"/>
  <c r="P110" i="9"/>
  <c r="Q110" i="9"/>
  <c r="O111" i="9"/>
  <c r="P111" i="9"/>
  <c r="Q111" i="9"/>
  <c r="O112" i="9"/>
  <c r="P112" i="9"/>
  <c r="Q112" i="9"/>
  <c r="O113" i="9"/>
  <c r="P113" i="9"/>
  <c r="Q113" i="9"/>
  <c r="O114" i="9"/>
  <c r="P114" i="9"/>
  <c r="Q114" i="9"/>
  <c r="O115" i="9"/>
  <c r="P115" i="9"/>
  <c r="Q115" i="9"/>
  <c r="O116" i="9"/>
  <c r="P116" i="9"/>
  <c r="Q116" i="9"/>
  <c r="O117" i="9"/>
  <c r="P117" i="9"/>
  <c r="Q117" i="9"/>
  <c r="O118" i="9"/>
  <c r="P118" i="9"/>
  <c r="Q118" i="9"/>
  <c r="O119" i="9"/>
  <c r="P119" i="9"/>
  <c r="Q119" i="9"/>
  <c r="O120" i="9"/>
  <c r="P120" i="9"/>
  <c r="Q120" i="9"/>
  <c r="O121" i="9"/>
  <c r="P121" i="9"/>
  <c r="Q121" i="9"/>
  <c r="O122" i="9"/>
  <c r="P122" i="9"/>
  <c r="Q122" i="9"/>
  <c r="O123" i="9"/>
  <c r="P123" i="9"/>
  <c r="Q123" i="9"/>
  <c r="O124" i="9"/>
  <c r="P124" i="9"/>
  <c r="Q124" i="9"/>
  <c r="O125" i="9"/>
  <c r="P125" i="9"/>
  <c r="Q125" i="9"/>
  <c r="O126" i="9"/>
  <c r="P126" i="9"/>
  <c r="Q126" i="9"/>
  <c r="O127" i="9"/>
  <c r="P127" i="9"/>
  <c r="Q127" i="9"/>
  <c r="O128" i="9"/>
  <c r="P128" i="9"/>
  <c r="Q128" i="9"/>
  <c r="O129" i="9"/>
  <c r="P129" i="9"/>
  <c r="Q129" i="9"/>
  <c r="O130" i="9"/>
  <c r="P130" i="9"/>
  <c r="Q130" i="9"/>
  <c r="O131" i="9"/>
  <c r="P131" i="9"/>
  <c r="Q131" i="9"/>
  <c r="O132" i="9"/>
  <c r="P132" i="9"/>
  <c r="Q132" i="9"/>
  <c r="O133" i="9"/>
  <c r="P133" i="9"/>
  <c r="Q133" i="9"/>
  <c r="O134" i="9"/>
  <c r="P134" i="9"/>
  <c r="Q134" i="9"/>
  <c r="O135" i="9"/>
  <c r="P135" i="9"/>
  <c r="Q135" i="9"/>
  <c r="O136" i="9"/>
  <c r="P136" i="9"/>
  <c r="Q136" i="9"/>
  <c r="O137" i="9"/>
  <c r="P137" i="9"/>
  <c r="Q137" i="9"/>
  <c r="O138" i="9"/>
  <c r="P138" i="9"/>
  <c r="Q138" i="9"/>
  <c r="O139" i="9"/>
  <c r="P139" i="9"/>
  <c r="Q139" i="9"/>
  <c r="O140" i="9"/>
  <c r="P140" i="9"/>
  <c r="Q140" i="9"/>
  <c r="O141" i="9"/>
  <c r="P141" i="9"/>
  <c r="Q141" i="9"/>
  <c r="O142" i="9"/>
  <c r="P142" i="9"/>
  <c r="Q142" i="9"/>
  <c r="O143" i="9"/>
  <c r="P143" i="9"/>
  <c r="Q143" i="9"/>
  <c r="O144" i="9"/>
  <c r="P144" i="9"/>
  <c r="Q144" i="9"/>
  <c r="O145" i="9"/>
  <c r="P145" i="9"/>
  <c r="Q145" i="9"/>
  <c r="O146" i="9"/>
  <c r="P146" i="9"/>
  <c r="Q146" i="9"/>
  <c r="O147" i="9"/>
  <c r="P147" i="9"/>
  <c r="Q147" i="9"/>
  <c r="O148" i="9"/>
  <c r="P148" i="9"/>
  <c r="Q148" i="9"/>
  <c r="O149" i="9"/>
  <c r="P149" i="9"/>
  <c r="Q149" i="9"/>
  <c r="O150" i="9"/>
  <c r="P150" i="9"/>
  <c r="Q150" i="9"/>
  <c r="O151" i="9"/>
  <c r="P151" i="9"/>
  <c r="Q151" i="9"/>
  <c r="O152" i="9"/>
  <c r="P152" i="9"/>
  <c r="Q152" i="9"/>
  <c r="O153" i="9"/>
  <c r="P153" i="9"/>
  <c r="Q153" i="9"/>
  <c r="K51" i="9"/>
  <c r="K33" i="14"/>
  <c r="K43" i="11"/>
  <c r="K42" i="11"/>
  <c r="K38" i="7"/>
  <c r="K39" i="11"/>
  <c r="K40" i="11"/>
  <c r="K41" i="11"/>
  <c r="K48" i="9"/>
  <c r="K49" i="9"/>
  <c r="K50" i="9"/>
  <c r="K35" i="7"/>
  <c r="K36" i="7"/>
  <c r="K37" i="7"/>
  <c r="O50" i="7"/>
  <c r="P50" i="7"/>
  <c r="Q50" i="7"/>
  <c r="O51" i="7"/>
  <c r="P51" i="7"/>
  <c r="Q51" i="7"/>
  <c r="O52" i="7"/>
  <c r="P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O60" i="7"/>
  <c r="P60" i="7"/>
  <c r="Q60" i="7"/>
  <c r="O61" i="7"/>
  <c r="P61" i="7"/>
  <c r="Q61" i="7"/>
  <c r="O62" i="7"/>
  <c r="P62" i="7"/>
  <c r="Q62" i="7"/>
  <c r="O63" i="7"/>
  <c r="P63" i="7"/>
  <c r="Q63" i="7"/>
  <c r="O64" i="7"/>
  <c r="P64" i="7"/>
  <c r="Q64" i="7"/>
  <c r="O65" i="7"/>
  <c r="P65" i="7"/>
  <c r="Q65" i="7"/>
  <c r="O66" i="7"/>
  <c r="P66" i="7"/>
  <c r="Q66" i="7"/>
  <c r="O67" i="7"/>
  <c r="P67" i="7"/>
  <c r="Q67" i="7"/>
  <c r="O68" i="7"/>
  <c r="P68" i="7"/>
  <c r="Q68" i="7"/>
  <c r="O69" i="7"/>
  <c r="P69" i="7"/>
  <c r="Q69" i="7"/>
  <c r="O70" i="7"/>
  <c r="P70" i="7"/>
  <c r="Q70" i="7"/>
  <c r="O71" i="7"/>
  <c r="P71" i="7"/>
  <c r="Q71" i="7"/>
  <c r="O72" i="7"/>
  <c r="P72" i="7"/>
  <c r="Q72" i="7"/>
  <c r="O73" i="7"/>
  <c r="P73" i="7"/>
  <c r="Q73" i="7"/>
  <c r="O74" i="7"/>
  <c r="P74" i="7"/>
  <c r="Q74" i="7"/>
  <c r="O75" i="7"/>
  <c r="P75" i="7"/>
  <c r="Q75" i="7"/>
  <c r="O76" i="7"/>
  <c r="P76" i="7"/>
  <c r="Q76" i="7"/>
  <c r="O77" i="7"/>
  <c r="P77" i="7"/>
  <c r="Q77" i="7"/>
  <c r="O78" i="7"/>
  <c r="P78" i="7"/>
  <c r="Q78" i="7"/>
  <c r="O79" i="7"/>
  <c r="P79" i="7"/>
  <c r="Q79" i="7"/>
  <c r="O80" i="7"/>
  <c r="P80" i="7"/>
  <c r="Q80" i="7"/>
  <c r="O81" i="7"/>
  <c r="P81" i="7"/>
  <c r="Q81" i="7"/>
  <c r="O82" i="7"/>
  <c r="P82" i="7"/>
  <c r="Q82" i="7"/>
  <c r="O83" i="7"/>
  <c r="P83" i="7"/>
  <c r="Q83" i="7"/>
  <c r="O84" i="7"/>
  <c r="P84" i="7"/>
  <c r="Q84" i="7"/>
  <c r="O85" i="7"/>
  <c r="P85" i="7"/>
  <c r="Q85" i="7"/>
  <c r="O86" i="7"/>
  <c r="P86" i="7"/>
  <c r="Q86" i="7"/>
  <c r="O87" i="7"/>
  <c r="P87" i="7"/>
  <c r="Q87" i="7"/>
  <c r="O88" i="7"/>
  <c r="P88" i="7"/>
  <c r="Q88" i="7"/>
  <c r="O89" i="7"/>
  <c r="P89" i="7"/>
  <c r="Q89" i="7"/>
  <c r="O90" i="7"/>
  <c r="P90" i="7"/>
  <c r="Q90" i="7"/>
  <c r="O91" i="7"/>
  <c r="P91" i="7"/>
  <c r="Q91" i="7"/>
  <c r="O92" i="7"/>
  <c r="P92" i="7"/>
  <c r="Q92" i="7"/>
  <c r="O93" i="7"/>
  <c r="P93" i="7"/>
  <c r="Q93" i="7"/>
  <c r="O94" i="7"/>
  <c r="P94" i="7"/>
  <c r="Q94" i="7"/>
  <c r="O95" i="7"/>
  <c r="P95" i="7"/>
  <c r="Q95" i="7"/>
  <c r="O96" i="7"/>
  <c r="P96" i="7"/>
  <c r="Q96" i="7"/>
  <c r="O97" i="7"/>
  <c r="P97" i="7"/>
  <c r="Q97" i="7"/>
  <c r="O98" i="7"/>
  <c r="P98" i="7"/>
  <c r="Q98" i="7"/>
  <c r="O99" i="7"/>
  <c r="P99" i="7"/>
  <c r="Q99" i="7"/>
  <c r="O100" i="7"/>
  <c r="P100" i="7"/>
  <c r="Q100" i="7"/>
  <c r="O101" i="7"/>
  <c r="P101" i="7"/>
  <c r="Q101" i="7"/>
  <c r="O102" i="7"/>
  <c r="P102" i="7"/>
  <c r="Q102" i="7"/>
  <c r="O103" i="7"/>
  <c r="P103" i="7"/>
  <c r="Q103" i="7"/>
  <c r="O104" i="7"/>
  <c r="P104" i="7"/>
  <c r="Q104" i="7"/>
  <c r="O105" i="7"/>
  <c r="P105" i="7"/>
  <c r="Q105" i="7"/>
  <c r="O106" i="7"/>
  <c r="P106" i="7"/>
  <c r="Q106" i="7"/>
  <c r="O107" i="7"/>
  <c r="P107" i="7"/>
  <c r="Q107" i="7"/>
  <c r="O108" i="7"/>
  <c r="P108" i="7"/>
  <c r="Q108" i="7"/>
  <c r="O109" i="7"/>
  <c r="P109" i="7"/>
  <c r="Q109" i="7"/>
  <c r="O110" i="7"/>
  <c r="P110" i="7"/>
  <c r="Q110" i="7"/>
  <c r="O111" i="7"/>
  <c r="P111" i="7"/>
  <c r="Q111" i="7"/>
  <c r="O112" i="7"/>
  <c r="P112" i="7"/>
  <c r="Q112" i="7"/>
  <c r="O113" i="7"/>
  <c r="P113" i="7"/>
  <c r="Q113" i="7"/>
  <c r="O114" i="7"/>
  <c r="P114" i="7"/>
  <c r="Q114" i="7"/>
  <c r="O115" i="7"/>
  <c r="P115" i="7"/>
  <c r="Q115" i="7"/>
  <c r="O116" i="7"/>
  <c r="P116" i="7"/>
  <c r="Q116" i="7"/>
  <c r="O117" i="7"/>
  <c r="P117" i="7"/>
  <c r="Q117" i="7"/>
  <c r="O118" i="7"/>
  <c r="P118" i="7"/>
  <c r="Q118" i="7"/>
  <c r="O119" i="7"/>
  <c r="P119" i="7"/>
  <c r="Q119" i="7"/>
  <c r="O120" i="7"/>
  <c r="P120" i="7"/>
  <c r="Q120" i="7"/>
  <c r="O121" i="7"/>
  <c r="P121" i="7"/>
  <c r="Q121" i="7"/>
  <c r="O122" i="7"/>
  <c r="P122" i="7"/>
  <c r="Q122" i="7"/>
  <c r="O123" i="7"/>
  <c r="P123" i="7"/>
  <c r="Q123" i="7"/>
  <c r="O124" i="7"/>
  <c r="P124" i="7"/>
  <c r="Q124" i="7"/>
  <c r="O125" i="7"/>
  <c r="P125" i="7"/>
  <c r="Q125" i="7"/>
  <c r="O126" i="7"/>
  <c r="P126" i="7"/>
  <c r="Q126" i="7"/>
  <c r="O127" i="7"/>
  <c r="P127" i="7"/>
  <c r="Q127" i="7"/>
  <c r="O128" i="7"/>
  <c r="P128" i="7"/>
  <c r="Q128" i="7"/>
  <c r="O129" i="7"/>
  <c r="P129" i="7"/>
  <c r="Q129" i="7"/>
  <c r="O130" i="7"/>
  <c r="P130" i="7"/>
  <c r="Q130" i="7"/>
  <c r="O131" i="7"/>
  <c r="P131" i="7"/>
  <c r="Q131" i="7"/>
  <c r="O132" i="7"/>
  <c r="P132" i="7"/>
  <c r="Q132" i="7"/>
  <c r="O133" i="7"/>
  <c r="P133" i="7"/>
  <c r="Q133" i="7"/>
  <c r="O134" i="7"/>
  <c r="P134" i="7"/>
  <c r="Q134" i="7"/>
  <c r="O135" i="7"/>
  <c r="P135" i="7"/>
  <c r="Q135" i="7"/>
  <c r="O136" i="7"/>
  <c r="P136" i="7"/>
  <c r="Q136" i="7"/>
  <c r="O137" i="7"/>
  <c r="P137" i="7"/>
  <c r="Q137" i="7"/>
  <c r="O138" i="7"/>
  <c r="P138" i="7"/>
  <c r="Q138" i="7"/>
  <c r="O139" i="7"/>
  <c r="P139" i="7"/>
  <c r="Q139" i="7"/>
  <c r="O140" i="7"/>
  <c r="P140" i="7"/>
  <c r="Q140" i="7"/>
  <c r="O141" i="7"/>
  <c r="P141" i="7"/>
  <c r="Q141" i="7"/>
  <c r="O142" i="7"/>
  <c r="P142" i="7"/>
  <c r="Q142" i="7"/>
  <c r="O143" i="7"/>
  <c r="P143" i="7"/>
  <c r="Q143" i="7"/>
  <c r="O144" i="7"/>
  <c r="P144" i="7"/>
  <c r="Q144" i="7"/>
  <c r="O145" i="7"/>
  <c r="P145" i="7"/>
  <c r="Q145" i="7"/>
  <c r="O146" i="7"/>
  <c r="P146" i="7"/>
  <c r="Q146" i="7"/>
  <c r="O147" i="7"/>
  <c r="P147" i="7"/>
  <c r="Q147" i="7"/>
  <c r="O148" i="7"/>
  <c r="P148" i="7"/>
  <c r="Q148" i="7"/>
  <c r="O149" i="7"/>
  <c r="P149" i="7"/>
  <c r="Q149" i="7"/>
  <c r="O150" i="7"/>
  <c r="P150" i="7"/>
  <c r="Q150" i="7"/>
  <c r="O151" i="7"/>
  <c r="P151" i="7"/>
  <c r="Q151" i="7"/>
  <c r="O152" i="7"/>
  <c r="P152" i="7"/>
  <c r="Q152" i="7"/>
  <c r="O153" i="7"/>
  <c r="P153" i="7"/>
  <c r="Q153" i="7"/>
  <c r="K47" i="9"/>
  <c r="K34" i="7"/>
  <c r="K46" i="9"/>
  <c r="K33" i="7"/>
  <c r="R32" i="7"/>
  <c r="K23" i="24"/>
  <c r="K31" i="22"/>
  <c r="K37" i="20"/>
  <c r="K29" i="18"/>
  <c r="K34" i="16"/>
  <c r="K32" i="14"/>
  <c r="K38" i="11"/>
  <c r="K45" i="9"/>
  <c r="K32" i="7"/>
  <c r="K19" i="24"/>
  <c r="K20" i="24"/>
  <c r="K21" i="24"/>
  <c r="K22" i="24"/>
  <c r="K27" i="22"/>
  <c r="K28" i="22"/>
  <c r="K29" i="22"/>
  <c r="K30" i="22"/>
  <c r="K33" i="20"/>
  <c r="K34" i="20"/>
  <c r="K35" i="20"/>
  <c r="K36" i="20"/>
  <c r="K27" i="18"/>
  <c r="K28" i="18"/>
  <c r="K32" i="16"/>
  <c r="K33" i="16"/>
  <c r="K30" i="14"/>
  <c r="K31" i="14"/>
  <c r="K36" i="11"/>
  <c r="K37" i="11"/>
  <c r="K43" i="9"/>
  <c r="K44" i="9"/>
  <c r="K31" i="7"/>
  <c r="X153" i="24"/>
  <c r="W153" i="24"/>
  <c r="V153" i="24"/>
  <c r="U153" i="24"/>
  <c r="T153" i="24"/>
  <c r="S153" i="24"/>
  <c r="N153" i="24"/>
  <c r="M153" i="24"/>
  <c r="L153" i="24"/>
  <c r="K153" i="24"/>
  <c r="X152" i="24"/>
  <c r="W152" i="24"/>
  <c r="V152" i="24"/>
  <c r="U152" i="24"/>
  <c r="T152" i="24"/>
  <c r="S152" i="24"/>
  <c r="N152" i="24"/>
  <c r="M152" i="24"/>
  <c r="L152" i="24"/>
  <c r="K152" i="24"/>
  <c r="X151" i="24"/>
  <c r="W151" i="24"/>
  <c r="V151" i="24"/>
  <c r="U151" i="24"/>
  <c r="T151" i="24"/>
  <c r="S151" i="24"/>
  <c r="N151" i="24"/>
  <c r="M151" i="24"/>
  <c r="L151" i="24"/>
  <c r="K151" i="24"/>
  <c r="X150" i="24"/>
  <c r="W150" i="24"/>
  <c r="V150" i="24"/>
  <c r="U150" i="24"/>
  <c r="T150" i="24"/>
  <c r="S150" i="24"/>
  <c r="N150" i="24"/>
  <c r="M150" i="24"/>
  <c r="L150" i="24"/>
  <c r="K150" i="24"/>
  <c r="X149" i="24"/>
  <c r="W149" i="24"/>
  <c r="V149" i="24"/>
  <c r="U149" i="24"/>
  <c r="T149" i="24"/>
  <c r="S149" i="24"/>
  <c r="N149" i="24"/>
  <c r="M149" i="24"/>
  <c r="L149" i="24"/>
  <c r="K149" i="24"/>
  <c r="X148" i="24"/>
  <c r="W148" i="24"/>
  <c r="V148" i="24"/>
  <c r="U148" i="24"/>
  <c r="T148" i="24"/>
  <c r="S148" i="24"/>
  <c r="N148" i="24"/>
  <c r="M148" i="24"/>
  <c r="L148" i="24"/>
  <c r="K148" i="24"/>
  <c r="X147" i="24"/>
  <c r="W147" i="24"/>
  <c r="V147" i="24"/>
  <c r="U147" i="24"/>
  <c r="T147" i="24"/>
  <c r="S147" i="24"/>
  <c r="N147" i="24"/>
  <c r="M147" i="24"/>
  <c r="L147" i="24"/>
  <c r="K147" i="24"/>
  <c r="X146" i="24"/>
  <c r="W146" i="24"/>
  <c r="V146" i="24"/>
  <c r="U146" i="24"/>
  <c r="T146" i="24"/>
  <c r="S146" i="24"/>
  <c r="N146" i="24"/>
  <c r="M146" i="24"/>
  <c r="L146" i="24"/>
  <c r="K146" i="24"/>
  <c r="X145" i="24"/>
  <c r="W145" i="24"/>
  <c r="V145" i="24"/>
  <c r="U145" i="24"/>
  <c r="T145" i="24"/>
  <c r="S145" i="24"/>
  <c r="N145" i="24"/>
  <c r="M145" i="24"/>
  <c r="L145" i="24"/>
  <c r="K145" i="24"/>
  <c r="X144" i="24"/>
  <c r="W144" i="24"/>
  <c r="V144" i="24"/>
  <c r="U144" i="24"/>
  <c r="T144" i="24"/>
  <c r="S144" i="24"/>
  <c r="N144" i="24"/>
  <c r="M144" i="24"/>
  <c r="L144" i="24"/>
  <c r="K144" i="24"/>
  <c r="X143" i="24"/>
  <c r="W143" i="24"/>
  <c r="V143" i="24"/>
  <c r="U143" i="24"/>
  <c r="T143" i="24"/>
  <c r="S143" i="24"/>
  <c r="N143" i="24"/>
  <c r="M143" i="24"/>
  <c r="L143" i="24"/>
  <c r="K143" i="24"/>
  <c r="X142" i="24"/>
  <c r="W142" i="24"/>
  <c r="V142" i="24"/>
  <c r="U142" i="24"/>
  <c r="T142" i="24"/>
  <c r="S142" i="24"/>
  <c r="N142" i="24"/>
  <c r="M142" i="24"/>
  <c r="L142" i="24"/>
  <c r="K142" i="24"/>
  <c r="X141" i="24"/>
  <c r="W141" i="24"/>
  <c r="V141" i="24"/>
  <c r="U141" i="24"/>
  <c r="T141" i="24"/>
  <c r="S141" i="24"/>
  <c r="N141" i="24"/>
  <c r="M141" i="24"/>
  <c r="L141" i="24"/>
  <c r="K141" i="24"/>
  <c r="X140" i="24"/>
  <c r="W140" i="24"/>
  <c r="V140" i="24"/>
  <c r="U140" i="24"/>
  <c r="T140" i="24"/>
  <c r="S140" i="24"/>
  <c r="N140" i="24"/>
  <c r="M140" i="24"/>
  <c r="L140" i="24"/>
  <c r="K140" i="24"/>
  <c r="X139" i="24"/>
  <c r="W139" i="24"/>
  <c r="V139" i="24"/>
  <c r="U139" i="24"/>
  <c r="T139" i="24"/>
  <c r="S139" i="24"/>
  <c r="N139" i="24"/>
  <c r="M139" i="24"/>
  <c r="L139" i="24"/>
  <c r="K139" i="24"/>
  <c r="X138" i="24"/>
  <c r="W138" i="24"/>
  <c r="V138" i="24"/>
  <c r="U138" i="24"/>
  <c r="T138" i="24"/>
  <c r="S138" i="24"/>
  <c r="N138" i="24"/>
  <c r="M138" i="24"/>
  <c r="L138" i="24"/>
  <c r="K138" i="24"/>
  <c r="X137" i="24"/>
  <c r="W137" i="24"/>
  <c r="V137" i="24"/>
  <c r="U137" i="24"/>
  <c r="T137" i="24"/>
  <c r="S137" i="24"/>
  <c r="N137" i="24"/>
  <c r="M137" i="24"/>
  <c r="L137" i="24"/>
  <c r="K137" i="24"/>
  <c r="X136" i="24"/>
  <c r="W136" i="24"/>
  <c r="V136" i="24"/>
  <c r="U136" i="24"/>
  <c r="T136" i="24"/>
  <c r="S136" i="24"/>
  <c r="N136" i="24"/>
  <c r="M136" i="24"/>
  <c r="L136" i="24"/>
  <c r="K136" i="24"/>
  <c r="X135" i="24"/>
  <c r="W135" i="24"/>
  <c r="V135" i="24"/>
  <c r="U135" i="24"/>
  <c r="T135" i="24"/>
  <c r="S135" i="24"/>
  <c r="N135" i="24"/>
  <c r="M135" i="24"/>
  <c r="L135" i="24"/>
  <c r="K135" i="24"/>
  <c r="X134" i="24"/>
  <c r="W134" i="24"/>
  <c r="V134" i="24"/>
  <c r="U134" i="24"/>
  <c r="T134" i="24"/>
  <c r="S134" i="24"/>
  <c r="N134" i="24"/>
  <c r="M134" i="24"/>
  <c r="L134" i="24"/>
  <c r="K134" i="24"/>
  <c r="X133" i="24"/>
  <c r="W133" i="24"/>
  <c r="V133" i="24"/>
  <c r="U133" i="24"/>
  <c r="T133" i="24"/>
  <c r="S133" i="24"/>
  <c r="N133" i="24"/>
  <c r="M133" i="24"/>
  <c r="L133" i="24"/>
  <c r="K133" i="24"/>
  <c r="X132" i="24"/>
  <c r="W132" i="24"/>
  <c r="V132" i="24"/>
  <c r="U132" i="24"/>
  <c r="T132" i="24"/>
  <c r="S132" i="24"/>
  <c r="N132" i="24"/>
  <c r="M132" i="24"/>
  <c r="L132" i="24"/>
  <c r="K132" i="24"/>
  <c r="X131" i="24"/>
  <c r="W131" i="24"/>
  <c r="V131" i="24"/>
  <c r="U131" i="24"/>
  <c r="T131" i="24"/>
  <c r="S131" i="24"/>
  <c r="N131" i="24"/>
  <c r="M131" i="24"/>
  <c r="L131" i="24"/>
  <c r="K131" i="24"/>
  <c r="X130" i="24"/>
  <c r="W130" i="24"/>
  <c r="V130" i="24"/>
  <c r="U130" i="24"/>
  <c r="T130" i="24"/>
  <c r="S130" i="24"/>
  <c r="N130" i="24"/>
  <c r="M130" i="24"/>
  <c r="L130" i="24"/>
  <c r="K130" i="24"/>
  <c r="X129" i="24"/>
  <c r="W129" i="24"/>
  <c r="V129" i="24"/>
  <c r="U129" i="24"/>
  <c r="T129" i="24"/>
  <c r="S129" i="24"/>
  <c r="N129" i="24"/>
  <c r="M129" i="24"/>
  <c r="L129" i="24"/>
  <c r="K129" i="24"/>
  <c r="X128" i="24"/>
  <c r="W128" i="24"/>
  <c r="V128" i="24"/>
  <c r="U128" i="24"/>
  <c r="T128" i="24"/>
  <c r="S128" i="24"/>
  <c r="N128" i="24"/>
  <c r="M128" i="24"/>
  <c r="L128" i="24"/>
  <c r="K128" i="24"/>
  <c r="X127" i="24"/>
  <c r="W127" i="24"/>
  <c r="V127" i="24"/>
  <c r="U127" i="24"/>
  <c r="T127" i="24"/>
  <c r="S127" i="24"/>
  <c r="N127" i="24"/>
  <c r="M127" i="24"/>
  <c r="L127" i="24"/>
  <c r="K127" i="24"/>
  <c r="X126" i="24"/>
  <c r="W126" i="24"/>
  <c r="V126" i="24"/>
  <c r="U126" i="24"/>
  <c r="T126" i="24"/>
  <c r="S126" i="24"/>
  <c r="N126" i="24"/>
  <c r="M126" i="24"/>
  <c r="L126" i="24"/>
  <c r="K126" i="24"/>
  <c r="X125" i="24"/>
  <c r="W125" i="24"/>
  <c r="V125" i="24"/>
  <c r="U125" i="24"/>
  <c r="T125" i="24"/>
  <c r="S125" i="24"/>
  <c r="N125" i="24"/>
  <c r="M125" i="24"/>
  <c r="L125" i="24"/>
  <c r="K125" i="24"/>
  <c r="X124" i="24"/>
  <c r="W124" i="24"/>
  <c r="V124" i="24"/>
  <c r="U124" i="24"/>
  <c r="T124" i="24"/>
  <c r="S124" i="24"/>
  <c r="N124" i="24"/>
  <c r="M124" i="24"/>
  <c r="L124" i="24"/>
  <c r="K124" i="24"/>
  <c r="X123" i="24"/>
  <c r="W123" i="24"/>
  <c r="V123" i="24"/>
  <c r="U123" i="24"/>
  <c r="T123" i="24"/>
  <c r="S123" i="24"/>
  <c r="N123" i="24"/>
  <c r="M123" i="24"/>
  <c r="L123" i="24"/>
  <c r="K123" i="24"/>
  <c r="X122" i="24"/>
  <c r="W122" i="24"/>
  <c r="V122" i="24"/>
  <c r="U122" i="24"/>
  <c r="T122" i="24"/>
  <c r="S122" i="24"/>
  <c r="N122" i="24"/>
  <c r="M122" i="24"/>
  <c r="L122" i="24"/>
  <c r="K122" i="24"/>
  <c r="X121" i="24"/>
  <c r="W121" i="24"/>
  <c r="V121" i="24"/>
  <c r="U121" i="24"/>
  <c r="T121" i="24"/>
  <c r="S121" i="24"/>
  <c r="N121" i="24"/>
  <c r="M121" i="24"/>
  <c r="L121" i="24"/>
  <c r="K121" i="24"/>
  <c r="X120" i="24"/>
  <c r="W120" i="24"/>
  <c r="V120" i="24"/>
  <c r="U120" i="24"/>
  <c r="T120" i="24"/>
  <c r="S120" i="24"/>
  <c r="N120" i="24"/>
  <c r="M120" i="24"/>
  <c r="L120" i="24"/>
  <c r="K120" i="24"/>
  <c r="X119" i="24"/>
  <c r="W119" i="24"/>
  <c r="V119" i="24"/>
  <c r="U119" i="24"/>
  <c r="T119" i="24"/>
  <c r="S119" i="24"/>
  <c r="N119" i="24"/>
  <c r="M119" i="24"/>
  <c r="L119" i="24"/>
  <c r="K119" i="24"/>
  <c r="X118" i="24"/>
  <c r="W118" i="24"/>
  <c r="V118" i="24"/>
  <c r="U118" i="24"/>
  <c r="T118" i="24"/>
  <c r="S118" i="24"/>
  <c r="N118" i="24"/>
  <c r="M118" i="24"/>
  <c r="L118" i="24"/>
  <c r="K118" i="24"/>
  <c r="X117" i="24"/>
  <c r="W117" i="24"/>
  <c r="V117" i="24"/>
  <c r="U117" i="24"/>
  <c r="T117" i="24"/>
  <c r="S117" i="24"/>
  <c r="N117" i="24"/>
  <c r="M117" i="24"/>
  <c r="L117" i="24"/>
  <c r="K117" i="24"/>
  <c r="X116" i="24"/>
  <c r="W116" i="24"/>
  <c r="V116" i="24"/>
  <c r="U116" i="24"/>
  <c r="T116" i="24"/>
  <c r="S116" i="24"/>
  <c r="N116" i="24"/>
  <c r="M116" i="24"/>
  <c r="L116" i="24"/>
  <c r="K116" i="24"/>
  <c r="X115" i="24"/>
  <c r="W115" i="24"/>
  <c r="V115" i="24"/>
  <c r="U115" i="24"/>
  <c r="T115" i="24"/>
  <c r="S115" i="24"/>
  <c r="N115" i="24"/>
  <c r="M115" i="24"/>
  <c r="L115" i="24"/>
  <c r="K115" i="24"/>
  <c r="X114" i="24"/>
  <c r="W114" i="24"/>
  <c r="V114" i="24"/>
  <c r="U114" i="24"/>
  <c r="T114" i="24"/>
  <c r="S114" i="24"/>
  <c r="N114" i="24"/>
  <c r="M114" i="24"/>
  <c r="L114" i="24"/>
  <c r="K114" i="24"/>
  <c r="X113" i="24"/>
  <c r="W113" i="24"/>
  <c r="V113" i="24"/>
  <c r="U113" i="24"/>
  <c r="T113" i="24"/>
  <c r="S113" i="24"/>
  <c r="N113" i="24"/>
  <c r="M113" i="24"/>
  <c r="L113" i="24"/>
  <c r="K113" i="24"/>
  <c r="X112" i="24"/>
  <c r="W112" i="24"/>
  <c r="V112" i="24"/>
  <c r="U112" i="24"/>
  <c r="T112" i="24"/>
  <c r="S112" i="24"/>
  <c r="N112" i="24"/>
  <c r="M112" i="24"/>
  <c r="L112" i="24"/>
  <c r="K112" i="24"/>
  <c r="X111" i="24"/>
  <c r="W111" i="24"/>
  <c r="V111" i="24"/>
  <c r="U111" i="24"/>
  <c r="T111" i="24"/>
  <c r="S111" i="24"/>
  <c r="N111" i="24"/>
  <c r="M111" i="24"/>
  <c r="L111" i="24"/>
  <c r="K111" i="24"/>
  <c r="X110" i="24"/>
  <c r="W110" i="24"/>
  <c r="V110" i="24"/>
  <c r="U110" i="24"/>
  <c r="T110" i="24"/>
  <c r="S110" i="24"/>
  <c r="N110" i="24"/>
  <c r="M110" i="24"/>
  <c r="L110" i="24"/>
  <c r="K110" i="24"/>
  <c r="X109" i="24"/>
  <c r="W109" i="24"/>
  <c r="V109" i="24"/>
  <c r="U109" i="24"/>
  <c r="T109" i="24"/>
  <c r="S109" i="24"/>
  <c r="N109" i="24"/>
  <c r="M109" i="24"/>
  <c r="L109" i="24"/>
  <c r="K109" i="24"/>
  <c r="X108" i="24"/>
  <c r="W108" i="24"/>
  <c r="V108" i="24"/>
  <c r="U108" i="24"/>
  <c r="T108" i="24"/>
  <c r="S108" i="24"/>
  <c r="N108" i="24"/>
  <c r="M108" i="24"/>
  <c r="L108" i="24"/>
  <c r="K108" i="24"/>
  <c r="X107" i="24"/>
  <c r="W107" i="24"/>
  <c r="V107" i="24"/>
  <c r="U107" i="24"/>
  <c r="T107" i="24"/>
  <c r="S107" i="24"/>
  <c r="N107" i="24"/>
  <c r="M107" i="24"/>
  <c r="L107" i="24"/>
  <c r="K107" i="24"/>
  <c r="X106" i="24"/>
  <c r="W106" i="24"/>
  <c r="V106" i="24"/>
  <c r="U106" i="24"/>
  <c r="T106" i="24"/>
  <c r="S106" i="24"/>
  <c r="N106" i="24"/>
  <c r="M106" i="24"/>
  <c r="L106" i="24"/>
  <c r="K106" i="24"/>
  <c r="X105" i="24"/>
  <c r="W105" i="24"/>
  <c r="V105" i="24"/>
  <c r="U105" i="24"/>
  <c r="T105" i="24"/>
  <c r="S105" i="24"/>
  <c r="N105" i="24"/>
  <c r="M105" i="24"/>
  <c r="L105" i="24"/>
  <c r="K105" i="24"/>
  <c r="X104" i="24"/>
  <c r="W104" i="24"/>
  <c r="V104" i="24"/>
  <c r="U104" i="24"/>
  <c r="T104" i="24"/>
  <c r="S104" i="24"/>
  <c r="N104" i="24"/>
  <c r="M104" i="24"/>
  <c r="L104" i="24"/>
  <c r="K104" i="24"/>
  <c r="X103" i="24"/>
  <c r="W103" i="24"/>
  <c r="V103" i="24"/>
  <c r="U103" i="24"/>
  <c r="T103" i="24"/>
  <c r="S103" i="24"/>
  <c r="N103" i="24"/>
  <c r="M103" i="24"/>
  <c r="L103" i="24"/>
  <c r="K103" i="24"/>
  <c r="X102" i="24"/>
  <c r="W102" i="24"/>
  <c r="V102" i="24"/>
  <c r="U102" i="24"/>
  <c r="T102" i="24"/>
  <c r="S102" i="24"/>
  <c r="N102" i="24"/>
  <c r="M102" i="24"/>
  <c r="L102" i="24"/>
  <c r="K102" i="24"/>
  <c r="X101" i="24"/>
  <c r="W101" i="24"/>
  <c r="V101" i="24"/>
  <c r="U101" i="24"/>
  <c r="T101" i="24"/>
  <c r="S101" i="24"/>
  <c r="N101" i="24"/>
  <c r="M101" i="24"/>
  <c r="L101" i="24"/>
  <c r="K101" i="24"/>
  <c r="X100" i="24"/>
  <c r="W100" i="24"/>
  <c r="V100" i="24"/>
  <c r="U100" i="24"/>
  <c r="T100" i="24"/>
  <c r="S100" i="24"/>
  <c r="N100" i="24"/>
  <c r="M100" i="24"/>
  <c r="L100" i="24"/>
  <c r="K100" i="24"/>
  <c r="X99" i="24"/>
  <c r="W99" i="24"/>
  <c r="V99" i="24"/>
  <c r="U99" i="24"/>
  <c r="T99" i="24"/>
  <c r="S99" i="24"/>
  <c r="N99" i="24"/>
  <c r="M99" i="24"/>
  <c r="L99" i="24"/>
  <c r="K99" i="24"/>
  <c r="X98" i="24"/>
  <c r="W98" i="24"/>
  <c r="V98" i="24"/>
  <c r="U98" i="24"/>
  <c r="T98" i="24"/>
  <c r="S98" i="24"/>
  <c r="N98" i="24"/>
  <c r="M98" i="24"/>
  <c r="L98" i="24"/>
  <c r="K98" i="24"/>
  <c r="X97" i="24"/>
  <c r="W97" i="24"/>
  <c r="V97" i="24"/>
  <c r="U97" i="24"/>
  <c r="T97" i="24"/>
  <c r="S97" i="24"/>
  <c r="N97" i="24"/>
  <c r="M97" i="24"/>
  <c r="L97" i="24"/>
  <c r="K97" i="24"/>
  <c r="X96" i="24"/>
  <c r="W96" i="24"/>
  <c r="V96" i="24"/>
  <c r="U96" i="24"/>
  <c r="T96" i="24"/>
  <c r="S96" i="24"/>
  <c r="N96" i="24"/>
  <c r="M96" i="24"/>
  <c r="L96" i="24"/>
  <c r="K96" i="24"/>
  <c r="X95" i="24"/>
  <c r="W95" i="24"/>
  <c r="V95" i="24"/>
  <c r="U95" i="24"/>
  <c r="T95" i="24"/>
  <c r="S95" i="24"/>
  <c r="N95" i="24"/>
  <c r="M95" i="24"/>
  <c r="L95" i="24"/>
  <c r="K95" i="24"/>
  <c r="X94" i="24"/>
  <c r="W94" i="24"/>
  <c r="V94" i="24"/>
  <c r="U94" i="24"/>
  <c r="T94" i="24"/>
  <c r="S94" i="24"/>
  <c r="N94" i="24"/>
  <c r="M94" i="24"/>
  <c r="L94" i="24"/>
  <c r="K94" i="24"/>
  <c r="X93" i="24"/>
  <c r="W93" i="24"/>
  <c r="V93" i="24"/>
  <c r="U93" i="24"/>
  <c r="T93" i="24"/>
  <c r="S93" i="24"/>
  <c r="N93" i="24"/>
  <c r="M93" i="24"/>
  <c r="L93" i="24"/>
  <c r="K93" i="24"/>
  <c r="X92" i="24"/>
  <c r="W92" i="24"/>
  <c r="V92" i="24"/>
  <c r="U92" i="24"/>
  <c r="T92" i="24"/>
  <c r="S92" i="24"/>
  <c r="N92" i="24"/>
  <c r="M92" i="24"/>
  <c r="L92" i="24"/>
  <c r="K92" i="24"/>
  <c r="X91" i="24"/>
  <c r="W91" i="24"/>
  <c r="V91" i="24"/>
  <c r="U91" i="24"/>
  <c r="T91" i="24"/>
  <c r="S91" i="24"/>
  <c r="N91" i="24"/>
  <c r="M91" i="24"/>
  <c r="L91" i="24"/>
  <c r="K91" i="24"/>
  <c r="X90" i="24"/>
  <c r="W90" i="24"/>
  <c r="V90" i="24"/>
  <c r="U90" i="24"/>
  <c r="T90" i="24"/>
  <c r="S90" i="24"/>
  <c r="N90" i="24"/>
  <c r="M90" i="24"/>
  <c r="L90" i="24"/>
  <c r="K90" i="24"/>
  <c r="X89" i="24"/>
  <c r="W89" i="24"/>
  <c r="V89" i="24"/>
  <c r="U89" i="24"/>
  <c r="T89" i="24"/>
  <c r="S89" i="24"/>
  <c r="N89" i="24"/>
  <c r="M89" i="24"/>
  <c r="L89" i="24"/>
  <c r="K89" i="24"/>
  <c r="X88" i="24"/>
  <c r="W88" i="24"/>
  <c r="V88" i="24"/>
  <c r="U88" i="24"/>
  <c r="T88" i="24"/>
  <c r="S88" i="24"/>
  <c r="N88" i="24"/>
  <c r="M88" i="24"/>
  <c r="L88" i="24"/>
  <c r="K88" i="24"/>
  <c r="X87" i="24"/>
  <c r="W87" i="24"/>
  <c r="V87" i="24"/>
  <c r="U87" i="24"/>
  <c r="T87" i="24"/>
  <c r="S87" i="24"/>
  <c r="N87" i="24"/>
  <c r="M87" i="24"/>
  <c r="L87" i="24"/>
  <c r="K87" i="24"/>
  <c r="X86" i="24"/>
  <c r="W86" i="24"/>
  <c r="V86" i="24"/>
  <c r="U86" i="24"/>
  <c r="T86" i="24"/>
  <c r="S86" i="24"/>
  <c r="N86" i="24"/>
  <c r="M86" i="24"/>
  <c r="L86" i="24"/>
  <c r="K86" i="24"/>
  <c r="X85" i="24"/>
  <c r="W85" i="24"/>
  <c r="V85" i="24"/>
  <c r="U85" i="24"/>
  <c r="T85" i="24"/>
  <c r="S85" i="24"/>
  <c r="N85" i="24"/>
  <c r="M85" i="24"/>
  <c r="L85" i="24"/>
  <c r="K85" i="24"/>
  <c r="X84" i="24"/>
  <c r="W84" i="24"/>
  <c r="V84" i="24"/>
  <c r="U84" i="24"/>
  <c r="T84" i="24"/>
  <c r="S84" i="24"/>
  <c r="N84" i="24"/>
  <c r="M84" i="24"/>
  <c r="L84" i="24"/>
  <c r="K84" i="24"/>
  <c r="X83" i="24"/>
  <c r="W83" i="24"/>
  <c r="V83" i="24"/>
  <c r="U83" i="24"/>
  <c r="T83" i="24"/>
  <c r="S83" i="24"/>
  <c r="N83" i="24"/>
  <c r="M83" i="24"/>
  <c r="L83" i="24"/>
  <c r="K83" i="24"/>
  <c r="X82" i="24"/>
  <c r="W82" i="24"/>
  <c r="V82" i="24"/>
  <c r="U82" i="24"/>
  <c r="T82" i="24"/>
  <c r="S82" i="24"/>
  <c r="N82" i="24"/>
  <c r="M82" i="24"/>
  <c r="L82" i="24"/>
  <c r="K82" i="24"/>
  <c r="X81" i="24"/>
  <c r="W81" i="24"/>
  <c r="V81" i="24"/>
  <c r="U81" i="24"/>
  <c r="T81" i="24"/>
  <c r="S81" i="24"/>
  <c r="N81" i="24"/>
  <c r="M81" i="24"/>
  <c r="L81" i="24"/>
  <c r="K81" i="24"/>
  <c r="X80" i="24"/>
  <c r="W80" i="24"/>
  <c r="V80" i="24"/>
  <c r="U80" i="24"/>
  <c r="T80" i="24"/>
  <c r="S80" i="24"/>
  <c r="N80" i="24"/>
  <c r="M80" i="24"/>
  <c r="L80" i="24"/>
  <c r="K80" i="24"/>
  <c r="X79" i="24"/>
  <c r="W79" i="24"/>
  <c r="V79" i="24"/>
  <c r="U79" i="24"/>
  <c r="T79" i="24"/>
  <c r="S79" i="24"/>
  <c r="N79" i="24"/>
  <c r="M79" i="24"/>
  <c r="L79" i="24"/>
  <c r="K79" i="24"/>
  <c r="X78" i="24"/>
  <c r="W78" i="24"/>
  <c r="V78" i="24"/>
  <c r="U78" i="24"/>
  <c r="T78" i="24"/>
  <c r="S78" i="24"/>
  <c r="N78" i="24"/>
  <c r="M78" i="24"/>
  <c r="L78" i="24"/>
  <c r="K78" i="24"/>
  <c r="X77" i="24"/>
  <c r="W77" i="24"/>
  <c r="V77" i="24"/>
  <c r="U77" i="24"/>
  <c r="T77" i="24"/>
  <c r="S77" i="24"/>
  <c r="N77" i="24"/>
  <c r="M77" i="24"/>
  <c r="L77" i="24"/>
  <c r="K77" i="24"/>
  <c r="X76" i="24"/>
  <c r="W76" i="24"/>
  <c r="V76" i="24"/>
  <c r="U76" i="24"/>
  <c r="T76" i="24"/>
  <c r="S76" i="24"/>
  <c r="N76" i="24"/>
  <c r="M76" i="24"/>
  <c r="L76" i="24"/>
  <c r="K76" i="24"/>
  <c r="X75" i="24"/>
  <c r="W75" i="24"/>
  <c r="V75" i="24"/>
  <c r="U75" i="24"/>
  <c r="T75" i="24"/>
  <c r="S75" i="24"/>
  <c r="N75" i="24"/>
  <c r="M75" i="24"/>
  <c r="L75" i="24"/>
  <c r="K75" i="24"/>
  <c r="X74" i="24"/>
  <c r="W74" i="24"/>
  <c r="V74" i="24"/>
  <c r="U74" i="24"/>
  <c r="T74" i="24"/>
  <c r="S74" i="24"/>
  <c r="N74" i="24"/>
  <c r="M74" i="24"/>
  <c r="L74" i="24"/>
  <c r="K74" i="24"/>
  <c r="X73" i="24"/>
  <c r="W73" i="24"/>
  <c r="V73" i="24"/>
  <c r="U73" i="24"/>
  <c r="T73" i="24"/>
  <c r="S73" i="24"/>
  <c r="N73" i="24"/>
  <c r="M73" i="24"/>
  <c r="L73" i="24"/>
  <c r="K73" i="24"/>
  <c r="X72" i="24"/>
  <c r="W72" i="24"/>
  <c r="V72" i="24"/>
  <c r="U72" i="24"/>
  <c r="T72" i="24"/>
  <c r="S72" i="24"/>
  <c r="N72" i="24"/>
  <c r="M72" i="24"/>
  <c r="L72" i="24"/>
  <c r="K72" i="24"/>
  <c r="X71" i="24"/>
  <c r="W71" i="24"/>
  <c r="V71" i="24"/>
  <c r="U71" i="24"/>
  <c r="T71" i="24"/>
  <c r="S71" i="24"/>
  <c r="N71" i="24"/>
  <c r="M71" i="24"/>
  <c r="L71" i="24"/>
  <c r="K71" i="24"/>
  <c r="X70" i="24"/>
  <c r="W70" i="24"/>
  <c r="V70" i="24"/>
  <c r="U70" i="24"/>
  <c r="T70" i="24"/>
  <c r="S70" i="24"/>
  <c r="N70" i="24"/>
  <c r="M70" i="24"/>
  <c r="L70" i="24"/>
  <c r="K70" i="24"/>
  <c r="X69" i="24"/>
  <c r="W69" i="24"/>
  <c r="V69" i="24"/>
  <c r="U69" i="24"/>
  <c r="T69" i="24"/>
  <c r="S69" i="24"/>
  <c r="N69" i="24"/>
  <c r="M69" i="24"/>
  <c r="L69" i="24"/>
  <c r="K69" i="24"/>
  <c r="X68" i="24"/>
  <c r="W68" i="24"/>
  <c r="V68" i="24"/>
  <c r="U68" i="24"/>
  <c r="T68" i="24"/>
  <c r="S68" i="24"/>
  <c r="N68" i="24"/>
  <c r="M68" i="24"/>
  <c r="L68" i="24"/>
  <c r="K68" i="24"/>
  <c r="X67" i="24"/>
  <c r="W67" i="24"/>
  <c r="V67" i="24"/>
  <c r="U67" i="24"/>
  <c r="T67" i="24"/>
  <c r="S67" i="24"/>
  <c r="N67" i="24"/>
  <c r="M67" i="24"/>
  <c r="L67" i="24"/>
  <c r="K67" i="24"/>
  <c r="X66" i="24"/>
  <c r="W66" i="24"/>
  <c r="V66" i="24"/>
  <c r="U66" i="24"/>
  <c r="T66" i="24"/>
  <c r="S66" i="24"/>
  <c r="N66" i="24"/>
  <c r="M66" i="24"/>
  <c r="L66" i="24"/>
  <c r="K66" i="24"/>
  <c r="X65" i="24"/>
  <c r="W65" i="24"/>
  <c r="V65" i="24"/>
  <c r="U65" i="24"/>
  <c r="T65" i="24"/>
  <c r="S65" i="24"/>
  <c r="N65" i="24"/>
  <c r="M65" i="24"/>
  <c r="L65" i="24"/>
  <c r="K65" i="24"/>
  <c r="X64" i="24"/>
  <c r="W64" i="24"/>
  <c r="V64" i="24"/>
  <c r="U64" i="24"/>
  <c r="T64" i="24"/>
  <c r="S64" i="24"/>
  <c r="N64" i="24"/>
  <c r="M64" i="24"/>
  <c r="L64" i="24"/>
  <c r="K64" i="24"/>
  <c r="X63" i="24"/>
  <c r="W63" i="24"/>
  <c r="V63" i="24"/>
  <c r="U63" i="24"/>
  <c r="T63" i="24"/>
  <c r="S63" i="24"/>
  <c r="N63" i="24"/>
  <c r="M63" i="24"/>
  <c r="L63" i="24"/>
  <c r="K63" i="24"/>
  <c r="X62" i="24"/>
  <c r="W62" i="24"/>
  <c r="V62" i="24"/>
  <c r="U62" i="24"/>
  <c r="T62" i="24"/>
  <c r="S62" i="24"/>
  <c r="N62" i="24"/>
  <c r="M62" i="24"/>
  <c r="L62" i="24"/>
  <c r="K62" i="24"/>
  <c r="X61" i="24"/>
  <c r="W61" i="24"/>
  <c r="V61" i="24"/>
  <c r="U61" i="24"/>
  <c r="T61" i="24"/>
  <c r="S61" i="24"/>
  <c r="N61" i="24"/>
  <c r="M61" i="24"/>
  <c r="L61" i="24"/>
  <c r="K61" i="24"/>
  <c r="X60" i="24"/>
  <c r="W60" i="24"/>
  <c r="V60" i="24"/>
  <c r="U60" i="24"/>
  <c r="T60" i="24"/>
  <c r="S60" i="24"/>
  <c r="N60" i="24"/>
  <c r="M60" i="24"/>
  <c r="L60" i="24"/>
  <c r="K60" i="24"/>
  <c r="X59" i="24"/>
  <c r="W59" i="24"/>
  <c r="V59" i="24"/>
  <c r="U59" i="24"/>
  <c r="T59" i="24"/>
  <c r="S59" i="24"/>
  <c r="N59" i="24"/>
  <c r="M59" i="24"/>
  <c r="L59" i="24"/>
  <c r="K59" i="24"/>
  <c r="X58" i="24"/>
  <c r="W58" i="24"/>
  <c r="V58" i="24"/>
  <c r="U58" i="24"/>
  <c r="T58" i="24"/>
  <c r="S58" i="24"/>
  <c r="N58" i="24"/>
  <c r="M58" i="24"/>
  <c r="L58" i="24"/>
  <c r="K58" i="24"/>
  <c r="X57" i="24"/>
  <c r="W57" i="24"/>
  <c r="V57" i="24"/>
  <c r="U57" i="24"/>
  <c r="T57" i="24"/>
  <c r="S57" i="24"/>
  <c r="N57" i="24"/>
  <c r="M57" i="24"/>
  <c r="L57" i="24"/>
  <c r="K57" i="24"/>
  <c r="X56" i="24"/>
  <c r="W56" i="24"/>
  <c r="V56" i="24"/>
  <c r="U56" i="24"/>
  <c r="T56" i="24"/>
  <c r="S56" i="24"/>
  <c r="N56" i="24"/>
  <c r="M56" i="24"/>
  <c r="L56" i="24"/>
  <c r="K56" i="24"/>
  <c r="X55" i="24"/>
  <c r="W55" i="24"/>
  <c r="V55" i="24"/>
  <c r="U55" i="24"/>
  <c r="T55" i="24"/>
  <c r="S55" i="24"/>
  <c r="N55" i="24"/>
  <c r="M55" i="24"/>
  <c r="L55" i="24"/>
  <c r="X54" i="24"/>
  <c r="W54" i="24"/>
  <c r="V54" i="24"/>
  <c r="X53" i="24"/>
  <c r="W53" i="24"/>
  <c r="V53" i="24"/>
  <c r="U53" i="24"/>
  <c r="T53" i="24"/>
  <c r="S53" i="24"/>
  <c r="N53" i="24"/>
  <c r="M53" i="24"/>
  <c r="L53" i="24"/>
  <c r="X52" i="24"/>
  <c r="W52" i="24"/>
  <c r="V52" i="24"/>
  <c r="U52" i="24"/>
  <c r="T52" i="24"/>
  <c r="S52" i="24"/>
  <c r="N52" i="24"/>
  <c r="M52" i="24"/>
  <c r="L52" i="24"/>
  <c r="K52" i="24"/>
  <c r="X51" i="24"/>
  <c r="W51" i="24"/>
  <c r="V51" i="24"/>
  <c r="U51" i="24"/>
  <c r="T51" i="24"/>
  <c r="S51" i="24"/>
  <c r="N51" i="24"/>
  <c r="M51" i="24"/>
  <c r="L51" i="24"/>
  <c r="X50" i="24"/>
  <c r="W50" i="24"/>
  <c r="V50" i="24"/>
  <c r="U50" i="24"/>
  <c r="T50" i="24"/>
  <c r="S50" i="24"/>
  <c r="N50" i="24"/>
  <c r="M50" i="24"/>
  <c r="L50" i="24"/>
  <c r="X49" i="24"/>
  <c r="W49" i="24"/>
  <c r="V49" i="24"/>
  <c r="U49" i="24"/>
  <c r="T49" i="24"/>
  <c r="S49" i="24"/>
  <c r="N49" i="24"/>
  <c r="M49" i="24"/>
  <c r="L49" i="24"/>
  <c r="X48" i="24"/>
  <c r="W48" i="24"/>
  <c r="V48" i="24"/>
  <c r="U48" i="24"/>
  <c r="T48" i="24"/>
  <c r="S48" i="24"/>
  <c r="N48" i="24"/>
  <c r="M48" i="24"/>
  <c r="L48" i="24"/>
  <c r="X47" i="24"/>
  <c r="W47" i="24"/>
  <c r="V47" i="24"/>
  <c r="U47" i="24"/>
  <c r="T47" i="24"/>
  <c r="S47" i="24"/>
  <c r="N47" i="24"/>
  <c r="M47" i="24"/>
  <c r="L47" i="24"/>
  <c r="X46" i="24"/>
  <c r="W46" i="24"/>
  <c r="V46" i="24"/>
  <c r="U46" i="24"/>
  <c r="T46" i="24"/>
  <c r="S46" i="24"/>
  <c r="N46" i="24"/>
  <c r="M46" i="24"/>
  <c r="L46" i="24"/>
  <c r="X45" i="24"/>
  <c r="W45" i="24"/>
  <c r="V45" i="24"/>
  <c r="U45" i="24"/>
  <c r="T45" i="24"/>
  <c r="S45" i="24"/>
  <c r="N45" i="24"/>
  <c r="M45" i="24"/>
  <c r="L45" i="24"/>
  <c r="X44" i="24"/>
  <c r="W44" i="24"/>
  <c r="V44" i="24"/>
  <c r="U44" i="24"/>
  <c r="T44" i="24"/>
  <c r="S44" i="24"/>
  <c r="N44" i="24"/>
  <c r="M44" i="24"/>
  <c r="L44" i="24"/>
  <c r="X43" i="24"/>
  <c r="W43" i="24"/>
  <c r="V43" i="24"/>
  <c r="U43" i="24"/>
  <c r="T43" i="24"/>
  <c r="S43" i="24"/>
  <c r="N43" i="24"/>
  <c r="M43" i="24"/>
  <c r="L43" i="24"/>
  <c r="X42" i="24"/>
  <c r="W42" i="24"/>
  <c r="V42" i="24"/>
  <c r="U42" i="24"/>
  <c r="T42" i="24"/>
  <c r="S42" i="24"/>
  <c r="N42" i="24"/>
  <c r="M42" i="24"/>
  <c r="L42" i="24"/>
  <c r="U41" i="24"/>
  <c r="T41" i="24"/>
  <c r="S41" i="24"/>
  <c r="N41" i="24"/>
  <c r="Q42" i="24" s="1"/>
  <c r="M41" i="24"/>
  <c r="P54" i="24" s="1"/>
  <c r="L41" i="24"/>
  <c r="O41" i="24" s="1"/>
  <c r="X40" i="24"/>
  <c r="W40" i="24"/>
  <c r="V40" i="24"/>
  <c r="U40" i="24"/>
  <c r="T40" i="24"/>
  <c r="S40" i="24"/>
  <c r="Q40" i="24"/>
  <c r="P40" i="24"/>
  <c r="O40" i="24"/>
  <c r="N40" i="24"/>
  <c r="M40" i="24"/>
  <c r="L40" i="24"/>
  <c r="X39" i="24"/>
  <c r="W39" i="24"/>
  <c r="V39" i="24"/>
  <c r="U39" i="24"/>
  <c r="T39" i="24"/>
  <c r="S39" i="24"/>
  <c r="Q39" i="24"/>
  <c r="P39" i="24"/>
  <c r="O39" i="24"/>
  <c r="N39" i="24"/>
  <c r="M39" i="24"/>
  <c r="L39" i="24"/>
  <c r="X38" i="24"/>
  <c r="W38" i="24"/>
  <c r="V38" i="24"/>
  <c r="U38" i="24"/>
  <c r="T38" i="24"/>
  <c r="S38" i="24"/>
  <c r="Q38" i="24"/>
  <c r="P38" i="24"/>
  <c r="O38" i="24"/>
  <c r="N38" i="24"/>
  <c r="M38" i="24"/>
  <c r="L38" i="24"/>
  <c r="X37" i="24"/>
  <c r="W37" i="24"/>
  <c r="V37" i="24"/>
  <c r="U37" i="24"/>
  <c r="T37" i="24"/>
  <c r="S37" i="24"/>
  <c r="Q37" i="24"/>
  <c r="P37" i="24"/>
  <c r="O37" i="24"/>
  <c r="N37" i="24"/>
  <c r="M37" i="24"/>
  <c r="L37" i="24"/>
  <c r="X36" i="24"/>
  <c r="W36" i="24"/>
  <c r="V36" i="24"/>
  <c r="U36" i="24"/>
  <c r="T36" i="24"/>
  <c r="S36" i="24"/>
  <c r="Q36" i="24"/>
  <c r="P36" i="24"/>
  <c r="O36" i="24"/>
  <c r="N36" i="24"/>
  <c r="M36" i="24"/>
  <c r="L36" i="24"/>
  <c r="X35" i="24"/>
  <c r="W35" i="24"/>
  <c r="V35" i="24"/>
  <c r="U35" i="24"/>
  <c r="T35" i="24"/>
  <c r="S35" i="24"/>
  <c r="Q35" i="24"/>
  <c r="P35" i="24"/>
  <c r="O35" i="24"/>
  <c r="N35" i="24"/>
  <c r="M35" i="24"/>
  <c r="L35" i="24"/>
  <c r="X34" i="24"/>
  <c r="W34" i="24"/>
  <c r="V34" i="24"/>
  <c r="U34" i="24"/>
  <c r="T34" i="24"/>
  <c r="S34" i="24"/>
  <c r="Q34" i="24"/>
  <c r="P34" i="24"/>
  <c r="O34" i="24"/>
  <c r="N34" i="24"/>
  <c r="M34" i="24"/>
  <c r="L34" i="24"/>
  <c r="X33" i="24"/>
  <c r="W33" i="24"/>
  <c r="V33" i="24"/>
  <c r="U33" i="24"/>
  <c r="T33" i="24"/>
  <c r="S33" i="24"/>
  <c r="Q33" i="24"/>
  <c r="P33" i="24"/>
  <c r="O33" i="24"/>
  <c r="N33" i="24"/>
  <c r="M33" i="24"/>
  <c r="L33" i="24"/>
  <c r="X32" i="24"/>
  <c r="W32" i="24"/>
  <c r="V32" i="24"/>
  <c r="U32" i="24"/>
  <c r="T32" i="24"/>
  <c r="S32" i="24"/>
  <c r="Q32" i="24"/>
  <c r="P32" i="24"/>
  <c r="O32" i="24"/>
  <c r="N32" i="24"/>
  <c r="M32" i="24"/>
  <c r="L32" i="24"/>
  <c r="X31" i="24"/>
  <c r="W31" i="24"/>
  <c r="V31" i="24"/>
  <c r="U31" i="24"/>
  <c r="T31" i="24"/>
  <c r="S31" i="24"/>
  <c r="Q31" i="24"/>
  <c r="P31" i="24"/>
  <c r="O31" i="24"/>
  <c r="N31" i="24"/>
  <c r="M31" i="24"/>
  <c r="L31" i="24"/>
  <c r="X30" i="24"/>
  <c r="W30" i="24"/>
  <c r="V30" i="24"/>
  <c r="U30" i="24"/>
  <c r="T30" i="24"/>
  <c r="S30" i="24"/>
  <c r="Q30" i="24"/>
  <c r="P30" i="24"/>
  <c r="O30" i="24"/>
  <c r="N30" i="24"/>
  <c r="M30" i="24"/>
  <c r="L30" i="24"/>
  <c r="X29" i="24"/>
  <c r="W29" i="24"/>
  <c r="V29" i="24"/>
  <c r="U29" i="24"/>
  <c r="T29" i="24"/>
  <c r="S29" i="24"/>
  <c r="Q29" i="24"/>
  <c r="P29" i="24"/>
  <c r="O29" i="24"/>
  <c r="N29" i="24"/>
  <c r="M29" i="24"/>
  <c r="L29" i="24"/>
  <c r="X28" i="24"/>
  <c r="W28" i="24"/>
  <c r="V28" i="24"/>
  <c r="U28" i="24"/>
  <c r="T28" i="24"/>
  <c r="S28" i="24"/>
  <c r="Q28" i="24"/>
  <c r="P28" i="24"/>
  <c r="O28" i="24"/>
  <c r="N28" i="24"/>
  <c r="M28" i="24"/>
  <c r="L28" i="24"/>
  <c r="X27" i="24"/>
  <c r="W27" i="24"/>
  <c r="V27" i="24"/>
  <c r="U27" i="24"/>
  <c r="T27" i="24"/>
  <c r="S27" i="24"/>
  <c r="Q27" i="24"/>
  <c r="P27" i="24"/>
  <c r="O27" i="24"/>
  <c r="N27" i="24"/>
  <c r="M27" i="24"/>
  <c r="L27" i="24"/>
  <c r="X26" i="24"/>
  <c r="W26" i="24"/>
  <c r="V26" i="24"/>
  <c r="U26" i="24"/>
  <c r="T26" i="24"/>
  <c r="S26" i="24"/>
  <c r="Q26" i="24"/>
  <c r="P26" i="24"/>
  <c r="O26" i="24"/>
  <c r="N26" i="24"/>
  <c r="M26" i="24"/>
  <c r="L26" i="24"/>
  <c r="X25" i="24"/>
  <c r="W25" i="24"/>
  <c r="V25" i="24"/>
  <c r="U25" i="24"/>
  <c r="T25" i="24"/>
  <c r="S25" i="24"/>
  <c r="Q25" i="24"/>
  <c r="P25" i="24"/>
  <c r="O25" i="24"/>
  <c r="N25" i="24"/>
  <c r="M25" i="24"/>
  <c r="L25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R16" i="24"/>
  <c r="N16" i="24"/>
  <c r="M16" i="24"/>
  <c r="L16" i="24"/>
  <c r="K16" i="24"/>
  <c r="W7" i="24"/>
  <c r="Y2" i="24"/>
  <c r="X153" i="22"/>
  <c r="W153" i="22"/>
  <c r="V153" i="22"/>
  <c r="U153" i="22"/>
  <c r="T153" i="22"/>
  <c r="S153" i="22"/>
  <c r="R153" i="22"/>
  <c r="N153" i="22"/>
  <c r="M153" i="22"/>
  <c r="L153" i="22"/>
  <c r="K153" i="22"/>
  <c r="X152" i="22"/>
  <c r="W152" i="22"/>
  <c r="V152" i="22"/>
  <c r="U152" i="22"/>
  <c r="T152" i="22"/>
  <c r="S152" i="22"/>
  <c r="R152" i="22"/>
  <c r="N152" i="22"/>
  <c r="M152" i="22"/>
  <c r="L152" i="22"/>
  <c r="K152" i="22"/>
  <c r="X151" i="22"/>
  <c r="W151" i="22"/>
  <c r="V151" i="22"/>
  <c r="U151" i="22"/>
  <c r="T151" i="22"/>
  <c r="S151" i="22"/>
  <c r="R151" i="22"/>
  <c r="N151" i="22"/>
  <c r="M151" i="22"/>
  <c r="L151" i="22"/>
  <c r="K151" i="22"/>
  <c r="X150" i="22"/>
  <c r="W150" i="22"/>
  <c r="V150" i="22"/>
  <c r="U150" i="22"/>
  <c r="T150" i="22"/>
  <c r="S150" i="22"/>
  <c r="R150" i="22"/>
  <c r="N150" i="22"/>
  <c r="M150" i="22"/>
  <c r="L150" i="22"/>
  <c r="K150" i="22"/>
  <c r="X149" i="22"/>
  <c r="W149" i="22"/>
  <c r="V149" i="22"/>
  <c r="U149" i="22"/>
  <c r="T149" i="22"/>
  <c r="S149" i="22"/>
  <c r="R149" i="22"/>
  <c r="N149" i="22"/>
  <c r="M149" i="22"/>
  <c r="L149" i="22"/>
  <c r="K149" i="22"/>
  <c r="X148" i="22"/>
  <c r="W148" i="22"/>
  <c r="V148" i="22"/>
  <c r="U148" i="22"/>
  <c r="T148" i="22"/>
  <c r="S148" i="22"/>
  <c r="R148" i="22"/>
  <c r="N148" i="22"/>
  <c r="M148" i="22"/>
  <c r="L148" i="22"/>
  <c r="K148" i="22"/>
  <c r="X147" i="22"/>
  <c r="W147" i="22"/>
  <c r="V147" i="22"/>
  <c r="U147" i="22"/>
  <c r="T147" i="22"/>
  <c r="S147" i="22"/>
  <c r="R147" i="22"/>
  <c r="N147" i="22"/>
  <c r="M147" i="22"/>
  <c r="L147" i="22"/>
  <c r="K147" i="22"/>
  <c r="X146" i="22"/>
  <c r="W146" i="22"/>
  <c r="V146" i="22"/>
  <c r="U146" i="22"/>
  <c r="T146" i="22"/>
  <c r="S146" i="22"/>
  <c r="R146" i="22"/>
  <c r="N146" i="22"/>
  <c r="M146" i="22"/>
  <c r="L146" i="22"/>
  <c r="K146" i="22"/>
  <c r="X145" i="22"/>
  <c r="W145" i="22"/>
  <c r="V145" i="22"/>
  <c r="U145" i="22"/>
  <c r="T145" i="22"/>
  <c r="S145" i="22"/>
  <c r="R145" i="22"/>
  <c r="N145" i="22"/>
  <c r="M145" i="22"/>
  <c r="L145" i="22"/>
  <c r="K145" i="22"/>
  <c r="X144" i="22"/>
  <c r="W144" i="22"/>
  <c r="V144" i="22"/>
  <c r="U144" i="22"/>
  <c r="T144" i="22"/>
  <c r="S144" i="22"/>
  <c r="R144" i="22"/>
  <c r="N144" i="22"/>
  <c r="M144" i="22"/>
  <c r="L144" i="22"/>
  <c r="K144" i="22"/>
  <c r="X143" i="22"/>
  <c r="W143" i="22"/>
  <c r="V143" i="22"/>
  <c r="U143" i="22"/>
  <c r="T143" i="22"/>
  <c r="S143" i="22"/>
  <c r="R143" i="22"/>
  <c r="N143" i="22"/>
  <c r="M143" i="22"/>
  <c r="L143" i="22"/>
  <c r="K143" i="22"/>
  <c r="X142" i="22"/>
  <c r="W142" i="22"/>
  <c r="V142" i="22"/>
  <c r="U142" i="22"/>
  <c r="T142" i="22"/>
  <c r="S142" i="22"/>
  <c r="R142" i="22"/>
  <c r="N142" i="22"/>
  <c r="M142" i="22"/>
  <c r="L142" i="22"/>
  <c r="K142" i="22"/>
  <c r="X141" i="22"/>
  <c r="W141" i="22"/>
  <c r="V141" i="22"/>
  <c r="U141" i="22"/>
  <c r="T141" i="22"/>
  <c r="S141" i="22"/>
  <c r="R141" i="22"/>
  <c r="N141" i="22"/>
  <c r="M141" i="22"/>
  <c r="L141" i="22"/>
  <c r="K141" i="22"/>
  <c r="X140" i="22"/>
  <c r="W140" i="22"/>
  <c r="V140" i="22"/>
  <c r="U140" i="22"/>
  <c r="T140" i="22"/>
  <c r="S140" i="22"/>
  <c r="R140" i="22"/>
  <c r="N140" i="22"/>
  <c r="M140" i="22"/>
  <c r="L140" i="22"/>
  <c r="K140" i="22"/>
  <c r="X139" i="22"/>
  <c r="W139" i="22"/>
  <c r="V139" i="22"/>
  <c r="U139" i="22"/>
  <c r="T139" i="22"/>
  <c r="S139" i="22"/>
  <c r="R139" i="22"/>
  <c r="N139" i="22"/>
  <c r="M139" i="22"/>
  <c r="L139" i="22"/>
  <c r="K139" i="22"/>
  <c r="X138" i="22"/>
  <c r="W138" i="22"/>
  <c r="V138" i="22"/>
  <c r="U138" i="22"/>
  <c r="T138" i="22"/>
  <c r="S138" i="22"/>
  <c r="R138" i="22"/>
  <c r="N138" i="22"/>
  <c r="M138" i="22"/>
  <c r="L138" i="22"/>
  <c r="K138" i="22"/>
  <c r="X137" i="22"/>
  <c r="W137" i="22"/>
  <c r="V137" i="22"/>
  <c r="U137" i="22"/>
  <c r="T137" i="22"/>
  <c r="S137" i="22"/>
  <c r="R137" i="22"/>
  <c r="N137" i="22"/>
  <c r="M137" i="22"/>
  <c r="L137" i="22"/>
  <c r="K137" i="22"/>
  <c r="X136" i="22"/>
  <c r="W136" i="22"/>
  <c r="V136" i="22"/>
  <c r="U136" i="22"/>
  <c r="T136" i="22"/>
  <c r="S136" i="22"/>
  <c r="R136" i="22"/>
  <c r="N136" i="22"/>
  <c r="M136" i="22"/>
  <c r="L136" i="22"/>
  <c r="K136" i="22"/>
  <c r="X135" i="22"/>
  <c r="W135" i="22"/>
  <c r="V135" i="22"/>
  <c r="U135" i="22"/>
  <c r="T135" i="22"/>
  <c r="S135" i="22"/>
  <c r="R135" i="22"/>
  <c r="N135" i="22"/>
  <c r="M135" i="22"/>
  <c r="L135" i="22"/>
  <c r="K135" i="22"/>
  <c r="X134" i="22"/>
  <c r="W134" i="22"/>
  <c r="V134" i="22"/>
  <c r="U134" i="22"/>
  <c r="T134" i="22"/>
  <c r="S134" i="22"/>
  <c r="R134" i="22"/>
  <c r="N134" i="22"/>
  <c r="M134" i="22"/>
  <c r="L134" i="22"/>
  <c r="K134" i="22"/>
  <c r="X133" i="22"/>
  <c r="W133" i="22"/>
  <c r="V133" i="22"/>
  <c r="U133" i="22"/>
  <c r="T133" i="22"/>
  <c r="S133" i="22"/>
  <c r="R133" i="22"/>
  <c r="N133" i="22"/>
  <c r="M133" i="22"/>
  <c r="L133" i="22"/>
  <c r="K133" i="22"/>
  <c r="X132" i="22"/>
  <c r="W132" i="22"/>
  <c r="V132" i="22"/>
  <c r="U132" i="22"/>
  <c r="T132" i="22"/>
  <c r="S132" i="22"/>
  <c r="R132" i="22"/>
  <c r="N132" i="22"/>
  <c r="M132" i="22"/>
  <c r="L132" i="22"/>
  <c r="K132" i="22"/>
  <c r="X131" i="22"/>
  <c r="W131" i="22"/>
  <c r="V131" i="22"/>
  <c r="U131" i="22"/>
  <c r="T131" i="22"/>
  <c r="S131" i="22"/>
  <c r="R131" i="22"/>
  <c r="N131" i="22"/>
  <c r="M131" i="22"/>
  <c r="L131" i="22"/>
  <c r="K131" i="22"/>
  <c r="X130" i="22"/>
  <c r="W130" i="22"/>
  <c r="V130" i="22"/>
  <c r="U130" i="22"/>
  <c r="T130" i="22"/>
  <c r="S130" i="22"/>
  <c r="R130" i="22"/>
  <c r="N130" i="22"/>
  <c r="M130" i="22"/>
  <c r="L130" i="22"/>
  <c r="K130" i="22"/>
  <c r="X129" i="22"/>
  <c r="W129" i="22"/>
  <c r="V129" i="22"/>
  <c r="U129" i="22"/>
  <c r="T129" i="22"/>
  <c r="S129" i="22"/>
  <c r="R129" i="22"/>
  <c r="N129" i="22"/>
  <c r="M129" i="22"/>
  <c r="L129" i="22"/>
  <c r="K129" i="22"/>
  <c r="X128" i="22"/>
  <c r="W128" i="22"/>
  <c r="V128" i="22"/>
  <c r="U128" i="22"/>
  <c r="T128" i="22"/>
  <c r="S128" i="22"/>
  <c r="R128" i="22"/>
  <c r="N128" i="22"/>
  <c r="M128" i="22"/>
  <c r="L128" i="22"/>
  <c r="K128" i="22"/>
  <c r="X127" i="22"/>
  <c r="W127" i="22"/>
  <c r="V127" i="22"/>
  <c r="U127" i="22"/>
  <c r="T127" i="22"/>
  <c r="S127" i="22"/>
  <c r="R127" i="22"/>
  <c r="N127" i="22"/>
  <c r="M127" i="22"/>
  <c r="L127" i="22"/>
  <c r="K127" i="22"/>
  <c r="X126" i="22"/>
  <c r="W126" i="22"/>
  <c r="V126" i="22"/>
  <c r="U126" i="22"/>
  <c r="T126" i="22"/>
  <c r="S126" i="22"/>
  <c r="R126" i="22"/>
  <c r="N126" i="22"/>
  <c r="M126" i="22"/>
  <c r="L126" i="22"/>
  <c r="K126" i="22"/>
  <c r="X125" i="22"/>
  <c r="W125" i="22"/>
  <c r="V125" i="22"/>
  <c r="U125" i="22"/>
  <c r="T125" i="22"/>
  <c r="S125" i="22"/>
  <c r="R125" i="22"/>
  <c r="N125" i="22"/>
  <c r="M125" i="22"/>
  <c r="L125" i="22"/>
  <c r="K125" i="22"/>
  <c r="X124" i="22"/>
  <c r="W124" i="22"/>
  <c r="V124" i="22"/>
  <c r="U124" i="22"/>
  <c r="T124" i="22"/>
  <c r="S124" i="22"/>
  <c r="R124" i="22"/>
  <c r="N124" i="22"/>
  <c r="M124" i="22"/>
  <c r="L124" i="22"/>
  <c r="K124" i="22"/>
  <c r="X123" i="22"/>
  <c r="W123" i="22"/>
  <c r="V123" i="22"/>
  <c r="U123" i="22"/>
  <c r="T123" i="22"/>
  <c r="S123" i="22"/>
  <c r="R123" i="22"/>
  <c r="N123" i="22"/>
  <c r="M123" i="22"/>
  <c r="L123" i="22"/>
  <c r="K123" i="22"/>
  <c r="X122" i="22"/>
  <c r="W122" i="22"/>
  <c r="V122" i="22"/>
  <c r="U122" i="22"/>
  <c r="T122" i="22"/>
  <c r="S122" i="22"/>
  <c r="R122" i="22"/>
  <c r="N122" i="22"/>
  <c r="M122" i="22"/>
  <c r="L122" i="22"/>
  <c r="K122" i="22"/>
  <c r="X121" i="22"/>
  <c r="W121" i="22"/>
  <c r="V121" i="22"/>
  <c r="U121" i="22"/>
  <c r="T121" i="22"/>
  <c r="S121" i="22"/>
  <c r="R121" i="22"/>
  <c r="N121" i="22"/>
  <c r="M121" i="22"/>
  <c r="L121" i="22"/>
  <c r="K121" i="22"/>
  <c r="X120" i="22"/>
  <c r="W120" i="22"/>
  <c r="V120" i="22"/>
  <c r="U120" i="22"/>
  <c r="T120" i="22"/>
  <c r="S120" i="22"/>
  <c r="R120" i="22"/>
  <c r="N120" i="22"/>
  <c r="M120" i="22"/>
  <c r="L120" i="22"/>
  <c r="K120" i="22"/>
  <c r="X119" i="22"/>
  <c r="W119" i="22"/>
  <c r="V119" i="22"/>
  <c r="U119" i="22"/>
  <c r="T119" i="22"/>
  <c r="S119" i="22"/>
  <c r="R119" i="22"/>
  <c r="N119" i="22"/>
  <c r="M119" i="22"/>
  <c r="L119" i="22"/>
  <c r="K119" i="22"/>
  <c r="X118" i="22"/>
  <c r="W118" i="22"/>
  <c r="V118" i="22"/>
  <c r="U118" i="22"/>
  <c r="T118" i="22"/>
  <c r="S118" i="22"/>
  <c r="R118" i="22"/>
  <c r="N118" i="22"/>
  <c r="M118" i="22"/>
  <c r="L118" i="22"/>
  <c r="K118" i="22"/>
  <c r="X117" i="22"/>
  <c r="W117" i="22"/>
  <c r="V117" i="22"/>
  <c r="U117" i="22"/>
  <c r="T117" i="22"/>
  <c r="S117" i="22"/>
  <c r="R117" i="22"/>
  <c r="N117" i="22"/>
  <c r="M117" i="22"/>
  <c r="L117" i="22"/>
  <c r="K117" i="22"/>
  <c r="X116" i="22"/>
  <c r="W116" i="22"/>
  <c r="V116" i="22"/>
  <c r="U116" i="22"/>
  <c r="T116" i="22"/>
  <c r="S116" i="22"/>
  <c r="R116" i="22"/>
  <c r="N116" i="22"/>
  <c r="M116" i="22"/>
  <c r="L116" i="22"/>
  <c r="K116" i="22"/>
  <c r="X115" i="22"/>
  <c r="W115" i="22"/>
  <c r="V115" i="22"/>
  <c r="U115" i="22"/>
  <c r="T115" i="22"/>
  <c r="S115" i="22"/>
  <c r="R115" i="22"/>
  <c r="N115" i="22"/>
  <c r="M115" i="22"/>
  <c r="L115" i="22"/>
  <c r="K115" i="22"/>
  <c r="X114" i="22"/>
  <c r="W114" i="22"/>
  <c r="V114" i="22"/>
  <c r="U114" i="22"/>
  <c r="T114" i="22"/>
  <c r="S114" i="22"/>
  <c r="R114" i="22"/>
  <c r="N114" i="22"/>
  <c r="M114" i="22"/>
  <c r="L114" i="22"/>
  <c r="K114" i="22"/>
  <c r="X113" i="22"/>
  <c r="W113" i="22"/>
  <c r="V113" i="22"/>
  <c r="U113" i="22"/>
  <c r="T113" i="22"/>
  <c r="S113" i="22"/>
  <c r="R113" i="22"/>
  <c r="N113" i="22"/>
  <c r="M113" i="22"/>
  <c r="L113" i="22"/>
  <c r="K113" i="22"/>
  <c r="X112" i="22"/>
  <c r="W112" i="22"/>
  <c r="V112" i="22"/>
  <c r="U112" i="22"/>
  <c r="T112" i="22"/>
  <c r="S112" i="22"/>
  <c r="R112" i="22"/>
  <c r="N112" i="22"/>
  <c r="M112" i="22"/>
  <c r="L112" i="22"/>
  <c r="K112" i="22"/>
  <c r="X111" i="22"/>
  <c r="W111" i="22"/>
  <c r="V111" i="22"/>
  <c r="U111" i="22"/>
  <c r="T111" i="22"/>
  <c r="S111" i="22"/>
  <c r="R111" i="22"/>
  <c r="N111" i="22"/>
  <c r="M111" i="22"/>
  <c r="L111" i="22"/>
  <c r="K111" i="22"/>
  <c r="X110" i="22"/>
  <c r="W110" i="22"/>
  <c r="V110" i="22"/>
  <c r="U110" i="22"/>
  <c r="T110" i="22"/>
  <c r="S110" i="22"/>
  <c r="R110" i="22"/>
  <c r="N110" i="22"/>
  <c r="M110" i="22"/>
  <c r="L110" i="22"/>
  <c r="K110" i="22"/>
  <c r="X109" i="22"/>
  <c r="W109" i="22"/>
  <c r="V109" i="22"/>
  <c r="U109" i="22"/>
  <c r="T109" i="22"/>
  <c r="S109" i="22"/>
  <c r="R109" i="22"/>
  <c r="N109" i="22"/>
  <c r="M109" i="22"/>
  <c r="L109" i="22"/>
  <c r="K109" i="22"/>
  <c r="X108" i="22"/>
  <c r="W108" i="22"/>
  <c r="V108" i="22"/>
  <c r="U108" i="22"/>
  <c r="T108" i="22"/>
  <c r="S108" i="22"/>
  <c r="R108" i="22"/>
  <c r="N108" i="22"/>
  <c r="M108" i="22"/>
  <c r="L108" i="22"/>
  <c r="K108" i="22"/>
  <c r="X107" i="22"/>
  <c r="W107" i="22"/>
  <c r="V107" i="22"/>
  <c r="U107" i="22"/>
  <c r="T107" i="22"/>
  <c r="S107" i="22"/>
  <c r="R107" i="22"/>
  <c r="N107" i="22"/>
  <c r="M107" i="22"/>
  <c r="L107" i="22"/>
  <c r="K107" i="22"/>
  <c r="X106" i="22"/>
  <c r="W106" i="22"/>
  <c r="V106" i="22"/>
  <c r="U106" i="22"/>
  <c r="T106" i="22"/>
  <c r="S106" i="22"/>
  <c r="R106" i="22"/>
  <c r="N106" i="22"/>
  <c r="M106" i="22"/>
  <c r="L106" i="22"/>
  <c r="K106" i="22"/>
  <c r="X105" i="22"/>
  <c r="W105" i="22"/>
  <c r="V105" i="22"/>
  <c r="U105" i="22"/>
  <c r="T105" i="22"/>
  <c r="S105" i="22"/>
  <c r="R105" i="22"/>
  <c r="N105" i="22"/>
  <c r="M105" i="22"/>
  <c r="L105" i="22"/>
  <c r="K105" i="22"/>
  <c r="X104" i="22"/>
  <c r="W104" i="22"/>
  <c r="V104" i="22"/>
  <c r="U104" i="22"/>
  <c r="T104" i="22"/>
  <c r="S104" i="22"/>
  <c r="R104" i="22"/>
  <c r="N104" i="22"/>
  <c r="M104" i="22"/>
  <c r="L104" i="22"/>
  <c r="K104" i="22"/>
  <c r="X103" i="22"/>
  <c r="W103" i="22"/>
  <c r="V103" i="22"/>
  <c r="U103" i="22"/>
  <c r="T103" i="22"/>
  <c r="S103" i="22"/>
  <c r="R103" i="22"/>
  <c r="N103" i="22"/>
  <c r="M103" i="22"/>
  <c r="L103" i="22"/>
  <c r="K103" i="22"/>
  <c r="X102" i="22"/>
  <c r="W102" i="22"/>
  <c r="V102" i="22"/>
  <c r="U102" i="22"/>
  <c r="T102" i="22"/>
  <c r="S102" i="22"/>
  <c r="R102" i="22"/>
  <c r="N102" i="22"/>
  <c r="M102" i="22"/>
  <c r="L102" i="22"/>
  <c r="K102" i="22"/>
  <c r="X101" i="22"/>
  <c r="W101" i="22"/>
  <c r="V101" i="22"/>
  <c r="U101" i="22"/>
  <c r="T101" i="22"/>
  <c r="S101" i="22"/>
  <c r="R101" i="22"/>
  <c r="N101" i="22"/>
  <c r="M101" i="22"/>
  <c r="L101" i="22"/>
  <c r="K101" i="22"/>
  <c r="X100" i="22"/>
  <c r="W100" i="22"/>
  <c r="V100" i="22"/>
  <c r="U100" i="22"/>
  <c r="T100" i="22"/>
  <c r="S100" i="22"/>
  <c r="R100" i="22"/>
  <c r="N100" i="22"/>
  <c r="M100" i="22"/>
  <c r="L100" i="22"/>
  <c r="K100" i="22"/>
  <c r="X99" i="22"/>
  <c r="W99" i="22"/>
  <c r="V99" i="22"/>
  <c r="U99" i="22"/>
  <c r="T99" i="22"/>
  <c r="S99" i="22"/>
  <c r="R99" i="22"/>
  <c r="N99" i="22"/>
  <c r="M99" i="22"/>
  <c r="L99" i="22"/>
  <c r="K99" i="22"/>
  <c r="X98" i="22"/>
  <c r="W98" i="22"/>
  <c r="V98" i="22"/>
  <c r="U98" i="22"/>
  <c r="T98" i="22"/>
  <c r="S98" i="22"/>
  <c r="R98" i="22"/>
  <c r="N98" i="22"/>
  <c r="M98" i="22"/>
  <c r="L98" i="22"/>
  <c r="K98" i="22"/>
  <c r="X97" i="22"/>
  <c r="W97" i="22"/>
  <c r="V97" i="22"/>
  <c r="U97" i="22"/>
  <c r="T97" i="22"/>
  <c r="S97" i="22"/>
  <c r="R97" i="22"/>
  <c r="N97" i="22"/>
  <c r="M97" i="22"/>
  <c r="L97" i="22"/>
  <c r="K97" i="22"/>
  <c r="X96" i="22"/>
  <c r="W96" i="22"/>
  <c r="V96" i="22"/>
  <c r="U96" i="22"/>
  <c r="T96" i="22"/>
  <c r="S96" i="22"/>
  <c r="R96" i="22"/>
  <c r="N96" i="22"/>
  <c r="M96" i="22"/>
  <c r="L96" i="22"/>
  <c r="K96" i="22"/>
  <c r="X95" i="22"/>
  <c r="W95" i="22"/>
  <c r="V95" i="22"/>
  <c r="U95" i="22"/>
  <c r="T95" i="22"/>
  <c r="S95" i="22"/>
  <c r="R95" i="22"/>
  <c r="N95" i="22"/>
  <c r="M95" i="22"/>
  <c r="L95" i="22"/>
  <c r="K95" i="22"/>
  <c r="X94" i="22"/>
  <c r="W94" i="22"/>
  <c r="V94" i="22"/>
  <c r="U94" i="22"/>
  <c r="T94" i="22"/>
  <c r="S94" i="22"/>
  <c r="R94" i="22"/>
  <c r="N94" i="22"/>
  <c r="M94" i="22"/>
  <c r="L94" i="22"/>
  <c r="K94" i="22"/>
  <c r="X93" i="22"/>
  <c r="W93" i="22"/>
  <c r="V93" i="22"/>
  <c r="U93" i="22"/>
  <c r="T93" i="22"/>
  <c r="S93" i="22"/>
  <c r="R93" i="22"/>
  <c r="N93" i="22"/>
  <c r="M93" i="22"/>
  <c r="L93" i="22"/>
  <c r="K93" i="22"/>
  <c r="X92" i="22"/>
  <c r="W92" i="22"/>
  <c r="V92" i="22"/>
  <c r="U92" i="22"/>
  <c r="T92" i="22"/>
  <c r="S92" i="22"/>
  <c r="R92" i="22"/>
  <c r="N92" i="22"/>
  <c r="M92" i="22"/>
  <c r="L92" i="22"/>
  <c r="K92" i="22"/>
  <c r="X91" i="22"/>
  <c r="W91" i="22"/>
  <c r="V91" i="22"/>
  <c r="U91" i="22"/>
  <c r="T91" i="22"/>
  <c r="S91" i="22"/>
  <c r="R91" i="22"/>
  <c r="N91" i="22"/>
  <c r="M91" i="22"/>
  <c r="L91" i="22"/>
  <c r="K91" i="22"/>
  <c r="X90" i="22"/>
  <c r="W90" i="22"/>
  <c r="V90" i="22"/>
  <c r="U90" i="22"/>
  <c r="T90" i="22"/>
  <c r="S90" i="22"/>
  <c r="R90" i="22"/>
  <c r="N90" i="22"/>
  <c r="M90" i="22"/>
  <c r="L90" i="22"/>
  <c r="K90" i="22"/>
  <c r="X89" i="22"/>
  <c r="W89" i="22"/>
  <c r="V89" i="22"/>
  <c r="U89" i="22"/>
  <c r="T89" i="22"/>
  <c r="S89" i="22"/>
  <c r="R89" i="22"/>
  <c r="N89" i="22"/>
  <c r="M89" i="22"/>
  <c r="L89" i="22"/>
  <c r="K89" i="22"/>
  <c r="X88" i="22"/>
  <c r="W88" i="22"/>
  <c r="V88" i="22"/>
  <c r="U88" i="22"/>
  <c r="T88" i="22"/>
  <c r="S88" i="22"/>
  <c r="R88" i="22"/>
  <c r="N88" i="22"/>
  <c r="M88" i="22"/>
  <c r="L88" i="22"/>
  <c r="K88" i="22"/>
  <c r="X87" i="22"/>
  <c r="W87" i="22"/>
  <c r="V87" i="22"/>
  <c r="U87" i="22"/>
  <c r="T87" i="22"/>
  <c r="S87" i="22"/>
  <c r="R87" i="22"/>
  <c r="N87" i="22"/>
  <c r="M87" i="22"/>
  <c r="L87" i="22"/>
  <c r="K87" i="22"/>
  <c r="X86" i="22"/>
  <c r="W86" i="22"/>
  <c r="V86" i="22"/>
  <c r="U86" i="22"/>
  <c r="T86" i="22"/>
  <c r="S86" i="22"/>
  <c r="R86" i="22"/>
  <c r="N86" i="22"/>
  <c r="M86" i="22"/>
  <c r="L86" i="22"/>
  <c r="K86" i="22"/>
  <c r="X85" i="22"/>
  <c r="W85" i="22"/>
  <c r="V85" i="22"/>
  <c r="U85" i="22"/>
  <c r="T85" i="22"/>
  <c r="S85" i="22"/>
  <c r="R85" i="22"/>
  <c r="N85" i="22"/>
  <c r="M85" i="22"/>
  <c r="L85" i="22"/>
  <c r="K85" i="22"/>
  <c r="X84" i="22"/>
  <c r="W84" i="22"/>
  <c r="V84" i="22"/>
  <c r="U84" i="22"/>
  <c r="T84" i="22"/>
  <c r="S84" i="22"/>
  <c r="R84" i="22"/>
  <c r="N84" i="22"/>
  <c r="M84" i="22"/>
  <c r="L84" i="22"/>
  <c r="K84" i="22"/>
  <c r="X83" i="22"/>
  <c r="W83" i="22"/>
  <c r="V83" i="22"/>
  <c r="U83" i="22"/>
  <c r="T83" i="22"/>
  <c r="S83" i="22"/>
  <c r="R83" i="22"/>
  <c r="N83" i="22"/>
  <c r="M83" i="22"/>
  <c r="L83" i="22"/>
  <c r="K83" i="22"/>
  <c r="X82" i="22"/>
  <c r="W82" i="22"/>
  <c r="V82" i="22"/>
  <c r="U82" i="22"/>
  <c r="T82" i="22"/>
  <c r="S82" i="22"/>
  <c r="R82" i="22"/>
  <c r="N82" i="22"/>
  <c r="M82" i="22"/>
  <c r="L82" i="22"/>
  <c r="K82" i="22"/>
  <c r="X81" i="22"/>
  <c r="W81" i="22"/>
  <c r="V81" i="22"/>
  <c r="U81" i="22"/>
  <c r="T81" i="22"/>
  <c r="S81" i="22"/>
  <c r="R81" i="22"/>
  <c r="N81" i="22"/>
  <c r="M81" i="22"/>
  <c r="L81" i="22"/>
  <c r="K81" i="22"/>
  <c r="X80" i="22"/>
  <c r="W80" i="22"/>
  <c r="V80" i="22"/>
  <c r="U80" i="22"/>
  <c r="T80" i="22"/>
  <c r="S80" i="22"/>
  <c r="R80" i="22"/>
  <c r="N80" i="22"/>
  <c r="M80" i="22"/>
  <c r="L80" i="22"/>
  <c r="K80" i="22"/>
  <c r="X79" i="22"/>
  <c r="W79" i="22"/>
  <c r="V79" i="22"/>
  <c r="U79" i="22"/>
  <c r="T79" i="22"/>
  <c r="S79" i="22"/>
  <c r="R79" i="22"/>
  <c r="N79" i="22"/>
  <c r="M79" i="22"/>
  <c r="L79" i="22"/>
  <c r="K79" i="22"/>
  <c r="X78" i="22"/>
  <c r="W78" i="22"/>
  <c r="V78" i="22"/>
  <c r="U78" i="22"/>
  <c r="T78" i="22"/>
  <c r="S78" i="22"/>
  <c r="R78" i="22"/>
  <c r="N78" i="22"/>
  <c r="M78" i="22"/>
  <c r="L78" i="22"/>
  <c r="K78" i="22"/>
  <c r="X77" i="22"/>
  <c r="W77" i="22"/>
  <c r="V77" i="22"/>
  <c r="U77" i="22"/>
  <c r="T77" i="22"/>
  <c r="S77" i="22"/>
  <c r="R77" i="22"/>
  <c r="N77" i="22"/>
  <c r="M77" i="22"/>
  <c r="L77" i="22"/>
  <c r="K77" i="22"/>
  <c r="X76" i="22"/>
  <c r="W76" i="22"/>
  <c r="V76" i="22"/>
  <c r="U76" i="22"/>
  <c r="T76" i="22"/>
  <c r="S76" i="22"/>
  <c r="R76" i="22"/>
  <c r="N76" i="22"/>
  <c r="M76" i="22"/>
  <c r="L76" i="22"/>
  <c r="K76" i="22"/>
  <c r="X75" i="22"/>
  <c r="W75" i="22"/>
  <c r="V75" i="22"/>
  <c r="U75" i="22"/>
  <c r="T75" i="22"/>
  <c r="S75" i="22"/>
  <c r="R75" i="22"/>
  <c r="N75" i="22"/>
  <c r="M75" i="22"/>
  <c r="L75" i="22"/>
  <c r="K75" i="22"/>
  <c r="X74" i="22"/>
  <c r="W74" i="22"/>
  <c r="V74" i="22"/>
  <c r="U74" i="22"/>
  <c r="T74" i="22"/>
  <c r="S74" i="22"/>
  <c r="R74" i="22"/>
  <c r="N74" i="22"/>
  <c r="M74" i="22"/>
  <c r="L74" i="22"/>
  <c r="K74" i="22"/>
  <c r="X73" i="22"/>
  <c r="W73" i="22"/>
  <c r="V73" i="22"/>
  <c r="U73" i="22"/>
  <c r="T73" i="22"/>
  <c r="S73" i="22"/>
  <c r="R73" i="22"/>
  <c r="N73" i="22"/>
  <c r="M73" i="22"/>
  <c r="L73" i="22"/>
  <c r="K73" i="22"/>
  <c r="X72" i="22"/>
  <c r="W72" i="22"/>
  <c r="V72" i="22"/>
  <c r="U72" i="22"/>
  <c r="T72" i="22"/>
  <c r="S72" i="22"/>
  <c r="R72" i="22"/>
  <c r="N72" i="22"/>
  <c r="M72" i="22"/>
  <c r="L72" i="22"/>
  <c r="K72" i="22"/>
  <c r="X71" i="22"/>
  <c r="W71" i="22"/>
  <c r="V71" i="22"/>
  <c r="U71" i="22"/>
  <c r="T71" i="22"/>
  <c r="S71" i="22"/>
  <c r="R71" i="22"/>
  <c r="N71" i="22"/>
  <c r="M71" i="22"/>
  <c r="L71" i="22"/>
  <c r="K71" i="22"/>
  <c r="X70" i="22"/>
  <c r="W70" i="22"/>
  <c r="V70" i="22"/>
  <c r="U70" i="22"/>
  <c r="T70" i="22"/>
  <c r="S70" i="22"/>
  <c r="R70" i="22"/>
  <c r="N70" i="22"/>
  <c r="M70" i="22"/>
  <c r="L70" i="22"/>
  <c r="K70" i="22"/>
  <c r="X69" i="22"/>
  <c r="W69" i="22"/>
  <c r="V69" i="22"/>
  <c r="U69" i="22"/>
  <c r="T69" i="22"/>
  <c r="S69" i="22"/>
  <c r="R69" i="22"/>
  <c r="N69" i="22"/>
  <c r="M69" i="22"/>
  <c r="L69" i="22"/>
  <c r="K69" i="22"/>
  <c r="X68" i="22"/>
  <c r="W68" i="22"/>
  <c r="V68" i="22"/>
  <c r="U68" i="22"/>
  <c r="T68" i="22"/>
  <c r="S68" i="22"/>
  <c r="R68" i="22"/>
  <c r="N68" i="22"/>
  <c r="M68" i="22"/>
  <c r="L68" i="22"/>
  <c r="K68" i="22"/>
  <c r="X67" i="22"/>
  <c r="W67" i="22"/>
  <c r="V67" i="22"/>
  <c r="U67" i="22"/>
  <c r="T67" i="22"/>
  <c r="S67" i="22"/>
  <c r="R67" i="22"/>
  <c r="N67" i="22"/>
  <c r="M67" i="22"/>
  <c r="L67" i="22"/>
  <c r="K67" i="22"/>
  <c r="X66" i="22"/>
  <c r="W66" i="22"/>
  <c r="V66" i="22"/>
  <c r="U66" i="22"/>
  <c r="T66" i="22"/>
  <c r="S66" i="22"/>
  <c r="R66" i="22"/>
  <c r="N66" i="22"/>
  <c r="M66" i="22"/>
  <c r="L66" i="22"/>
  <c r="K66" i="22"/>
  <c r="X65" i="22"/>
  <c r="W65" i="22"/>
  <c r="V65" i="22"/>
  <c r="U65" i="22"/>
  <c r="T65" i="22"/>
  <c r="S65" i="22"/>
  <c r="R65" i="22"/>
  <c r="N65" i="22"/>
  <c r="M65" i="22"/>
  <c r="L65" i="22"/>
  <c r="K65" i="22"/>
  <c r="X64" i="22"/>
  <c r="W64" i="22"/>
  <c r="V64" i="22"/>
  <c r="U64" i="22"/>
  <c r="T64" i="22"/>
  <c r="S64" i="22"/>
  <c r="R64" i="22"/>
  <c r="N64" i="22"/>
  <c r="M64" i="22"/>
  <c r="L64" i="22"/>
  <c r="K64" i="22"/>
  <c r="X63" i="22"/>
  <c r="W63" i="22"/>
  <c r="V63" i="22"/>
  <c r="U63" i="22"/>
  <c r="T63" i="22"/>
  <c r="S63" i="22"/>
  <c r="R63" i="22"/>
  <c r="N63" i="22"/>
  <c r="M63" i="22"/>
  <c r="L63" i="22"/>
  <c r="K63" i="22"/>
  <c r="X62" i="22"/>
  <c r="W62" i="22"/>
  <c r="V62" i="22"/>
  <c r="U62" i="22"/>
  <c r="T62" i="22"/>
  <c r="S62" i="22"/>
  <c r="R62" i="22"/>
  <c r="N62" i="22"/>
  <c r="M62" i="22"/>
  <c r="L62" i="22"/>
  <c r="K62" i="22"/>
  <c r="X61" i="22"/>
  <c r="W61" i="22"/>
  <c r="V61" i="22"/>
  <c r="U61" i="22"/>
  <c r="T61" i="22"/>
  <c r="S61" i="22"/>
  <c r="R61" i="22"/>
  <c r="N61" i="22"/>
  <c r="M61" i="22"/>
  <c r="L61" i="22"/>
  <c r="K61" i="22"/>
  <c r="X60" i="22"/>
  <c r="W60" i="22"/>
  <c r="V60" i="22"/>
  <c r="U60" i="22"/>
  <c r="T60" i="22"/>
  <c r="S60" i="22"/>
  <c r="R60" i="22"/>
  <c r="N60" i="22"/>
  <c r="M60" i="22"/>
  <c r="L60" i="22"/>
  <c r="K60" i="22"/>
  <c r="X59" i="22"/>
  <c r="W59" i="22"/>
  <c r="V59" i="22"/>
  <c r="U59" i="22"/>
  <c r="T59" i="22"/>
  <c r="S59" i="22"/>
  <c r="R59" i="22"/>
  <c r="N59" i="22"/>
  <c r="M59" i="22"/>
  <c r="L59" i="22"/>
  <c r="X58" i="22"/>
  <c r="W58" i="22"/>
  <c r="V58" i="22"/>
  <c r="U58" i="22"/>
  <c r="T58" i="22"/>
  <c r="S58" i="22"/>
  <c r="R58" i="22"/>
  <c r="N58" i="22"/>
  <c r="M58" i="22"/>
  <c r="L58" i="22"/>
  <c r="X57" i="22"/>
  <c r="W57" i="22"/>
  <c r="V57" i="22"/>
  <c r="U57" i="22"/>
  <c r="T57" i="22"/>
  <c r="S57" i="22"/>
  <c r="R57" i="22"/>
  <c r="N57" i="22"/>
  <c r="M57" i="22"/>
  <c r="L57" i="22"/>
  <c r="X56" i="22"/>
  <c r="W56" i="22"/>
  <c r="V56" i="22"/>
  <c r="U56" i="22"/>
  <c r="T56" i="22"/>
  <c r="S56" i="22"/>
  <c r="R56" i="22"/>
  <c r="N56" i="22"/>
  <c r="M56" i="22"/>
  <c r="L56" i="22"/>
  <c r="K56" i="22"/>
  <c r="X55" i="22"/>
  <c r="W55" i="22"/>
  <c r="V55" i="22"/>
  <c r="U55" i="22"/>
  <c r="T55" i="22"/>
  <c r="S55" i="22"/>
  <c r="R55" i="22"/>
  <c r="N55" i="22"/>
  <c r="M55" i="22"/>
  <c r="L55" i="22"/>
  <c r="X54" i="22"/>
  <c r="W54" i="22"/>
  <c r="V54" i="22"/>
  <c r="U54" i="22"/>
  <c r="T54" i="22"/>
  <c r="S54" i="22"/>
  <c r="R54" i="22"/>
  <c r="N54" i="22"/>
  <c r="M54" i="22"/>
  <c r="L54" i="22"/>
  <c r="X53" i="22"/>
  <c r="W53" i="22"/>
  <c r="V53" i="22"/>
  <c r="U53" i="22"/>
  <c r="T53" i="22"/>
  <c r="S53" i="22"/>
  <c r="R53" i="22"/>
  <c r="N53" i="22"/>
  <c r="M53" i="22"/>
  <c r="L53" i="22"/>
  <c r="X52" i="22"/>
  <c r="W52" i="22"/>
  <c r="V52" i="22"/>
  <c r="U52" i="22"/>
  <c r="T52" i="22"/>
  <c r="S52" i="22"/>
  <c r="R52" i="22"/>
  <c r="N52" i="22"/>
  <c r="M52" i="22"/>
  <c r="L52" i="22"/>
  <c r="X51" i="22"/>
  <c r="W51" i="22"/>
  <c r="V51" i="22"/>
  <c r="U51" i="22"/>
  <c r="T51" i="22"/>
  <c r="S51" i="22"/>
  <c r="R51" i="22"/>
  <c r="N51" i="22"/>
  <c r="M51" i="22"/>
  <c r="L51" i="22"/>
  <c r="X50" i="22"/>
  <c r="W50" i="22"/>
  <c r="V50" i="22"/>
  <c r="U50" i="22"/>
  <c r="T50" i="22"/>
  <c r="S50" i="22"/>
  <c r="R50" i="22"/>
  <c r="N50" i="22"/>
  <c r="M50" i="22"/>
  <c r="L50" i="22"/>
  <c r="X49" i="22"/>
  <c r="W49" i="22"/>
  <c r="V49" i="22"/>
  <c r="U49" i="22"/>
  <c r="T49" i="22"/>
  <c r="S49" i="22"/>
  <c r="R49" i="22"/>
  <c r="N49" i="22"/>
  <c r="M49" i="22"/>
  <c r="L49" i="22"/>
  <c r="X48" i="22"/>
  <c r="W48" i="22"/>
  <c r="V48" i="22"/>
  <c r="U48" i="22"/>
  <c r="T48" i="22"/>
  <c r="S48" i="22"/>
  <c r="R48" i="22"/>
  <c r="N48" i="22"/>
  <c r="M48" i="22"/>
  <c r="L48" i="22"/>
  <c r="X47" i="22"/>
  <c r="W47" i="22"/>
  <c r="V47" i="22"/>
  <c r="U47" i="22"/>
  <c r="T47" i="22"/>
  <c r="S47" i="22"/>
  <c r="R47" i="22"/>
  <c r="N47" i="22"/>
  <c r="M47" i="22"/>
  <c r="L47" i="22"/>
  <c r="X46" i="22"/>
  <c r="W46" i="22"/>
  <c r="V46" i="22"/>
  <c r="U46" i="22"/>
  <c r="T46" i="22"/>
  <c r="S46" i="22"/>
  <c r="R46" i="22"/>
  <c r="N46" i="22"/>
  <c r="M46" i="22"/>
  <c r="L46" i="22"/>
  <c r="X45" i="22"/>
  <c r="W45" i="22"/>
  <c r="V45" i="22"/>
  <c r="U45" i="22"/>
  <c r="T45" i="22"/>
  <c r="S45" i="22"/>
  <c r="R45" i="22"/>
  <c r="N45" i="22"/>
  <c r="M45" i="22"/>
  <c r="L45" i="22"/>
  <c r="X44" i="22"/>
  <c r="W44" i="22"/>
  <c r="V44" i="22"/>
  <c r="U44" i="22"/>
  <c r="T44" i="22"/>
  <c r="S44" i="22"/>
  <c r="R44" i="22"/>
  <c r="N44" i="22"/>
  <c r="M44" i="22"/>
  <c r="L44" i="22"/>
  <c r="X43" i="22"/>
  <c r="W43" i="22"/>
  <c r="V43" i="22"/>
  <c r="U43" i="22"/>
  <c r="T43" i="22"/>
  <c r="S43" i="22"/>
  <c r="R43" i="22"/>
  <c r="N43" i="22"/>
  <c r="M43" i="22"/>
  <c r="L43" i="22"/>
  <c r="X42" i="22"/>
  <c r="W42" i="22"/>
  <c r="V42" i="22"/>
  <c r="R42" i="22"/>
  <c r="N42" i="22"/>
  <c r="M42" i="22"/>
  <c r="L42" i="22"/>
  <c r="X41" i="22"/>
  <c r="W41" i="22"/>
  <c r="V41" i="22"/>
  <c r="U41" i="22"/>
  <c r="T41" i="22"/>
  <c r="S41" i="22"/>
  <c r="R41" i="22"/>
  <c r="N41" i="22"/>
  <c r="M41" i="22"/>
  <c r="L41" i="22"/>
  <c r="X40" i="22"/>
  <c r="W40" i="22"/>
  <c r="V40" i="22"/>
  <c r="U40" i="22"/>
  <c r="T40" i="22"/>
  <c r="S40" i="22"/>
  <c r="R40" i="22"/>
  <c r="N40" i="22"/>
  <c r="M40" i="22"/>
  <c r="L40" i="22"/>
  <c r="X39" i="22"/>
  <c r="W39" i="22"/>
  <c r="V39" i="22"/>
  <c r="U39" i="22"/>
  <c r="T39" i="22"/>
  <c r="S39" i="22"/>
  <c r="R39" i="22"/>
  <c r="N39" i="22"/>
  <c r="M39" i="22"/>
  <c r="L39" i="22"/>
  <c r="X38" i="22"/>
  <c r="W38" i="22"/>
  <c r="V38" i="22"/>
  <c r="U38" i="22"/>
  <c r="T38" i="22"/>
  <c r="S38" i="22"/>
  <c r="R38" i="22"/>
  <c r="N38" i="22"/>
  <c r="M38" i="22"/>
  <c r="L38" i="22"/>
  <c r="X37" i="22"/>
  <c r="W37" i="22"/>
  <c r="V37" i="22"/>
  <c r="U37" i="22"/>
  <c r="T37" i="22"/>
  <c r="S37" i="22"/>
  <c r="R37" i="22"/>
  <c r="N37" i="22"/>
  <c r="M37" i="22"/>
  <c r="L37" i="22"/>
  <c r="X36" i="22"/>
  <c r="W36" i="22"/>
  <c r="V36" i="22"/>
  <c r="U36" i="22"/>
  <c r="T36" i="22"/>
  <c r="S36" i="22"/>
  <c r="R36" i="22"/>
  <c r="N36" i="22"/>
  <c r="M36" i="22"/>
  <c r="L36" i="22"/>
  <c r="X35" i="22"/>
  <c r="W35" i="22"/>
  <c r="V35" i="22"/>
  <c r="U35" i="22"/>
  <c r="T35" i="22"/>
  <c r="S35" i="22"/>
  <c r="R35" i="22"/>
  <c r="N35" i="22"/>
  <c r="M35" i="22"/>
  <c r="L35" i="22"/>
  <c r="X34" i="22"/>
  <c r="W34" i="22"/>
  <c r="V34" i="22"/>
  <c r="U34" i="22"/>
  <c r="T34" i="22"/>
  <c r="S34" i="22"/>
  <c r="R34" i="22"/>
  <c r="N34" i="22"/>
  <c r="M34" i="22"/>
  <c r="L34" i="22"/>
  <c r="U33" i="22"/>
  <c r="T33" i="22"/>
  <c r="S33" i="22"/>
  <c r="R33" i="22"/>
  <c r="N33" i="22"/>
  <c r="M33" i="22"/>
  <c r="L33" i="22"/>
  <c r="X32" i="22"/>
  <c r="W32" i="22"/>
  <c r="V32" i="22"/>
  <c r="U32" i="22"/>
  <c r="T32" i="22"/>
  <c r="S32" i="22"/>
  <c r="R32" i="22"/>
  <c r="Q32" i="22"/>
  <c r="P32" i="22"/>
  <c r="O32" i="22"/>
  <c r="N32" i="22"/>
  <c r="Q59" i="22" s="1"/>
  <c r="M32" i="22"/>
  <c r="L32" i="22"/>
  <c r="O37" i="22" s="1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R16" i="22"/>
  <c r="N16" i="22"/>
  <c r="M16" i="22"/>
  <c r="L16" i="22"/>
  <c r="K16" i="22"/>
  <c r="W7" i="22"/>
  <c r="Y2" i="22"/>
  <c r="X153" i="20"/>
  <c r="W153" i="20"/>
  <c r="V153" i="20"/>
  <c r="U153" i="20"/>
  <c r="T153" i="20"/>
  <c r="S153" i="20"/>
  <c r="R153" i="20"/>
  <c r="N153" i="20"/>
  <c r="M153" i="20"/>
  <c r="L153" i="20"/>
  <c r="X152" i="20"/>
  <c r="W152" i="20"/>
  <c r="V152" i="20"/>
  <c r="U152" i="20"/>
  <c r="T152" i="20"/>
  <c r="S152" i="20"/>
  <c r="R152" i="20"/>
  <c r="N152" i="20"/>
  <c r="M152" i="20"/>
  <c r="L152" i="20"/>
  <c r="X151" i="20"/>
  <c r="W151" i="20"/>
  <c r="V151" i="20"/>
  <c r="U151" i="20"/>
  <c r="T151" i="20"/>
  <c r="S151" i="20"/>
  <c r="R151" i="20"/>
  <c r="N151" i="20"/>
  <c r="M151" i="20"/>
  <c r="L151" i="20"/>
  <c r="X150" i="20"/>
  <c r="W150" i="20"/>
  <c r="V150" i="20"/>
  <c r="U150" i="20"/>
  <c r="T150" i="20"/>
  <c r="S150" i="20"/>
  <c r="R150" i="20"/>
  <c r="N150" i="20"/>
  <c r="M150" i="20"/>
  <c r="L150" i="20"/>
  <c r="X149" i="20"/>
  <c r="W149" i="20"/>
  <c r="V149" i="20"/>
  <c r="U149" i="20"/>
  <c r="T149" i="20"/>
  <c r="S149" i="20"/>
  <c r="R149" i="20"/>
  <c r="N149" i="20"/>
  <c r="M149" i="20"/>
  <c r="L149" i="20"/>
  <c r="X148" i="20"/>
  <c r="W148" i="20"/>
  <c r="V148" i="20"/>
  <c r="U148" i="20"/>
  <c r="T148" i="20"/>
  <c r="S148" i="20"/>
  <c r="R148" i="20"/>
  <c r="N148" i="20"/>
  <c r="M148" i="20"/>
  <c r="L148" i="20"/>
  <c r="X147" i="20"/>
  <c r="W147" i="20"/>
  <c r="V147" i="20"/>
  <c r="U147" i="20"/>
  <c r="T147" i="20"/>
  <c r="S147" i="20"/>
  <c r="R147" i="20"/>
  <c r="N147" i="20"/>
  <c r="M147" i="20"/>
  <c r="L147" i="20"/>
  <c r="X146" i="20"/>
  <c r="W146" i="20"/>
  <c r="V146" i="20"/>
  <c r="U146" i="20"/>
  <c r="T146" i="20"/>
  <c r="S146" i="20"/>
  <c r="R146" i="20"/>
  <c r="N146" i="20"/>
  <c r="M146" i="20"/>
  <c r="L146" i="20"/>
  <c r="X145" i="20"/>
  <c r="W145" i="20"/>
  <c r="V145" i="20"/>
  <c r="U145" i="20"/>
  <c r="T145" i="20"/>
  <c r="S145" i="20"/>
  <c r="R145" i="20"/>
  <c r="N145" i="20"/>
  <c r="M145" i="20"/>
  <c r="L145" i="20"/>
  <c r="X144" i="20"/>
  <c r="W144" i="20"/>
  <c r="V144" i="20"/>
  <c r="U144" i="20"/>
  <c r="T144" i="20"/>
  <c r="S144" i="20"/>
  <c r="R144" i="20"/>
  <c r="N144" i="20"/>
  <c r="M144" i="20"/>
  <c r="L144" i="20"/>
  <c r="X143" i="20"/>
  <c r="W143" i="20"/>
  <c r="V143" i="20"/>
  <c r="U143" i="20"/>
  <c r="T143" i="20"/>
  <c r="S143" i="20"/>
  <c r="R143" i="20"/>
  <c r="N143" i="20"/>
  <c r="M143" i="20"/>
  <c r="L143" i="20"/>
  <c r="X142" i="20"/>
  <c r="W142" i="20"/>
  <c r="V142" i="20"/>
  <c r="U142" i="20"/>
  <c r="T142" i="20"/>
  <c r="S142" i="20"/>
  <c r="R142" i="20"/>
  <c r="N142" i="20"/>
  <c r="M142" i="20"/>
  <c r="L142" i="20"/>
  <c r="X141" i="20"/>
  <c r="W141" i="20"/>
  <c r="V141" i="20"/>
  <c r="U141" i="20"/>
  <c r="T141" i="20"/>
  <c r="S141" i="20"/>
  <c r="R141" i="20"/>
  <c r="N141" i="20"/>
  <c r="M141" i="20"/>
  <c r="L141" i="20"/>
  <c r="X140" i="20"/>
  <c r="W140" i="20"/>
  <c r="V140" i="20"/>
  <c r="U140" i="20"/>
  <c r="T140" i="20"/>
  <c r="S140" i="20"/>
  <c r="R140" i="20"/>
  <c r="N140" i="20"/>
  <c r="M140" i="20"/>
  <c r="L140" i="20"/>
  <c r="X139" i="20"/>
  <c r="W139" i="20"/>
  <c r="V139" i="20"/>
  <c r="U139" i="20"/>
  <c r="T139" i="20"/>
  <c r="S139" i="20"/>
  <c r="R139" i="20"/>
  <c r="N139" i="20"/>
  <c r="M139" i="20"/>
  <c r="L139" i="20"/>
  <c r="X138" i="20"/>
  <c r="W138" i="20"/>
  <c r="V138" i="20"/>
  <c r="U138" i="20"/>
  <c r="T138" i="20"/>
  <c r="S138" i="20"/>
  <c r="R138" i="20"/>
  <c r="N138" i="20"/>
  <c r="M138" i="20"/>
  <c r="L138" i="20"/>
  <c r="X137" i="20"/>
  <c r="W137" i="20"/>
  <c r="V137" i="20"/>
  <c r="U137" i="20"/>
  <c r="T137" i="20"/>
  <c r="S137" i="20"/>
  <c r="R137" i="20"/>
  <c r="N137" i="20"/>
  <c r="M137" i="20"/>
  <c r="L137" i="20"/>
  <c r="X136" i="20"/>
  <c r="W136" i="20"/>
  <c r="V136" i="20"/>
  <c r="U136" i="20"/>
  <c r="T136" i="20"/>
  <c r="S136" i="20"/>
  <c r="R136" i="20"/>
  <c r="N136" i="20"/>
  <c r="M136" i="20"/>
  <c r="L136" i="20"/>
  <c r="X135" i="20"/>
  <c r="W135" i="20"/>
  <c r="V135" i="20"/>
  <c r="U135" i="20"/>
  <c r="T135" i="20"/>
  <c r="S135" i="20"/>
  <c r="R135" i="20"/>
  <c r="N135" i="20"/>
  <c r="M135" i="20"/>
  <c r="L135" i="20"/>
  <c r="X134" i="20"/>
  <c r="W134" i="20"/>
  <c r="V134" i="20"/>
  <c r="U134" i="20"/>
  <c r="T134" i="20"/>
  <c r="S134" i="20"/>
  <c r="R134" i="20"/>
  <c r="N134" i="20"/>
  <c r="M134" i="20"/>
  <c r="L134" i="20"/>
  <c r="X133" i="20"/>
  <c r="W133" i="20"/>
  <c r="V133" i="20"/>
  <c r="U133" i="20"/>
  <c r="T133" i="20"/>
  <c r="S133" i="20"/>
  <c r="R133" i="20"/>
  <c r="N133" i="20"/>
  <c r="M133" i="20"/>
  <c r="L133" i="20"/>
  <c r="X132" i="20"/>
  <c r="W132" i="20"/>
  <c r="V132" i="20"/>
  <c r="U132" i="20"/>
  <c r="T132" i="20"/>
  <c r="S132" i="20"/>
  <c r="R132" i="20"/>
  <c r="N132" i="20"/>
  <c r="M132" i="20"/>
  <c r="L132" i="20"/>
  <c r="X131" i="20"/>
  <c r="W131" i="20"/>
  <c r="V131" i="20"/>
  <c r="U131" i="20"/>
  <c r="T131" i="20"/>
  <c r="S131" i="20"/>
  <c r="R131" i="20"/>
  <c r="N131" i="20"/>
  <c r="M131" i="20"/>
  <c r="L131" i="20"/>
  <c r="X130" i="20"/>
  <c r="W130" i="20"/>
  <c r="V130" i="20"/>
  <c r="U130" i="20"/>
  <c r="T130" i="20"/>
  <c r="S130" i="20"/>
  <c r="R130" i="20"/>
  <c r="N130" i="20"/>
  <c r="M130" i="20"/>
  <c r="L130" i="20"/>
  <c r="X129" i="20"/>
  <c r="W129" i="20"/>
  <c r="V129" i="20"/>
  <c r="U129" i="20"/>
  <c r="T129" i="20"/>
  <c r="S129" i="20"/>
  <c r="R129" i="20"/>
  <c r="N129" i="20"/>
  <c r="M129" i="20"/>
  <c r="L129" i="20"/>
  <c r="X128" i="20"/>
  <c r="W128" i="20"/>
  <c r="V128" i="20"/>
  <c r="U128" i="20"/>
  <c r="T128" i="20"/>
  <c r="S128" i="20"/>
  <c r="R128" i="20"/>
  <c r="N128" i="20"/>
  <c r="M128" i="20"/>
  <c r="L128" i="20"/>
  <c r="X127" i="20"/>
  <c r="W127" i="20"/>
  <c r="V127" i="20"/>
  <c r="U127" i="20"/>
  <c r="T127" i="20"/>
  <c r="S127" i="20"/>
  <c r="R127" i="20"/>
  <c r="N127" i="20"/>
  <c r="M127" i="20"/>
  <c r="L127" i="20"/>
  <c r="X126" i="20"/>
  <c r="W126" i="20"/>
  <c r="V126" i="20"/>
  <c r="U126" i="20"/>
  <c r="T126" i="20"/>
  <c r="S126" i="20"/>
  <c r="R126" i="20"/>
  <c r="N126" i="20"/>
  <c r="M126" i="20"/>
  <c r="L126" i="20"/>
  <c r="X125" i="20"/>
  <c r="W125" i="20"/>
  <c r="V125" i="20"/>
  <c r="U125" i="20"/>
  <c r="T125" i="20"/>
  <c r="S125" i="20"/>
  <c r="R125" i="20"/>
  <c r="N125" i="20"/>
  <c r="M125" i="20"/>
  <c r="L125" i="20"/>
  <c r="X124" i="20"/>
  <c r="W124" i="20"/>
  <c r="V124" i="20"/>
  <c r="U124" i="20"/>
  <c r="T124" i="20"/>
  <c r="S124" i="20"/>
  <c r="R124" i="20"/>
  <c r="N124" i="20"/>
  <c r="M124" i="20"/>
  <c r="L124" i="20"/>
  <c r="X123" i="20"/>
  <c r="W123" i="20"/>
  <c r="V123" i="20"/>
  <c r="U123" i="20"/>
  <c r="T123" i="20"/>
  <c r="S123" i="20"/>
  <c r="R123" i="20"/>
  <c r="N123" i="20"/>
  <c r="M123" i="20"/>
  <c r="L123" i="20"/>
  <c r="X122" i="20"/>
  <c r="W122" i="20"/>
  <c r="V122" i="20"/>
  <c r="U122" i="20"/>
  <c r="T122" i="20"/>
  <c r="S122" i="20"/>
  <c r="R122" i="20"/>
  <c r="N122" i="20"/>
  <c r="M122" i="20"/>
  <c r="L122" i="20"/>
  <c r="X121" i="20"/>
  <c r="W121" i="20"/>
  <c r="V121" i="20"/>
  <c r="U121" i="20"/>
  <c r="T121" i="20"/>
  <c r="S121" i="20"/>
  <c r="R121" i="20"/>
  <c r="N121" i="20"/>
  <c r="M121" i="20"/>
  <c r="L121" i="20"/>
  <c r="X120" i="20"/>
  <c r="W120" i="20"/>
  <c r="V120" i="20"/>
  <c r="U120" i="20"/>
  <c r="T120" i="20"/>
  <c r="S120" i="20"/>
  <c r="R120" i="20"/>
  <c r="N120" i="20"/>
  <c r="M120" i="20"/>
  <c r="L120" i="20"/>
  <c r="X119" i="20"/>
  <c r="W119" i="20"/>
  <c r="V119" i="20"/>
  <c r="U119" i="20"/>
  <c r="T119" i="20"/>
  <c r="S119" i="20"/>
  <c r="R119" i="20"/>
  <c r="N119" i="20"/>
  <c r="M119" i="20"/>
  <c r="L119" i="20"/>
  <c r="X118" i="20"/>
  <c r="W118" i="20"/>
  <c r="V118" i="20"/>
  <c r="U118" i="20"/>
  <c r="T118" i="20"/>
  <c r="S118" i="20"/>
  <c r="R118" i="20"/>
  <c r="N118" i="20"/>
  <c r="M118" i="20"/>
  <c r="L118" i="20"/>
  <c r="X117" i="20"/>
  <c r="W117" i="20"/>
  <c r="V117" i="20"/>
  <c r="U117" i="20"/>
  <c r="T117" i="20"/>
  <c r="S117" i="20"/>
  <c r="R117" i="20"/>
  <c r="N117" i="20"/>
  <c r="M117" i="20"/>
  <c r="L117" i="20"/>
  <c r="X116" i="20"/>
  <c r="W116" i="20"/>
  <c r="V116" i="20"/>
  <c r="U116" i="20"/>
  <c r="T116" i="20"/>
  <c r="S116" i="20"/>
  <c r="R116" i="20"/>
  <c r="N116" i="20"/>
  <c r="M116" i="20"/>
  <c r="L116" i="20"/>
  <c r="X115" i="20"/>
  <c r="W115" i="20"/>
  <c r="V115" i="20"/>
  <c r="U115" i="20"/>
  <c r="T115" i="20"/>
  <c r="S115" i="20"/>
  <c r="R115" i="20"/>
  <c r="N115" i="20"/>
  <c r="M115" i="20"/>
  <c r="L115" i="20"/>
  <c r="X114" i="20"/>
  <c r="W114" i="20"/>
  <c r="V114" i="20"/>
  <c r="U114" i="20"/>
  <c r="T114" i="20"/>
  <c r="S114" i="20"/>
  <c r="R114" i="20"/>
  <c r="N114" i="20"/>
  <c r="M114" i="20"/>
  <c r="L114" i="20"/>
  <c r="X113" i="20"/>
  <c r="W113" i="20"/>
  <c r="V113" i="20"/>
  <c r="U113" i="20"/>
  <c r="T113" i="20"/>
  <c r="S113" i="20"/>
  <c r="R113" i="20"/>
  <c r="N113" i="20"/>
  <c r="M113" i="20"/>
  <c r="L113" i="20"/>
  <c r="X112" i="20"/>
  <c r="W112" i="20"/>
  <c r="V112" i="20"/>
  <c r="U112" i="20"/>
  <c r="T112" i="20"/>
  <c r="S112" i="20"/>
  <c r="R112" i="20"/>
  <c r="N112" i="20"/>
  <c r="M112" i="20"/>
  <c r="L112" i="20"/>
  <c r="X111" i="20"/>
  <c r="W111" i="20"/>
  <c r="V111" i="20"/>
  <c r="U111" i="20"/>
  <c r="T111" i="20"/>
  <c r="S111" i="20"/>
  <c r="R111" i="20"/>
  <c r="N111" i="20"/>
  <c r="M111" i="20"/>
  <c r="L111" i="20"/>
  <c r="X110" i="20"/>
  <c r="W110" i="20"/>
  <c r="V110" i="20"/>
  <c r="U110" i="20"/>
  <c r="T110" i="20"/>
  <c r="S110" i="20"/>
  <c r="R110" i="20"/>
  <c r="N110" i="20"/>
  <c r="M110" i="20"/>
  <c r="L110" i="20"/>
  <c r="X109" i="20"/>
  <c r="W109" i="20"/>
  <c r="V109" i="20"/>
  <c r="U109" i="20"/>
  <c r="T109" i="20"/>
  <c r="S109" i="20"/>
  <c r="R109" i="20"/>
  <c r="N109" i="20"/>
  <c r="M109" i="20"/>
  <c r="L109" i="20"/>
  <c r="X108" i="20"/>
  <c r="W108" i="20"/>
  <c r="V108" i="20"/>
  <c r="U108" i="20"/>
  <c r="T108" i="20"/>
  <c r="S108" i="20"/>
  <c r="R108" i="20"/>
  <c r="N108" i="20"/>
  <c r="M108" i="20"/>
  <c r="L108" i="20"/>
  <c r="X107" i="20"/>
  <c r="W107" i="20"/>
  <c r="V107" i="20"/>
  <c r="U107" i="20"/>
  <c r="T107" i="20"/>
  <c r="S107" i="20"/>
  <c r="R107" i="20"/>
  <c r="N107" i="20"/>
  <c r="M107" i="20"/>
  <c r="L107" i="20"/>
  <c r="X106" i="20"/>
  <c r="W106" i="20"/>
  <c r="V106" i="20"/>
  <c r="U106" i="20"/>
  <c r="T106" i="20"/>
  <c r="S106" i="20"/>
  <c r="R106" i="20"/>
  <c r="N106" i="20"/>
  <c r="M106" i="20"/>
  <c r="L106" i="20"/>
  <c r="X105" i="20"/>
  <c r="W105" i="20"/>
  <c r="V105" i="20"/>
  <c r="U105" i="20"/>
  <c r="T105" i="20"/>
  <c r="S105" i="20"/>
  <c r="R105" i="20"/>
  <c r="N105" i="20"/>
  <c r="M105" i="20"/>
  <c r="L105" i="20"/>
  <c r="X104" i="20"/>
  <c r="W104" i="20"/>
  <c r="V104" i="20"/>
  <c r="U104" i="20"/>
  <c r="T104" i="20"/>
  <c r="S104" i="20"/>
  <c r="R104" i="20"/>
  <c r="N104" i="20"/>
  <c r="M104" i="20"/>
  <c r="L104" i="20"/>
  <c r="X103" i="20"/>
  <c r="W103" i="20"/>
  <c r="V103" i="20"/>
  <c r="U103" i="20"/>
  <c r="T103" i="20"/>
  <c r="S103" i="20"/>
  <c r="R103" i="20"/>
  <c r="N103" i="20"/>
  <c r="M103" i="20"/>
  <c r="L103" i="20"/>
  <c r="X102" i="20"/>
  <c r="W102" i="20"/>
  <c r="V102" i="20"/>
  <c r="U102" i="20"/>
  <c r="T102" i="20"/>
  <c r="S102" i="20"/>
  <c r="R102" i="20"/>
  <c r="N102" i="20"/>
  <c r="M102" i="20"/>
  <c r="L102" i="20"/>
  <c r="X101" i="20"/>
  <c r="W101" i="20"/>
  <c r="V101" i="20"/>
  <c r="U101" i="20"/>
  <c r="T101" i="20"/>
  <c r="S101" i="20"/>
  <c r="R101" i="20"/>
  <c r="N101" i="20"/>
  <c r="M101" i="20"/>
  <c r="L101" i="20"/>
  <c r="X100" i="20"/>
  <c r="W100" i="20"/>
  <c r="V100" i="20"/>
  <c r="U100" i="20"/>
  <c r="T100" i="20"/>
  <c r="S100" i="20"/>
  <c r="R100" i="20"/>
  <c r="N100" i="20"/>
  <c r="M100" i="20"/>
  <c r="L100" i="20"/>
  <c r="X99" i="20"/>
  <c r="W99" i="20"/>
  <c r="V99" i="20"/>
  <c r="U99" i="20"/>
  <c r="T99" i="20"/>
  <c r="S99" i="20"/>
  <c r="R99" i="20"/>
  <c r="N99" i="20"/>
  <c r="M99" i="20"/>
  <c r="L99" i="20"/>
  <c r="X98" i="20"/>
  <c r="W98" i="20"/>
  <c r="V98" i="20"/>
  <c r="U98" i="20"/>
  <c r="T98" i="20"/>
  <c r="S98" i="20"/>
  <c r="R98" i="20"/>
  <c r="N98" i="20"/>
  <c r="M98" i="20"/>
  <c r="L98" i="20"/>
  <c r="X97" i="20"/>
  <c r="W97" i="20"/>
  <c r="V97" i="20"/>
  <c r="U97" i="20"/>
  <c r="T97" i="20"/>
  <c r="S97" i="20"/>
  <c r="R97" i="20"/>
  <c r="N97" i="20"/>
  <c r="M97" i="20"/>
  <c r="L97" i="20"/>
  <c r="X96" i="20"/>
  <c r="W96" i="20"/>
  <c r="V96" i="20"/>
  <c r="U96" i="20"/>
  <c r="T96" i="20"/>
  <c r="S96" i="20"/>
  <c r="R96" i="20"/>
  <c r="N96" i="20"/>
  <c r="M96" i="20"/>
  <c r="L96" i="20"/>
  <c r="X95" i="20"/>
  <c r="W95" i="20"/>
  <c r="V95" i="20"/>
  <c r="U95" i="20"/>
  <c r="T95" i="20"/>
  <c r="S95" i="20"/>
  <c r="R95" i="20"/>
  <c r="N95" i="20"/>
  <c r="M95" i="20"/>
  <c r="L95" i="20"/>
  <c r="X94" i="20"/>
  <c r="W94" i="20"/>
  <c r="V94" i="20"/>
  <c r="U94" i="20"/>
  <c r="T94" i="20"/>
  <c r="S94" i="20"/>
  <c r="R94" i="20"/>
  <c r="N94" i="20"/>
  <c r="M94" i="20"/>
  <c r="L94" i="20"/>
  <c r="X93" i="20"/>
  <c r="W93" i="20"/>
  <c r="V93" i="20"/>
  <c r="U93" i="20"/>
  <c r="T93" i="20"/>
  <c r="S93" i="20"/>
  <c r="R93" i="20"/>
  <c r="N93" i="20"/>
  <c r="M93" i="20"/>
  <c r="L93" i="20"/>
  <c r="X92" i="20"/>
  <c r="W92" i="20"/>
  <c r="V92" i="20"/>
  <c r="U92" i="20"/>
  <c r="T92" i="20"/>
  <c r="S92" i="20"/>
  <c r="R92" i="20"/>
  <c r="N92" i="20"/>
  <c r="M92" i="20"/>
  <c r="L92" i="20"/>
  <c r="X91" i="20"/>
  <c r="W91" i="20"/>
  <c r="V91" i="20"/>
  <c r="U91" i="20"/>
  <c r="T91" i="20"/>
  <c r="S91" i="20"/>
  <c r="R91" i="20"/>
  <c r="N91" i="20"/>
  <c r="M91" i="20"/>
  <c r="L91" i="20"/>
  <c r="X90" i="20"/>
  <c r="W90" i="20"/>
  <c r="V90" i="20"/>
  <c r="U90" i="20"/>
  <c r="T90" i="20"/>
  <c r="S90" i="20"/>
  <c r="R90" i="20"/>
  <c r="N90" i="20"/>
  <c r="M90" i="20"/>
  <c r="L90" i="20"/>
  <c r="X89" i="20"/>
  <c r="W89" i="20"/>
  <c r="V89" i="20"/>
  <c r="U89" i="20"/>
  <c r="T89" i="20"/>
  <c r="S89" i="20"/>
  <c r="R89" i="20"/>
  <c r="N89" i="20"/>
  <c r="M89" i="20"/>
  <c r="L89" i="20"/>
  <c r="X88" i="20"/>
  <c r="W88" i="20"/>
  <c r="V88" i="20"/>
  <c r="U88" i="20"/>
  <c r="T88" i="20"/>
  <c r="S88" i="20"/>
  <c r="R88" i="20"/>
  <c r="N88" i="20"/>
  <c r="M88" i="20"/>
  <c r="L88" i="20"/>
  <c r="X87" i="20"/>
  <c r="W87" i="20"/>
  <c r="V87" i="20"/>
  <c r="U87" i="20"/>
  <c r="T87" i="20"/>
  <c r="S87" i="20"/>
  <c r="R87" i="20"/>
  <c r="N87" i="20"/>
  <c r="M87" i="20"/>
  <c r="L87" i="20"/>
  <c r="X86" i="20"/>
  <c r="W86" i="20"/>
  <c r="V86" i="20"/>
  <c r="U86" i="20"/>
  <c r="T86" i="20"/>
  <c r="S86" i="20"/>
  <c r="R86" i="20"/>
  <c r="N86" i="20"/>
  <c r="M86" i="20"/>
  <c r="L86" i="20"/>
  <c r="X85" i="20"/>
  <c r="W85" i="20"/>
  <c r="V85" i="20"/>
  <c r="U85" i="20"/>
  <c r="T85" i="20"/>
  <c r="S85" i="20"/>
  <c r="R85" i="20"/>
  <c r="N85" i="20"/>
  <c r="M85" i="20"/>
  <c r="L85" i="20"/>
  <c r="X84" i="20"/>
  <c r="W84" i="20"/>
  <c r="V84" i="20"/>
  <c r="U84" i="20"/>
  <c r="T84" i="20"/>
  <c r="S84" i="20"/>
  <c r="R84" i="20"/>
  <c r="N84" i="20"/>
  <c r="M84" i="20"/>
  <c r="L84" i="20"/>
  <c r="X83" i="20"/>
  <c r="W83" i="20"/>
  <c r="V83" i="20"/>
  <c r="U83" i="20"/>
  <c r="T83" i="20"/>
  <c r="S83" i="20"/>
  <c r="R83" i="20"/>
  <c r="N83" i="20"/>
  <c r="M83" i="20"/>
  <c r="L83" i="20"/>
  <c r="X82" i="20"/>
  <c r="W82" i="20"/>
  <c r="V82" i="20"/>
  <c r="U82" i="20"/>
  <c r="T82" i="20"/>
  <c r="S82" i="20"/>
  <c r="R82" i="20"/>
  <c r="N82" i="20"/>
  <c r="M82" i="20"/>
  <c r="L82" i="20"/>
  <c r="X81" i="20"/>
  <c r="W81" i="20"/>
  <c r="V81" i="20"/>
  <c r="U81" i="20"/>
  <c r="T81" i="20"/>
  <c r="S81" i="20"/>
  <c r="R81" i="20"/>
  <c r="N81" i="20"/>
  <c r="M81" i="20"/>
  <c r="L81" i="20"/>
  <c r="X80" i="20"/>
  <c r="W80" i="20"/>
  <c r="V80" i="20"/>
  <c r="U80" i="20"/>
  <c r="T80" i="20"/>
  <c r="S80" i="20"/>
  <c r="R80" i="20"/>
  <c r="N80" i="20"/>
  <c r="M80" i="20"/>
  <c r="L80" i="20"/>
  <c r="X79" i="20"/>
  <c r="W79" i="20"/>
  <c r="V79" i="20"/>
  <c r="U79" i="20"/>
  <c r="T79" i="20"/>
  <c r="S79" i="20"/>
  <c r="R79" i="20"/>
  <c r="N79" i="20"/>
  <c r="M79" i="20"/>
  <c r="L79" i="20"/>
  <c r="X78" i="20"/>
  <c r="W78" i="20"/>
  <c r="V78" i="20"/>
  <c r="U78" i="20"/>
  <c r="T78" i="20"/>
  <c r="S78" i="20"/>
  <c r="R78" i="20"/>
  <c r="N78" i="20"/>
  <c r="M78" i="20"/>
  <c r="L78" i="20"/>
  <c r="X77" i="20"/>
  <c r="W77" i="20"/>
  <c r="V77" i="20"/>
  <c r="U77" i="20"/>
  <c r="T77" i="20"/>
  <c r="S77" i="20"/>
  <c r="R77" i="20"/>
  <c r="N77" i="20"/>
  <c r="M77" i="20"/>
  <c r="L77" i="20"/>
  <c r="X76" i="20"/>
  <c r="W76" i="20"/>
  <c r="V76" i="20"/>
  <c r="U76" i="20"/>
  <c r="T76" i="20"/>
  <c r="S76" i="20"/>
  <c r="R76" i="20"/>
  <c r="N76" i="20"/>
  <c r="M76" i="20"/>
  <c r="L76" i="20"/>
  <c r="X75" i="20"/>
  <c r="W75" i="20"/>
  <c r="V75" i="20"/>
  <c r="U75" i="20"/>
  <c r="T75" i="20"/>
  <c r="S75" i="20"/>
  <c r="R75" i="20"/>
  <c r="N75" i="20"/>
  <c r="M75" i="20"/>
  <c r="L75" i="20"/>
  <c r="X74" i="20"/>
  <c r="W74" i="20"/>
  <c r="V74" i="20"/>
  <c r="U74" i="20"/>
  <c r="T74" i="20"/>
  <c r="S74" i="20"/>
  <c r="R74" i="20"/>
  <c r="N74" i="20"/>
  <c r="M74" i="20"/>
  <c r="L74" i="20"/>
  <c r="X73" i="20"/>
  <c r="W73" i="20"/>
  <c r="V73" i="20"/>
  <c r="U73" i="20"/>
  <c r="T73" i="20"/>
  <c r="S73" i="20"/>
  <c r="R73" i="20"/>
  <c r="N73" i="20"/>
  <c r="M73" i="20"/>
  <c r="L73" i="20"/>
  <c r="X72" i="20"/>
  <c r="W72" i="20"/>
  <c r="V72" i="20"/>
  <c r="U72" i="20"/>
  <c r="T72" i="20"/>
  <c r="S72" i="20"/>
  <c r="R72" i="20"/>
  <c r="N72" i="20"/>
  <c r="M72" i="20"/>
  <c r="L72" i="20"/>
  <c r="X71" i="20"/>
  <c r="W71" i="20"/>
  <c r="V71" i="20"/>
  <c r="U71" i="20"/>
  <c r="T71" i="20"/>
  <c r="S71" i="20"/>
  <c r="R71" i="20"/>
  <c r="N71" i="20"/>
  <c r="M71" i="20"/>
  <c r="L71" i="20"/>
  <c r="X70" i="20"/>
  <c r="W70" i="20"/>
  <c r="V70" i="20"/>
  <c r="U70" i="20"/>
  <c r="T70" i="20"/>
  <c r="S70" i="20"/>
  <c r="R70" i="20"/>
  <c r="N70" i="20"/>
  <c r="M70" i="20"/>
  <c r="L70" i="20"/>
  <c r="X69" i="20"/>
  <c r="W69" i="20"/>
  <c r="V69" i="20"/>
  <c r="U69" i="20"/>
  <c r="T69" i="20"/>
  <c r="S69" i="20"/>
  <c r="R69" i="20"/>
  <c r="N69" i="20"/>
  <c r="M69" i="20"/>
  <c r="L69" i="20"/>
  <c r="X68" i="20"/>
  <c r="W68" i="20"/>
  <c r="V68" i="20"/>
  <c r="U68" i="20"/>
  <c r="T68" i="20"/>
  <c r="S68" i="20"/>
  <c r="R68" i="20"/>
  <c r="X67" i="20"/>
  <c r="W67" i="20"/>
  <c r="V67" i="20"/>
  <c r="R67" i="20"/>
  <c r="X66" i="20"/>
  <c r="W66" i="20"/>
  <c r="V66" i="20"/>
  <c r="R66" i="20"/>
  <c r="X65" i="20"/>
  <c r="W65" i="20"/>
  <c r="V65" i="20"/>
  <c r="R65" i="20"/>
  <c r="X64" i="20"/>
  <c r="W64" i="20"/>
  <c r="V64" i="20"/>
  <c r="R64" i="20"/>
  <c r="X63" i="20"/>
  <c r="W63" i="20"/>
  <c r="V63" i="20"/>
  <c r="R63" i="20"/>
  <c r="X62" i="20"/>
  <c r="W62" i="20"/>
  <c r="V62" i="20"/>
  <c r="R62" i="20"/>
  <c r="X61" i="20"/>
  <c r="W61" i="20"/>
  <c r="V61" i="20"/>
  <c r="U61" i="20"/>
  <c r="T61" i="20"/>
  <c r="S61" i="20"/>
  <c r="R61" i="20"/>
  <c r="X60" i="20"/>
  <c r="W60" i="20"/>
  <c r="V60" i="20"/>
  <c r="U60" i="20"/>
  <c r="T60" i="20"/>
  <c r="S60" i="20"/>
  <c r="R60" i="20"/>
  <c r="X59" i="20"/>
  <c r="W59" i="20"/>
  <c r="V59" i="20"/>
  <c r="U59" i="20"/>
  <c r="T59" i="20"/>
  <c r="S59" i="20"/>
  <c r="R59" i="20"/>
  <c r="N59" i="20"/>
  <c r="M59" i="20"/>
  <c r="L59" i="20"/>
  <c r="X58" i="20"/>
  <c r="W58" i="20"/>
  <c r="V58" i="20"/>
  <c r="U58" i="20"/>
  <c r="T58" i="20"/>
  <c r="S58" i="20"/>
  <c r="R58" i="20"/>
  <c r="N58" i="20"/>
  <c r="M58" i="20"/>
  <c r="L58" i="20"/>
  <c r="X57" i="20"/>
  <c r="W57" i="20"/>
  <c r="V57" i="20"/>
  <c r="U57" i="20"/>
  <c r="T57" i="20"/>
  <c r="S57" i="20"/>
  <c r="R57" i="20"/>
  <c r="N57" i="20"/>
  <c r="M57" i="20"/>
  <c r="L57" i="20"/>
  <c r="X56" i="20"/>
  <c r="W56" i="20"/>
  <c r="V56" i="20"/>
  <c r="U56" i="20"/>
  <c r="T56" i="20"/>
  <c r="S56" i="20"/>
  <c r="R56" i="20"/>
  <c r="N56" i="20"/>
  <c r="M56" i="20"/>
  <c r="L56" i="20"/>
  <c r="X55" i="20"/>
  <c r="W55" i="20"/>
  <c r="V55" i="20"/>
  <c r="U55" i="20"/>
  <c r="T55" i="20"/>
  <c r="S55" i="20"/>
  <c r="R55" i="20"/>
  <c r="N55" i="20"/>
  <c r="M55" i="20"/>
  <c r="L55" i="20"/>
  <c r="X54" i="20"/>
  <c r="W54" i="20"/>
  <c r="V54" i="20"/>
  <c r="U54" i="20"/>
  <c r="T54" i="20"/>
  <c r="S54" i="20"/>
  <c r="R54" i="20"/>
  <c r="N54" i="20"/>
  <c r="M54" i="20"/>
  <c r="L54" i="20"/>
  <c r="X53" i="20"/>
  <c r="W53" i="20"/>
  <c r="V53" i="20"/>
  <c r="U53" i="20"/>
  <c r="T53" i="20"/>
  <c r="S53" i="20"/>
  <c r="R53" i="20"/>
  <c r="N53" i="20"/>
  <c r="M53" i="20"/>
  <c r="L53" i="20"/>
  <c r="X52" i="20"/>
  <c r="W52" i="20"/>
  <c r="V52" i="20"/>
  <c r="U52" i="20"/>
  <c r="T52" i="20"/>
  <c r="S52" i="20"/>
  <c r="R52" i="20"/>
  <c r="N52" i="20"/>
  <c r="M52" i="20"/>
  <c r="L52" i="20"/>
  <c r="X51" i="20"/>
  <c r="W51" i="20"/>
  <c r="V51" i="20"/>
  <c r="R51" i="20"/>
  <c r="N51" i="20"/>
  <c r="M51" i="20"/>
  <c r="L51" i="20"/>
  <c r="X50" i="20"/>
  <c r="W50" i="20"/>
  <c r="V50" i="20"/>
  <c r="U50" i="20"/>
  <c r="T50" i="20"/>
  <c r="S50" i="20"/>
  <c r="R50" i="20"/>
  <c r="N50" i="20"/>
  <c r="M50" i="20"/>
  <c r="L50" i="20"/>
  <c r="X49" i="20"/>
  <c r="W49" i="20"/>
  <c r="V49" i="20"/>
  <c r="U49" i="20"/>
  <c r="T49" i="20"/>
  <c r="S49" i="20"/>
  <c r="R49" i="20"/>
  <c r="N49" i="20"/>
  <c r="M49" i="20"/>
  <c r="L49" i="20"/>
  <c r="X48" i="20"/>
  <c r="W48" i="20"/>
  <c r="V48" i="20"/>
  <c r="U48" i="20"/>
  <c r="T48" i="20"/>
  <c r="S48" i="20"/>
  <c r="R48" i="20"/>
  <c r="N48" i="20"/>
  <c r="M48" i="20"/>
  <c r="L48" i="20"/>
  <c r="X47" i="20"/>
  <c r="W47" i="20"/>
  <c r="V47" i="20"/>
  <c r="U47" i="20"/>
  <c r="T47" i="20"/>
  <c r="S47" i="20"/>
  <c r="R47" i="20"/>
  <c r="N47" i="20"/>
  <c r="M47" i="20"/>
  <c r="L47" i="20"/>
  <c r="X46" i="20"/>
  <c r="W46" i="20"/>
  <c r="V46" i="20"/>
  <c r="U46" i="20"/>
  <c r="T46" i="20"/>
  <c r="S46" i="20"/>
  <c r="R46" i="20"/>
  <c r="N46" i="20"/>
  <c r="M46" i="20"/>
  <c r="L46" i="20"/>
  <c r="X45" i="20"/>
  <c r="W45" i="20"/>
  <c r="V45" i="20"/>
  <c r="U45" i="20"/>
  <c r="T45" i="20"/>
  <c r="S45" i="20"/>
  <c r="R45" i="20"/>
  <c r="N45" i="20"/>
  <c r="M45" i="20"/>
  <c r="L45" i="20"/>
  <c r="X44" i="20"/>
  <c r="W44" i="20"/>
  <c r="V44" i="20"/>
  <c r="U44" i="20"/>
  <c r="T44" i="20"/>
  <c r="S44" i="20"/>
  <c r="R44" i="20"/>
  <c r="N44" i="20"/>
  <c r="M44" i="20"/>
  <c r="L44" i="20"/>
  <c r="X43" i="20"/>
  <c r="W43" i="20"/>
  <c r="V43" i="20"/>
  <c r="U43" i="20"/>
  <c r="T43" i="20"/>
  <c r="S43" i="20"/>
  <c r="R43" i="20"/>
  <c r="N43" i="20"/>
  <c r="M43" i="20"/>
  <c r="L43" i="20"/>
  <c r="X42" i="20"/>
  <c r="W42" i="20"/>
  <c r="V42" i="20"/>
  <c r="U42" i="20"/>
  <c r="T42" i="20"/>
  <c r="S42" i="20"/>
  <c r="R42" i="20"/>
  <c r="N42" i="20"/>
  <c r="M42" i="20"/>
  <c r="L42" i="20"/>
  <c r="X41" i="20"/>
  <c r="W41" i="20"/>
  <c r="V41" i="20"/>
  <c r="U41" i="20"/>
  <c r="T41" i="20"/>
  <c r="S41" i="20"/>
  <c r="R41" i="20"/>
  <c r="N41" i="20"/>
  <c r="M41" i="20"/>
  <c r="L41" i="20"/>
  <c r="X40" i="20"/>
  <c r="W40" i="20"/>
  <c r="V40" i="20"/>
  <c r="U40" i="20"/>
  <c r="T40" i="20"/>
  <c r="S40" i="20"/>
  <c r="R40" i="20"/>
  <c r="N40" i="20"/>
  <c r="M40" i="20"/>
  <c r="L40" i="20"/>
  <c r="U39" i="20"/>
  <c r="T39" i="20"/>
  <c r="S39" i="20"/>
  <c r="R39" i="20"/>
  <c r="N39" i="20"/>
  <c r="Q66" i="20" s="1"/>
  <c r="M39" i="20"/>
  <c r="P60" i="20" s="1"/>
  <c r="L39" i="20"/>
  <c r="O62" i="20" s="1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R16" i="20"/>
  <c r="N16" i="20"/>
  <c r="M16" i="20"/>
  <c r="L16" i="20"/>
  <c r="K16" i="20"/>
  <c r="W7" i="20"/>
  <c r="Y2" i="20"/>
  <c r="X153" i="18"/>
  <c r="W153" i="18"/>
  <c r="V153" i="18"/>
  <c r="U153" i="18"/>
  <c r="T153" i="18"/>
  <c r="S153" i="18"/>
  <c r="R153" i="18"/>
  <c r="N153" i="18"/>
  <c r="M153" i="18"/>
  <c r="L153" i="18"/>
  <c r="X152" i="18"/>
  <c r="W152" i="18"/>
  <c r="V152" i="18"/>
  <c r="U152" i="18"/>
  <c r="T152" i="18"/>
  <c r="S152" i="18"/>
  <c r="R152" i="18"/>
  <c r="N152" i="18"/>
  <c r="M152" i="18"/>
  <c r="L152" i="18"/>
  <c r="X151" i="18"/>
  <c r="W151" i="18"/>
  <c r="V151" i="18"/>
  <c r="U151" i="18"/>
  <c r="T151" i="18"/>
  <c r="S151" i="18"/>
  <c r="R151" i="18"/>
  <c r="N151" i="18"/>
  <c r="M151" i="18"/>
  <c r="L151" i="18"/>
  <c r="X150" i="18"/>
  <c r="W150" i="18"/>
  <c r="V150" i="18"/>
  <c r="U150" i="18"/>
  <c r="T150" i="18"/>
  <c r="S150" i="18"/>
  <c r="R150" i="18"/>
  <c r="N150" i="18"/>
  <c r="M150" i="18"/>
  <c r="L150" i="18"/>
  <c r="X149" i="18"/>
  <c r="W149" i="18"/>
  <c r="V149" i="18"/>
  <c r="U149" i="18"/>
  <c r="T149" i="18"/>
  <c r="S149" i="18"/>
  <c r="R149" i="18"/>
  <c r="N149" i="18"/>
  <c r="M149" i="18"/>
  <c r="L149" i="18"/>
  <c r="X148" i="18"/>
  <c r="W148" i="18"/>
  <c r="V148" i="18"/>
  <c r="U148" i="18"/>
  <c r="T148" i="18"/>
  <c r="S148" i="18"/>
  <c r="R148" i="18"/>
  <c r="N148" i="18"/>
  <c r="M148" i="18"/>
  <c r="L148" i="18"/>
  <c r="X147" i="18"/>
  <c r="W147" i="18"/>
  <c r="V147" i="18"/>
  <c r="U147" i="18"/>
  <c r="T147" i="18"/>
  <c r="S147" i="18"/>
  <c r="R147" i="18"/>
  <c r="N147" i="18"/>
  <c r="M147" i="18"/>
  <c r="L147" i="18"/>
  <c r="X146" i="18"/>
  <c r="W146" i="18"/>
  <c r="V146" i="18"/>
  <c r="U146" i="18"/>
  <c r="T146" i="18"/>
  <c r="S146" i="18"/>
  <c r="R146" i="18"/>
  <c r="N146" i="18"/>
  <c r="M146" i="18"/>
  <c r="L146" i="18"/>
  <c r="X145" i="18"/>
  <c r="W145" i="18"/>
  <c r="V145" i="18"/>
  <c r="U145" i="18"/>
  <c r="T145" i="18"/>
  <c r="S145" i="18"/>
  <c r="R145" i="18"/>
  <c r="N145" i="18"/>
  <c r="M145" i="18"/>
  <c r="L145" i="18"/>
  <c r="X144" i="18"/>
  <c r="W144" i="18"/>
  <c r="V144" i="18"/>
  <c r="U144" i="18"/>
  <c r="T144" i="18"/>
  <c r="S144" i="18"/>
  <c r="R144" i="18"/>
  <c r="N144" i="18"/>
  <c r="M144" i="18"/>
  <c r="L144" i="18"/>
  <c r="X143" i="18"/>
  <c r="W143" i="18"/>
  <c r="V143" i="18"/>
  <c r="U143" i="18"/>
  <c r="T143" i="18"/>
  <c r="S143" i="18"/>
  <c r="R143" i="18"/>
  <c r="N143" i="18"/>
  <c r="M143" i="18"/>
  <c r="L143" i="18"/>
  <c r="X142" i="18"/>
  <c r="W142" i="18"/>
  <c r="V142" i="18"/>
  <c r="U142" i="18"/>
  <c r="T142" i="18"/>
  <c r="S142" i="18"/>
  <c r="R142" i="18"/>
  <c r="N142" i="18"/>
  <c r="M142" i="18"/>
  <c r="L142" i="18"/>
  <c r="X141" i="18"/>
  <c r="W141" i="18"/>
  <c r="V141" i="18"/>
  <c r="U141" i="18"/>
  <c r="T141" i="18"/>
  <c r="S141" i="18"/>
  <c r="R141" i="18"/>
  <c r="N141" i="18"/>
  <c r="M141" i="18"/>
  <c r="L141" i="18"/>
  <c r="X140" i="18"/>
  <c r="W140" i="18"/>
  <c r="V140" i="18"/>
  <c r="U140" i="18"/>
  <c r="T140" i="18"/>
  <c r="S140" i="18"/>
  <c r="R140" i="18"/>
  <c r="N140" i="18"/>
  <c r="M140" i="18"/>
  <c r="L140" i="18"/>
  <c r="X139" i="18"/>
  <c r="W139" i="18"/>
  <c r="V139" i="18"/>
  <c r="U139" i="18"/>
  <c r="T139" i="18"/>
  <c r="S139" i="18"/>
  <c r="R139" i="18"/>
  <c r="N139" i="18"/>
  <c r="M139" i="18"/>
  <c r="L139" i="18"/>
  <c r="X138" i="18"/>
  <c r="W138" i="18"/>
  <c r="V138" i="18"/>
  <c r="U138" i="18"/>
  <c r="T138" i="18"/>
  <c r="S138" i="18"/>
  <c r="R138" i="18"/>
  <c r="N138" i="18"/>
  <c r="M138" i="18"/>
  <c r="L138" i="18"/>
  <c r="X137" i="18"/>
  <c r="W137" i="18"/>
  <c r="V137" i="18"/>
  <c r="U137" i="18"/>
  <c r="T137" i="18"/>
  <c r="S137" i="18"/>
  <c r="R137" i="18"/>
  <c r="N137" i="18"/>
  <c r="M137" i="18"/>
  <c r="L137" i="18"/>
  <c r="X136" i="18"/>
  <c r="W136" i="18"/>
  <c r="V136" i="18"/>
  <c r="U136" i="18"/>
  <c r="T136" i="18"/>
  <c r="S136" i="18"/>
  <c r="R136" i="18"/>
  <c r="N136" i="18"/>
  <c r="M136" i="18"/>
  <c r="L136" i="18"/>
  <c r="X135" i="18"/>
  <c r="W135" i="18"/>
  <c r="V135" i="18"/>
  <c r="U135" i="18"/>
  <c r="T135" i="18"/>
  <c r="S135" i="18"/>
  <c r="R135" i="18"/>
  <c r="N135" i="18"/>
  <c r="M135" i="18"/>
  <c r="L135" i="18"/>
  <c r="X134" i="18"/>
  <c r="W134" i="18"/>
  <c r="V134" i="18"/>
  <c r="U134" i="18"/>
  <c r="T134" i="18"/>
  <c r="S134" i="18"/>
  <c r="R134" i="18"/>
  <c r="N134" i="18"/>
  <c r="M134" i="18"/>
  <c r="L134" i="18"/>
  <c r="X133" i="18"/>
  <c r="W133" i="18"/>
  <c r="V133" i="18"/>
  <c r="U133" i="18"/>
  <c r="T133" i="18"/>
  <c r="S133" i="18"/>
  <c r="R133" i="18"/>
  <c r="N133" i="18"/>
  <c r="M133" i="18"/>
  <c r="L133" i="18"/>
  <c r="X132" i="18"/>
  <c r="W132" i="18"/>
  <c r="V132" i="18"/>
  <c r="U132" i="18"/>
  <c r="T132" i="18"/>
  <c r="S132" i="18"/>
  <c r="R132" i="18"/>
  <c r="N132" i="18"/>
  <c r="M132" i="18"/>
  <c r="L132" i="18"/>
  <c r="X131" i="18"/>
  <c r="W131" i="18"/>
  <c r="V131" i="18"/>
  <c r="U131" i="18"/>
  <c r="T131" i="18"/>
  <c r="S131" i="18"/>
  <c r="R131" i="18"/>
  <c r="N131" i="18"/>
  <c r="M131" i="18"/>
  <c r="L131" i="18"/>
  <c r="X130" i="18"/>
  <c r="W130" i="18"/>
  <c r="V130" i="18"/>
  <c r="U130" i="18"/>
  <c r="T130" i="18"/>
  <c r="S130" i="18"/>
  <c r="R130" i="18"/>
  <c r="N130" i="18"/>
  <c r="M130" i="18"/>
  <c r="L130" i="18"/>
  <c r="X129" i="18"/>
  <c r="W129" i="18"/>
  <c r="V129" i="18"/>
  <c r="U129" i="18"/>
  <c r="T129" i="18"/>
  <c r="S129" i="18"/>
  <c r="R129" i="18"/>
  <c r="N129" i="18"/>
  <c r="M129" i="18"/>
  <c r="L129" i="18"/>
  <c r="X128" i="18"/>
  <c r="W128" i="18"/>
  <c r="V128" i="18"/>
  <c r="U128" i="18"/>
  <c r="T128" i="18"/>
  <c r="S128" i="18"/>
  <c r="R128" i="18"/>
  <c r="N128" i="18"/>
  <c r="M128" i="18"/>
  <c r="L128" i="18"/>
  <c r="X127" i="18"/>
  <c r="W127" i="18"/>
  <c r="V127" i="18"/>
  <c r="U127" i="18"/>
  <c r="T127" i="18"/>
  <c r="S127" i="18"/>
  <c r="R127" i="18"/>
  <c r="N127" i="18"/>
  <c r="M127" i="18"/>
  <c r="L127" i="18"/>
  <c r="X126" i="18"/>
  <c r="W126" i="18"/>
  <c r="V126" i="18"/>
  <c r="U126" i="18"/>
  <c r="T126" i="18"/>
  <c r="S126" i="18"/>
  <c r="R126" i="18"/>
  <c r="N126" i="18"/>
  <c r="M126" i="18"/>
  <c r="L126" i="18"/>
  <c r="X125" i="18"/>
  <c r="W125" i="18"/>
  <c r="V125" i="18"/>
  <c r="U125" i="18"/>
  <c r="T125" i="18"/>
  <c r="S125" i="18"/>
  <c r="R125" i="18"/>
  <c r="N125" i="18"/>
  <c r="M125" i="18"/>
  <c r="L125" i="18"/>
  <c r="X124" i="18"/>
  <c r="W124" i="18"/>
  <c r="V124" i="18"/>
  <c r="U124" i="18"/>
  <c r="T124" i="18"/>
  <c r="S124" i="18"/>
  <c r="R124" i="18"/>
  <c r="N124" i="18"/>
  <c r="M124" i="18"/>
  <c r="L124" i="18"/>
  <c r="X123" i="18"/>
  <c r="W123" i="18"/>
  <c r="V123" i="18"/>
  <c r="U123" i="18"/>
  <c r="T123" i="18"/>
  <c r="S123" i="18"/>
  <c r="R123" i="18"/>
  <c r="N123" i="18"/>
  <c r="M123" i="18"/>
  <c r="L123" i="18"/>
  <c r="X122" i="18"/>
  <c r="W122" i="18"/>
  <c r="V122" i="18"/>
  <c r="U122" i="18"/>
  <c r="T122" i="18"/>
  <c r="S122" i="18"/>
  <c r="R122" i="18"/>
  <c r="N122" i="18"/>
  <c r="M122" i="18"/>
  <c r="L122" i="18"/>
  <c r="X121" i="18"/>
  <c r="W121" i="18"/>
  <c r="V121" i="18"/>
  <c r="U121" i="18"/>
  <c r="T121" i="18"/>
  <c r="S121" i="18"/>
  <c r="R121" i="18"/>
  <c r="N121" i="18"/>
  <c r="M121" i="18"/>
  <c r="L121" i="18"/>
  <c r="X120" i="18"/>
  <c r="W120" i="18"/>
  <c r="V120" i="18"/>
  <c r="U120" i="18"/>
  <c r="T120" i="18"/>
  <c r="S120" i="18"/>
  <c r="R120" i="18"/>
  <c r="N120" i="18"/>
  <c r="M120" i="18"/>
  <c r="L120" i="18"/>
  <c r="X119" i="18"/>
  <c r="W119" i="18"/>
  <c r="V119" i="18"/>
  <c r="U119" i="18"/>
  <c r="T119" i="18"/>
  <c r="S119" i="18"/>
  <c r="R119" i="18"/>
  <c r="N119" i="18"/>
  <c r="M119" i="18"/>
  <c r="L119" i="18"/>
  <c r="X118" i="18"/>
  <c r="W118" i="18"/>
  <c r="V118" i="18"/>
  <c r="U118" i="18"/>
  <c r="T118" i="18"/>
  <c r="S118" i="18"/>
  <c r="R118" i="18"/>
  <c r="N118" i="18"/>
  <c r="M118" i="18"/>
  <c r="L118" i="18"/>
  <c r="X117" i="18"/>
  <c r="W117" i="18"/>
  <c r="V117" i="18"/>
  <c r="U117" i="18"/>
  <c r="T117" i="18"/>
  <c r="S117" i="18"/>
  <c r="R117" i="18"/>
  <c r="N117" i="18"/>
  <c r="M117" i="18"/>
  <c r="L117" i="18"/>
  <c r="X116" i="18"/>
  <c r="W116" i="18"/>
  <c r="V116" i="18"/>
  <c r="U116" i="18"/>
  <c r="T116" i="18"/>
  <c r="S116" i="18"/>
  <c r="R116" i="18"/>
  <c r="N116" i="18"/>
  <c r="M116" i="18"/>
  <c r="L116" i="18"/>
  <c r="X115" i="18"/>
  <c r="W115" i="18"/>
  <c r="V115" i="18"/>
  <c r="U115" i="18"/>
  <c r="T115" i="18"/>
  <c r="S115" i="18"/>
  <c r="R115" i="18"/>
  <c r="N115" i="18"/>
  <c r="M115" i="18"/>
  <c r="L115" i="18"/>
  <c r="X114" i="18"/>
  <c r="W114" i="18"/>
  <c r="V114" i="18"/>
  <c r="U114" i="18"/>
  <c r="T114" i="18"/>
  <c r="S114" i="18"/>
  <c r="R114" i="18"/>
  <c r="N114" i="18"/>
  <c r="M114" i="18"/>
  <c r="L114" i="18"/>
  <c r="X113" i="18"/>
  <c r="W113" i="18"/>
  <c r="V113" i="18"/>
  <c r="U113" i="18"/>
  <c r="T113" i="18"/>
  <c r="S113" i="18"/>
  <c r="R113" i="18"/>
  <c r="N113" i="18"/>
  <c r="M113" i="18"/>
  <c r="L113" i="18"/>
  <c r="X112" i="18"/>
  <c r="W112" i="18"/>
  <c r="V112" i="18"/>
  <c r="U112" i="18"/>
  <c r="T112" i="18"/>
  <c r="S112" i="18"/>
  <c r="R112" i="18"/>
  <c r="N112" i="18"/>
  <c r="M112" i="18"/>
  <c r="L112" i="18"/>
  <c r="X111" i="18"/>
  <c r="W111" i="18"/>
  <c r="V111" i="18"/>
  <c r="U111" i="18"/>
  <c r="T111" i="18"/>
  <c r="S111" i="18"/>
  <c r="R111" i="18"/>
  <c r="N111" i="18"/>
  <c r="M111" i="18"/>
  <c r="L111" i="18"/>
  <c r="X110" i="18"/>
  <c r="W110" i="18"/>
  <c r="V110" i="18"/>
  <c r="U110" i="18"/>
  <c r="T110" i="18"/>
  <c r="S110" i="18"/>
  <c r="R110" i="18"/>
  <c r="N110" i="18"/>
  <c r="M110" i="18"/>
  <c r="L110" i="18"/>
  <c r="X109" i="18"/>
  <c r="W109" i="18"/>
  <c r="V109" i="18"/>
  <c r="U109" i="18"/>
  <c r="T109" i="18"/>
  <c r="S109" i="18"/>
  <c r="R109" i="18"/>
  <c r="N109" i="18"/>
  <c r="M109" i="18"/>
  <c r="L109" i="18"/>
  <c r="X108" i="18"/>
  <c r="W108" i="18"/>
  <c r="V108" i="18"/>
  <c r="U108" i="18"/>
  <c r="T108" i="18"/>
  <c r="S108" i="18"/>
  <c r="R108" i="18"/>
  <c r="N108" i="18"/>
  <c r="M108" i="18"/>
  <c r="L108" i="18"/>
  <c r="X107" i="18"/>
  <c r="W107" i="18"/>
  <c r="V107" i="18"/>
  <c r="U107" i="18"/>
  <c r="T107" i="18"/>
  <c r="S107" i="18"/>
  <c r="R107" i="18"/>
  <c r="N107" i="18"/>
  <c r="M107" i="18"/>
  <c r="L107" i="18"/>
  <c r="X106" i="18"/>
  <c r="W106" i="18"/>
  <c r="V106" i="18"/>
  <c r="U106" i="18"/>
  <c r="T106" i="18"/>
  <c r="S106" i="18"/>
  <c r="R106" i="18"/>
  <c r="N106" i="18"/>
  <c r="M106" i="18"/>
  <c r="L106" i="18"/>
  <c r="X105" i="18"/>
  <c r="W105" i="18"/>
  <c r="V105" i="18"/>
  <c r="U105" i="18"/>
  <c r="T105" i="18"/>
  <c r="S105" i="18"/>
  <c r="R105" i="18"/>
  <c r="N105" i="18"/>
  <c r="M105" i="18"/>
  <c r="L105" i="18"/>
  <c r="X104" i="18"/>
  <c r="W104" i="18"/>
  <c r="V104" i="18"/>
  <c r="U104" i="18"/>
  <c r="T104" i="18"/>
  <c r="S104" i="18"/>
  <c r="R104" i="18"/>
  <c r="N104" i="18"/>
  <c r="M104" i="18"/>
  <c r="L104" i="18"/>
  <c r="X103" i="18"/>
  <c r="W103" i="18"/>
  <c r="V103" i="18"/>
  <c r="U103" i="18"/>
  <c r="T103" i="18"/>
  <c r="S103" i="18"/>
  <c r="R103" i="18"/>
  <c r="N103" i="18"/>
  <c r="M103" i="18"/>
  <c r="L103" i="18"/>
  <c r="X102" i="18"/>
  <c r="W102" i="18"/>
  <c r="V102" i="18"/>
  <c r="U102" i="18"/>
  <c r="T102" i="18"/>
  <c r="S102" i="18"/>
  <c r="R102" i="18"/>
  <c r="N102" i="18"/>
  <c r="M102" i="18"/>
  <c r="L102" i="18"/>
  <c r="X101" i="18"/>
  <c r="W101" i="18"/>
  <c r="V101" i="18"/>
  <c r="U101" i="18"/>
  <c r="T101" i="18"/>
  <c r="S101" i="18"/>
  <c r="R101" i="18"/>
  <c r="N101" i="18"/>
  <c r="M101" i="18"/>
  <c r="L101" i="18"/>
  <c r="X100" i="18"/>
  <c r="W100" i="18"/>
  <c r="V100" i="18"/>
  <c r="U100" i="18"/>
  <c r="T100" i="18"/>
  <c r="S100" i="18"/>
  <c r="R100" i="18"/>
  <c r="N100" i="18"/>
  <c r="M100" i="18"/>
  <c r="L100" i="18"/>
  <c r="X99" i="18"/>
  <c r="W99" i="18"/>
  <c r="V99" i="18"/>
  <c r="U99" i="18"/>
  <c r="T99" i="18"/>
  <c r="S99" i="18"/>
  <c r="R99" i="18"/>
  <c r="N99" i="18"/>
  <c r="M99" i="18"/>
  <c r="L99" i="18"/>
  <c r="X98" i="18"/>
  <c r="W98" i="18"/>
  <c r="V98" i="18"/>
  <c r="U98" i="18"/>
  <c r="T98" i="18"/>
  <c r="S98" i="18"/>
  <c r="R98" i="18"/>
  <c r="N98" i="18"/>
  <c r="M98" i="18"/>
  <c r="L98" i="18"/>
  <c r="X97" i="18"/>
  <c r="W97" i="18"/>
  <c r="V97" i="18"/>
  <c r="U97" i="18"/>
  <c r="T97" i="18"/>
  <c r="S97" i="18"/>
  <c r="R97" i="18"/>
  <c r="N97" i="18"/>
  <c r="M97" i="18"/>
  <c r="L97" i="18"/>
  <c r="X96" i="18"/>
  <c r="W96" i="18"/>
  <c r="V96" i="18"/>
  <c r="U96" i="18"/>
  <c r="T96" i="18"/>
  <c r="S96" i="18"/>
  <c r="R96" i="18"/>
  <c r="N96" i="18"/>
  <c r="M96" i="18"/>
  <c r="L96" i="18"/>
  <c r="X95" i="18"/>
  <c r="W95" i="18"/>
  <c r="V95" i="18"/>
  <c r="U95" i="18"/>
  <c r="T95" i="18"/>
  <c r="S95" i="18"/>
  <c r="R95" i="18"/>
  <c r="N95" i="18"/>
  <c r="M95" i="18"/>
  <c r="L95" i="18"/>
  <c r="X94" i="18"/>
  <c r="W94" i="18"/>
  <c r="V94" i="18"/>
  <c r="U94" i="18"/>
  <c r="T94" i="18"/>
  <c r="S94" i="18"/>
  <c r="R94" i="18"/>
  <c r="N94" i="18"/>
  <c r="M94" i="18"/>
  <c r="L94" i="18"/>
  <c r="X93" i="18"/>
  <c r="W93" i="18"/>
  <c r="V93" i="18"/>
  <c r="U93" i="18"/>
  <c r="T93" i="18"/>
  <c r="S93" i="18"/>
  <c r="R93" i="18"/>
  <c r="N93" i="18"/>
  <c r="M93" i="18"/>
  <c r="L93" i="18"/>
  <c r="X92" i="18"/>
  <c r="W92" i="18"/>
  <c r="V92" i="18"/>
  <c r="U92" i="18"/>
  <c r="T92" i="18"/>
  <c r="S92" i="18"/>
  <c r="R92" i="18"/>
  <c r="N92" i="18"/>
  <c r="M92" i="18"/>
  <c r="L92" i="18"/>
  <c r="X91" i="18"/>
  <c r="W91" i="18"/>
  <c r="V91" i="18"/>
  <c r="U91" i="18"/>
  <c r="T91" i="18"/>
  <c r="S91" i="18"/>
  <c r="R91" i="18"/>
  <c r="N91" i="18"/>
  <c r="M91" i="18"/>
  <c r="L91" i="18"/>
  <c r="X90" i="18"/>
  <c r="W90" i="18"/>
  <c r="V90" i="18"/>
  <c r="U90" i="18"/>
  <c r="T90" i="18"/>
  <c r="S90" i="18"/>
  <c r="R90" i="18"/>
  <c r="N90" i="18"/>
  <c r="M90" i="18"/>
  <c r="L90" i="18"/>
  <c r="X89" i="18"/>
  <c r="W89" i="18"/>
  <c r="V89" i="18"/>
  <c r="U89" i="18"/>
  <c r="T89" i="18"/>
  <c r="S89" i="18"/>
  <c r="R89" i="18"/>
  <c r="N89" i="18"/>
  <c r="M89" i="18"/>
  <c r="L89" i="18"/>
  <c r="X88" i="18"/>
  <c r="W88" i="18"/>
  <c r="V88" i="18"/>
  <c r="U88" i="18"/>
  <c r="T88" i="18"/>
  <c r="S88" i="18"/>
  <c r="R88" i="18"/>
  <c r="N88" i="18"/>
  <c r="M88" i="18"/>
  <c r="L88" i="18"/>
  <c r="X87" i="18"/>
  <c r="W87" i="18"/>
  <c r="V87" i="18"/>
  <c r="U87" i="18"/>
  <c r="T87" i="18"/>
  <c r="S87" i="18"/>
  <c r="R87" i="18"/>
  <c r="N87" i="18"/>
  <c r="M87" i="18"/>
  <c r="L87" i="18"/>
  <c r="X86" i="18"/>
  <c r="W86" i="18"/>
  <c r="V86" i="18"/>
  <c r="U86" i="18"/>
  <c r="T86" i="18"/>
  <c r="S86" i="18"/>
  <c r="R86" i="18"/>
  <c r="N86" i="18"/>
  <c r="M86" i="18"/>
  <c r="L86" i="18"/>
  <c r="X85" i="18"/>
  <c r="W85" i="18"/>
  <c r="V85" i="18"/>
  <c r="U85" i="18"/>
  <c r="T85" i="18"/>
  <c r="S85" i="18"/>
  <c r="R85" i="18"/>
  <c r="N85" i="18"/>
  <c r="M85" i="18"/>
  <c r="L85" i="18"/>
  <c r="X84" i="18"/>
  <c r="W84" i="18"/>
  <c r="V84" i="18"/>
  <c r="U84" i="18"/>
  <c r="T84" i="18"/>
  <c r="S84" i="18"/>
  <c r="R84" i="18"/>
  <c r="N84" i="18"/>
  <c r="M84" i="18"/>
  <c r="L84" i="18"/>
  <c r="X83" i="18"/>
  <c r="W83" i="18"/>
  <c r="V83" i="18"/>
  <c r="U83" i="18"/>
  <c r="T83" i="18"/>
  <c r="S83" i="18"/>
  <c r="R83" i="18"/>
  <c r="N83" i="18"/>
  <c r="M83" i="18"/>
  <c r="L83" i="18"/>
  <c r="X82" i="18"/>
  <c r="W82" i="18"/>
  <c r="V82" i="18"/>
  <c r="U82" i="18"/>
  <c r="T82" i="18"/>
  <c r="S82" i="18"/>
  <c r="R82" i="18"/>
  <c r="N82" i="18"/>
  <c r="M82" i="18"/>
  <c r="L82" i="18"/>
  <c r="X81" i="18"/>
  <c r="W81" i="18"/>
  <c r="V81" i="18"/>
  <c r="U81" i="18"/>
  <c r="T81" i="18"/>
  <c r="S81" i="18"/>
  <c r="R81" i="18"/>
  <c r="N81" i="18"/>
  <c r="M81" i="18"/>
  <c r="L81" i="18"/>
  <c r="X80" i="18"/>
  <c r="W80" i="18"/>
  <c r="V80" i="18"/>
  <c r="U80" i="18"/>
  <c r="T80" i="18"/>
  <c r="S80" i="18"/>
  <c r="R80" i="18"/>
  <c r="N80" i="18"/>
  <c r="M80" i="18"/>
  <c r="L80" i="18"/>
  <c r="X79" i="18"/>
  <c r="W79" i="18"/>
  <c r="V79" i="18"/>
  <c r="U79" i="18"/>
  <c r="T79" i="18"/>
  <c r="S79" i="18"/>
  <c r="R79" i="18"/>
  <c r="N79" i="18"/>
  <c r="M79" i="18"/>
  <c r="L79" i="18"/>
  <c r="X78" i="18"/>
  <c r="W78" i="18"/>
  <c r="V78" i="18"/>
  <c r="U78" i="18"/>
  <c r="T78" i="18"/>
  <c r="S78" i="18"/>
  <c r="R78" i="18"/>
  <c r="N78" i="18"/>
  <c r="M78" i="18"/>
  <c r="L78" i="18"/>
  <c r="X77" i="18"/>
  <c r="W77" i="18"/>
  <c r="V77" i="18"/>
  <c r="U77" i="18"/>
  <c r="T77" i="18"/>
  <c r="S77" i="18"/>
  <c r="R77" i="18"/>
  <c r="N77" i="18"/>
  <c r="M77" i="18"/>
  <c r="L77" i="18"/>
  <c r="X76" i="18"/>
  <c r="W76" i="18"/>
  <c r="V76" i="18"/>
  <c r="U76" i="18"/>
  <c r="T76" i="18"/>
  <c r="S76" i="18"/>
  <c r="R76" i="18"/>
  <c r="N76" i="18"/>
  <c r="M76" i="18"/>
  <c r="L76" i="18"/>
  <c r="X75" i="18"/>
  <c r="W75" i="18"/>
  <c r="V75" i="18"/>
  <c r="U75" i="18"/>
  <c r="T75" i="18"/>
  <c r="S75" i="18"/>
  <c r="R75" i="18"/>
  <c r="N75" i="18"/>
  <c r="M75" i="18"/>
  <c r="L75" i="18"/>
  <c r="X74" i="18"/>
  <c r="W74" i="18"/>
  <c r="V74" i="18"/>
  <c r="U74" i="18"/>
  <c r="T74" i="18"/>
  <c r="S74" i="18"/>
  <c r="R74" i="18"/>
  <c r="N74" i="18"/>
  <c r="M74" i="18"/>
  <c r="L74" i="18"/>
  <c r="X73" i="18"/>
  <c r="W73" i="18"/>
  <c r="V73" i="18"/>
  <c r="U73" i="18"/>
  <c r="T73" i="18"/>
  <c r="S73" i="18"/>
  <c r="R73" i="18"/>
  <c r="N73" i="18"/>
  <c r="M73" i="18"/>
  <c r="L73" i="18"/>
  <c r="X72" i="18"/>
  <c r="W72" i="18"/>
  <c r="V72" i="18"/>
  <c r="U72" i="18"/>
  <c r="T72" i="18"/>
  <c r="S72" i="18"/>
  <c r="R72" i="18"/>
  <c r="N72" i="18"/>
  <c r="M72" i="18"/>
  <c r="L72" i="18"/>
  <c r="X71" i="18"/>
  <c r="W71" i="18"/>
  <c r="V71" i="18"/>
  <c r="U71" i="18"/>
  <c r="T71" i="18"/>
  <c r="S71" i="18"/>
  <c r="R71" i="18"/>
  <c r="N71" i="18"/>
  <c r="M71" i="18"/>
  <c r="L71" i="18"/>
  <c r="X70" i="18"/>
  <c r="W70" i="18"/>
  <c r="V70" i="18"/>
  <c r="U70" i="18"/>
  <c r="T70" i="18"/>
  <c r="S70" i="18"/>
  <c r="R70" i="18"/>
  <c r="N70" i="18"/>
  <c r="M70" i="18"/>
  <c r="L70" i="18"/>
  <c r="X69" i="18"/>
  <c r="W69" i="18"/>
  <c r="V69" i="18"/>
  <c r="U69" i="18"/>
  <c r="T69" i="18"/>
  <c r="S69" i="18"/>
  <c r="R69" i="18"/>
  <c r="N69" i="18"/>
  <c r="M69" i="18"/>
  <c r="L69" i="18"/>
  <c r="X68" i="18"/>
  <c r="W68" i="18"/>
  <c r="V68" i="18"/>
  <c r="U68" i="18"/>
  <c r="T68" i="18"/>
  <c r="S68" i="18"/>
  <c r="R68" i="18"/>
  <c r="N68" i="18"/>
  <c r="M68" i="18"/>
  <c r="L68" i="18"/>
  <c r="X67" i="18"/>
  <c r="W67" i="18"/>
  <c r="V67" i="18"/>
  <c r="U67" i="18"/>
  <c r="T67" i="18"/>
  <c r="S67" i="18"/>
  <c r="R67" i="18"/>
  <c r="N67" i="18"/>
  <c r="M67" i="18"/>
  <c r="L67" i="18"/>
  <c r="X66" i="18"/>
  <c r="W66" i="18"/>
  <c r="V66" i="18"/>
  <c r="U66" i="18"/>
  <c r="T66" i="18"/>
  <c r="S66" i="18"/>
  <c r="R66" i="18"/>
  <c r="N66" i="18"/>
  <c r="M66" i="18"/>
  <c r="L66" i="18"/>
  <c r="X65" i="18"/>
  <c r="W65" i="18"/>
  <c r="V65" i="18"/>
  <c r="U65" i="18"/>
  <c r="T65" i="18"/>
  <c r="S65" i="18"/>
  <c r="R65" i="18"/>
  <c r="N65" i="18"/>
  <c r="M65" i="18"/>
  <c r="L65" i="18"/>
  <c r="X64" i="18"/>
  <c r="W64" i="18"/>
  <c r="V64" i="18"/>
  <c r="U64" i="18"/>
  <c r="T64" i="18"/>
  <c r="S64" i="18"/>
  <c r="R64" i="18"/>
  <c r="N64" i="18"/>
  <c r="M64" i="18"/>
  <c r="L64" i="18"/>
  <c r="X63" i="18"/>
  <c r="W63" i="18"/>
  <c r="V63" i="18"/>
  <c r="U63" i="18"/>
  <c r="T63" i="18"/>
  <c r="S63" i="18"/>
  <c r="R63" i="18"/>
  <c r="N63" i="18"/>
  <c r="M63" i="18"/>
  <c r="L63" i="18"/>
  <c r="X62" i="18"/>
  <c r="W62" i="18"/>
  <c r="V62" i="18"/>
  <c r="U62" i="18"/>
  <c r="T62" i="18"/>
  <c r="S62" i="18"/>
  <c r="R62" i="18"/>
  <c r="N62" i="18"/>
  <c r="M62" i="18"/>
  <c r="L62" i="18"/>
  <c r="X61" i="18"/>
  <c r="W61" i="18"/>
  <c r="V61" i="18"/>
  <c r="U61" i="18"/>
  <c r="T61" i="18"/>
  <c r="S61" i="18"/>
  <c r="R61" i="18"/>
  <c r="N61" i="18"/>
  <c r="M61" i="18"/>
  <c r="L61" i="18"/>
  <c r="X60" i="18"/>
  <c r="W60" i="18"/>
  <c r="V60" i="18"/>
  <c r="U60" i="18"/>
  <c r="T60" i="18"/>
  <c r="S60" i="18"/>
  <c r="R60" i="18"/>
  <c r="N60" i="18"/>
  <c r="M60" i="18"/>
  <c r="L60" i="18"/>
  <c r="X59" i="18"/>
  <c r="W59" i="18"/>
  <c r="V59" i="18"/>
  <c r="U59" i="18"/>
  <c r="T59" i="18"/>
  <c r="S59" i="18"/>
  <c r="R59" i="18"/>
  <c r="N59" i="18"/>
  <c r="M59" i="18"/>
  <c r="L59" i="18"/>
  <c r="X58" i="18"/>
  <c r="W58" i="18"/>
  <c r="V58" i="18"/>
  <c r="U58" i="18"/>
  <c r="T58" i="18"/>
  <c r="S58" i="18"/>
  <c r="R58" i="18"/>
  <c r="N58" i="18"/>
  <c r="M58" i="18"/>
  <c r="L58" i="18"/>
  <c r="X57" i="18"/>
  <c r="W57" i="18"/>
  <c r="V57" i="18"/>
  <c r="U57" i="18"/>
  <c r="T57" i="18"/>
  <c r="S57" i="18"/>
  <c r="R57" i="18"/>
  <c r="N57" i="18"/>
  <c r="M57" i="18"/>
  <c r="L57" i="18"/>
  <c r="X56" i="18"/>
  <c r="W56" i="18"/>
  <c r="V56" i="18"/>
  <c r="U56" i="18"/>
  <c r="T56" i="18"/>
  <c r="S56" i="18"/>
  <c r="R56" i="18"/>
  <c r="N56" i="18"/>
  <c r="M56" i="18"/>
  <c r="L56" i="18"/>
  <c r="X55" i="18"/>
  <c r="W55" i="18"/>
  <c r="V55" i="18"/>
  <c r="U55" i="18"/>
  <c r="T55" i="18"/>
  <c r="S55" i="18"/>
  <c r="R55" i="18"/>
  <c r="N55" i="18"/>
  <c r="M55" i="18"/>
  <c r="L55" i="18"/>
  <c r="X54" i="18"/>
  <c r="W54" i="18"/>
  <c r="V54" i="18"/>
  <c r="U54" i="18"/>
  <c r="T54" i="18"/>
  <c r="S54" i="18"/>
  <c r="R54" i="18"/>
  <c r="N54" i="18"/>
  <c r="M54" i="18"/>
  <c r="L54" i="18"/>
  <c r="X53" i="18"/>
  <c r="W53" i="18"/>
  <c r="V53" i="18"/>
  <c r="U53" i="18"/>
  <c r="T53" i="18"/>
  <c r="S53" i="18"/>
  <c r="R53" i="18"/>
  <c r="N53" i="18"/>
  <c r="M53" i="18"/>
  <c r="L53" i="18"/>
  <c r="X52" i="18"/>
  <c r="W52" i="18"/>
  <c r="V52" i="18"/>
  <c r="U52" i="18"/>
  <c r="T52" i="18"/>
  <c r="S52" i="18"/>
  <c r="R52" i="18"/>
  <c r="N52" i="18"/>
  <c r="M52" i="18"/>
  <c r="L52" i="18"/>
  <c r="X51" i="18"/>
  <c r="W51" i="18"/>
  <c r="V51" i="18"/>
  <c r="U51" i="18"/>
  <c r="T51" i="18"/>
  <c r="S51" i="18"/>
  <c r="N51" i="18"/>
  <c r="M51" i="18"/>
  <c r="L51" i="18"/>
  <c r="X50" i="18"/>
  <c r="W50" i="18"/>
  <c r="V50" i="18"/>
  <c r="L50" i="18"/>
  <c r="X49" i="18"/>
  <c r="W49" i="18"/>
  <c r="V49" i="18"/>
  <c r="U49" i="18"/>
  <c r="T49" i="18"/>
  <c r="S49" i="18"/>
  <c r="N49" i="18"/>
  <c r="M49" i="18"/>
  <c r="L49" i="18"/>
  <c r="X48" i="18"/>
  <c r="W48" i="18"/>
  <c r="V48" i="18"/>
  <c r="U48" i="18"/>
  <c r="T48" i="18"/>
  <c r="S48" i="18"/>
  <c r="N48" i="18"/>
  <c r="M48" i="18"/>
  <c r="L48" i="18"/>
  <c r="X47" i="18"/>
  <c r="W47" i="18"/>
  <c r="V47" i="18"/>
  <c r="U47" i="18"/>
  <c r="T47" i="18"/>
  <c r="S47" i="18"/>
  <c r="N47" i="18"/>
  <c r="M47" i="18"/>
  <c r="L47" i="18"/>
  <c r="X46" i="18"/>
  <c r="W46" i="18"/>
  <c r="V46" i="18"/>
  <c r="U46" i="18"/>
  <c r="T46" i="18"/>
  <c r="S46" i="18"/>
  <c r="L46" i="18"/>
  <c r="X45" i="18"/>
  <c r="W45" i="18"/>
  <c r="V45" i="18"/>
  <c r="L45" i="18"/>
  <c r="X44" i="18"/>
  <c r="W44" i="18"/>
  <c r="V44" i="18"/>
  <c r="U44" i="18"/>
  <c r="T44" i="18"/>
  <c r="S44" i="18"/>
  <c r="N44" i="18"/>
  <c r="M44" i="18"/>
  <c r="L44" i="18"/>
  <c r="X43" i="18"/>
  <c r="W43" i="18"/>
  <c r="V43" i="18"/>
  <c r="U43" i="18"/>
  <c r="T43" i="18"/>
  <c r="S43" i="18"/>
  <c r="N43" i="18"/>
  <c r="M43" i="18"/>
  <c r="L43" i="18"/>
  <c r="X42" i="18"/>
  <c r="W42" i="18"/>
  <c r="V42" i="18"/>
  <c r="U42" i="18"/>
  <c r="T42" i="18"/>
  <c r="S42" i="18"/>
  <c r="N42" i="18"/>
  <c r="M42" i="18"/>
  <c r="L42" i="18"/>
  <c r="X41" i="18"/>
  <c r="W41" i="18"/>
  <c r="V41" i="18"/>
  <c r="U41" i="18"/>
  <c r="T41" i="18"/>
  <c r="S41" i="18"/>
  <c r="N41" i="18"/>
  <c r="M41" i="18"/>
  <c r="L41" i="18"/>
  <c r="X40" i="18"/>
  <c r="W40" i="18"/>
  <c r="V40" i="18"/>
  <c r="U40" i="18"/>
  <c r="T40" i="18"/>
  <c r="S40" i="18"/>
  <c r="N40" i="18"/>
  <c r="M40" i="18"/>
  <c r="L40" i="18"/>
  <c r="X39" i="18"/>
  <c r="W39" i="18"/>
  <c r="V39" i="18"/>
  <c r="U39" i="18"/>
  <c r="T39" i="18"/>
  <c r="S39" i="18"/>
  <c r="N39" i="18"/>
  <c r="M39" i="18"/>
  <c r="L39" i="18"/>
  <c r="X38" i="18"/>
  <c r="W38" i="18"/>
  <c r="V38" i="18"/>
  <c r="U38" i="18"/>
  <c r="T38" i="18"/>
  <c r="S38" i="18"/>
  <c r="N38" i="18"/>
  <c r="M38" i="18"/>
  <c r="L38" i="18"/>
  <c r="X37" i="18"/>
  <c r="W37" i="18"/>
  <c r="V37" i="18"/>
  <c r="U37" i="18"/>
  <c r="T37" i="18"/>
  <c r="S37" i="18"/>
  <c r="N37" i="18"/>
  <c r="M37" i="18"/>
  <c r="L37" i="18"/>
  <c r="X36" i="18"/>
  <c r="W36" i="18"/>
  <c r="V36" i="18"/>
  <c r="U36" i="18"/>
  <c r="T36" i="18"/>
  <c r="S36" i="18"/>
  <c r="N36" i="18"/>
  <c r="M36" i="18"/>
  <c r="L36" i="18"/>
  <c r="X35" i="18"/>
  <c r="W35" i="18"/>
  <c r="V35" i="18"/>
  <c r="U35" i="18"/>
  <c r="T35" i="18"/>
  <c r="S35" i="18"/>
  <c r="L35" i="18"/>
  <c r="X33" i="18"/>
  <c r="W33" i="18"/>
  <c r="V33" i="18"/>
  <c r="U33" i="18"/>
  <c r="T33" i="18"/>
  <c r="S33" i="18"/>
  <c r="Q33" i="18"/>
  <c r="P33" i="18"/>
  <c r="O33" i="18"/>
  <c r="L33" i="18"/>
  <c r="X32" i="18"/>
  <c r="W32" i="18"/>
  <c r="V32" i="18"/>
  <c r="U32" i="18"/>
  <c r="T32" i="18"/>
  <c r="S32" i="18"/>
  <c r="Q32" i="18"/>
  <c r="P32" i="18"/>
  <c r="O32" i="18"/>
  <c r="L32" i="18"/>
  <c r="X31" i="18"/>
  <c r="W31" i="18"/>
  <c r="V31" i="18"/>
  <c r="U31" i="18"/>
  <c r="T31" i="18"/>
  <c r="S31" i="18"/>
  <c r="Q31" i="18"/>
  <c r="P31" i="18"/>
  <c r="O31" i="18"/>
  <c r="L31" i="18"/>
  <c r="X30" i="18"/>
  <c r="W30" i="18"/>
  <c r="V30" i="18"/>
  <c r="U30" i="18"/>
  <c r="T30" i="18"/>
  <c r="S30" i="18"/>
  <c r="Q30" i="18"/>
  <c r="P30" i="18"/>
  <c r="O30" i="18"/>
  <c r="L30" i="18"/>
  <c r="X29" i="18"/>
  <c r="W29" i="18"/>
  <c r="V29" i="18"/>
  <c r="U29" i="18"/>
  <c r="T29" i="18"/>
  <c r="S29" i="18"/>
  <c r="Q29" i="18"/>
  <c r="P29" i="18"/>
  <c r="O29" i="18"/>
  <c r="L29" i="18"/>
  <c r="X28" i="18"/>
  <c r="W28" i="18"/>
  <c r="V28" i="18"/>
  <c r="U28" i="18"/>
  <c r="T28" i="18"/>
  <c r="S28" i="18"/>
  <c r="Q28" i="18"/>
  <c r="P28" i="18"/>
  <c r="O28" i="18"/>
  <c r="L28" i="18"/>
  <c r="X27" i="18"/>
  <c r="W27" i="18"/>
  <c r="V27" i="18"/>
  <c r="U27" i="18"/>
  <c r="T27" i="18"/>
  <c r="S27" i="18"/>
  <c r="Q27" i="18"/>
  <c r="P27" i="18"/>
  <c r="O27" i="18"/>
  <c r="N24" i="18"/>
  <c r="N50" i="18" s="1"/>
  <c r="L27" i="18"/>
  <c r="X26" i="18"/>
  <c r="W26" i="18"/>
  <c r="V26" i="18"/>
  <c r="U26" i="18"/>
  <c r="T26" i="18"/>
  <c r="S26" i="18"/>
  <c r="Q26" i="18"/>
  <c r="P26" i="18"/>
  <c r="O26" i="18"/>
  <c r="L26" i="18"/>
  <c r="K26" i="18"/>
  <c r="X25" i="18"/>
  <c r="W25" i="18"/>
  <c r="V25" i="18"/>
  <c r="U25" i="18"/>
  <c r="T25" i="18"/>
  <c r="S25" i="18"/>
  <c r="Q25" i="18"/>
  <c r="P25" i="18"/>
  <c r="O25" i="18"/>
  <c r="L25" i="18"/>
  <c r="K25" i="18"/>
  <c r="X24" i="18"/>
  <c r="W24" i="18"/>
  <c r="V24" i="18"/>
  <c r="U24" i="18"/>
  <c r="T24" i="18"/>
  <c r="S24" i="18"/>
  <c r="Q24" i="18"/>
  <c r="P24" i="18"/>
  <c r="O24" i="18"/>
  <c r="M24" i="18"/>
  <c r="M26" i="18" s="1"/>
  <c r="L24" i="18"/>
  <c r="K24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R16" i="18"/>
  <c r="N16" i="18"/>
  <c r="M16" i="18"/>
  <c r="L16" i="18"/>
  <c r="K16" i="18"/>
  <c r="W7" i="18"/>
  <c r="Y2" i="18"/>
  <c r="X153" i="16"/>
  <c r="W153" i="16"/>
  <c r="V153" i="16"/>
  <c r="U153" i="16"/>
  <c r="T153" i="16"/>
  <c r="S153" i="16"/>
  <c r="R153" i="16"/>
  <c r="N153" i="16"/>
  <c r="M153" i="16"/>
  <c r="L153" i="16"/>
  <c r="X152" i="16"/>
  <c r="W152" i="16"/>
  <c r="V152" i="16"/>
  <c r="U152" i="16"/>
  <c r="T152" i="16"/>
  <c r="S152" i="16"/>
  <c r="R152" i="16"/>
  <c r="N152" i="16"/>
  <c r="M152" i="16"/>
  <c r="L152" i="16"/>
  <c r="X151" i="16"/>
  <c r="W151" i="16"/>
  <c r="V151" i="16"/>
  <c r="U151" i="16"/>
  <c r="T151" i="16"/>
  <c r="S151" i="16"/>
  <c r="R151" i="16"/>
  <c r="N151" i="16"/>
  <c r="M151" i="16"/>
  <c r="L151" i="16"/>
  <c r="X150" i="16"/>
  <c r="W150" i="16"/>
  <c r="V150" i="16"/>
  <c r="U150" i="16"/>
  <c r="T150" i="16"/>
  <c r="S150" i="16"/>
  <c r="R150" i="16"/>
  <c r="N150" i="16"/>
  <c r="M150" i="16"/>
  <c r="L150" i="16"/>
  <c r="X149" i="16"/>
  <c r="W149" i="16"/>
  <c r="V149" i="16"/>
  <c r="U149" i="16"/>
  <c r="T149" i="16"/>
  <c r="S149" i="16"/>
  <c r="R149" i="16"/>
  <c r="N149" i="16"/>
  <c r="M149" i="16"/>
  <c r="L149" i="16"/>
  <c r="X148" i="16"/>
  <c r="W148" i="16"/>
  <c r="V148" i="16"/>
  <c r="U148" i="16"/>
  <c r="T148" i="16"/>
  <c r="S148" i="16"/>
  <c r="R148" i="16"/>
  <c r="N148" i="16"/>
  <c r="M148" i="16"/>
  <c r="L148" i="16"/>
  <c r="X147" i="16"/>
  <c r="W147" i="16"/>
  <c r="V147" i="16"/>
  <c r="U147" i="16"/>
  <c r="T147" i="16"/>
  <c r="S147" i="16"/>
  <c r="R147" i="16"/>
  <c r="N147" i="16"/>
  <c r="M147" i="16"/>
  <c r="L147" i="16"/>
  <c r="X146" i="16"/>
  <c r="W146" i="16"/>
  <c r="V146" i="16"/>
  <c r="U146" i="16"/>
  <c r="T146" i="16"/>
  <c r="S146" i="16"/>
  <c r="R146" i="16"/>
  <c r="N146" i="16"/>
  <c r="M146" i="16"/>
  <c r="L146" i="16"/>
  <c r="X145" i="16"/>
  <c r="W145" i="16"/>
  <c r="V145" i="16"/>
  <c r="U145" i="16"/>
  <c r="T145" i="16"/>
  <c r="S145" i="16"/>
  <c r="R145" i="16"/>
  <c r="N145" i="16"/>
  <c r="M145" i="16"/>
  <c r="L145" i="16"/>
  <c r="X144" i="16"/>
  <c r="W144" i="16"/>
  <c r="V144" i="16"/>
  <c r="U144" i="16"/>
  <c r="T144" i="16"/>
  <c r="S144" i="16"/>
  <c r="R144" i="16"/>
  <c r="N144" i="16"/>
  <c r="M144" i="16"/>
  <c r="L144" i="16"/>
  <c r="X143" i="16"/>
  <c r="W143" i="16"/>
  <c r="V143" i="16"/>
  <c r="U143" i="16"/>
  <c r="T143" i="16"/>
  <c r="S143" i="16"/>
  <c r="R143" i="16"/>
  <c r="N143" i="16"/>
  <c r="M143" i="16"/>
  <c r="L143" i="16"/>
  <c r="X142" i="16"/>
  <c r="W142" i="16"/>
  <c r="V142" i="16"/>
  <c r="U142" i="16"/>
  <c r="T142" i="16"/>
  <c r="S142" i="16"/>
  <c r="R142" i="16"/>
  <c r="N142" i="16"/>
  <c r="M142" i="16"/>
  <c r="L142" i="16"/>
  <c r="X141" i="16"/>
  <c r="W141" i="16"/>
  <c r="V141" i="16"/>
  <c r="U141" i="16"/>
  <c r="T141" i="16"/>
  <c r="S141" i="16"/>
  <c r="R141" i="16"/>
  <c r="N141" i="16"/>
  <c r="M141" i="16"/>
  <c r="L141" i="16"/>
  <c r="X140" i="16"/>
  <c r="W140" i="16"/>
  <c r="V140" i="16"/>
  <c r="U140" i="16"/>
  <c r="T140" i="16"/>
  <c r="S140" i="16"/>
  <c r="R140" i="16"/>
  <c r="N140" i="16"/>
  <c r="M140" i="16"/>
  <c r="L140" i="16"/>
  <c r="X139" i="16"/>
  <c r="W139" i="16"/>
  <c r="V139" i="16"/>
  <c r="U139" i="16"/>
  <c r="T139" i="16"/>
  <c r="S139" i="16"/>
  <c r="R139" i="16"/>
  <c r="N139" i="16"/>
  <c r="M139" i="16"/>
  <c r="L139" i="16"/>
  <c r="X138" i="16"/>
  <c r="W138" i="16"/>
  <c r="V138" i="16"/>
  <c r="U138" i="16"/>
  <c r="T138" i="16"/>
  <c r="S138" i="16"/>
  <c r="R138" i="16"/>
  <c r="N138" i="16"/>
  <c r="M138" i="16"/>
  <c r="L138" i="16"/>
  <c r="X137" i="16"/>
  <c r="W137" i="16"/>
  <c r="V137" i="16"/>
  <c r="U137" i="16"/>
  <c r="T137" i="16"/>
  <c r="S137" i="16"/>
  <c r="R137" i="16"/>
  <c r="N137" i="16"/>
  <c r="M137" i="16"/>
  <c r="L137" i="16"/>
  <c r="X136" i="16"/>
  <c r="W136" i="16"/>
  <c r="V136" i="16"/>
  <c r="U136" i="16"/>
  <c r="T136" i="16"/>
  <c r="S136" i="16"/>
  <c r="R136" i="16"/>
  <c r="N136" i="16"/>
  <c r="M136" i="16"/>
  <c r="L136" i="16"/>
  <c r="X135" i="16"/>
  <c r="W135" i="16"/>
  <c r="V135" i="16"/>
  <c r="U135" i="16"/>
  <c r="T135" i="16"/>
  <c r="S135" i="16"/>
  <c r="R135" i="16"/>
  <c r="N135" i="16"/>
  <c r="M135" i="16"/>
  <c r="L135" i="16"/>
  <c r="X134" i="16"/>
  <c r="W134" i="16"/>
  <c r="V134" i="16"/>
  <c r="U134" i="16"/>
  <c r="T134" i="16"/>
  <c r="S134" i="16"/>
  <c r="R134" i="16"/>
  <c r="N134" i="16"/>
  <c r="M134" i="16"/>
  <c r="L134" i="16"/>
  <c r="X133" i="16"/>
  <c r="W133" i="16"/>
  <c r="V133" i="16"/>
  <c r="U133" i="16"/>
  <c r="T133" i="16"/>
  <c r="S133" i="16"/>
  <c r="R133" i="16"/>
  <c r="N133" i="16"/>
  <c r="M133" i="16"/>
  <c r="L133" i="16"/>
  <c r="X132" i="16"/>
  <c r="W132" i="16"/>
  <c r="V132" i="16"/>
  <c r="U132" i="16"/>
  <c r="T132" i="16"/>
  <c r="S132" i="16"/>
  <c r="R132" i="16"/>
  <c r="N132" i="16"/>
  <c r="M132" i="16"/>
  <c r="L132" i="16"/>
  <c r="X131" i="16"/>
  <c r="W131" i="16"/>
  <c r="V131" i="16"/>
  <c r="U131" i="16"/>
  <c r="T131" i="16"/>
  <c r="S131" i="16"/>
  <c r="R131" i="16"/>
  <c r="N131" i="16"/>
  <c r="M131" i="16"/>
  <c r="L131" i="16"/>
  <c r="X130" i="16"/>
  <c r="W130" i="16"/>
  <c r="V130" i="16"/>
  <c r="U130" i="16"/>
  <c r="T130" i="16"/>
  <c r="S130" i="16"/>
  <c r="R130" i="16"/>
  <c r="N130" i="16"/>
  <c r="M130" i="16"/>
  <c r="L130" i="16"/>
  <c r="X129" i="16"/>
  <c r="W129" i="16"/>
  <c r="V129" i="16"/>
  <c r="U129" i="16"/>
  <c r="T129" i="16"/>
  <c r="S129" i="16"/>
  <c r="R129" i="16"/>
  <c r="N129" i="16"/>
  <c r="M129" i="16"/>
  <c r="L129" i="16"/>
  <c r="X128" i="16"/>
  <c r="W128" i="16"/>
  <c r="V128" i="16"/>
  <c r="U128" i="16"/>
  <c r="T128" i="16"/>
  <c r="S128" i="16"/>
  <c r="R128" i="16"/>
  <c r="N128" i="16"/>
  <c r="M128" i="16"/>
  <c r="L128" i="16"/>
  <c r="X127" i="16"/>
  <c r="W127" i="16"/>
  <c r="V127" i="16"/>
  <c r="U127" i="16"/>
  <c r="T127" i="16"/>
  <c r="S127" i="16"/>
  <c r="R127" i="16"/>
  <c r="N127" i="16"/>
  <c r="M127" i="16"/>
  <c r="L127" i="16"/>
  <c r="X126" i="16"/>
  <c r="W126" i="16"/>
  <c r="V126" i="16"/>
  <c r="U126" i="16"/>
  <c r="T126" i="16"/>
  <c r="S126" i="16"/>
  <c r="R126" i="16"/>
  <c r="N126" i="16"/>
  <c r="M126" i="16"/>
  <c r="L126" i="16"/>
  <c r="X125" i="16"/>
  <c r="W125" i="16"/>
  <c r="V125" i="16"/>
  <c r="U125" i="16"/>
  <c r="T125" i="16"/>
  <c r="S125" i="16"/>
  <c r="R125" i="16"/>
  <c r="N125" i="16"/>
  <c r="M125" i="16"/>
  <c r="L125" i="16"/>
  <c r="X124" i="16"/>
  <c r="W124" i="16"/>
  <c r="V124" i="16"/>
  <c r="U124" i="16"/>
  <c r="T124" i="16"/>
  <c r="S124" i="16"/>
  <c r="R124" i="16"/>
  <c r="N124" i="16"/>
  <c r="M124" i="16"/>
  <c r="L124" i="16"/>
  <c r="X123" i="16"/>
  <c r="W123" i="16"/>
  <c r="V123" i="16"/>
  <c r="U123" i="16"/>
  <c r="T123" i="16"/>
  <c r="S123" i="16"/>
  <c r="R123" i="16"/>
  <c r="N123" i="16"/>
  <c r="M123" i="16"/>
  <c r="L123" i="16"/>
  <c r="X122" i="16"/>
  <c r="W122" i="16"/>
  <c r="V122" i="16"/>
  <c r="U122" i="16"/>
  <c r="T122" i="16"/>
  <c r="S122" i="16"/>
  <c r="R122" i="16"/>
  <c r="N122" i="16"/>
  <c r="M122" i="16"/>
  <c r="L122" i="16"/>
  <c r="X121" i="16"/>
  <c r="W121" i="16"/>
  <c r="V121" i="16"/>
  <c r="U121" i="16"/>
  <c r="T121" i="16"/>
  <c r="S121" i="16"/>
  <c r="R121" i="16"/>
  <c r="N121" i="16"/>
  <c r="M121" i="16"/>
  <c r="L121" i="16"/>
  <c r="X120" i="16"/>
  <c r="W120" i="16"/>
  <c r="V120" i="16"/>
  <c r="U120" i="16"/>
  <c r="T120" i="16"/>
  <c r="S120" i="16"/>
  <c r="R120" i="16"/>
  <c r="N120" i="16"/>
  <c r="M120" i="16"/>
  <c r="L120" i="16"/>
  <c r="X119" i="16"/>
  <c r="W119" i="16"/>
  <c r="V119" i="16"/>
  <c r="U119" i="16"/>
  <c r="T119" i="16"/>
  <c r="S119" i="16"/>
  <c r="R119" i="16"/>
  <c r="N119" i="16"/>
  <c r="M119" i="16"/>
  <c r="L119" i="16"/>
  <c r="X118" i="16"/>
  <c r="W118" i="16"/>
  <c r="V118" i="16"/>
  <c r="U118" i="16"/>
  <c r="T118" i="16"/>
  <c r="S118" i="16"/>
  <c r="R118" i="16"/>
  <c r="N118" i="16"/>
  <c r="M118" i="16"/>
  <c r="L118" i="16"/>
  <c r="X117" i="16"/>
  <c r="W117" i="16"/>
  <c r="V117" i="16"/>
  <c r="U117" i="16"/>
  <c r="T117" i="16"/>
  <c r="S117" i="16"/>
  <c r="R117" i="16"/>
  <c r="N117" i="16"/>
  <c r="M117" i="16"/>
  <c r="L117" i="16"/>
  <c r="X116" i="16"/>
  <c r="W116" i="16"/>
  <c r="V116" i="16"/>
  <c r="U116" i="16"/>
  <c r="T116" i="16"/>
  <c r="S116" i="16"/>
  <c r="R116" i="16"/>
  <c r="N116" i="16"/>
  <c r="M116" i="16"/>
  <c r="L116" i="16"/>
  <c r="X115" i="16"/>
  <c r="W115" i="16"/>
  <c r="V115" i="16"/>
  <c r="U115" i="16"/>
  <c r="T115" i="16"/>
  <c r="S115" i="16"/>
  <c r="R115" i="16"/>
  <c r="N115" i="16"/>
  <c r="M115" i="16"/>
  <c r="L115" i="16"/>
  <c r="X114" i="16"/>
  <c r="W114" i="16"/>
  <c r="V114" i="16"/>
  <c r="U114" i="16"/>
  <c r="T114" i="16"/>
  <c r="S114" i="16"/>
  <c r="R114" i="16"/>
  <c r="N114" i="16"/>
  <c r="M114" i="16"/>
  <c r="L114" i="16"/>
  <c r="X113" i="16"/>
  <c r="W113" i="16"/>
  <c r="V113" i="16"/>
  <c r="U113" i="16"/>
  <c r="T113" i="16"/>
  <c r="S113" i="16"/>
  <c r="R113" i="16"/>
  <c r="N113" i="16"/>
  <c r="M113" i="16"/>
  <c r="L113" i="16"/>
  <c r="X112" i="16"/>
  <c r="W112" i="16"/>
  <c r="V112" i="16"/>
  <c r="U112" i="16"/>
  <c r="T112" i="16"/>
  <c r="S112" i="16"/>
  <c r="R112" i="16"/>
  <c r="N112" i="16"/>
  <c r="M112" i="16"/>
  <c r="L112" i="16"/>
  <c r="X111" i="16"/>
  <c r="W111" i="16"/>
  <c r="V111" i="16"/>
  <c r="U111" i="16"/>
  <c r="T111" i="16"/>
  <c r="S111" i="16"/>
  <c r="R111" i="16"/>
  <c r="N111" i="16"/>
  <c r="M111" i="16"/>
  <c r="L111" i="16"/>
  <c r="X110" i="16"/>
  <c r="W110" i="16"/>
  <c r="V110" i="16"/>
  <c r="U110" i="16"/>
  <c r="T110" i="16"/>
  <c r="S110" i="16"/>
  <c r="R110" i="16"/>
  <c r="N110" i="16"/>
  <c r="M110" i="16"/>
  <c r="L110" i="16"/>
  <c r="X109" i="16"/>
  <c r="W109" i="16"/>
  <c r="V109" i="16"/>
  <c r="U109" i="16"/>
  <c r="T109" i="16"/>
  <c r="S109" i="16"/>
  <c r="R109" i="16"/>
  <c r="N109" i="16"/>
  <c r="M109" i="16"/>
  <c r="L109" i="16"/>
  <c r="X108" i="16"/>
  <c r="W108" i="16"/>
  <c r="V108" i="16"/>
  <c r="U108" i="16"/>
  <c r="T108" i="16"/>
  <c r="S108" i="16"/>
  <c r="R108" i="16"/>
  <c r="N108" i="16"/>
  <c r="M108" i="16"/>
  <c r="L108" i="16"/>
  <c r="X107" i="16"/>
  <c r="W107" i="16"/>
  <c r="V107" i="16"/>
  <c r="U107" i="16"/>
  <c r="T107" i="16"/>
  <c r="S107" i="16"/>
  <c r="R107" i="16"/>
  <c r="N107" i="16"/>
  <c r="M107" i="16"/>
  <c r="L107" i="16"/>
  <c r="X106" i="16"/>
  <c r="W106" i="16"/>
  <c r="V106" i="16"/>
  <c r="U106" i="16"/>
  <c r="T106" i="16"/>
  <c r="S106" i="16"/>
  <c r="R106" i="16"/>
  <c r="N106" i="16"/>
  <c r="M106" i="16"/>
  <c r="L106" i="16"/>
  <c r="X105" i="16"/>
  <c r="W105" i="16"/>
  <c r="V105" i="16"/>
  <c r="U105" i="16"/>
  <c r="T105" i="16"/>
  <c r="S105" i="16"/>
  <c r="R105" i="16"/>
  <c r="N105" i="16"/>
  <c r="M105" i="16"/>
  <c r="L105" i="16"/>
  <c r="X104" i="16"/>
  <c r="W104" i="16"/>
  <c r="V104" i="16"/>
  <c r="U104" i="16"/>
  <c r="T104" i="16"/>
  <c r="S104" i="16"/>
  <c r="R104" i="16"/>
  <c r="N104" i="16"/>
  <c r="M104" i="16"/>
  <c r="L104" i="16"/>
  <c r="X103" i="16"/>
  <c r="W103" i="16"/>
  <c r="V103" i="16"/>
  <c r="U103" i="16"/>
  <c r="T103" i="16"/>
  <c r="S103" i="16"/>
  <c r="R103" i="16"/>
  <c r="N103" i="16"/>
  <c r="M103" i="16"/>
  <c r="L103" i="16"/>
  <c r="X102" i="16"/>
  <c r="W102" i="16"/>
  <c r="V102" i="16"/>
  <c r="U102" i="16"/>
  <c r="T102" i="16"/>
  <c r="S102" i="16"/>
  <c r="R102" i="16"/>
  <c r="N102" i="16"/>
  <c r="M102" i="16"/>
  <c r="L102" i="16"/>
  <c r="X101" i="16"/>
  <c r="W101" i="16"/>
  <c r="V101" i="16"/>
  <c r="U101" i="16"/>
  <c r="T101" i="16"/>
  <c r="S101" i="16"/>
  <c r="R101" i="16"/>
  <c r="N101" i="16"/>
  <c r="M101" i="16"/>
  <c r="L101" i="16"/>
  <c r="X100" i="16"/>
  <c r="W100" i="16"/>
  <c r="V100" i="16"/>
  <c r="U100" i="16"/>
  <c r="T100" i="16"/>
  <c r="S100" i="16"/>
  <c r="R100" i="16"/>
  <c r="N100" i="16"/>
  <c r="M100" i="16"/>
  <c r="L100" i="16"/>
  <c r="X99" i="16"/>
  <c r="W99" i="16"/>
  <c r="V99" i="16"/>
  <c r="U99" i="16"/>
  <c r="T99" i="16"/>
  <c r="S99" i="16"/>
  <c r="R99" i="16"/>
  <c r="N99" i="16"/>
  <c r="M99" i="16"/>
  <c r="L99" i="16"/>
  <c r="X98" i="16"/>
  <c r="W98" i="16"/>
  <c r="V98" i="16"/>
  <c r="U98" i="16"/>
  <c r="T98" i="16"/>
  <c r="S98" i="16"/>
  <c r="R98" i="16"/>
  <c r="N98" i="16"/>
  <c r="M98" i="16"/>
  <c r="L98" i="16"/>
  <c r="X97" i="16"/>
  <c r="W97" i="16"/>
  <c r="V97" i="16"/>
  <c r="U97" i="16"/>
  <c r="T97" i="16"/>
  <c r="S97" i="16"/>
  <c r="R97" i="16"/>
  <c r="N97" i="16"/>
  <c r="M97" i="16"/>
  <c r="L97" i="16"/>
  <c r="X96" i="16"/>
  <c r="W96" i="16"/>
  <c r="V96" i="16"/>
  <c r="U96" i="16"/>
  <c r="T96" i="16"/>
  <c r="S96" i="16"/>
  <c r="R96" i="16"/>
  <c r="N96" i="16"/>
  <c r="M96" i="16"/>
  <c r="L96" i="16"/>
  <c r="X95" i="16"/>
  <c r="W95" i="16"/>
  <c r="V95" i="16"/>
  <c r="U95" i="16"/>
  <c r="T95" i="16"/>
  <c r="S95" i="16"/>
  <c r="R95" i="16"/>
  <c r="N95" i="16"/>
  <c r="M95" i="16"/>
  <c r="L95" i="16"/>
  <c r="X94" i="16"/>
  <c r="W94" i="16"/>
  <c r="V94" i="16"/>
  <c r="U94" i="16"/>
  <c r="T94" i="16"/>
  <c r="S94" i="16"/>
  <c r="R94" i="16"/>
  <c r="N94" i="16"/>
  <c r="M94" i="16"/>
  <c r="L94" i="16"/>
  <c r="X93" i="16"/>
  <c r="W93" i="16"/>
  <c r="V93" i="16"/>
  <c r="U93" i="16"/>
  <c r="T93" i="16"/>
  <c r="S93" i="16"/>
  <c r="R93" i="16"/>
  <c r="N93" i="16"/>
  <c r="M93" i="16"/>
  <c r="L93" i="16"/>
  <c r="X92" i="16"/>
  <c r="W92" i="16"/>
  <c r="V92" i="16"/>
  <c r="U92" i="16"/>
  <c r="T92" i="16"/>
  <c r="S92" i="16"/>
  <c r="R92" i="16"/>
  <c r="N92" i="16"/>
  <c r="M92" i="16"/>
  <c r="L92" i="16"/>
  <c r="X91" i="16"/>
  <c r="W91" i="16"/>
  <c r="V91" i="16"/>
  <c r="U91" i="16"/>
  <c r="T91" i="16"/>
  <c r="S91" i="16"/>
  <c r="R91" i="16"/>
  <c r="N91" i="16"/>
  <c r="M91" i="16"/>
  <c r="L91" i="16"/>
  <c r="X90" i="16"/>
  <c r="W90" i="16"/>
  <c r="V90" i="16"/>
  <c r="U90" i="16"/>
  <c r="T90" i="16"/>
  <c r="S90" i="16"/>
  <c r="R90" i="16"/>
  <c r="N90" i="16"/>
  <c r="M90" i="16"/>
  <c r="L90" i="16"/>
  <c r="X89" i="16"/>
  <c r="W89" i="16"/>
  <c r="V89" i="16"/>
  <c r="U89" i="16"/>
  <c r="T89" i="16"/>
  <c r="S89" i="16"/>
  <c r="R89" i="16"/>
  <c r="N89" i="16"/>
  <c r="M89" i="16"/>
  <c r="L89" i="16"/>
  <c r="X88" i="16"/>
  <c r="W88" i="16"/>
  <c r="V88" i="16"/>
  <c r="U88" i="16"/>
  <c r="T88" i="16"/>
  <c r="S88" i="16"/>
  <c r="R88" i="16"/>
  <c r="N88" i="16"/>
  <c r="M88" i="16"/>
  <c r="L88" i="16"/>
  <c r="X87" i="16"/>
  <c r="W87" i="16"/>
  <c r="V87" i="16"/>
  <c r="U87" i="16"/>
  <c r="T87" i="16"/>
  <c r="S87" i="16"/>
  <c r="R87" i="16"/>
  <c r="N87" i="16"/>
  <c r="M87" i="16"/>
  <c r="L87" i="16"/>
  <c r="X86" i="16"/>
  <c r="W86" i="16"/>
  <c r="V86" i="16"/>
  <c r="U86" i="16"/>
  <c r="T86" i="16"/>
  <c r="S86" i="16"/>
  <c r="R86" i="16"/>
  <c r="N86" i="16"/>
  <c r="M86" i="16"/>
  <c r="L86" i="16"/>
  <c r="X85" i="16"/>
  <c r="W85" i="16"/>
  <c r="V85" i="16"/>
  <c r="U85" i="16"/>
  <c r="T85" i="16"/>
  <c r="S85" i="16"/>
  <c r="R85" i="16"/>
  <c r="N85" i="16"/>
  <c r="M85" i="16"/>
  <c r="L85" i="16"/>
  <c r="X84" i="16"/>
  <c r="W84" i="16"/>
  <c r="V84" i="16"/>
  <c r="U84" i="16"/>
  <c r="T84" i="16"/>
  <c r="S84" i="16"/>
  <c r="R84" i="16"/>
  <c r="N84" i="16"/>
  <c r="M84" i="16"/>
  <c r="L84" i="16"/>
  <c r="X83" i="16"/>
  <c r="W83" i="16"/>
  <c r="V83" i="16"/>
  <c r="U83" i="16"/>
  <c r="T83" i="16"/>
  <c r="S83" i="16"/>
  <c r="R83" i="16"/>
  <c r="N83" i="16"/>
  <c r="M83" i="16"/>
  <c r="L83" i="16"/>
  <c r="X82" i="16"/>
  <c r="W82" i="16"/>
  <c r="V82" i="16"/>
  <c r="U82" i="16"/>
  <c r="T82" i="16"/>
  <c r="S82" i="16"/>
  <c r="R82" i="16"/>
  <c r="N82" i="16"/>
  <c r="M82" i="16"/>
  <c r="L82" i="16"/>
  <c r="X81" i="16"/>
  <c r="W81" i="16"/>
  <c r="V81" i="16"/>
  <c r="U81" i="16"/>
  <c r="T81" i="16"/>
  <c r="S81" i="16"/>
  <c r="R81" i="16"/>
  <c r="N81" i="16"/>
  <c r="M81" i="16"/>
  <c r="L81" i="16"/>
  <c r="X80" i="16"/>
  <c r="W80" i="16"/>
  <c r="V80" i="16"/>
  <c r="U80" i="16"/>
  <c r="T80" i="16"/>
  <c r="S80" i="16"/>
  <c r="R80" i="16"/>
  <c r="N80" i="16"/>
  <c r="M80" i="16"/>
  <c r="L80" i="16"/>
  <c r="X79" i="16"/>
  <c r="W79" i="16"/>
  <c r="V79" i="16"/>
  <c r="U79" i="16"/>
  <c r="T79" i="16"/>
  <c r="S79" i="16"/>
  <c r="R79" i="16"/>
  <c r="N79" i="16"/>
  <c r="M79" i="16"/>
  <c r="L79" i="16"/>
  <c r="X78" i="16"/>
  <c r="W78" i="16"/>
  <c r="V78" i="16"/>
  <c r="U78" i="16"/>
  <c r="T78" i="16"/>
  <c r="S78" i="16"/>
  <c r="R78" i="16"/>
  <c r="N78" i="16"/>
  <c r="M78" i="16"/>
  <c r="L78" i="16"/>
  <c r="X77" i="16"/>
  <c r="W77" i="16"/>
  <c r="V77" i="16"/>
  <c r="U77" i="16"/>
  <c r="T77" i="16"/>
  <c r="S77" i="16"/>
  <c r="R77" i="16"/>
  <c r="N77" i="16"/>
  <c r="M77" i="16"/>
  <c r="L77" i="16"/>
  <c r="X76" i="16"/>
  <c r="W76" i="16"/>
  <c r="V76" i="16"/>
  <c r="U76" i="16"/>
  <c r="T76" i="16"/>
  <c r="S76" i="16"/>
  <c r="R76" i="16"/>
  <c r="N76" i="16"/>
  <c r="M76" i="16"/>
  <c r="L76" i="16"/>
  <c r="X75" i="16"/>
  <c r="W75" i="16"/>
  <c r="V75" i="16"/>
  <c r="U75" i="16"/>
  <c r="T75" i="16"/>
  <c r="S75" i="16"/>
  <c r="R75" i="16"/>
  <c r="N75" i="16"/>
  <c r="M75" i="16"/>
  <c r="L75" i="16"/>
  <c r="X74" i="16"/>
  <c r="W74" i="16"/>
  <c r="V74" i="16"/>
  <c r="U74" i="16"/>
  <c r="T74" i="16"/>
  <c r="S74" i="16"/>
  <c r="R74" i="16"/>
  <c r="N74" i="16"/>
  <c r="M74" i="16"/>
  <c r="L74" i="16"/>
  <c r="X73" i="16"/>
  <c r="W73" i="16"/>
  <c r="V73" i="16"/>
  <c r="U73" i="16"/>
  <c r="T73" i="16"/>
  <c r="S73" i="16"/>
  <c r="R73" i="16"/>
  <c r="N73" i="16"/>
  <c r="M73" i="16"/>
  <c r="L73" i="16"/>
  <c r="X72" i="16"/>
  <c r="W72" i="16"/>
  <c r="V72" i="16"/>
  <c r="U72" i="16"/>
  <c r="T72" i="16"/>
  <c r="S72" i="16"/>
  <c r="R72" i="16"/>
  <c r="N72" i="16"/>
  <c r="M72" i="16"/>
  <c r="L72" i="16"/>
  <c r="X71" i="16"/>
  <c r="W71" i="16"/>
  <c r="V71" i="16"/>
  <c r="U71" i="16"/>
  <c r="T71" i="16"/>
  <c r="S71" i="16"/>
  <c r="R71" i="16"/>
  <c r="N71" i="16"/>
  <c r="M71" i="16"/>
  <c r="L71" i="16"/>
  <c r="X70" i="16"/>
  <c r="W70" i="16"/>
  <c r="V70" i="16"/>
  <c r="U70" i="16"/>
  <c r="T70" i="16"/>
  <c r="S70" i="16"/>
  <c r="R70" i="16"/>
  <c r="N70" i="16"/>
  <c r="M70" i="16"/>
  <c r="L70" i="16"/>
  <c r="X69" i="16"/>
  <c r="W69" i="16"/>
  <c r="V69" i="16"/>
  <c r="U69" i="16"/>
  <c r="T69" i="16"/>
  <c r="S69" i="16"/>
  <c r="R69" i="16"/>
  <c r="N69" i="16"/>
  <c r="M69" i="16"/>
  <c r="L69" i="16"/>
  <c r="X68" i="16"/>
  <c r="W68" i="16"/>
  <c r="V68" i="16"/>
  <c r="U68" i="16"/>
  <c r="T68" i="16"/>
  <c r="S68" i="16"/>
  <c r="R68" i="16"/>
  <c r="N68" i="16"/>
  <c r="M68" i="16"/>
  <c r="L68" i="16"/>
  <c r="X67" i="16"/>
  <c r="W67" i="16"/>
  <c r="V67" i="16"/>
  <c r="U67" i="16"/>
  <c r="T67" i="16"/>
  <c r="S67" i="16"/>
  <c r="R67" i="16"/>
  <c r="N67" i="16"/>
  <c r="M67" i="16"/>
  <c r="L67" i="16"/>
  <c r="X66" i="16"/>
  <c r="W66" i="16"/>
  <c r="V66" i="16"/>
  <c r="U66" i="16"/>
  <c r="T66" i="16"/>
  <c r="S66" i="16"/>
  <c r="R66" i="16"/>
  <c r="N66" i="16"/>
  <c r="M66" i="16"/>
  <c r="L66" i="16"/>
  <c r="X65" i="16"/>
  <c r="W65" i="16"/>
  <c r="V65" i="16"/>
  <c r="U65" i="16"/>
  <c r="T65" i="16"/>
  <c r="S65" i="16"/>
  <c r="R65" i="16"/>
  <c r="N65" i="16"/>
  <c r="M65" i="16"/>
  <c r="L65" i="16"/>
  <c r="X64" i="16"/>
  <c r="W64" i="16"/>
  <c r="V64" i="16"/>
  <c r="U64" i="16"/>
  <c r="T64" i="16"/>
  <c r="S64" i="16"/>
  <c r="R64" i="16"/>
  <c r="N64" i="16"/>
  <c r="M64" i="16"/>
  <c r="L64" i="16"/>
  <c r="X63" i="16"/>
  <c r="W63" i="16"/>
  <c r="V63" i="16"/>
  <c r="U63" i="16"/>
  <c r="T63" i="16"/>
  <c r="S63" i="16"/>
  <c r="R63" i="16"/>
  <c r="N63" i="16"/>
  <c r="M63" i="16"/>
  <c r="L63" i="16"/>
  <c r="X62" i="16"/>
  <c r="W62" i="16"/>
  <c r="V62" i="16"/>
  <c r="U62" i="16"/>
  <c r="T62" i="16"/>
  <c r="S62" i="16"/>
  <c r="R62" i="16"/>
  <c r="N62" i="16"/>
  <c r="M62" i="16"/>
  <c r="L62" i="16"/>
  <c r="X61" i="16"/>
  <c r="W61" i="16"/>
  <c r="V61" i="16"/>
  <c r="U61" i="16"/>
  <c r="T61" i="16"/>
  <c r="S61" i="16"/>
  <c r="R61" i="16"/>
  <c r="N61" i="16"/>
  <c r="M61" i="16"/>
  <c r="L61" i="16"/>
  <c r="X60" i="16"/>
  <c r="W60" i="16"/>
  <c r="V60" i="16"/>
  <c r="U60" i="16"/>
  <c r="T60" i="16"/>
  <c r="S60" i="16"/>
  <c r="R60" i="16"/>
  <c r="N60" i="16"/>
  <c r="M60" i="16"/>
  <c r="L60" i="16"/>
  <c r="X59" i="16"/>
  <c r="W59" i="16"/>
  <c r="V59" i="16"/>
  <c r="U59" i="16"/>
  <c r="S59" i="16"/>
  <c r="R59" i="16"/>
  <c r="N59" i="16"/>
  <c r="M59" i="16"/>
  <c r="L59" i="16"/>
  <c r="X58" i="16"/>
  <c r="W58" i="16"/>
  <c r="V58" i="16"/>
  <c r="U58" i="16"/>
  <c r="T58" i="16"/>
  <c r="S58" i="16"/>
  <c r="R58" i="16"/>
  <c r="N58" i="16"/>
  <c r="M58" i="16"/>
  <c r="L58" i="16"/>
  <c r="X57" i="16"/>
  <c r="W57" i="16"/>
  <c r="V57" i="16"/>
  <c r="U57" i="16"/>
  <c r="T57" i="16"/>
  <c r="S57" i="16"/>
  <c r="R57" i="16"/>
  <c r="N57" i="16"/>
  <c r="M57" i="16"/>
  <c r="L57" i="16"/>
  <c r="X56" i="16"/>
  <c r="W56" i="16"/>
  <c r="V56" i="16"/>
  <c r="U56" i="16"/>
  <c r="T56" i="16"/>
  <c r="S56" i="16"/>
  <c r="R56" i="16"/>
  <c r="N56" i="16"/>
  <c r="M56" i="16"/>
  <c r="L56" i="16"/>
  <c r="X55" i="16"/>
  <c r="W55" i="16"/>
  <c r="V55" i="16"/>
  <c r="U55" i="16"/>
  <c r="T55" i="16"/>
  <c r="S55" i="16"/>
  <c r="R55" i="16"/>
  <c r="N55" i="16"/>
  <c r="M55" i="16"/>
  <c r="L55" i="16"/>
  <c r="X54" i="16"/>
  <c r="W54" i="16"/>
  <c r="V54" i="16"/>
  <c r="U54" i="16"/>
  <c r="T54" i="16"/>
  <c r="S54" i="16"/>
  <c r="R54" i="16"/>
  <c r="N54" i="16"/>
  <c r="M54" i="16"/>
  <c r="L54" i="16"/>
  <c r="X53" i="16"/>
  <c r="W53" i="16"/>
  <c r="V53" i="16"/>
  <c r="U53" i="16"/>
  <c r="T53" i="16"/>
  <c r="S53" i="16"/>
  <c r="R53" i="16"/>
  <c r="N53" i="16"/>
  <c r="M53" i="16"/>
  <c r="L53" i="16"/>
  <c r="X52" i="16"/>
  <c r="W52" i="16"/>
  <c r="V52" i="16"/>
  <c r="U52" i="16"/>
  <c r="T52" i="16"/>
  <c r="S52" i="16"/>
  <c r="R52" i="16"/>
  <c r="N52" i="16"/>
  <c r="M52" i="16"/>
  <c r="L52" i="16"/>
  <c r="X51" i="16"/>
  <c r="W51" i="16"/>
  <c r="V51" i="16"/>
  <c r="U51" i="16"/>
  <c r="T51" i="16"/>
  <c r="S51" i="16"/>
  <c r="R51" i="16"/>
  <c r="N51" i="16"/>
  <c r="M51" i="16"/>
  <c r="L51" i="16"/>
  <c r="X50" i="16"/>
  <c r="W50" i="16"/>
  <c r="V50" i="16"/>
  <c r="U50" i="16"/>
  <c r="T50" i="16"/>
  <c r="S50" i="16"/>
  <c r="R50" i="16"/>
  <c r="N50" i="16"/>
  <c r="M50" i="16"/>
  <c r="L50" i="16"/>
  <c r="X49" i="16"/>
  <c r="W49" i="16"/>
  <c r="V49" i="16"/>
  <c r="U49" i="16"/>
  <c r="T49" i="16"/>
  <c r="S49" i="16"/>
  <c r="R49" i="16"/>
  <c r="N49" i="16"/>
  <c r="M49" i="16"/>
  <c r="L49" i="16"/>
  <c r="X48" i="16"/>
  <c r="W48" i="16"/>
  <c r="V48" i="16"/>
  <c r="U48" i="16"/>
  <c r="T48" i="16"/>
  <c r="S48" i="16"/>
  <c r="R48" i="16"/>
  <c r="N48" i="16"/>
  <c r="M48" i="16"/>
  <c r="L48" i="16"/>
  <c r="X47" i="16"/>
  <c r="W47" i="16"/>
  <c r="V47" i="16"/>
  <c r="U47" i="16"/>
  <c r="T47" i="16"/>
  <c r="S47" i="16"/>
  <c r="R47" i="16"/>
  <c r="N47" i="16"/>
  <c r="M47" i="16"/>
  <c r="L47" i="16"/>
  <c r="X46" i="16"/>
  <c r="W46" i="16"/>
  <c r="V46" i="16"/>
  <c r="U46" i="16"/>
  <c r="T46" i="16"/>
  <c r="S46" i="16"/>
  <c r="R46" i="16"/>
  <c r="N46" i="16"/>
  <c r="M46" i="16"/>
  <c r="L46" i="16"/>
  <c r="X45" i="16"/>
  <c r="W45" i="16"/>
  <c r="V45" i="16"/>
  <c r="U45" i="16"/>
  <c r="T45" i="16"/>
  <c r="S45" i="16"/>
  <c r="R45" i="16"/>
  <c r="N45" i="16"/>
  <c r="M45" i="16"/>
  <c r="L45" i="16"/>
  <c r="X44" i="16"/>
  <c r="W44" i="16"/>
  <c r="V44" i="16"/>
  <c r="U44" i="16"/>
  <c r="T44" i="16"/>
  <c r="S44" i="16"/>
  <c r="R44" i="16"/>
  <c r="N44" i="16"/>
  <c r="M44" i="16"/>
  <c r="L44" i="16"/>
  <c r="X43" i="16"/>
  <c r="W43" i="16"/>
  <c r="V43" i="16"/>
  <c r="U43" i="16"/>
  <c r="T43" i="16"/>
  <c r="S43" i="16"/>
  <c r="R43" i="16"/>
  <c r="N43" i="16"/>
  <c r="M43" i="16"/>
  <c r="L43" i="16"/>
  <c r="X42" i="16"/>
  <c r="W42" i="16"/>
  <c r="V42" i="16"/>
  <c r="U42" i="16"/>
  <c r="T42" i="16"/>
  <c r="S42" i="16"/>
  <c r="R42" i="16"/>
  <c r="N42" i="16"/>
  <c r="M42" i="16"/>
  <c r="L42" i="16"/>
  <c r="X41" i="16"/>
  <c r="W41" i="16"/>
  <c r="V41" i="16"/>
  <c r="U41" i="16"/>
  <c r="T41" i="16"/>
  <c r="S41" i="16"/>
  <c r="R41" i="16"/>
  <c r="N41" i="16"/>
  <c r="M41" i="16"/>
  <c r="L41" i="16"/>
  <c r="X40" i="16"/>
  <c r="W40" i="16"/>
  <c r="V40" i="16"/>
  <c r="U40" i="16"/>
  <c r="T40" i="16"/>
  <c r="S40" i="16"/>
  <c r="R40" i="16"/>
  <c r="N40" i="16"/>
  <c r="M40" i="16"/>
  <c r="L40" i="16"/>
  <c r="X39" i="16"/>
  <c r="W39" i="16"/>
  <c r="V39" i="16"/>
  <c r="U39" i="16"/>
  <c r="T39" i="16"/>
  <c r="S39" i="16"/>
  <c r="R39" i="16"/>
  <c r="N39" i="16"/>
  <c r="M39" i="16"/>
  <c r="L39" i="16"/>
  <c r="U38" i="16"/>
  <c r="T38" i="16"/>
  <c r="S38" i="16"/>
  <c r="R38" i="16"/>
  <c r="N38" i="16"/>
  <c r="Q48" i="16" s="1"/>
  <c r="M38" i="16"/>
  <c r="P43" i="16" s="1"/>
  <c r="L38" i="16"/>
  <c r="O38" i="16" s="1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R16" i="16"/>
  <c r="N16" i="16"/>
  <c r="M16" i="16"/>
  <c r="L16" i="16"/>
  <c r="K16" i="16"/>
  <c r="W7" i="16"/>
  <c r="Y2" i="16"/>
  <c r="X153" i="14"/>
  <c r="W153" i="14"/>
  <c r="V153" i="14"/>
  <c r="U153" i="14"/>
  <c r="T153" i="14"/>
  <c r="S153" i="14"/>
  <c r="R153" i="14"/>
  <c r="N153" i="14"/>
  <c r="M153" i="14"/>
  <c r="L153" i="14"/>
  <c r="X152" i="14"/>
  <c r="W152" i="14"/>
  <c r="V152" i="14"/>
  <c r="U152" i="14"/>
  <c r="T152" i="14"/>
  <c r="S152" i="14"/>
  <c r="R152" i="14"/>
  <c r="N152" i="14"/>
  <c r="M152" i="14"/>
  <c r="L152" i="14"/>
  <c r="X151" i="14"/>
  <c r="W151" i="14"/>
  <c r="V151" i="14"/>
  <c r="U151" i="14"/>
  <c r="T151" i="14"/>
  <c r="S151" i="14"/>
  <c r="R151" i="14"/>
  <c r="N151" i="14"/>
  <c r="M151" i="14"/>
  <c r="L151" i="14"/>
  <c r="X150" i="14"/>
  <c r="W150" i="14"/>
  <c r="V150" i="14"/>
  <c r="U150" i="14"/>
  <c r="T150" i="14"/>
  <c r="S150" i="14"/>
  <c r="R150" i="14"/>
  <c r="N150" i="14"/>
  <c r="M150" i="14"/>
  <c r="L150" i="14"/>
  <c r="X149" i="14"/>
  <c r="W149" i="14"/>
  <c r="V149" i="14"/>
  <c r="U149" i="14"/>
  <c r="T149" i="14"/>
  <c r="S149" i="14"/>
  <c r="R149" i="14"/>
  <c r="N149" i="14"/>
  <c r="M149" i="14"/>
  <c r="L149" i="14"/>
  <c r="X148" i="14"/>
  <c r="W148" i="14"/>
  <c r="V148" i="14"/>
  <c r="U148" i="14"/>
  <c r="T148" i="14"/>
  <c r="S148" i="14"/>
  <c r="R148" i="14"/>
  <c r="N148" i="14"/>
  <c r="M148" i="14"/>
  <c r="L148" i="14"/>
  <c r="X147" i="14"/>
  <c r="W147" i="14"/>
  <c r="V147" i="14"/>
  <c r="U147" i="14"/>
  <c r="T147" i="14"/>
  <c r="S147" i="14"/>
  <c r="R147" i="14"/>
  <c r="N147" i="14"/>
  <c r="M147" i="14"/>
  <c r="L147" i="14"/>
  <c r="X146" i="14"/>
  <c r="W146" i="14"/>
  <c r="V146" i="14"/>
  <c r="U146" i="14"/>
  <c r="T146" i="14"/>
  <c r="S146" i="14"/>
  <c r="R146" i="14"/>
  <c r="N146" i="14"/>
  <c r="M146" i="14"/>
  <c r="L146" i="14"/>
  <c r="X145" i="14"/>
  <c r="W145" i="14"/>
  <c r="V145" i="14"/>
  <c r="U145" i="14"/>
  <c r="T145" i="14"/>
  <c r="S145" i="14"/>
  <c r="R145" i="14"/>
  <c r="N145" i="14"/>
  <c r="M145" i="14"/>
  <c r="L145" i="14"/>
  <c r="X144" i="14"/>
  <c r="W144" i="14"/>
  <c r="V144" i="14"/>
  <c r="U144" i="14"/>
  <c r="T144" i="14"/>
  <c r="S144" i="14"/>
  <c r="R144" i="14"/>
  <c r="N144" i="14"/>
  <c r="M144" i="14"/>
  <c r="L144" i="14"/>
  <c r="X143" i="14"/>
  <c r="W143" i="14"/>
  <c r="V143" i="14"/>
  <c r="U143" i="14"/>
  <c r="T143" i="14"/>
  <c r="S143" i="14"/>
  <c r="R143" i="14"/>
  <c r="N143" i="14"/>
  <c r="M143" i="14"/>
  <c r="L143" i="14"/>
  <c r="X142" i="14"/>
  <c r="W142" i="14"/>
  <c r="V142" i="14"/>
  <c r="U142" i="14"/>
  <c r="T142" i="14"/>
  <c r="S142" i="14"/>
  <c r="R142" i="14"/>
  <c r="N142" i="14"/>
  <c r="M142" i="14"/>
  <c r="L142" i="14"/>
  <c r="X141" i="14"/>
  <c r="W141" i="14"/>
  <c r="V141" i="14"/>
  <c r="U141" i="14"/>
  <c r="T141" i="14"/>
  <c r="S141" i="14"/>
  <c r="R141" i="14"/>
  <c r="N141" i="14"/>
  <c r="M141" i="14"/>
  <c r="L141" i="14"/>
  <c r="X140" i="14"/>
  <c r="W140" i="14"/>
  <c r="V140" i="14"/>
  <c r="U140" i="14"/>
  <c r="T140" i="14"/>
  <c r="S140" i="14"/>
  <c r="R140" i="14"/>
  <c r="N140" i="14"/>
  <c r="M140" i="14"/>
  <c r="L140" i="14"/>
  <c r="X139" i="14"/>
  <c r="W139" i="14"/>
  <c r="V139" i="14"/>
  <c r="U139" i="14"/>
  <c r="T139" i="14"/>
  <c r="S139" i="14"/>
  <c r="R139" i="14"/>
  <c r="N139" i="14"/>
  <c r="M139" i="14"/>
  <c r="L139" i="14"/>
  <c r="X138" i="14"/>
  <c r="W138" i="14"/>
  <c r="V138" i="14"/>
  <c r="U138" i="14"/>
  <c r="T138" i="14"/>
  <c r="S138" i="14"/>
  <c r="R138" i="14"/>
  <c r="N138" i="14"/>
  <c r="M138" i="14"/>
  <c r="L138" i="14"/>
  <c r="X137" i="14"/>
  <c r="W137" i="14"/>
  <c r="V137" i="14"/>
  <c r="U137" i="14"/>
  <c r="T137" i="14"/>
  <c r="S137" i="14"/>
  <c r="R137" i="14"/>
  <c r="N137" i="14"/>
  <c r="M137" i="14"/>
  <c r="L137" i="14"/>
  <c r="X136" i="14"/>
  <c r="W136" i="14"/>
  <c r="V136" i="14"/>
  <c r="U136" i="14"/>
  <c r="T136" i="14"/>
  <c r="S136" i="14"/>
  <c r="R136" i="14"/>
  <c r="N136" i="14"/>
  <c r="M136" i="14"/>
  <c r="L136" i="14"/>
  <c r="X135" i="14"/>
  <c r="W135" i="14"/>
  <c r="V135" i="14"/>
  <c r="U135" i="14"/>
  <c r="T135" i="14"/>
  <c r="S135" i="14"/>
  <c r="R135" i="14"/>
  <c r="N135" i="14"/>
  <c r="M135" i="14"/>
  <c r="L135" i="14"/>
  <c r="X134" i="14"/>
  <c r="W134" i="14"/>
  <c r="V134" i="14"/>
  <c r="U134" i="14"/>
  <c r="T134" i="14"/>
  <c r="S134" i="14"/>
  <c r="R134" i="14"/>
  <c r="N134" i="14"/>
  <c r="M134" i="14"/>
  <c r="L134" i="14"/>
  <c r="X133" i="14"/>
  <c r="W133" i="14"/>
  <c r="V133" i="14"/>
  <c r="U133" i="14"/>
  <c r="T133" i="14"/>
  <c r="S133" i="14"/>
  <c r="R133" i="14"/>
  <c r="N133" i="14"/>
  <c r="M133" i="14"/>
  <c r="L133" i="14"/>
  <c r="X132" i="14"/>
  <c r="W132" i="14"/>
  <c r="V132" i="14"/>
  <c r="U132" i="14"/>
  <c r="T132" i="14"/>
  <c r="S132" i="14"/>
  <c r="R132" i="14"/>
  <c r="N132" i="14"/>
  <c r="M132" i="14"/>
  <c r="L132" i="14"/>
  <c r="X131" i="14"/>
  <c r="W131" i="14"/>
  <c r="V131" i="14"/>
  <c r="U131" i="14"/>
  <c r="T131" i="14"/>
  <c r="S131" i="14"/>
  <c r="R131" i="14"/>
  <c r="N131" i="14"/>
  <c r="M131" i="14"/>
  <c r="L131" i="14"/>
  <c r="X130" i="14"/>
  <c r="W130" i="14"/>
  <c r="V130" i="14"/>
  <c r="U130" i="14"/>
  <c r="T130" i="14"/>
  <c r="S130" i="14"/>
  <c r="R130" i="14"/>
  <c r="N130" i="14"/>
  <c r="M130" i="14"/>
  <c r="L130" i="14"/>
  <c r="X129" i="14"/>
  <c r="W129" i="14"/>
  <c r="V129" i="14"/>
  <c r="U129" i="14"/>
  <c r="T129" i="14"/>
  <c r="S129" i="14"/>
  <c r="R129" i="14"/>
  <c r="N129" i="14"/>
  <c r="M129" i="14"/>
  <c r="L129" i="14"/>
  <c r="X128" i="14"/>
  <c r="W128" i="14"/>
  <c r="V128" i="14"/>
  <c r="U128" i="14"/>
  <c r="T128" i="14"/>
  <c r="S128" i="14"/>
  <c r="R128" i="14"/>
  <c r="N128" i="14"/>
  <c r="M128" i="14"/>
  <c r="L128" i="14"/>
  <c r="X127" i="14"/>
  <c r="W127" i="14"/>
  <c r="V127" i="14"/>
  <c r="U127" i="14"/>
  <c r="T127" i="14"/>
  <c r="S127" i="14"/>
  <c r="R127" i="14"/>
  <c r="N127" i="14"/>
  <c r="M127" i="14"/>
  <c r="L127" i="14"/>
  <c r="X126" i="14"/>
  <c r="W126" i="14"/>
  <c r="V126" i="14"/>
  <c r="U126" i="14"/>
  <c r="T126" i="14"/>
  <c r="S126" i="14"/>
  <c r="R126" i="14"/>
  <c r="N126" i="14"/>
  <c r="M126" i="14"/>
  <c r="L126" i="14"/>
  <c r="X125" i="14"/>
  <c r="W125" i="14"/>
  <c r="V125" i="14"/>
  <c r="U125" i="14"/>
  <c r="T125" i="14"/>
  <c r="S125" i="14"/>
  <c r="R125" i="14"/>
  <c r="N125" i="14"/>
  <c r="M125" i="14"/>
  <c r="L125" i="14"/>
  <c r="X124" i="14"/>
  <c r="W124" i="14"/>
  <c r="V124" i="14"/>
  <c r="U124" i="14"/>
  <c r="T124" i="14"/>
  <c r="S124" i="14"/>
  <c r="R124" i="14"/>
  <c r="N124" i="14"/>
  <c r="M124" i="14"/>
  <c r="L124" i="14"/>
  <c r="X123" i="14"/>
  <c r="W123" i="14"/>
  <c r="V123" i="14"/>
  <c r="U123" i="14"/>
  <c r="T123" i="14"/>
  <c r="S123" i="14"/>
  <c r="R123" i="14"/>
  <c r="N123" i="14"/>
  <c r="M123" i="14"/>
  <c r="L123" i="14"/>
  <c r="X122" i="14"/>
  <c r="W122" i="14"/>
  <c r="V122" i="14"/>
  <c r="U122" i="14"/>
  <c r="T122" i="14"/>
  <c r="S122" i="14"/>
  <c r="R122" i="14"/>
  <c r="N122" i="14"/>
  <c r="M122" i="14"/>
  <c r="L122" i="14"/>
  <c r="X121" i="14"/>
  <c r="W121" i="14"/>
  <c r="V121" i="14"/>
  <c r="U121" i="14"/>
  <c r="T121" i="14"/>
  <c r="S121" i="14"/>
  <c r="R121" i="14"/>
  <c r="N121" i="14"/>
  <c r="M121" i="14"/>
  <c r="L121" i="14"/>
  <c r="X120" i="14"/>
  <c r="W120" i="14"/>
  <c r="V120" i="14"/>
  <c r="U120" i="14"/>
  <c r="T120" i="14"/>
  <c r="S120" i="14"/>
  <c r="R120" i="14"/>
  <c r="N120" i="14"/>
  <c r="M120" i="14"/>
  <c r="L120" i="14"/>
  <c r="X119" i="14"/>
  <c r="W119" i="14"/>
  <c r="V119" i="14"/>
  <c r="U119" i="14"/>
  <c r="T119" i="14"/>
  <c r="S119" i="14"/>
  <c r="R119" i="14"/>
  <c r="N119" i="14"/>
  <c r="M119" i="14"/>
  <c r="L119" i="14"/>
  <c r="X118" i="14"/>
  <c r="W118" i="14"/>
  <c r="V118" i="14"/>
  <c r="U118" i="14"/>
  <c r="T118" i="14"/>
  <c r="S118" i="14"/>
  <c r="R118" i="14"/>
  <c r="N118" i="14"/>
  <c r="M118" i="14"/>
  <c r="L118" i="14"/>
  <c r="X117" i="14"/>
  <c r="W117" i="14"/>
  <c r="V117" i="14"/>
  <c r="U117" i="14"/>
  <c r="T117" i="14"/>
  <c r="S117" i="14"/>
  <c r="R117" i="14"/>
  <c r="N117" i="14"/>
  <c r="M117" i="14"/>
  <c r="L117" i="14"/>
  <c r="X116" i="14"/>
  <c r="W116" i="14"/>
  <c r="V116" i="14"/>
  <c r="U116" i="14"/>
  <c r="T116" i="14"/>
  <c r="S116" i="14"/>
  <c r="R116" i="14"/>
  <c r="N116" i="14"/>
  <c r="M116" i="14"/>
  <c r="L116" i="14"/>
  <c r="X115" i="14"/>
  <c r="W115" i="14"/>
  <c r="V115" i="14"/>
  <c r="U115" i="14"/>
  <c r="T115" i="14"/>
  <c r="S115" i="14"/>
  <c r="R115" i="14"/>
  <c r="N115" i="14"/>
  <c r="M115" i="14"/>
  <c r="L115" i="14"/>
  <c r="X114" i="14"/>
  <c r="W114" i="14"/>
  <c r="V114" i="14"/>
  <c r="U114" i="14"/>
  <c r="T114" i="14"/>
  <c r="S114" i="14"/>
  <c r="R114" i="14"/>
  <c r="N114" i="14"/>
  <c r="M114" i="14"/>
  <c r="L114" i="14"/>
  <c r="X113" i="14"/>
  <c r="W113" i="14"/>
  <c r="V113" i="14"/>
  <c r="U113" i="14"/>
  <c r="T113" i="14"/>
  <c r="S113" i="14"/>
  <c r="R113" i="14"/>
  <c r="N113" i="14"/>
  <c r="M113" i="14"/>
  <c r="L113" i="14"/>
  <c r="X112" i="14"/>
  <c r="W112" i="14"/>
  <c r="V112" i="14"/>
  <c r="U112" i="14"/>
  <c r="T112" i="14"/>
  <c r="S112" i="14"/>
  <c r="R112" i="14"/>
  <c r="N112" i="14"/>
  <c r="M112" i="14"/>
  <c r="L112" i="14"/>
  <c r="X111" i="14"/>
  <c r="W111" i="14"/>
  <c r="V111" i="14"/>
  <c r="U111" i="14"/>
  <c r="T111" i="14"/>
  <c r="S111" i="14"/>
  <c r="R111" i="14"/>
  <c r="N111" i="14"/>
  <c r="M111" i="14"/>
  <c r="L111" i="14"/>
  <c r="X110" i="14"/>
  <c r="W110" i="14"/>
  <c r="V110" i="14"/>
  <c r="U110" i="14"/>
  <c r="T110" i="14"/>
  <c r="S110" i="14"/>
  <c r="R110" i="14"/>
  <c r="N110" i="14"/>
  <c r="M110" i="14"/>
  <c r="L110" i="14"/>
  <c r="X109" i="14"/>
  <c r="W109" i="14"/>
  <c r="V109" i="14"/>
  <c r="U109" i="14"/>
  <c r="T109" i="14"/>
  <c r="S109" i="14"/>
  <c r="R109" i="14"/>
  <c r="N109" i="14"/>
  <c r="M109" i="14"/>
  <c r="L109" i="14"/>
  <c r="X108" i="14"/>
  <c r="W108" i="14"/>
  <c r="V108" i="14"/>
  <c r="U108" i="14"/>
  <c r="T108" i="14"/>
  <c r="S108" i="14"/>
  <c r="R108" i="14"/>
  <c r="N108" i="14"/>
  <c r="M108" i="14"/>
  <c r="L108" i="14"/>
  <c r="X107" i="14"/>
  <c r="W107" i="14"/>
  <c r="V107" i="14"/>
  <c r="U107" i="14"/>
  <c r="T107" i="14"/>
  <c r="S107" i="14"/>
  <c r="R107" i="14"/>
  <c r="N107" i="14"/>
  <c r="M107" i="14"/>
  <c r="L107" i="14"/>
  <c r="X106" i="14"/>
  <c r="W106" i="14"/>
  <c r="V106" i="14"/>
  <c r="U106" i="14"/>
  <c r="T106" i="14"/>
  <c r="S106" i="14"/>
  <c r="R106" i="14"/>
  <c r="N106" i="14"/>
  <c r="M106" i="14"/>
  <c r="L106" i="14"/>
  <c r="X105" i="14"/>
  <c r="W105" i="14"/>
  <c r="V105" i="14"/>
  <c r="U105" i="14"/>
  <c r="T105" i="14"/>
  <c r="S105" i="14"/>
  <c r="R105" i="14"/>
  <c r="N105" i="14"/>
  <c r="M105" i="14"/>
  <c r="L105" i="14"/>
  <c r="X104" i="14"/>
  <c r="W104" i="14"/>
  <c r="V104" i="14"/>
  <c r="U104" i="14"/>
  <c r="T104" i="14"/>
  <c r="S104" i="14"/>
  <c r="R104" i="14"/>
  <c r="N104" i="14"/>
  <c r="M104" i="14"/>
  <c r="L104" i="14"/>
  <c r="X103" i="14"/>
  <c r="W103" i="14"/>
  <c r="V103" i="14"/>
  <c r="U103" i="14"/>
  <c r="T103" i="14"/>
  <c r="S103" i="14"/>
  <c r="R103" i="14"/>
  <c r="N103" i="14"/>
  <c r="M103" i="14"/>
  <c r="L103" i="14"/>
  <c r="X102" i="14"/>
  <c r="W102" i="14"/>
  <c r="V102" i="14"/>
  <c r="U102" i="14"/>
  <c r="T102" i="14"/>
  <c r="S102" i="14"/>
  <c r="R102" i="14"/>
  <c r="N102" i="14"/>
  <c r="M102" i="14"/>
  <c r="L102" i="14"/>
  <c r="X101" i="14"/>
  <c r="W101" i="14"/>
  <c r="V101" i="14"/>
  <c r="U101" i="14"/>
  <c r="T101" i="14"/>
  <c r="S101" i="14"/>
  <c r="R101" i="14"/>
  <c r="N101" i="14"/>
  <c r="M101" i="14"/>
  <c r="L101" i="14"/>
  <c r="X100" i="14"/>
  <c r="W100" i="14"/>
  <c r="V100" i="14"/>
  <c r="U100" i="14"/>
  <c r="T100" i="14"/>
  <c r="S100" i="14"/>
  <c r="R100" i="14"/>
  <c r="N100" i="14"/>
  <c r="M100" i="14"/>
  <c r="L100" i="14"/>
  <c r="X99" i="14"/>
  <c r="W99" i="14"/>
  <c r="V99" i="14"/>
  <c r="U99" i="14"/>
  <c r="T99" i="14"/>
  <c r="S99" i="14"/>
  <c r="R99" i="14"/>
  <c r="N99" i="14"/>
  <c r="M99" i="14"/>
  <c r="L99" i="14"/>
  <c r="X98" i="14"/>
  <c r="W98" i="14"/>
  <c r="V98" i="14"/>
  <c r="U98" i="14"/>
  <c r="T98" i="14"/>
  <c r="S98" i="14"/>
  <c r="R98" i="14"/>
  <c r="N98" i="14"/>
  <c r="M98" i="14"/>
  <c r="L98" i="14"/>
  <c r="X97" i="14"/>
  <c r="W97" i="14"/>
  <c r="V97" i="14"/>
  <c r="U97" i="14"/>
  <c r="T97" i="14"/>
  <c r="S97" i="14"/>
  <c r="R97" i="14"/>
  <c r="N97" i="14"/>
  <c r="M97" i="14"/>
  <c r="L97" i="14"/>
  <c r="X96" i="14"/>
  <c r="W96" i="14"/>
  <c r="V96" i="14"/>
  <c r="U96" i="14"/>
  <c r="T96" i="14"/>
  <c r="S96" i="14"/>
  <c r="R96" i="14"/>
  <c r="N96" i="14"/>
  <c r="M96" i="14"/>
  <c r="L96" i="14"/>
  <c r="X95" i="14"/>
  <c r="W95" i="14"/>
  <c r="V95" i="14"/>
  <c r="U95" i="14"/>
  <c r="T95" i="14"/>
  <c r="S95" i="14"/>
  <c r="R95" i="14"/>
  <c r="N95" i="14"/>
  <c r="M95" i="14"/>
  <c r="L95" i="14"/>
  <c r="X94" i="14"/>
  <c r="W94" i="14"/>
  <c r="V94" i="14"/>
  <c r="U94" i="14"/>
  <c r="T94" i="14"/>
  <c r="S94" i="14"/>
  <c r="R94" i="14"/>
  <c r="N94" i="14"/>
  <c r="M94" i="14"/>
  <c r="L94" i="14"/>
  <c r="X93" i="14"/>
  <c r="W93" i="14"/>
  <c r="V93" i="14"/>
  <c r="U93" i="14"/>
  <c r="T93" i="14"/>
  <c r="S93" i="14"/>
  <c r="R93" i="14"/>
  <c r="N93" i="14"/>
  <c r="M93" i="14"/>
  <c r="L93" i="14"/>
  <c r="X92" i="14"/>
  <c r="W92" i="14"/>
  <c r="V92" i="14"/>
  <c r="U92" i="14"/>
  <c r="T92" i="14"/>
  <c r="S92" i="14"/>
  <c r="R92" i="14"/>
  <c r="N92" i="14"/>
  <c r="M92" i="14"/>
  <c r="L92" i="14"/>
  <c r="X91" i="14"/>
  <c r="W91" i="14"/>
  <c r="V91" i="14"/>
  <c r="U91" i="14"/>
  <c r="T91" i="14"/>
  <c r="S91" i="14"/>
  <c r="R91" i="14"/>
  <c r="N91" i="14"/>
  <c r="M91" i="14"/>
  <c r="L91" i="14"/>
  <c r="X90" i="14"/>
  <c r="W90" i="14"/>
  <c r="V90" i="14"/>
  <c r="U90" i="14"/>
  <c r="T90" i="14"/>
  <c r="S90" i="14"/>
  <c r="R90" i="14"/>
  <c r="N90" i="14"/>
  <c r="M90" i="14"/>
  <c r="L90" i="14"/>
  <c r="X89" i="14"/>
  <c r="W89" i="14"/>
  <c r="V89" i="14"/>
  <c r="U89" i="14"/>
  <c r="T89" i="14"/>
  <c r="S89" i="14"/>
  <c r="R89" i="14"/>
  <c r="N89" i="14"/>
  <c r="M89" i="14"/>
  <c r="L89" i="14"/>
  <c r="X88" i="14"/>
  <c r="W88" i="14"/>
  <c r="V88" i="14"/>
  <c r="U88" i="14"/>
  <c r="T88" i="14"/>
  <c r="S88" i="14"/>
  <c r="R88" i="14"/>
  <c r="N88" i="14"/>
  <c r="M88" i="14"/>
  <c r="L88" i="14"/>
  <c r="X87" i="14"/>
  <c r="W87" i="14"/>
  <c r="V87" i="14"/>
  <c r="U87" i="14"/>
  <c r="T87" i="14"/>
  <c r="S87" i="14"/>
  <c r="R87" i="14"/>
  <c r="N87" i="14"/>
  <c r="M87" i="14"/>
  <c r="L87" i="14"/>
  <c r="X86" i="14"/>
  <c r="W86" i="14"/>
  <c r="V86" i="14"/>
  <c r="U86" i="14"/>
  <c r="T86" i="14"/>
  <c r="S86" i="14"/>
  <c r="R86" i="14"/>
  <c r="N86" i="14"/>
  <c r="M86" i="14"/>
  <c r="L86" i="14"/>
  <c r="X85" i="14"/>
  <c r="W85" i="14"/>
  <c r="V85" i="14"/>
  <c r="U85" i="14"/>
  <c r="T85" i="14"/>
  <c r="S85" i="14"/>
  <c r="R85" i="14"/>
  <c r="N85" i="14"/>
  <c r="M85" i="14"/>
  <c r="L85" i="14"/>
  <c r="X84" i="14"/>
  <c r="W84" i="14"/>
  <c r="V84" i="14"/>
  <c r="U84" i="14"/>
  <c r="T84" i="14"/>
  <c r="S84" i="14"/>
  <c r="R84" i="14"/>
  <c r="N84" i="14"/>
  <c r="M84" i="14"/>
  <c r="L84" i="14"/>
  <c r="X83" i="14"/>
  <c r="W83" i="14"/>
  <c r="V83" i="14"/>
  <c r="U83" i="14"/>
  <c r="T83" i="14"/>
  <c r="S83" i="14"/>
  <c r="R83" i="14"/>
  <c r="N83" i="14"/>
  <c r="M83" i="14"/>
  <c r="L83" i="14"/>
  <c r="X82" i="14"/>
  <c r="W82" i="14"/>
  <c r="V82" i="14"/>
  <c r="U82" i="14"/>
  <c r="T82" i="14"/>
  <c r="S82" i="14"/>
  <c r="R82" i="14"/>
  <c r="N82" i="14"/>
  <c r="M82" i="14"/>
  <c r="L82" i="14"/>
  <c r="X81" i="14"/>
  <c r="W81" i="14"/>
  <c r="V81" i="14"/>
  <c r="U81" i="14"/>
  <c r="T81" i="14"/>
  <c r="S81" i="14"/>
  <c r="R81" i="14"/>
  <c r="N81" i="14"/>
  <c r="M81" i="14"/>
  <c r="L81" i="14"/>
  <c r="X80" i="14"/>
  <c r="W80" i="14"/>
  <c r="V80" i="14"/>
  <c r="U80" i="14"/>
  <c r="T80" i="14"/>
  <c r="S80" i="14"/>
  <c r="R80" i="14"/>
  <c r="N80" i="14"/>
  <c r="M80" i="14"/>
  <c r="L80" i="14"/>
  <c r="X79" i="14"/>
  <c r="W79" i="14"/>
  <c r="V79" i="14"/>
  <c r="U79" i="14"/>
  <c r="T79" i="14"/>
  <c r="S79" i="14"/>
  <c r="R79" i="14"/>
  <c r="N79" i="14"/>
  <c r="M79" i="14"/>
  <c r="L79" i="14"/>
  <c r="X78" i="14"/>
  <c r="W78" i="14"/>
  <c r="V78" i="14"/>
  <c r="U78" i="14"/>
  <c r="T78" i="14"/>
  <c r="S78" i="14"/>
  <c r="R78" i="14"/>
  <c r="N78" i="14"/>
  <c r="M78" i="14"/>
  <c r="L78" i="14"/>
  <c r="X77" i="14"/>
  <c r="W77" i="14"/>
  <c r="V77" i="14"/>
  <c r="U77" i="14"/>
  <c r="T77" i="14"/>
  <c r="S77" i="14"/>
  <c r="R77" i="14"/>
  <c r="N77" i="14"/>
  <c r="M77" i="14"/>
  <c r="L77" i="14"/>
  <c r="X76" i="14"/>
  <c r="W76" i="14"/>
  <c r="V76" i="14"/>
  <c r="U76" i="14"/>
  <c r="T76" i="14"/>
  <c r="S76" i="14"/>
  <c r="R76" i="14"/>
  <c r="N76" i="14"/>
  <c r="M76" i="14"/>
  <c r="L76" i="14"/>
  <c r="X75" i="14"/>
  <c r="W75" i="14"/>
  <c r="V75" i="14"/>
  <c r="U75" i="14"/>
  <c r="T75" i="14"/>
  <c r="S75" i="14"/>
  <c r="R75" i="14"/>
  <c r="N75" i="14"/>
  <c r="M75" i="14"/>
  <c r="L75" i="14"/>
  <c r="X74" i="14"/>
  <c r="W74" i="14"/>
  <c r="V74" i="14"/>
  <c r="U74" i="14"/>
  <c r="T74" i="14"/>
  <c r="S74" i="14"/>
  <c r="R74" i="14"/>
  <c r="N74" i="14"/>
  <c r="M74" i="14"/>
  <c r="L74" i="14"/>
  <c r="X73" i="14"/>
  <c r="W73" i="14"/>
  <c r="V73" i="14"/>
  <c r="U73" i="14"/>
  <c r="T73" i="14"/>
  <c r="S73" i="14"/>
  <c r="R73" i="14"/>
  <c r="N73" i="14"/>
  <c r="M73" i="14"/>
  <c r="L73" i="14"/>
  <c r="X72" i="14"/>
  <c r="W72" i="14"/>
  <c r="V72" i="14"/>
  <c r="U72" i="14"/>
  <c r="T72" i="14"/>
  <c r="S72" i="14"/>
  <c r="R72" i="14"/>
  <c r="N72" i="14"/>
  <c r="M72" i="14"/>
  <c r="L72" i="14"/>
  <c r="X71" i="14"/>
  <c r="W71" i="14"/>
  <c r="V71" i="14"/>
  <c r="U71" i="14"/>
  <c r="T71" i="14"/>
  <c r="S71" i="14"/>
  <c r="R71" i="14"/>
  <c r="N71" i="14"/>
  <c r="M71" i="14"/>
  <c r="L71" i="14"/>
  <c r="X70" i="14"/>
  <c r="W70" i="14"/>
  <c r="V70" i="14"/>
  <c r="U70" i="14"/>
  <c r="T70" i="14"/>
  <c r="S70" i="14"/>
  <c r="R70" i="14"/>
  <c r="N70" i="14"/>
  <c r="M70" i="14"/>
  <c r="L70" i="14"/>
  <c r="X69" i="14"/>
  <c r="W69" i="14"/>
  <c r="V69" i="14"/>
  <c r="U69" i="14"/>
  <c r="T69" i="14"/>
  <c r="S69" i="14"/>
  <c r="R69" i="14"/>
  <c r="N69" i="14"/>
  <c r="M69" i="14"/>
  <c r="L69" i="14"/>
  <c r="X68" i="14"/>
  <c r="W68" i="14"/>
  <c r="V68" i="14"/>
  <c r="U68" i="14"/>
  <c r="T68" i="14"/>
  <c r="S68" i="14"/>
  <c r="R68" i="14"/>
  <c r="N68" i="14"/>
  <c r="M68" i="14"/>
  <c r="L68" i="14"/>
  <c r="X67" i="14"/>
  <c r="W67" i="14"/>
  <c r="V67" i="14"/>
  <c r="U67" i="14"/>
  <c r="T67" i="14"/>
  <c r="S67" i="14"/>
  <c r="R67" i="14"/>
  <c r="N67" i="14"/>
  <c r="M67" i="14"/>
  <c r="L67" i="14"/>
  <c r="X66" i="14"/>
  <c r="W66" i="14"/>
  <c r="V66" i="14"/>
  <c r="U66" i="14"/>
  <c r="T66" i="14"/>
  <c r="S66" i="14"/>
  <c r="R66" i="14"/>
  <c r="N66" i="14"/>
  <c r="M66" i="14"/>
  <c r="L66" i="14"/>
  <c r="X65" i="14"/>
  <c r="W65" i="14"/>
  <c r="V65" i="14"/>
  <c r="U65" i="14"/>
  <c r="T65" i="14"/>
  <c r="S65" i="14"/>
  <c r="R65" i="14"/>
  <c r="N65" i="14"/>
  <c r="M65" i="14"/>
  <c r="L65" i="14"/>
  <c r="X64" i="14"/>
  <c r="W64" i="14"/>
  <c r="V64" i="14"/>
  <c r="U64" i="14"/>
  <c r="T64" i="14"/>
  <c r="S64" i="14"/>
  <c r="R64" i="14"/>
  <c r="N64" i="14"/>
  <c r="M64" i="14"/>
  <c r="L64" i="14"/>
  <c r="X63" i="14"/>
  <c r="W63" i="14"/>
  <c r="V63" i="14"/>
  <c r="U63" i="14"/>
  <c r="T63" i="14"/>
  <c r="S63" i="14"/>
  <c r="R63" i="14"/>
  <c r="N63" i="14"/>
  <c r="M63" i="14"/>
  <c r="L63" i="14"/>
  <c r="X62" i="14"/>
  <c r="W62" i="14"/>
  <c r="V62" i="14"/>
  <c r="U62" i="14"/>
  <c r="T62" i="14"/>
  <c r="S62" i="14"/>
  <c r="R62" i="14"/>
  <c r="N62" i="14"/>
  <c r="M62" i="14"/>
  <c r="L62" i="14"/>
  <c r="X61" i="14"/>
  <c r="W61" i="14"/>
  <c r="V61" i="14"/>
  <c r="U61" i="14"/>
  <c r="T61" i="14"/>
  <c r="S61" i="14"/>
  <c r="R61" i="14"/>
  <c r="N61" i="14"/>
  <c r="M61" i="14"/>
  <c r="L61" i="14"/>
  <c r="X60" i="14"/>
  <c r="W60" i="14"/>
  <c r="V60" i="14"/>
  <c r="U60" i="14"/>
  <c r="T60" i="14"/>
  <c r="S60" i="14"/>
  <c r="R60" i="14"/>
  <c r="N60" i="14"/>
  <c r="M60" i="14"/>
  <c r="L60" i="14"/>
  <c r="X59" i="14"/>
  <c r="W59" i="14"/>
  <c r="V59" i="14"/>
  <c r="U59" i="14"/>
  <c r="T59" i="14"/>
  <c r="S59" i="14"/>
  <c r="R59" i="14"/>
  <c r="N59" i="14"/>
  <c r="M59" i="14"/>
  <c r="L59" i="14"/>
  <c r="X58" i="14"/>
  <c r="W58" i="14"/>
  <c r="V58" i="14"/>
  <c r="U58" i="14"/>
  <c r="T58" i="14"/>
  <c r="S58" i="14"/>
  <c r="R58" i="14"/>
  <c r="N58" i="14"/>
  <c r="M58" i="14"/>
  <c r="L58" i="14"/>
  <c r="X57" i="14"/>
  <c r="W57" i="14"/>
  <c r="V57" i="14"/>
  <c r="U57" i="14"/>
  <c r="T57" i="14"/>
  <c r="S57" i="14"/>
  <c r="R57" i="14"/>
  <c r="N57" i="14"/>
  <c r="M57" i="14"/>
  <c r="L57" i="14"/>
  <c r="X56" i="14"/>
  <c r="W56" i="14"/>
  <c r="V56" i="14"/>
  <c r="U56" i="14"/>
  <c r="T56" i="14"/>
  <c r="S56" i="14"/>
  <c r="R56" i="14"/>
  <c r="N56" i="14"/>
  <c r="M56" i="14"/>
  <c r="L56" i="14"/>
  <c r="X55" i="14"/>
  <c r="W55" i="14"/>
  <c r="V55" i="14"/>
  <c r="U55" i="14"/>
  <c r="T55" i="14"/>
  <c r="S55" i="14"/>
  <c r="R55" i="14"/>
  <c r="N55" i="14"/>
  <c r="M55" i="14"/>
  <c r="L55" i="14"/>
  <c r="X54" i="14"/>
  <c r="W54" i="14"/>
  <c r="V54" i="14"/>
  <c r="U54" i="14"/>
  <c r="T54" i="14"/>
  <c r="S54" i="14"/>
  <c r="R54" i="14"/>
  <c r="N54" i="14"/>
  <c r="M54" i="14"/>
  <c r="L54" i="14"/>
  <c r="X53" i="14"/>
  <c r="W53" i="14"/>
  <c r="V53" i="14"/>
  <c r="U53" i="14"/>
  <c r="T53" i="14"/>
  <c r="S53" i="14"/>
  <c r="R53" i="14"/>
  <c r="N53" i="14"/>
  <c r="M53" i="14"/>
  <c r="L53" i="14"/>
  <c r="X52" i="14"/>
  <c r="W52" i="14"/>
  <c r="V52" i="14"/>
  <c r="U52" i="14"/>
  <c r="T52" i="14"/>
  <c r="S52" i="14"/>
  <c r="R52" i="14"/>
  <c r="N52" i="14"/>
  <c r="M52" i="14"/>
  <c r="L52" i="14"/>
  <c r="X51" i="14"/>
  <c r="W51" i="14"/>
  <c r="V51" i="14"/>
  <c r="U51" i="14"/>
  <c r="T51" i="14"/>
  <c r="S51" i="14"/>
  <c r="R51" i="14"/>
  <c r="N51" i="14"/>
  <c r="M51" i="14"/>
  <c r="L51" i="14"/>
  <c r="X50" i="14"/>
  <c r="W50" i="14"/>
  <c r="V50" i="14"/>
  <c r="R50" i="14"/>
  <c r="N50" i="14"/>
  <c r="M50" i="14"/>
  <c r="L50" i="14"/>
  <c r="X49" i="14"/>
  <c r="W49" i="14"/>
  <c r="V49" i="14"/>
  <c r="U49" i="14"/>
  <c r="T49" i="14"/>
  <c r="S49" i="14"/>
  <c r="R49" i="14"/>
  <c r="N49" i="14"/>
  <c r="M49" i="14"/>
  <c r="L49" i="14"/>
  <c r="X48" i="14"/>
  <c r="W48" i="14"/>
  <c r="V48" i="14"/>
  <c r="U48" i="14"/>
  <c r="T48" i="14"/>
  <c r="S48" i="14"/>
  <c r="R48" i="14"/>
  <c r="N48" i="14"/>
  <c r="M48" i="14"/>
  <c r="L48" i="14"/>
  <c r="X47" i="14"/>
  <c r="W47" i="14"/>
  <c r="V47" i="14"/>
  <c r="U47" i="14"/>
  <c r="T47" i="14"/>
  <c r="S47" i="14"/>
  <c r="R47" i="14"/>
  <c r="N47" i="14"/>
  <c r="M47" i="14"/>
  <c r="L47" i="14"/>
  <c r="X46" i="14"/>
  <c r="W46" i="14"/>
  <c r="V46" i="14"/>
  <c r="U46" i="14"/>
  <c r="T46" i="14"/>
  <c r="S46" i="14"/>
  <c r="R46" i="14"/>
  <c r="N46" i="14"/>
  <c r="M46" i="14"/>
  <c r="L46" i="14"/>
  <c r="X45" i="14"/>
  <c r="W45" i="14"/>
  <c r="V45" i="14"/>
  <c r="R45" i="14"/>
  <c r="N45" i="14"/>
  <c r="M45" i="14"/>
  <c r="L45" i="14"/>
  <c r="X44" i="14"/>
  <c r="W44" i="14"/>
  <c r="V44" i="14"/>
  <c r="U44" i="14"/>
  <c r="T44" i="14"/>
  <c r="S44" i="14"/>
  <c r="R44" i="14"/>
  <c r="N44" i="14"/>
  <c r="M44" i="14"/>
  <c r="L44" i="14"/>
  <c r="X43" i="14"/>
  <c r="W43" i="14"/>
  <c r="V43" i="14"/>
  <c r="U43" i="14"/>
  <c r="T43" i="14"/>
  <c r="S43" i="14"/>
  <c r="R43" i="14"/>
  <c r="N43" i="14"/>
  <c r="M43" i="14"/>
  <c r="L43" i="14"/>
  <c r="X42" i="14"/>
  <c r="W42" i="14"/>
  <c r="V42" i="14"/>
  <c r="U42" i="14"/>
  <c r="T42" i="14"/>
  <c r="S42" i="14"/>
  <c r="R42" i="14"/>
  <c r="N42" i="14"/>
  <c r="M42" i="14"/>
  <c r="L42" i="14"/>
  <c r="X41" i="14"/>
  <c r="W41" i="14"/>
  <c r="V41" i="14"/>
  <c r="U41" i="14"/>
  <c r="T41" i="14"/>
  <c r="S41" i="14"/>
  <c r="R41" i="14"/>
  <c r="N41" i="14"/>
  <c r="M41" i="14"/>
  <c r="L41" i="14"/>
  <c r="X40" i="14"/>
  <c r="W40" i="14"/>
  <c r="V40" i="14"/>
  <c r="U40" i="14"/>
  <c r="T40" i="14"/>
  <c r="S40" i="14"/>
  <c r="R40" i="14"/>
  <c r="N40" i="14"/>
  <c r="M40" i="14"/>
  <c r="L40" i="14"/>
  <c r="X39" i="14"/>
  <c r="W39" i="14"/>
  <c r="V39" i="14"/>
  <c r="U39" i="14"/>
  <c r="T39" i="14"/>
  <c r="S39" i="14"/>
  <c r="R39" i="14"/>
  <c r="N39" i="14"/>
  <c r="M39" i="14"/>
  <c r="L39" i="14"/>
  <c r="X38" i="14"/>
  <c r="W38" i="14"/>
  <c r="V38" i="14"/>
  <c r="U38" i="14"/>
  <c r="T38" i="14"/>
  <c r="S38" i="14"/>
  <c r="R38" i="14"/>
  <c r="N38" i="14"/>
  <c r="M38" i="14"/>
  <c r="L38" i="14"/>
  <c r="X37" i="14"/>
  <c r="W37" i="14"/>
  <c r="V37" i="14"/>
  <c r="U37" i="14"/>
  <c r="T37" i="14"/>
  <c r="S37" i="14"/>
  <c r="R37" i="14"/>
  <c r="N37" i="14"/>
  <c r="M37" i="14"/>
  <c r="L37" i="14"/>
  <c r="X36" i="14"/>
  <c r="W36" i="14"/>
  <c r="V36" i="14"/>
  <c r="U36" i="14"/>
  <c r="T36" i="14"/>
  <c r="S36" i="14"/>
  <c r="R36" i="14"/>
  <c r="N36" i="14"/>
  <c r="M36" i="14"/>
  <c r="L36" i="14"/>
  <c r="X35" i="14"/>
  <c r="W35" i="14"/>
  <c r="V35" i="14"/>
  <c r="U35" i="14"/>
  <c r="T35" i="14"/>
  <c r="S35" i="14"/>
  <c r="R35" i="14"/>
  <c r="N35" i="14"/>
  <c r="M35" i="14"/>
  <c r="L35" i="14"/>
  <c r="U34" i="14"/>
  <c r="T34" i="14"/>
  <c r="S34" i="14"/>
  <c r="R34" i="14"/>
  <c r="N34" i="14"/>
  <c r="Q46" i="14" s="1"/>
  <c r="M34" i="14"/>
  <c r="L34" i="14"/>
  <c r="O36" i="14" s="1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R16" i="14"/>
  <c r="N16" i="14"/>
  <c r="M16" i="14"/>
  <c r="L16" i="14"/>
  <c r="K16" i="14"/>
  <c r="W7" i="14"/>
  <c r="Y2" i="14"/>
  <c r="X153" i="11"/>
  <c r="W153" i="11"/>
  <c r="V153" i="11"/>
  <c r="U153" i="11"/>
  <c r="T153" i="11"/>
  <c r="S153" i="11"/>
  <c r="R153" i="11"/>
  <c r="N153" i="11"/>
  <c r="M153" i="11"/>
  <c r="L153" i="11"/>
  <c r="X152" i="11"/>
  <c r="W152" i="11"/>
  <c r="V152" i="11"/>
  <c r="U152" i="11"/>
  <c r="T152" i="11"/>
  <c r="S152" i="11"/>
  <c r="R152" i="11"/>
  <c r="N152" i="11"/>
  <c r="M152" i="11"/>
  <c r="L152" i="11"/>
  <c r="X151" i="11"/>
  <c r="W151" i="11"/>
  <c r="V151" i="11"/>
  <c r="U151" i="11"/>
  <c r="T151" i="11"/>
  <c r="S151" i="11"/>
  <c r="R151" i="11"/>
  <c r="N151" i="11"/>
  <c r="M151" i="11"/>
  <c r="L151" i="11"/>
  <c r="X150" i="11"/>
  <c r="W150" i="11"/>
  <c r="V150" i="11"/>
  <c r="U150" i="11"/>
  <c r="T150" i="11"/>
  <c r="S150" i="11"/>
  <c r="R150" i="11"/>
  <c r="N150" i="11"/>
  <c r="M150" i="11"/>
  <c r="L150" i="11"/>
  <c r="X149" i="11"/>
  <c r="W149" i="11"/>
  <c r="V149" i="11"/>
  <c r="U149" i="11"/>
  <c r="T149" i="11"/>
  <c r="S149" i="11"/>
  <c r="R149" i="11"/>
  <c r="N149" i="11"/>
  <c r="M149" i="11"/>
  <c r="L149" i="11"/>
  <c r="X148" i="11"/>
  <c r="W148" i="11"/>
  <c r="V148" i="11"/>
  <c r="U148" i="11"/>
  <c r="T148" i="11"/>
  <c r="S148" i="11"/>
  <c r="R148" i="11"/>
  <c r="N148" i="11"/>
  <c r="M148" i="11"/>
  <c r="L148" i="11"/>
  <c r="X147" i="11"/>
  <c r="W147" i="11"/>
  <c r="V147" i="11"/>
  <c r="U147" i="11"/>
  <c r="T147" i="11"/>
  <c r="S147" i="11"/>
  <c r="R147" i="11"/>
  <c r="N147" i="11"/>
  <c r="M147" i="11"/>
  <c r="L147" i="11"/>
  <c r="X146" i="11"/>
  <c r="W146" i="11"/>
  <c r="V146" i="11"/>
  <c r="U146" i="11"/>
  <c r="T146" i="11"/>
  <c r="S146" i="11"/>
  <c r="R146" i="11"/>
  <c r="N146" i="11"/>
  <c r="M146" i="11"/>
  <c r="L146" i="11"/>
  <c r="X145" i="11"/>
  <c r="W145" i="11"/>
  <c r="V145" i="11"/>
  <c r="U145" i="11"/>
  <c r="T145" i="11"/>
  <c r="S145" i="11"/>
  <c r="R145" i="11"/>
  <c r="N145" i="11"/>
  <c r="M145" i="11"/>
  <c r="L145" i="11"/>
  <c r="X144" i="11"/>
  <c r="W144" i="11"/>
  <c r="V144" i="11"/>
  <c r="U144" i="11"/>
  <c r="T144" i="11"/>
  <c r="S144" i="11"/>
  <c r="R144" i="11"/>
  <c r="N144" i="11"/>
  <c r="M144" i="11"/>
  <c r="L144" i="11"/>
  <c r="X143" i="11"/>
  <c r="W143" i="11"/>
  <c r="V143" i="11"/>
  <c r="U143" i="11"/>
  <c r="T143" i="11"/>
  <c r="S143" i="11"/>
  <c r="R143" i="11"/>
  <c r="N143" i="11"/>
  <c r="M143" i="11"/>
  <c r="L143" i="11"/>
  <c r="X142" i="11"/>
  <c r="W142" i="11"/>
  <c r="V142" i="11"/>
  <c r="U142" i="11"/>
  <c r="T142" i="11"/>
  <c r="S142" i="11"/>
  <c r="R142" i="11"/>
  <c r="N142" i="11"/>
  <c r="M142" i="11"/>
  <c r="L142" i="11"/>
  <c r="X141" i="11"/>
  <c r="W141" i="11"/>
  <c r="V141" i="11"/>
  <c r="U141" i="11"/>
  <c r="T141" i="11"/>
  <c r="S141" i="11"/>
  <c r="R141" i="11"/>
  <c r="N141" i="11"/>
  <c r="M141" i="11"/>
  <c r="L141" i="11"/>
  <c r="X140" i="11"/>
  <c r="W140" i="11"/>
  <c r="V140" i="11"/>
  <c r="U140" i="11"/>
  <c r="T140" i="11"/>
  <c r="S140" i="11"/>
  <c r="R140" i="11"/>
  <c r="N140" i="11"/>
  <c r="M140" i="11"/>
  <c r="L140" i="11"/>
  <c r="X139" i="11"/>
  <c r="W139" i="11"/>
  <c r="V139" i="11"/>
  <c r="U139" i="11"/>
  <c r="T139" i="11"/>
  <c r="S139" i="11"/>
  <c r="R139" i="11"/>
  <c r="N139" i="11"/>
  <c r="M139" i="11"/>
  <c r="L139" i="11"/>
  <c r="X138" i="11"/>
  <c r="W138" i="11"/>
  <c r="V138" i="11"/>
  <c r="U138" i="11"/>
  <c r="T138" i="11"/>
  <c r="S138" i="11"/>
  <c r="R138" i="11"/>
  <c r="N138" i="11"/>
  <c r="M138" i="11"/>
  <c r="L138" i="11"/>
  <c r="X137" i="11"/>
  <c r="W137" i="11"/>
  <c r="V137" i="11"/>
  <c r="U137" i="11"/>
  <c r="T137" i="11"/>
  <c r="S137" i="11"/>
  <c r="R137" i="11"/>
  <c r="N137" i="11"/>
  <c r="M137" i="11"/>
  <c r="L137" i="11"/>
  <c r="X136" i="11"/>
  <c r="W136" i="11"/>
  <c r="V136" i="11"/>
  <c r="U136" i="11"/>
  <c r="T136" i="11"/>
  <c r="S136" i="11"/>
  <c r="R136" i="11"/>
  <c r="N136" i="11"/>
  <c r="M136" i="11"/>
  <c r="L136" i="11"/>
  <c r="X135" i="11"/>
  <c r="W135" i="11"/>
  <c r="V135" i="11"/>
  <c r="U135" i="11"/>
  <c r="T135" i="11"/>
  <c r="S135" i="11"/>
  <c r="R135" i="11"/>
  <c r="N135" i="11"/>
  <c r="M135" i="11"/>
  <c r="L135" i="11"/>
  <c r="X134" i="11"/>
  <c r="W134" i="11"/>
  <c r="V134" i="11"/>
  <c r="U134" i="11"/>
  <c r="T134" i="11"/>
  <c r="S134" i="11"/>
  <c r="R134" i="11"/>
  <c r="N134" i="11"/>
  <c r="M134" i="11"/>
  <c r="L134" i="11"/>
  <c r="X133" i="11"/>
  <c r="W133" i="11"/>
  <c r="V133" i="11"/>
  <c r="U133" i="11"/>
  <c r="T133" i="11"/>
  <c r="S133" i="11"/>
  <c r="R133" i="11"/>
  <c r="N133" i="11"/>
  <c r="M133" i="11"/>
  <c r="L133" i="11"/>
  <c r="X132" i="11"/>
  <c r="W132" i="11"/>
  <c r="V132" i="11"/>
  <c r="U132" i="11"/>
  <c r="T132" i="11"/>
  <c r="S132" i="11"/>
  <c r="R132" i="11"/>
  <c r="N132" i="11"/>
  <c r="M132" i="11"/>
  <c r="L132" i="11"/>
  <c r="X131" i="11"/>
  <c r="W131" i="11"/>
  <c r="V131" i="11"/>
  <c r="U131" i="11"/>
  <c r="T131" i="11"/>
  <c r="S131" i="11"/>
  <c r="R131" i="11"/>
  <c r="N131" i="11"/>
  <c r="M131" i="11"/>
  <c r="L131" i="11"/>
  <c r="X130" i="11"/>
  <c r="W130" i="11"/>
  <c r="V130" i="11"/>
  <c r="U130" i="11"/>
  <c r="T130" i="11"/>
  <c r="S130" i="11"/>
  <c r="R130" i="11"/>
  <c r="N130" i="11"/>
  <c r="M130" i="11"/>
  <c r="L130" i="11"/>
  <c r="X129" i="11"/>
  <c r="W129" i="11"/>
  <c r="V129" i="11"/>
  <c r="U129" i="11"/>
  <c r="T129" i="11"/>
  <c r="S129" i="11"/>
  <c r="R129" i="11"/>
  <c r="N129" i="11"/>
  <c r="M129" i="11"/>
  <c r="L129" i="11"/>
  <c r="X128" i="11"/>
  <c r="W128" i="11"/>
  <c r="V128" i="11"/>
  <c r="U128" i="11"/>
  <c r="T128" i="11"/>
  <c r="S128" i="11"/>
  <c r="R128" i="11"/>
  <c r="N128" i="11"/>
  <c r="M128" i="11"/>
  <c r="L128" i="11"/>
  <c r="X127" i="11"/>
  <c r="W127" i="11"/>
  <c r="V127" i="11"/>
  <c r="U127" i="11"/>
  <c r="T127" i="11"/>
  <c r="S127" i="11"/>
  <c r="R127" i="11"/>
  <c r="N127" i="11"/>
  <c r="M127" i="11"/>
  <c r="L127" i="11"/>
  <c r="X126" i="11"/>
  <c r="W126" i="11"/>
  <c r="V126" i="11"/>
  <c r="U126" i="11"/>
  <c r="T126" i="11"/>
  <c r="S126" i="11"/>
  <c r="R126" i="11"/>
  <c r="N126" i="11"/>
  <c r="M126" i="11"/>
  <c r="L126" i="11"/>
  <c r="X125" i="11"/>
  <c r="W125" i="11"/>
  <c r="V125" i="11"/>
  <c r="U125" i="11"/>
  <c r="T125" i="11"/>
  <c r="S125" i="11"/>
  <c r="R125" i="11"/>
  <c r="N125" i="11"/>
  <c r="M125" i="11"/>
  <c r="L125" i="11"/>
  <c r="X124" i="11"/>
  <c r="W124" i="11"/>
  <c r="V124" i="11"/>
  <c r="U124" i="11"/>
  <c r="T124" i="11"/>
  <c r="S124" i="11"/>
  <c r="R124" i="11"/>
  <c r="N124" i="11"/>
  <c r="M124" i="11"/>
  <c r="L124" i="11"/>
  <c r="X123" i="11"/>
  <c r="W123" i="11"/>
  <c r="V123" i="11"/>
  <c r="U123" i="11"/>
  <c r="T123" i="11"/>
  <c r="S123" i="11"/>
  <c r="R123" i="11"/>
  <c r="N123" i="11"/>
  <c r="M123" i="11"/>
  <c r="L123" i="11"/>
  <c r="X122" i="11"/>
  <c r="W122" i="11"/>
  <c r="V122" i="11"/>
  <c r="U122" i="11"/>
  <c r="T122" i="11"/>
  <c r="S122" i="11"/>
  <c r="R122" i="11"/>
  <c r="N122" i="11"/>
  <c r="M122" i="11"/>
  <c r="L122" i="11"/>
  <c r="X121" i="11"/>
  <c r="W121" i="11"/>
  <c r="V121" i="11"/>
  <c r="U121" i="11"/>
  <c r="T121" i="11"/>
  <c r="S121" i="11"/>
  <c r="R121" i="11"/>
  <c r="N121" i="11"/>
  <c r="M121" i="11"/>
  <c r="L121" i="11"/>
  <c r="X120" i="11"/>
  <c r="W120" i="11"/>
  <c r="V120" i="11"/>
  <c r="U120" i="11"/>
  <c r="T120" i="11"/>
  <c r="S120" i="11"/>
  <c r="R120" i="11"/>
  <c r="N120" i="11"/>
  <c r="M120" i="11"/>
  <c r="L120" i="11"/>
  <c r="X119" i="11"/>
  <c r="W119" i="11"/>
  <c r="V119" i="11"/>
  <c r="U119" i="11"/>
  <c r="T119" i="11"/>
  <c r="S119" i="11"/>
  <c r="R119" i="11"/>
  <c r="N119" i="11"/>
  <c r="M119" i="11"/>
  <c r="L119" i="11"/>
  <c r="X118" i="11"/>
  <c r="W118" i="11"/>
  <c r="V118" i="11"/>
  <c r="U118" i="11"/>
  <c r="T118" i="11"/>
  <c r="S118" i="11"/>
  <c r="R118" i="11"/>
  <c r="N118" i="11"/>
  <c r="M118" i="11"/>
  <c r="L118" i="11"/>
  <c r="X117" i="11"/>
  <c r="W117" i="11"/>
  <c r="V117" i="11"/>
  <c r="U117" i="11"/>
  <c r="T117" i="11"/>
  <c r="S117" i="11"/>
  <c r="R117" i="11"/>
  <c r="N117" i="11"/>
  <c r="M117" i="11"/>
  <c r="L117" i="11"/>
  <c r="X116" i="11"/>
  <c r="W116" i="11"/>
  <c r="V116" i="11"/>
  <c r="U116" i="11"/>
  <c r="T116" i="11"/>
  <c r="S116" i="11"/>
  <c r="R116" i="11"/>
  <c r="N116" i="11"/>
  <c r="M116" i="11"/>
  <c r="L116" i="11"/>
  <c r="X115" i="11"/>
  <c r="W115" i="11"/>
  <c r="V115" i="11"/>
  <c r="U115" i="11"/>
  <c r="T115" i="11"/>
  <c r="S115" i="11"/>
  <c r="R115" i="11"/>
  <c r="N115" i="11"/>
  <c r="M115" i="11"/>
  <c r="L115" i="11"/>
  <c r="X114" i="11"/>
  <c r="W114" i="11"/>
  <c r="V114" i="11"/>
  <c r="U114" i="11"/>
  <c r="T114" i="11"/>
  <c r="S114" i="11"/>
  <c r="R114" i="11"/>
  <c r="N114" i="11"/>
  <c r="M114" i="11"/>
  <c r="L114" i="11"/>
  <c r="X113" i="11"/>
  <c r="W113" i="11"/>
  <c r="V113" i="11"/>
  <c r="U113" i="11"/>
  <c r="T113" i="11"/>
  <c r="S113" i="11"/>
  <c r="R113" i="11"/>
  <c r="N113" i="11"/>
  <c r="M113" i="11"/>
  <c r="L113" i="11"/>
  <c r="X112" i="11"/>
  <c r="W112" i="11"/>
  <c r="V112" i="11"/>
  <c r="U112" i="11"/>
  <c r="T112" i="11"/>
  <c r="S112" i="11"/>
  <c r="R112" i="11"/>
  <c r="N112" i="11"/>
  <c r="M112" i="11"/>
  <c r="L112" i="11"/>
  <c r="X111" i="11"/>
  <c r="W111" i="11"/>
  <c r="V111" i="11"/>
  <c r="U111" i="11"/>
  <c r="T111" i="11"/>
  <c r="S111" i="11"/>
  <c r="R111" i="11"/>
  <c r="N111" i="11"/>
  <c r="M111" i="11"/>
  <c r="L111" i="11"/>
  <c r="X110" i="11"/>
  <c r="W110" i="11"/>
  <c r="V110" i="11"/>
  <c r="U110" i="11"/>
  <c r="T110" i="11"/>
  <c r="S110" i="11"/>
  <c r="R110" i="11"/>
  <c r="N110" i="11"/>
  <c r="M110" i="11"/>
  <c r="L110" i="11"/>
  <c r="X109" i="11"/>
  <c r="W109" i="11"/>
  <c r="V109" i="11"/>
  <c r="U109" i="11"/>
  <c r="T109" i="11"/>
  <c r="S109" i="11"/>
  <c r="R109" i="11"/>
  <c r="N109" i="11"/>
  <c r="M109" i="11"/>
  <c r="L109" i="11"/>
  <c r="X108" i="11"/>
  <c r="W108" i="11"/>
  <c r="V108" i="11"/>
  <c r="U108" i="11"/>
  <c r="T108" i="11"/>
  <c r="S108" i="11"/>
  <c r="R108" i="11"/>
  <c r="N108" i="11"/>
  <c r="M108" i="11"/>
  <c r="L108" i="11"/>
  <c r="X107" i="11"/>
  <c r="W107" i="11"/>
  <c r="V107" i="11"/>
  <c r="U107" i="11"/>
  <c r="T107" i="11"/>
  <c r="S107" i="11"/>
  <c r="R107" i="11"/>
  <c r="N107" i="11"/>
  <c r="M107" i="11"/>
  <c r="L107" i="11"/>
  <c r="X106" i="11"/>
  <c r="W106" i="11"/>
  <c r="V106" i="11"/>
  <c r="U106" i="11"/>
  <c r="T106" i="11"/>
  <c r="S106" i="11"/>
  <c r="R106" i="11"/>
  <c r="N106" i="11"/>
  <c r="M106" i="11"/>
  <c r="L106" i="11"/>
  <c r="X105" i="11"/>
  <c r="W105" i="11"/>
  <c r="V105" i="11"/>
  <c r="U105" i="11"/>
  <c r="T105" i="11"/>
  <c r="S105" i="11"/>
  <c r="R105" i="11"/>
  <c r="N105" i="11"/>
  <c r="M105" i="11"/>
  <c r="L105" i="11"/>
  <c r="X104" i="11"/>
  <c r="W104" i="11"/>
  <c r="V104" i="11"/>
  <c r="U104" i="11"/>
  <c r="T104" i="11"/>
  <c r="S104" i="11"/>
  <c r="R104" i="11"/>
  <c r="N104" i="11"/>
  <c r="M104" i="11"/>
  <c r="L104" i="11"/>
  <c r="X103" i="11"/>
  <c r="W103" i="11"/>
  <c r="V103" i="11"/>
  <c r="U103" i="11"/>
  <c r="T103" i="11"/>
  <c r="S103" i="11"/>
  <c r="R103" i="11"/>
  <c r="N103" i="11"/>
  <c r="M103" i="11"/>
  <c r="L103" i="11"/>
  <c r="X102" i="11"/>
  <c r="W102" i="11"/>
  <c r="V102" i="11"/>
  <c r="U102" i="11"/>
  <c r="T102" i="11"/>
  <c r="S102" i="11"/>
  <c r="R102" i="11"/>
  <c r="N102" i="11"/>
  <c r="M102" i="11"/>
  <c r="L102" i="11"/>
  <c r="X101" i="11"/>
  <c r="W101" i="11"/>
  <c r="V101" i="11"/>
  <c r="U101" i="11"/>
  <c r="T101" i="11"/>
  <c r="S101" i="11"/>
  <c r="R101" i="11"/>
  <c r="N101" i="11"/>
  <c r="M101" i="11"/>
  <c r="L101" i="11"/>
  <c r="X100" i="11"/>
  <c r="W100" i="11"/>
  <c r="V100" i="11"/>
  <c r="U100" i="11"/>
  <c r="T100" i="11"/>
  <c r="S100" i="11"/>
  <c r="R100" i="11"/>
  <c r="N100" i="11"/>
  <c r="M100" i="11"/>
  <c r="L100" i="11"/>
  <c r="X99" i="11"/>
  <c r="W99" i="11"/>
  <c r="V99" i="11"/>
  <c r="U99" i="11"/>
  <c r="T99" i="11"/>
  <c r="S99" i="11"/>
  <c r="R99" i="11"/>
  <c r="N99" i="11"/>
  <c r="M99" i="11"/>
  <c r="L99" i="11"/>
  <c r="X98" i="11"/>
  <c r="W98" i="11"/>
  <c r="V98" i="11"/>
  <c r="U98" i="11"/>
  <c r="T98" i="11"/>
  <c r="S98" i="11"/>
  <c r="R98" i="11"/>
  <c r="N98" i="11"/>
  <c r="M98" i="11"/>
  <c r="L98" i="11"/>
  <c r="X97" i="11"/>
  <c r="W97" i="11"/>
  <c r="V97" i="11"/>
  <c r="U97" i="11"/>
  <c r="T97" i="11"/>
  <c r="S97" i="11"/>
  <c r="R97" i="11"/>
  <c r="N97" i="11"/>
  <c r="M97" i="11"/>
  <c r="L97" i="11"/>
  <c r="X96" i="11"/>
  <c r="W96" i="11"/>
  <c r="V96" i="11"/>
  <c r="U96" i="11"/>
  <c r="T96" i="11"/>
  <c r="S96" i="11"/>
  <c r="R96" i="11"/>
  <c r="N96" i="11"/>
  <c r="M96" i="11"/>
  <c r="L96" i="11"/>
  <c r="X95" i="11"/>
  <c r="W95" i="11"/>
  <c r="V95" i="11"/>
  <c r="U95" i="11"/>
  <c r="T95" i="11"/>
  <c r="S95" i="11"/>
  <c r="R95" i="11"/>
  <c r="N95" i="11"/>
  <c r="M95" i="11"/>
  <c r="L95" i="11"/>
  <c r="X94" i="11"/>
  <c r="W94" i="11"/>
  <c r="V94" i="11"/>
  <c r="U94" i="11"/>
  <c r="T94" i="11"/>
  <c r="S94" i="11"/>
  <c r="R94" i="11"/>
  <c r="N94" i="11"/>
  <c r="M94" i="11"/>
  <c r="L94" i="11"/>
  <c r="X93" i="11"/>
  <c r="W93" i="11"/>
  <c r="V93" i="11"/>
  <c r="U93" i="11"/>
  <c r="T93" i="11"/>
  <c r="S93" i="11"/>
  <c r="R93" i="11"/>
  <c r="N93" i="11"/>
  <c r="M93" i="11"/>
  <c r="L93" i="11"/>
  <c r="X92" i="11"/>
  <c r="W92" i="11"/>
  <c r="V92" i="11"/>
  <c r="U92" i="11"/>
  <c r="T92" i="11"/>
  <c r="S92" i="11"/>
  <c r="R92" i="11"/>
  <c r="N92" i="11"/>
  <c r="M92" i="11"/>
  <c r="L92" i="11"/>
  <c r="X91" i="11"/>
  <c r="W91" i="11"/>
  <c r="V91" i="11"/>
  <c r="U91" i="11"/>
  <c r="T91" i="11"/>
  <c r="S91" i="11"/>
  <c r="R91" i="11"/>
  <c r="N91" i="11"/>
  <c r="M91" i="11"/>
  <c r="L91" i="11"/>
  <c r="X90" i="11"/>
  <c r="W90" i="11"/>
  <c r="V90" i="11"/>
  <c r="U90" i="11"/>
  <c r="T90" i="11"/>
  <c r="S90" i="11"/>
  <c r="R90" i="11"/>
  <c r="N90" i="11"/>
  <c r="M90" i="11"/>
  <c r="L90" i="11"/>
  <c r="X89" i="11"/>
  <c r="W89" i="11"/>
  <c r="V89" i="11"/>
  <c r="U89" i="11"/>
  <c r="T89" i="11"/>
  <c r="S89" i="11"/>
  <c r="R89" i="11"/>
  <c r="N89" i="11"/>
  <c r="M89" i="11"/>
  <c r="L89" i="11"/>
  <c r="X88" i="11"/>
  <c r="W88" i="11"/>
  <c r="V88" i="11"/>
  <c r="U88" i="11"/>
  <c r="T88" i="11"/>
  <c r="S88" i="11"/>
  <c r="R88" i="11"/>
  <c r="N88" i="11"/>
  <c r="M88" i="11"/>
  <c r="L88" i="11"/>
  <c r="X87" i="11"/>
  <c r="W87" i="11"/>
  <c r="V87" i="11"/>
  <c r="U87" i="11"/>
  <c r="T87" i="11"/>
  <c r="S87" i="11"/>
  <c r="R87" i="11"/>
  <c r="N87" i="11"/>
  <c r="M87" i="11"/>
  <c r="L87" i="11"/>
  <c r="X86" i="11"/>
  <c r="W86" i="11"/>
  <c r="V86" i="11"/>
  <c r="U86" i="11"/>
  <c r="T86" i="11"/>
  <c r="S86" i="11"/>
  <c r="R86" i="11"/>
  <c r="N86" i="11"/>
  <c r="M86" i="11"/>
  <c r="L86" i="11"/>
  <c r="X85" i="11"/>
  <c r="W85" i="11"/>
  <c r="V85" i="11"/>
  <c r="U85" i="11"/>
  <c r="T85" i="11"/>
  <c r="S85" i="11"/>
  <c r="R85" i="11"/>
  <c r="N85" i="11"/>
  <c r="M85" i="11"/>
  <c r="L85" i="11"/>
  <c r="X84" i="11"/>
  <c r="W84" i="11"/>
  <c r="V84" i="11"/>
  <c r="U84" i="11"/>
  <c r="T84" i="11"/>
  <c r="S84" i="11"/>
  <c r="R84" i="11"/>
  <c r="N84" i="11"/>
  <c r="M84" i="11"/>
  <c r="L84" i="11"/>
  <c r="X83" i="11"/>
  <c r="W83" i="11"/>
  <c r="V83" i="11"/>
  <c r="U83" i="11"/>
  <c r="T83" i="11"/>
  <c r="S83" i="11"/>
  <c r="R83" i="11"/>
  <c r="N83" i="11"/>
  <c r="M83" i="11"/>
  <c r="L83" i="11"/>
  <c r="X82" i="11"/>
  <c r="W82" i="11"/>
  <c r="V82" i="11"/>
  <c r="U82" i="11"/>
  <c r="T82" i="11"/>
  <c r="S82" i="11"/>
  <c r="R82" i="11"/>
  <c r="N82" i="11"/>
  <c r="M82" i="11"/>
  <c r="L82" i="11"/>
  <c r="X81" i="11"/>
  <c r="W81" i="11"/>
  <c r="V81" i="11"/>
  <c r="U81" i="11"/>
  <c r="T81" i="11"/>
  <c r="S81" i="11"/>
  <c r="R81" i="11"/>
  <c r="N81" i="11"/>
  <c r="M81" i="11"/>
  <c r="L81" i="11"/>
  <c r="X80" i="11"/>
  <c r="W80" i="11"/>
  <c r="V80" i="11"/>
  <c r="U80" i="11"/>
  <c r="T80" i="11"/>
  <c r="S80" i="11"/>
  <c r="R80" i="11"/>
  <c r="N80" i="11"/>
  <c r="M80" i="11"/>
  <c r="L80" i="11"/>
  <c r="X79" i="11"/>
  <c r="W79" i="11"/>
  <c r="V79" i="11"/>
  <c r="U79" i="11"/>
  <c r="T79" i="11"/>
  <c r="S79" i="11"/>
  <c r="R79" i="11"/>
  <c r="N79" i="11"/>
  <c r="M79" i="11"/>
  <c r="L79" i="11"/>
  <c r="X78" i="11"/>
  <c r="W78" i="11"/>
  <c r="V78" i="11"/>
  <c r="U78" i="11"/>
  <c r="T78" i="11"/>
  <c r="S78" i="11"/>
  <c r="R78" i="11"/>
  <c r="N78" i="11"/>
  <c r="M78" i="11"/>
  <c r="L78" i="11"/>
  <c r="X77" i="11"/>
  <c r="W77" i="11"/>
  <c r="V77" i="11"/>
  <c r="U77" i="11"/>
  <c r="T77" i="11"/>
  <c r="S77" i="11"/>
  <c r="R77" i="11"/>
  <c r="N77" i="11"/>
  <c r="M77" i="11"/>
  <c r="L77" i="11"/>
  <c r="X76" i="11"/>
  <c r="W76" i="11"/>
  <c r="V76" i="11"/>
  <c r="U76" i="11"/>
  <c r="T76" i="11"/>
  <c r="S76" i="11"/>
  <c r="R76" i="11"/>
  <c r="N76" i="11"/>
  <c r="M76" i="11"/>
  <c r="L76" i="11"/>
  <c r="X75" i="11"/>
  <c r="W75" i="11"/>
  <c r="V75" i="11"/>
  <c r="U75" i="11"/>
  <c r="T75" i="11"/>
  <c r="S75" i="11"/>
  <c r="R75" i="11"/>
  <c r="N75" i="11"/>
  <c r="M75" i="11"/>
  <c r="L75" i="11"/>
  <c r="X74" i="11"/>
  <c r="W74" i="11"/>
  <c r="V74" i="11"/>
  <c r="U74" i="11"/>
  <c r="T74" i="11"/>
  <c r="S74" i="11"/>
  <c r="R74" i="11"/>
  <c r="N74" i="11"/>
  <c r="M74" i="11"/>
  <c r="L74" i="11"/>
  <c r="X73" i="11"/>
  <c r="W73" i="11"/>
  <c r="V73" i="11"/>
  <c r="U73" i="11"/>
  <c r="T73" i="11"/>
  <c r="S73" i="11"/>
  <c r="R73" i="11"/>
  <c r="N73" i="11"/>
  <c r="M73" i="11"/>
  <c r="L73" i="11"/>
  <c r="X72" i="11"/>
  <c r="W72" i="11"/>
  <c r="V72" i="11"/>
  <c r="U72" i="11"/>
  <c r="T72" i="11"/>
  <c r="S72" i="11"/>
  <c r="R72" i="11"/>
  <c r="N72" i="11"/>
  <c r="M72" i="11"/>
  <c r="L72" i="11"/>
  <c r="X71" i="11"/>
  <c r="W71" i="11"/>
  <c r="V71" i="11"/>
  <c r="U71" i="11"/>
  <c r="T71" i="11"/>
  <c r="S71" i="11"/>
  <c r="R71" i="11"/>
  <c r="N71" i="11"/>
  <c r="M71" i="11"/>
  <c r="L71" i="11"/>
  <c r="X70" i="11"/>
  <c r="W70" i="11"/>
  <c r="V70" i="11"/>
  <c r="U70" i="11"/>
  <c r="T70" i="11"/>
  <c r="S70" i="11"/>
  <c r="R70" i="11"/>
  <c r="N70" i="11"/>
  <c r="M70" i="11"/>
  <c r="L70" i="11"/>
  <c r="X69" i="11"/>
  <c r="W69" i="11"/>
  <c r="V69" i="11"/>
  <c r="U69" i="11"/>
  <c r="T69" i="11"/>
  <c r="S69" i="11"/>
  <c r="R69" i="11"/>
  <c r="N69" i="11"/>
  <c r="M69" i="11"/>
  <c r="L69" i="11"/>
  <c r="X68" i="11"/>
  <c r="W68" i="11"/>
  <c r="V68" i="11"/>
  <c r="U68" i="11"/>
  <c r="T68" i="11"/>
  <c r="S68" i="11"/>
  <c r="R68" i="11"/>
  <c r="N68" i="11"/>
  <c r="M68" i="11"/>
  <c r="L68" i="11"/>
  <c r="X67" i="11"/>
  <c r="W67" i="11"/>
  <c r="V67" i="11"/>
  <c r="U67" i="11"/>
  <c r="T67" i="11"/>
  <c r="S67" i="11"/>
  <c r="R67" i="11"/>
  <c r="N67" i="11"/>
  <c r="M67" i="11"/>
  <c r="L67" i="11"/>
  <c r="X66" i="11"/>
  <c r="W66" i="11"/>
  <c r="V66" i="11"/>
  <c r="U66" i="11"/>
  <c r="T66" i="11"/>
  <c r="S66" i="11"/>
  <c r="R66" i="11"/>
  <c r="N66" i="11"/>
  <c r="M66" i="11"/>
  <c r="L66" i="11"/>
  <c r="X65" i="11"/>
  <c r="W65" i="11"/>
  <c r="V65" i="11"/>
  <c r="U65" i="11"/>
  <c r="T65" i="11"/>
  <c r="S65" i="11"/>
  <c r="R65" i="11"/>
  <c r="N65" i="11"/>
  <c r="M65" i="11"/>
  <c r="L65" i="11"/>
  <c r="X64" i="11"/>
  <c r="W64" i="11"/>
  <c r="V64" i="11"/>
  <c r="U64" i="11"/>
  <c r="T64" i="11"/>
  <c r="S64" i="11"/>
  <c r="R64" i="11"/>
  <c r="N64" i="11"/>
  <c r="M64" i="11"/>
  <c r="L64" i="11"/>
  <c r="X63" i="11"/>
  <c r="W63" i="11"/>
  <c r="V63" i="11"/>
  <c r="U63" i="11"/>
  <c r="T63" i="11"/>
  <c r="S63" i="11"/>
  <c r="R63" i="11"/>
  <c r="N63" i="11"/>
  <c r="M63" i="11"/>
  <c r="L63" i="11"/>
  <c r="X62" i="11"/>
  <c r="W62" i="11"/>
  <c r="V62" i="11"/>
  <c r="U62" i="11"/>
  <c r="T62" i="11"/>
  <c r="S62" i="11"/>
  <c r="R62" i="11"/>
  <c r="N62" i="11"/>
  <c r="M62" i="11"/>
  <c r="L62" i="11"/>
  <c r="X61" i="11"/>
  <c r="W61" i="11"/>
  <c r="V61" i="11"/>
  <c r="U61" i="11"/>
  <c r="T61" i="11"/>
  <c r="S61" i="11"/>
  <c r="R61" i="11"/>
  <c r="N61" i="11"/>
  <c r="M61" i="11"/>
  <c r="L61" i="11"/>
  <c r="X60" i="11"/>
  <c r="W60" i="11"/>
  <c r="V60" i="11"/>
  <c r="R60" i="11"/>
  <c r="N60" i="11"/>
  <c r="M60" i="11"/>
  <c r="L60" i="11"/>
  <c r="X59" i="11"/>
  <c r="W59" i="11"/>
  <c r="V59" i="11"/>
  <c r="U59" i="11"/>
  <c r="T59" i="11"/>
  <c r="S59" i="11"/>
  <c r="R59" i="11"/>
  <c r="N59" i="11"/>
  <c r="M59" i="11"/>
  <c r="L59" i="11"/>
  <c r="X58" i="11"/>
  <c r="W58" i="11"/>
  <c r="V58" i="11"/>
  <c r="U58" i="11"/>
  <c r="T58" i="11"/>
  <c r="S58" i="11"/>
  <c r="R58" i="11"/>
  <c r="N58" i="11"/>
  <c r="M58" i="11"/>
  <c r="L58" i="11"/>
  <c r="X57" i="11"/>
  <c r="W57" i="11"/>
  <c r="V57" i="11"/>
  <c r="U57" i="11"/>
  <c r="T57" i="11"/>
  <c r="S57" i="11"/>
  <c r="R57" i="11"/>
  <c r="N57" i="11"/>
  <c r="M57" i="11"/>
  <c r="L57" i="11"/>
  <c r="X56" i="11"/>
  <c r="W56" i="11"/>
  <c r="V56" i="11"/>
  <c r="U56" i="11"/>
  <c r="T56" i="11"/>
  <c r="S56" i="11"/>
  <c r="R56" i="11"/>
  <c r="N56" i="11"/>
  <c r="M56" i="11"/>
  <c r="L56" i="11"/>
  <c r="X55" i="11"/>
  <c r="W55" i="11"/>
  <c r="V55" i="11"/>
  <c r="R55" i="11"/>
  <c r="N55" i="11"/>
  <c r="M55" i="11"/>
  <c r="L55" i="11"/>
  <c r="X54" i="11"/>
  <c r="W54" i="11"/>
  <c r="V54" i="11"/>
  <c r="U54" i="11"/>
  <c r="T54" i="11"/>
  <c r="S54" i="11"/>
  <c r="R54" i="11"/>
  <c r="N54" i="11"/>
  <c r="M54" i="11"/>
  <c r="L54" i="11"/>
  <c r="X53" i="11"/>
  <c r="W53" i="11"/>
  <c r="V53" i="11"/>
  <c r="U53" i="11"/>
  <c r="T53" i="11"/>
  <c r="S53" i="11"/>
  <c r="R53" i="11"/>
  <c r="N53" i="11"/>
  <c r="M53" i="11"/>
  <c r="L53" i="11"/>
  <c r="X52" i="11"/>
  <c r="W52" i="11"/>
  <c r="V52" i="11"/>
  <c r="U52" i="11"/>
  <c r="T52" i="11"/>
  <c r="S52" i="11"/>
  <c r="R52" i="11"/>
  <c r="N52" i="11"/>
  <c r="M52" i="11"/>
  <c r="L52" i="11"/>
  <c r="X51" i="11"/>
  <c r="W51" i="11"/>
  <c r="V51" i="11"/>
  <c r="U51" i="11"/>
  <c r="T51" i="11"/>
  <c r="S51" i="11"/>
  <c r="R51" i="11"/>
  <c r="N51" i="11"/>
  <c r="M51" i="11"/>
  <c r="L51" i="11"/>
  <c r="X50" i="11"/>
  <c r="W50" i="11"/>
  <c r="V50" i="11"/>
  <c r="U50" i="11"/>
  <c r="T50" i="11"/>
  <c r="S50" i="11"/>
  <c r="R50" i="11"/>
  <c r="N50" i="11"/>
  <c r="M50" i="11"/>
  <c r="L50" i="11"/>
  <c r="X49" i="11"/>
  <c r="W49" i="11"/>
  <c r="V49" i="11"/>
  <c r="U49" i="11"/>
  <c r="T49" i="11"/>
  <c r="S49" i="11"/>
  <c r="R49" i="11"/>
  <c r="N49" i="11"/>
  <c r="M49" i="11"/>
  <c r="L49" i="11"/>
  <c r="X48" i="11"/>
  <c r="W48" i="11"/>
  <c r="V48" i="11"/>
  <c r="U48" i="11"/>
  <c r="T48" i="11"/>
  <c r="S48" i="11"/>
  <c r="R48" i="11"/>
  <c r="N48" i="11"/>
  <c r="M48" i="11"/>
  <c r="L48" i="11"/>
  <c r="X47" i="11"/>
  <c r="W47" i="11"/>
  <c r="V47" i="11"/>
  <c r="U47" i="11"/>
  <c r="T47" i="11"/>
  <c r="S47" i="11"/>
  <c r="R47" i="11"/>
  <c r="N47" i="11"/>
  <c r="M47" i="11"/>
  <c r="L47" i="11"/>
  <c r="X46" i="11"/>
  <c r="W46" i="11"/>
  <c r="V46" i="11"/>
  <c r="U46" i="11"/>
  <c r="T46" i="11"/>
  <c r="S46" i="11"/>
  <c r="R46" i="11"/>
  <c r="N46" i="11"/>
  <c r="M46" i="11"/>
  <c r="L46" i="11"/>
  <c r="X45" i="11"/>
  <c r="W45" i="11"/>
  <c r="V45" i="11"/>
  <c r="U45" i="11"/>
  <c r="T45" i="11"/>
  <c r="S45" i="11"/>
  <c r="R45" i="11"/>
  <c r="N45" i="11"/>
  <c r="M45" i="11"/>
  <c r="L45" i="11"/>
  <c r="X44" i="11"/>
  <c r="W44" i="11"/>
  <c r="V44" i="11"/>
  <c r="U44" i="11"/>
  <c r="T44" i="11"/>
  <c r="S44" i="11"/>
  <c r="R44" i="11"/>
  <c r="N44" i="11"/>
  <c r="M44" i="11"/>
  <c r="L44" i="11"/>
  <c r="X43" i="11"/>
  <c r="W43" i="11"/>
  <c r="V43" i="11"/>
  <c r="U43" i="11"/>
  <c r="T43" i="11"/>
  <c r="S43" i="11"/>
  <c r="R43" i="11"/>
  <c r="N43" i="11"/>
  <c r="M43" i="11"/>
  <c r="L43" i="11"/>
  <c r="X42" i="11"/>
  <c r="W42" i="11"/>
  <c r="V42" i="11"/>
  <c r="U42" i="11"/>
  <c r="T42" i="11"/>
  <c r="S42" i="11"/>
  <c r="R42" i="11"/>
  <c r="N42" i="11"/>
  <c r="M42" i="11"/>
  <c r="L42" i="11"/>
  <c r="U41" i="11"/>
  <c r="T41" i="11"/>
  <c r="S41" i="11"/>
  <c r="R41" i="11"/>
  <c r="N41" i="11"/>
  <c r="Q41" i="11" s="1"/>
  <c r="M41" i="11"/>
  <c r="P53" i="11" s="1"/>
  <c r="L41" i="11"/>
  <c r="O54" i="11" s="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R16" i="11"/>
  <c r="N16" i="11"/>
  <c r="M16" i="11"/>
  <c r="L16" i="11"/>
  <c r="K16" i="11"/>
  <c r="W7" i="11"/>
  <c r="Y2" i="11"/>
  <c r="X153" i="9"/>
  <c r="W153" i="9"/>
  <c r="V153" i="9"/>
  <c r="U153" i="9"/>
  <c r="T153" i="9"/>
  <c r="S153" i="9"/>
  <c r="R153" i="9"/>
  <c r="N153" i="9"/>
  <c r="M153" i="9"/>
  <c r="L153" i="9"/>
  <c r="X152" i="9"/>
  <c r="W152" i="9"/>
  <c r="V152" i="9"/>
  <c r="U152" i="9"/>
  <c r="T152" i="9"/>
  <c r="S152" i="9"/>
  <c r="R152" i="9"/>
  <c r="N152" i="9"/>
  <c r="M152" i="9"/>
  <c r="L152" i="9"/>
  <c r="X151" i="9"/>
  <c r="W151" i="9"/>
  <c r="V151" i="9"/>
  <c r="U151" i="9"/>
  <c r="T151" i="9"/>
  <c r="S151" i="9"/>
  <c r="R151" i="9"/>
  <c r="N151" i="9"/>
  <c r="M151" i="9"/>
  <c r="L151" i="9"/>
  <c r="X150" i="9"/>
  <c r="W150" i="9"/>
  <c r="V150" i="9"/>
  <c r="U150" i="9"/>
  <c r="T150" i="9"/>
  <c r="S150" i="9"/>
  <c r="R150" i="9"/>
  <c r="N150" i="9"/>
  <c r="M150" i="9"/>
  <c r="L150" i="9"/>
  <c r="X149" i="9"/>
  <c r="W149" i="9"/>
  <c r="V149" i="9"/>
  <c r="U149" i="9"/>
  <c r="T149" i="9"/>
  <c r="S149" i="9"/>
  <c r="R149" i="9"/>
  <c r="N149" i="9"/>
  <c r="M149" i="9"/>
  <c r="L149" i="9"/>
  <c r="X148" i="9"/>
  <c r="W148" i="9"/>
  <c r="V148" i="9"/>
  <c r="U148" i="9"/>
  <c r="T148" i="9"/>
  <c r="S148" i="9"/>
  <c r="R148" i="9"/>
  <c r="N148" i="9"/>
  <c r="M148" i="9"/>
  <c r="L148" i="9"/>
  <c r="X147" i="9"/>
  <c r="W147" i="9"/>
  <c r="V147" i="9"/>
  <c r="U147" i="9"/>
  <c r="T147" i="9"/>
  <c r="S147" i="9"/>
  <c r="R147" i="9"/>
  <c r="N147" i="9"/>
  <c r="M147" i="9"/>
  <c r="L147" i="9"/>
  <c r="X146" i="9"/>
  <c r="W146" i="9"/>
  <c r="V146" i="9"/>
  <c r="U146" i="9"/>
  <c r="T146" i="9"/>
  <c r="S146" i="9"/>
  <c r="R146" i="9"/>
  <c r="N146" i="9"/>
  <c r="M146" i="9"/>
  <c r="L146" i="9"/>
  <c r="X145" i="9"/>
  <c r="W145" i="9"/>
  <c r="V145" i="9"/>
  <c r="U145" i="9"/>
  <c r="T145" i="9"/>
  <c r="S145" i="9"/>
  <c r="R145" i="9"/>
  <c r="N145" i="9"/>
  <c r="M145" i="9"/>
  <c r="L145" i="9"/>
  <c r="X144" i="9"/>
  <c r="W144" i="9"/>
  <c r="V144" i="9"/>
  <c r="U144" i="9"/>
  <c r="T144" i="9"/>
  <c r="S144" i="9"/>
  <c r="R144" i="9"/>
  <c r="N144" i="9"/>
  <c r="M144" i="9"/>
  <c r="L144" i="9"/>
  <c r="X143" i="9"/>
  <c r="W143" i="9"/>
  <c r="V143" i="9"/>
  <c r="U143" i="9"/>
  <c r="T143" i="9"/>
  <c r="S143" i="9"/>
  <c r="R143" i="9"/>
  <c r="N143" i="9"/>
  <c r="M143" i="9"/>
  <c r="L143" i="9"/>
  <c r="X142" i="9"/>
  <c r="W142" i="9"/>
  <c r="V142" i="9"/>
  <c r="U142" i="9"/>
  <c r="T142" i="9"/>
  <c r="S142" i="9"/>
  <c r="R142" i="9"/>
  <c r="N142" i="9"/>
  <c r="M142" i="9"/>
  <c r="L142" i="9"/>
  <c r="X141" i="9"/>
  <c r="W141" i="9"/>
  <c r="V141" i="9"/>
  <c r="U141" i="9"/>
  <c r="T141" i="9"/>
  <c r="S141" i="9"/>
  <c r="R141" i="9"/>
  <c r="N141" i="9"/>
  <c r="M141" i="9"/>
  <c r="L141" i="9"/>
  <c r="X140" i="9"/>
  <c r="W140" i="9"/>
  <c r="V140" i="9"/>
  <c r="U140" i="9"/>
  <c r="T140" i="9"/>
  <c r="S140" i="9"/>
  <c r="R140" i="9"/>
  <c r="N140" i="9"/>
  <c r="M140" i="9"/>
  <c r="L140" i="9"/>
  <c r="X139" i="9"/>
  <c r="W139" i="9"/>
  <c r="V139" i="9"/>
  <c r="U139" i="9"/>
  <c r="T139" i="9"/>
  <c r="S139" i="9"/>
  <c r="R139" i="9"/>
  <c r="N139" i="9"/>
  <c r="M139" i="9"/>
  <c r="L139" i="9"/>
  <c r="X138" i="9"/>
  <c r="W138" i="9"/>
  <c r="V138" i="9"/>
  <c r="U138" i="9"/>
  <c r="T138" i="9"/>
  <c r="S138" i="9"/>
  <c r="R138" i="9"/>
  <c r="N138" i="9"/>
  <c r="M138" i="9"/>
  <c r="L138" i="9"/>
  <c r="X137" i="9"/>
  <c r="W137" i="9"/>
  <c r="V137" i="9"/>
  <c r="U137" i="9"/>
  <c r="T137" i="9"/>
  <c r="S137" i="9"/>
  <c r="R137" i="9"/>
  <c r="N137" i="9"/>
  <c r="M137" i="9"/>
  <c r="L137" i="9"/>
  <c r="X136" i="9"/>
  <c r="W136" i="9"/>
  <c r="V136" i="9"/>
  <c r="U136" i="9"/>
  <c r="T136" i="9"/>
  <c r="S136" i="9"/>
  <c r="R136" i="9"/>
  <c r="N136" i="9"/>
  <c r="M136" i="9"/>
  <c r="L136" i="9"/>
  <c r="X135" i="9"/>
  <c r="W135" i="9"/>
  <c r="V135" i="9"/>
  <c r="U135" i="9"/>
  <c r="T135" i="9"/>
  <c r="S135" i="9"/>
  <c r="R135" i="9"/>
  <c r="N135" i="9"/>
  <c r="M135" i="9"/>
  <c r="L135" i="9"/>
  <c r="X134" i="9"/>
  <c r="W134" i="9"/>
  <c r="V134" i="9"/>
  <c r="U134" i="9"/>
  <c r="T134" i="9"/>
  <c r="S134" i="9"/>
  <c r="R134" i="9"/>
  <c r="N134" i="9"/>
  <c r="M134" i="9"/>
  <c r="L134" i="9"/>
  <c r="X133" i="9"/>
  <c r="W133" i="9"/>
  <c r="V133" i="9"/>
  <c r="U133" i="9"/>
  <c r="T133" i="9"/>
  <c r="S133" i="9"/>
  <c r="R133" i="9"/>
  <c r="N133" i="9"/>
  <c r="M133" i="9"/>
  <c r="L133" i="9"/>
  <c r="X132" i="9"/>
  <c r="W132" i="9"/>
  <c r="V132" i="9"/>
  <c r="U132" i="9"/>
  <c r="T132" i="9"/>
  <c r="S132" i="9"/>
  <c r="R132" i="9"/>
  <c r="N132" i="9"/>
  <c r="M132" i="9"/>
  <c r="L132" i="9"/>
  <c r="X131" i="9"/>
  <c r="W131" i="9"/>
  <c r="V131" i="9"/>
  <c r="U131" i="9"/>
  <c r="T131" i="9"/>
  <c r="S131" i="9"/>
  <c r="R131" i="9"/>
  <c r="N131" i="9"/>
  <c r="M131" i="9"/>
  <c r="L131" i="9"/>
  <c r="X130" i="9"/>
  <c r="W130" i="9"/>
  <c r="V130" i="9"/>
  <c r="U130" i="9"/>
  <c r="T130" i="9"/>
  <c r="S130" i="9"/>
  <c r="R130" i="9"/>
  <c r="N130" i="9"/>
  <c r="M130" i="9"/>
  <c r="L130" i="9"/>
  <c r="X129" i="9"/>
  <c r="W129" i="9"/>
  <c r="V129" i="9"/>
  <c r="U129" i="9"/>
  <c r="T129" i="9"/>
  <c r="S129" i="9"/>
  <c r="R129" i="9"/>
  <c r="N129" i="9"/>
  <c r="M129" i="9"/>
  <c r="L129" i="9"/>
  <c r="X128" i="9"/>
  <c r="W128" i="9"/>
  <c r="V128" i="9"/>
  <c r="U128" i="9"/>
  <c r="T128" i="9"/>
  <c r="S128" i="9"/>
  <c r="R128" i="9"/>
  <c r="N128" i="9"/>
  <c r="M128" i="9"/>
  <c r="L128" i="9"/>
  <c r="X127" i="9"/>
  <c r="W127" i="9"/>
  <c r="V127" i="9"/>
  <c r="U127" i="9"/>
  <c r="T127" i="9"/>
  <c r="S127" i="9"/>
  <c r="R127" i="9"/>
  <c r="N127" i="9"/>
  <c r="M127" i="9"/>
  <c r="L127" i="9"/>
  <c r="X126" i="9"/>
  <c r="W126" i="9"/>
  <c r="V126" i="9"/>
  <c r="U126" i="9"/>
  <c r="T126" i="9"/>
  <c r="S126" i="9"/>
  <c r="R126" i="9"/>
  <c r="N126" i="9"/>
  <c r="M126" i="9"/>
  <c r="L126" i="9"/>
  <c r="X125" i="9"/>
  <c r="W125" i="9"/>
  <c r="V125" i="9"/>
  <c r="U125" i="9"/>
  <c r="T125" i="9"/>
  <c r="S125" i="9"/>
  <c r="R125" i="9"/>
  <c r="N125" i="9"/>
  <c r="M125" i="9"/>
  <c r="L125" i="9"/>
  <c r="X124" i="9"/>
  <c r="W124" i="9"/>
  <c r="V124" i="9"/>
  <c r="U124" i="9"/>
  <c r="T124" i="9"/>
  <c r="S124" i="9"/>
  <c r="R124" i="9"/>
  <c r="N124" i="9"/>
  <c r="M124" i="9"/>
  <c r="L124" i="9"/>
  <c r="X123" i="9"/>
  <c r="W123" i="9"/>
  <c r="V123" i="9"/>
  <c r="U123" i="9"/>
  <c r="T123" i="9"/>
  <c r="S123" i="9"/>
  <c r="R123" i="9"/>
  <c r="N123" i="9"/>
  <c r="M123" i="9"/>
  <c r="L123" i="9"/>
  <c r="X122" i="9"/>
  <c r="W122" i="9"/>
  <c r="V122" i="9"/>
  <c r="U122" i="9"/>
  <c r="T122" i="9"/>
  <c r="S122" i="9"/>
  <c r="R122" i="9"/>
  <c r="N122" i="9"/>
  <c r="M122" i="9"/>
  <c r="L122" i="9"/>
  <c r="X121" i="9"/>
  <c r="W121" i="9"/>
  <c r="V121" i="9"/>
  <c r="U121" i="9"/>
  <c r="T121" i="9"/>
  <c r="S121" i="9"/>
  <c r="R121" i="9"/>
  <c r="N121" i="9"/>
  <c r="M121" i="9"/>
  <c r="L121" i="9"/>
  <c r="X120" i="9"/>
  <c r="W120" i="9"/>
  <c r="V120" i="9"/>
  <c r="U120" i="9"/>
  <c r="T120" i="9"/>
  <c r="S120" i="9"/>
  <c r="R120" i="9"/>
  <c r="N120" i="9"/>
  <c r="M120" i="9"/>
  <c r="L120" i="9"/>
  <c r="X119" i="9"/>
  <c r="W119" i="9"/>
  <c r="V119" i="9"/>
  <c r="U119" i="9"/>
  <c r="T119" i="9"/>
  <c r="S119" i="9"/>
  <c r="R119" i="9"/>
  <c r="N119" i="9"/>
  <c r="M119" i="9"/>
  <c r="L119" i="9"/>
  <c r="X118" i="9"/>
  <c r="W118" i="9"/>
  <c r="V118" i="9"/>
  <c r="U118" i="9"/>
  <c r="T118" i="9"/>
  <c r="S118" i="9"/>
  <c r="R118" i="9"/>
  <c r="N118" i="9"/>
  <c r="M118" i="9"/>
  <c r="L118" i="9"/>
  <c r="X117" i="9"/>
  <c r="W117" i="9"/>
  <c r="V117" i="9"/>
  <c r="U117" i="9"/>
  <c r="T117" i="9"/>
  <c r="S117" i="9"/>
  <c r="R117" i="9"/>
  <c r="N117" i="9"/>
  <c r="M117" i="9"/>
  <c r="L117" i="9"/>
  <c r="X116" i="9"/>
  <c r="W116" i="9"/>
  <c r="V116" i="9"/>
  <c r="U116" i="9"/>
  <c r="T116" i="9"/>
  <c r="S116" i="9"/>
  <c r="R116" i="9"/>
  <c r="N116" i="9"/>
  <c r="M116" i="9"/>
  <c r="L116" i="9"/>
  <c r="X115" i="9"/>
  <c r="W115" i="9"/>
  <c r="V115" i="9"/>
  <c r="U115" i="9"/>
  <c r="T115" i="9"/>
  <c r="S115" i="9"/>
  <c r="R115" i="9"/>
  <c r="N115" i="9"/>
  <c r="M115" i="9"/>
  <c r="L115" i="9"/>
  <c r="X114" i="9"/>
  <c r="W114" i="9"/>
  <c r="V114" i="9"/>
  <c r="U114" i="9"/>
  <c r="T114" i="9"/>
  <c r="S114" i="9"/>
  <c r="R114" i="9"/>
  <c r="N114" i="9"/>
  <c r="M114" i="9"/>
  <c r="L114" i="9"/>
  <c r="X113" i="9"/>
  <c r="W113" i="9"/>
  <c r="V113" i="9"/>
  <c r="U113" i="9"/>
  <c r="T113" i="9"/>
  <c r="S113" i="9"/>
  <c r="R113" i="9"/>
  <c r="N113" i="9"/>
  <c r="M113" i="9"/>
  <c r="L113" i="9"/>
  <c r="X112" i="9"/>
  <c r="W112" i="9"/>
  <c r="V112" i="9"/>
  <c r="U112" i="9"/>
  <c r="T112" i="9"/>
  <c r="S112" i="9"/>
  <c r="R112" i="9"/>
  <c r="N112" i="9"/>
  <c r="M112" i="9"/>
  <c r="L112" i="9"/>
  <c r="X111" i="9"/>
  <c r="W111" i="9"/>
  <c r="V111" i="9"/>
  <c r="U111" i="9"/>
  <c r="T111" i="9"/>
  <c r="S111" i="9"/>
  <c r="R111" i="9"/>
  <c r="N111" i="9"/>
  <c r="M111" i="9"/>
  <c r="L111" i="9"/>
  <c r="X110" i="9"/>
  <c r="W110" i="9"/>
  <c r="V110" i="9"/>
  <c r="U110" i="9"/>
  <c r="T110" i="9"/>
  <c r="S110" i="9"/>
  <c r="R110" i="9"/>
  <c r="N110" i="9"/>
  <c r="M110" i="9"/>
  <c r="L110" i="9"/>
  <c r="X109" i="9"/>
  <c r="W109" i="9"/>
  <c r="V109" i="9"/>
  <c r="U109" i="9"/>
  <c r="T109" i="9"/>
  <c r="S109" i="9"/>
  <c r="R109" i="9"/>
  <c r="N109" i="9"/>
  <c r="M109" i="9"/>
  <c r="L109" i="9"/>
  <c r="X108" i="9"/>
  <c r="W108" i="9"/>
  <c r="V108" i="9"/>
  <c r="U108" i="9"/>
  <c r="T108" i="9"/>
  <c r="S108" i="9"/>
  <c r="R108" i="9"/>
  <c r="N108" i="9"/>
  <c r="M108" i="9"/>
  <c r="L108" i="9"/>
  <c r="X107" i="9"/>
  <c r="W107" i="9"/>
  <c r="V107" i="9"/>
  <c r="U107" i="9"/>
  <c r="T107" i="9"/>
  <c r="S107" i="9"/>
  <c r="R107" i="9"/>
  <c r="N107" i="9"/>
  <c r="M107" i="9"/>
  <c r="L107" i="9"/>
  <c r="X106" i="9"/>
  <c r="W106" i="9"/>
  <c r="V106" i="9"/>
  <c r="U106" i="9"/>
  <c r="T106" i="9"/>
  <c r="S106" i="9"/>
  <c r="R106" i="9"/>
  <c r="N106" i="9"/>
  <c r="M106" i="9"/>
  <c r="L106" i="9"/>
  <c r="X105" i="9"/>
  <c r="W105" i="9"/>
  <c r="V105" i="9"/>
  <c r="U105" i="9"/>
  <c r="T105" i="9"/>
  <c r="S105" i="9"/>
  <c r="R105" i="9"/>
  <c r="N105" i="9"/>
  <c r="M105" i="9"/>
  <c r="L105" i="9"/>
  <c r="X104" i="9"/>
  <c r="W104" i="9"/>
  <c r="V104" i="9"/>
  <c r="U104" i="9"/>
  <c r="T104" i="9"/>
  <c r="S104" i="9"/>
  <c r="R104" i="9"/>
  <c r="N104" i="9"/>
  <c r="M104" i="9"/>
  <c r="L104" i="9"/>
  <c r="X103" i="9"/>
  <c r="W103" i="9"/>
  <c r="V103" i="9"/>
  <c r="U103" i="9"/>
  <c r="T103" i="9"/>
  <c r="S103" i="9"/>
  <c r="R103" i="9"/>
  <c r="N103" i="9"/>
  <c r="M103" i="9"/>
  <c r="L103" i="9"/>
  <c r="X102" i="9"/>
  <c r="W102" i="9"/>
  <c r="V102" i="9"/>
  <c r="U102" i="9"/>
  <c r="T102" i="9"/>
  <c r="S102" i="9"/>
  <c r="R102" i="9"/>
  <c r="N102" i="9"/>
  <c r="M102" i="9"/>
  <c r="L102" i="9"/>
  <c r="X101" i="9"/>
  <c r="W101" i="9"/>
  <c r="V101" i="9"/>
  <c r="U101" i="9"/>
  <c r="T101" i="9"/>
  <c r="S101" i="9"/>
  <c r="R101" i="9"/>
  <c r="N101" i="9"/>
  <c r="M101" i="9"/>
  <c r="L101" i="9"/>
  <c r="X100" i="9"/>
  <c r="W100" i="9"/>
  <c r="V100" i="9"/>
  <c r="U100" i="9"/>
  <c r="T100" i="9"/>
  <c r="S100" i="9"/>
  <c r="R100" i="9"/>
  <c r="N100" i="9"/>
  <c r="M100" i="9"/>
  <c r="L100" i="9"/>
  <c r="X99" i="9"/>
  <c r="W99" i="9"/>
  <c r="V99" i="9"/>
  <c r="U99" i="9"/>
  <c r="T99" i="9"/>
  <c r="S99" i="9"/>
  <c r="R99" i="9"/>
  <c r="N99" i="9"/>
  <c r="M99" i="9"/>
  <c r="L99" i="9"/>
  <c r="X98" i="9"/>
  <c r="W98" i="9"/>
  <c r="V98" i="9"/>
  <c r="U98" i="9"/>
  <c r="T98" i="9"/>
  <c r="S98" i="9"/>
  <c r="R98" i="9"/>
  <c r="N98" i="9"/>
  <c r="M98" i="9"/>
  <c r="L98" i="9"/>
  <c r="X97" i="9"/>
  <c r="W97" i="9"/>
  <c r="V97" i="9"/>
  <c r="U97" i="9"/>
  <c r="T97" i="9"/>
  <c r="S97" i="9"/>
  <c r="R97" i="9"/>
  <c r="N97" i="9"/>
  <c r="M97" i="9"/>
  <c r="L97" i="9"/>
  <c r="X96" i="9"/>
  <c r="W96" i="9"/>
  <c r="V96" i="9"/>
  <c r="U96" i="9"/>
  <c r="T96" i="9"/>
  <c r="S96" i="9"/>
  <c r="R96" i="9"/>
  <c r="N96" i="9"/>
  <c r="M96" i="9"/>
  <c r="L96" i="9"/>
  <c r="X95" i="9"/>
  <c r="W95" i="9"/>
  <c r="V95" i="9"/>
  <c r="U95" i="9"/>
  <c r="T95" i="9"/>
  <c r="S95" i="9"/>
  <c r="R95" i="9"/>
  <c r="N95" i="9"/>
  <c r="M95" i="9"/>
  <c r="L95" i="9"/>
  <c r="X94" i="9"/>
  <c r="W94" i="9"/>
  <c r="V94" i="9"/>
  <c r="U94" i="9"/>
  <c r="T94" i="9"/>
  <c r="S94" i="9"/>
  <c r="R94" i="9"/>
  <c r="N94" i="9"/>
  <c r="M94" i="9"/>
  <c r="L94" i="9"/>
  <c r="X93" i="9"/>
  <c r="W93" i="9"/>
  <c r="V93" i="9"/>
  <c r="U93" i="9"/>
  <c r="T93" i="9"/>
  <c r="S93" i="9"/>
  <c r="R93" i="9"/>
  <c r="N93" i="9"/>
  <c r="M93" i="9"/>
  <c r="L93" i="9"/>
  <c r="X92" i="9"/>
  <c r="W92" i="9"/>
  <c r="V92" i="9"/>
  <c r="U92" i="9"/>
  <c r="T92" i="9"/>
  <c r="S92" i="9"/>
  <c r="R92" i="9"/>
  <c r="N92" i="9"/>
  <c r="M92" i="9"/>
  <c r="L92" i="9"/>
  <c r="X91" i="9"/>
  <c r="W91" i="9"/>
  <c r="V91" i="9"/>
  <c r="U91" i="9"/>
  <c r="T91" i="9"/>
  <c r="S91" i="9"/>
  <c r="R91" i="9"/>
  <c r="N91" i="9"/>
  <c r="M91" i="9"/>
  <c r="L91" i="9"/>
  <c r="X90" i="9"/>
  <c r="W90" i="9"/>
  <c r="V90" i="9"/>
  <c r="U90" i="9"/>
  <c r="T90" i="9"/>
  <c r="S90" i="9"/>
  <c r="R90" i="9"/>
  <c r="N90" i="9"/>
  <c r="M90" i="9"/>
  <c r="L90" i="9"/>
  <c r="X89" i="9"/>
  <c r="W89" i="9"/>
  <c r="V89" i="9"/>
  <c r="U89" i="9"/>
  <c r="T89" i="9"/>
  <c r="S89" i="9"/>
  <c r="R89" i="9"/>
  <c r="N89" i="9"/>
  <c r="M89" i="9"/>
  <c r="L89" i="9"/>
  <c r="X88" i="9"/>
  <c r="W88" i="9"/>
  <c r="V88" i="9"/>
  <c r="U88" i="9"/>
  <c r="T88" i="9"/>
  <c r="S88" i="9"/>
  <c r="R88" i="9"/>
  <c r="N88" i="9"/>
  <c r="M88" i="9"/>
  <c r="L88" i="9"/>
  <c r="X87" i="9"/>
  <c r="W87" i="9"/>
  <c r="V87" i="9"/>
  <c r="U87" i="9"/>
  <c r="T87" i="9"/>
  <c r="S87" i="9"/>
  <c r="R87" i="9"/>
  <c r="N87" i="9"/>
  <c r="M87" i="9"/>
  <c r="L87" i="9"/>
  <c r="X86" i="9"/>
  <c r="W86" i="9"/>
  <c r="V86" i="9"/>
  <c r="U86" i="9"/>
  <c r="T86" i="9"/>
  <c r="S86" i="9"/>
  <c r="R86" i="9"/>
  <c r="N86" i="9"/>
  <c r="M86" i="9"/>
  <c r="L86" i="9"/>
  <c r="X85" i="9"/>
  <c r="W85" i="9"/>
  <c r="V85" i="9"/>
  <c r="U85" i="9"/>
  <c r="T85" i="9"/>
  <c r="S85" i="9"/>
  <c r="R85" i="9"/>
  <c r="N85" i="9"/>
  <c r="M85" i="9"/>
  <c r="L85" i="9"/>
  <c r="X84" i="9"/>
  <c r="W84" i="9"/>
  <c r="V84" i="9"/>
  <c r="U84" i="9"/>
  <c r="T84" i="9"/>
  <c r="S84" i="9"/>
  <c r="R84" i="9"/>
  <c r="N84" i="9"/>
  <c r="M84" i="9"/>
  <c r="L84" i="9"/>
  <c r="X83" i="9"/>
  <c r="W83" i="9"/>
  <c r="V83" i="9"/>
  <c r="U83" i="9"/>
  <c r="T83" i="9"/>
  <c r="S83" i="9"/>
  <c r="R83" i="9"/>
  <c r="N83" i="9"/>
  <c r="M83" i="9"/>
  <c r="L83" i="9"/>
  <c r="X82" i="9"/>
  <c r="W82" i="9"/>
  <c r="V82" i="9"/>
  <c r="U82" i="9"/>
  <c r="T82" i="9"/>
  <c r="S82" i="9"/>
  <c r="R82" i="9"/>
  <c r="N82" i="9"/>
  <c r="M82" i="9"/>
  <c r="L82" i="9"/>
  <c r="X81" i="9"/>
  <c r="W81" i="9"/>
  <c r="V81" i="9"/>
  <c r="U81" i="9"/>
  <c r="T81" i="9"/>
  <c r="S81" i="9"/>
  <c r="R81" i="9"/>
  <c r="N81" i="9"/>
  <c r="M81" i="9"/>
  <c r="L81" i="9"/>
  <c r="X80" i="9"/>
  <c r="W80" i="9"/>
  <c r="V80" i="9"/>
  <c r="U80" i="9"/>
  <c r="T80" i="9"/>
  <c r="S80" i="9"/>
  <c r="R80" i="9"/>
  <c r="N80" i="9"/>
  <c r="M80" i="9"/>
  <c r="L80" i="9"/>
  <c r="X79" i="9"/>
  <c r="W79" i="9"/>
  <c r="V79" i="9"/>
  <c r="U79" i="9"/>
  <c r="T79" i="9"/>
  <c r="S79" i="9"/>
  <c r="R79" i="9"/>
  <c r="N79" i="9"/>
  <c r="M79" i="9"/>
  <c r="L79" i="9"/>
  <c r="X78" i="9"/>
  <c r="W78" i="9"/>
  <c r="V78" i="9"/>
  <c r="U78" i="9"/>
  <c r="T78" i="9"/>
  <c r="S78" i="9"/>
  <c r="R78" i="9"/>
  <c r="N78" i="9"/>
  <c r="M78" i="9"/>
  <c r="L78" i="9"/>
  <c r="X77" i="9"/>
  <c r="W77" i="9"/>
  <c r="V77" i="9"/>
  <c r="U77" i="9"/>
  <c r="T77" i="9"/>
  <c r="S77" i="9"/>
  <c r="R77" i="9"/>
  <c r="N77" i="9"/>
  <c r="M77" i="9"/>
  <c r="L77" i="9"/>
  <c r="X76" i="9"/>
  <c r="W76" i="9"/>
  <c r="V76" i="9"/>
  <c r="U76" i="9"/>
  <c r="T76" i="9"/>
  <c r="S76" i="9"/>
  <c r="R76" i="9"/>
  <c r="N76" i="9"/>
  <c r="M76" i="9"/>
  <c r="L76" i="9"/>
  <c r="X75" i="9"/>
  <c r="W75" i="9"/>
  <c r="V75" i="9"/>
  <c r="U75" i="9"/>
  <c r="T75" i="9"/>
  <c r="S75" i="9"/>
  <c r="R75" i="9"/>
  <c r="N75" i="9"/>
  <c r="M75" i="9"/>
  <c r="L75" i="9"/>
  <c r="X74" i="9"/>
  <c r="W74" i="9"/>
  <c r="V74" i="9"/>
  <c r="U74" i="9"/>
  <c r="T74" i="9"/>
  <c r="S74" i="9"/>
  <c r="R74" i="9"/>
  <c r="N74" i="9"/>
  <c r="M74" i="9"/>
  <c r="L74" i="9"/>
  <c r="X73" i="9"/>
  <c r="W73" i="9"/>
  <c r="V73" i="9"/>
  <c r="U73" i="9"/>
  <c r="T73" i="9"/>
  <c r="S73" i="9"/>
  <c r="R73" i="9"/>
  <c r="N73" i="9"/>
  <c r="M73" i="9"/>
  <c r="L73" i="9"/>
  <c r="X72" i="9"/>
  <c r="W72" i="9"/>
  <c r="V72" i="9"/>
  <c r="U72" i="9"/>
  <c r="T72" i="9"/>
  <c r="S72" i="9"/>
  <c r="R72" i="9"/>
  <c r="N72" i="9"/>
  <c r="M72" i="9"/>
  <c r="L72" i="9"/>
  <c r="X71" i="9"/>
  <c r="W71" i="9"/>
  <c r="V71" i="9"/>
  <c r="U71" i="9"/>
  <c r="T71" i="9"/>
  <c r="S71" i="9"/>
  <c r="R71" i="9"/>
  <c r="N71" i="9"/>
  <c r="M71" i="9"/>
  <c r="L71" i="9"/>
  <c r="X70" i="9"/>
  <c r="W70" i="9"/>
  <c r="V70" i="9"/>
  <c r="U70" i="9"/>
  <c r="T70" i="9"/>
  <c r="S70" i="9"/>
  <c r="R70" i="9"/>
  <c r="N70" i="9"/>
  <c r="M70" i="9"/>
  <c r="L70" i="9"/>
  <c r="X69" i="9"/>
  <c r="W69" i="9"/>
  <c r="V69" i="9"/>
  <c r="U69" i="9"/>
  <c r="T69" i="9"/>
  <c r="S69" i="9"/>
  <c r="L69" i="9"/>
  <c r="X68" i="9"/>
  <c r="W68" i="9"/>
  <c r="V68" i="9"/>
  <c r="L68" i="9"/>
  <c r="X67" i="9"/>
  <c r="W67" i="9"/>
  <c r="V67" i="9"/>
  <c r="U67" i="9"/>
  <c r="T67" i="9"/>
  <c r="S67" i="9"/>
  <c r="N67" i="9"/>
  <c r="M67" i="9"/>
  <c r="L67" i="9"/>
  <c r="X66" i="9"/>
  <c r="W66" i="9"/>
  <c r="V66" i="9"/>
  <c r="U66" i="9"/>
  <c r="T66" i="9"/>
  <c r="S66" i="9"/>
  <c r="N66" i="9"/>
  <c r="M66" i="9"/>
  <c r="L66" i="9"/>
  <c r="X65" i="9"/>
  <c r="W65" i="9"/>
  <c r="V65" i="9"/>
  <c r="U65" i="9"/>
  <c r="T65" i="9"/>
  <c r="S65" i="9"/>
  <c r="N65" i="9"/>
  <c r="M65" i="9"/>
  <c r="L65" i="9"/>
  <c r="X64" i="9"/>
  <c r="W64" i="9"/>
  <c r="V64" i="9"/>
  <c r="U64" i="9"/>
  <c r="T64" i="9"/>
  <c r="S64" i="9"/>
  <c r="N64" i="9"/>
  <c r="M64" i="9"/>
  <c r="L64" i="9"/>
  <c r="X63" i="9"/>
  <c r="W63" i="9"/>
  <c r="V63" i="9"/>
  <c r="L63" i="9"/>
  <c r="X62" i="9"/>
  <c r="W62" i="9"/>
  <c r="V62" i="9"/>
  <c r="U62" i="9"/>
  <c r="T62" i="9"/>
  <c r="S62" i="9"/>
  <c r="N62" i="9"/>
  <c r="M62" i="9"/>
  <c r="L62" i="9"/>
  <c r="X61" i="9"/>
  <c r="W61" i="9"/>
  <c r="V61" i="9"/>
  <c r="U61" i="9"/>
  <c r="T61" i="9"/>
  <c r="S61" i="9"/>
  <c r="N61" i="9"/>
  <c r="M61" i="9"/>
  <c r="L61" i="9"/>
  <c r="X60" i="9"/>
  <c r="W60" i="9"/>
  <c r="V60" i="9"/>
  <c r="U60" i="9"/>
  <c r="T60" i="9"/>
  <c r="S60" i="9"/>
  <c r="N60" i="9"/>
  <c r="M60" i="9"/>
  <c r="L60" i="9"/>
  <c r="X59" i="9"/>
  <c r="W59" i="9"/>
  <c r="V59" i="9"/>
  <c r="U59" i="9"/>
  <c r="T59" i="9"/>
  <c r="S59" i="9"/>
  <c r="N59" i="9"/>
  <c r="M59" i="9"/>
  <c r="L59" i="9"/>
  <c r="X58" i="9"/>
  <c r="W58" i="9"/>
  <c r="V58" i="9"/>
  <c r="U58" i="9"/>
  <c r="T58" i="9"/>
  <c r="S58" i="9"/>
  <c r="N58" i="9"/>
  <c r="M58" i="9"/>
  <c r="L58" i="9"/>
  <c r="X57" i="9"/>
  <c r="W57" i="9"/>
  <c r="V57" i="9"/>
  <c r="U57" i="9"/>
  <c r="T57" i="9"/>
  <c r="S57" i="9"/>
  <c r="N57" i="9"/>
  <c r="M57" i="9"/>
  <c r="L57" i="9"/>
  <c r="X56" i="9"/>
  <c r="W56" i="9"/>
  <c r="V56" i="9"/>
  <c r="U56" i="9"/>
  <c r="T56" i="9"/>
  <c r="S56" i="9"/>
  <c r="N56" i="9"/>
  <c r="M56" i="9"/>
  <c r="L56" i="9"/>
  <c r="X55" i="9"/>
  <c r="W55" i="9"/>
  <c r="V55" i="9"/>
  <c r="U55" i="9"/>
  <c r="T55" i="9"/>
  <c r="S55" i="9"/>
  <c r="N55" i="9"/>
  <c r="M55" i="9"/>
  <c r="L55" i="9"/>
  <c r="X54" i="9"/>
  <c r="W54" i="9"/>
  <c r="V54" i="9"/>
  <c r="U54" i="9"/>
  <c r="T54" i="9"/>
  <c r="S54" i="9"/>
  <c r="N54" i="9"/>
  <c r="M54" i="9"/>
  <c r="L54" i="9"/>
  <c r="X53" i="9"/>
  <c r="W53" i="9"/>
  <c r="V53" i="9"/>
  <c r="U53" i="9"/>
  <c r="T53" i="9"/>
  <c r="S53" i="9"/>
  <c r="L53" i="9"/>
  <c r="X52" i="9"/>
  <c r="W52" i="9"/>
  <c r="V52" i="9"/>
  <c r="U52" i="9"/>
  <c r="T52" i="9"/>
  <c r="S52" i="9"/>
  <c r="L52" i="9"/>
  <c r="X51" i="9"/>
  <c r="W51" i="9"/>
  <c r="V51" i="9"/>
  <c r="U51" i="9"/>
  <c r="T51" i="9"/>
  <c r="S51" i="9"/>
  <c r="L51" i="9"/>
  <c r="X50" i="9"/>
  <c r="W50" i="9"/>
  <c r="V50" i="9"/>
  <c r="U50" i="9"/>
  <c r="T50" i="9"/>
  <c r="S50" i="9"/>
  <c r="L50" i="9"/>
  <c r="U49" i="9"/>
  <c r="T49" i="9"/>
  <c r="S49" i="9"/>
  <c r="L49" i="9"/>
  <c r="O51" i="9" s="1"/>
  <c r="X48" i="9"/>
  <c r="W48" i="9"/>
  <c r="V48" i="9"/>
  <c r="U48" i="9"/>
  <c r="T48" i="9"/>
  <c r="S48" i="9"/>
  <c r="Q48" i="9"/>
  <c r="P48" i="9"/>
  <c r="O48" i="9"/>
  <c r="L48" i="9"/>
  <c r="X47" i="9"/>
  <c r="W47" i="9"/>
  <c r="V47" i="9"/>
  <c r="U47" i="9"/>
  <c r="T47" i="9"/>
  <c r="S47" i="9"/>
  <c r="Q47" i="9"/>
  <c r="P47" i="9"/>
  <c r="O47" i="9"/>
  <c r="L47" i="9"/>
  <c r="X46" i="9"/>
  <c r="W46" i="9"/>
  <c r="V46" i="9"/>
  <c r="U46" i="9"/>
  <c r="T46" i="9"/>
  <c r="S46" i="9"/>
  <c r="Q46" i="9"/>
  <c r="P46" i="9"/>
  <c r="O46" i="9"/>
  <c r="L46" i="9"/>
  <c r="X45" i="9"/>
  <c r="W45" i="9"/>
  <c r="V45" i="9"/>
  <c r="U45" i="9"/>
  <c r="T45" i="9"/>
  <c r="S45" i="9"/>
  <c r="Q45" i="9"/>
  <c r="P45" i="9"/>
  <c r="O45" i="9"/>
  <c r="L45" i="9"/>
  <c r="X44" i="9"/>
  <c r="W44" i="9"/>
  <c r="V44" i="9"/>
  <c r="U44" i="9"/>
  <c r="T44" i="9"/>
  <c r="S44" i="9"/>
  <c r="Q44" i="9"/>
  <c r="P44" i="9"/>
  <c r="O44" i="9"/>
  <c r="L44" i="9"/>
  <c r="X43" i="9"/>
  <c r="W43" i="9"/>
  <c r="V43" i="9"/>
  <c r="U43" i="9"/>
  <c r="T43" i="9"/>
  <c r="S43" i="9"/>
  <c r="Q43" i="9"/>
  <c r="P43" i="9"/>
  <c r="O43" i="9"/>
  <c r="L43" i="9"/>
  <c r="X42" i="9"/>
  <c r="W42" i="9"/>
  <c r="V42" i="9"/>
  <c r="U42" i="9"/>
  <c r="T42" i="9"/>
  <c r="S42" i="9"/>
  <c r="Q42" i="9"/>
  <c r="P42" i="9"/>
  <c r="O42" i="9"/>
  <c r="L42" i="9"/>
  <c r="K42" i="9"/>
  <c r="X41" i="9"/>
  <c r="W41" i="9"/>
  <c r="V41" i="9"/>
  <c r="U41" i="9"/>
  <c r="T41" i="9"/>
  <c r="S41" i="9"/>
  <c r="Q41" i="9"/>
  <c r="P41" i="9"/>
  <c r="O41" i="9"/>
  <c r="L41" i="9"/>
  <c r="K41" i="9"/>
  <c r="X40" i="9"/>
  <c r="W40" i="9"/>
  <c r="V40" i="9"/>
  <c r="U40" i="9"/>
  <c r="T40" i="9"/>
  <c r="S40" i="9"/>
  <c r="Q40" i="9"/>
  <c r="P40" i="9"/>
  <c r="O40" i="9"/>
  <c r="L40" i="9"/>
  <c r="K40" i="9"/>
  <c r="X39" i="9"/>
  <c r="W39" i="9"/>
  <c r="V39" i="9"/>
  <c r="U39" i="9"/>
  <c r="T39" i="9"/>
  <c r="S39" i="9"/>
  <c r="Q39" i="9"/>
  <c r="P39" i="9"/>
  <c r="O39" i="9"/>
  <c r="L39" i="9"/>
  <c r="K39" i="9"/>
  <c r="X38" i="9"/>
  <c r="W38" i="9"/>
  <c r="V38" i="9"/>
  <c r="U38" i="9"/>
  <c r="T38" i="9"/>
  <c r="S38" i="9"/>
  <c r="Q38" i="9"/>
  <c r="P38" i="9"/>
  <c r="O38" i="9"/>
  <c r="L38" i="9"/>
  <c r="K38" i="9"/>
  <c r="X37" i="9"/>
  <c r="W37" i="9"/>
  <c r="V37" i="9"/>
  <c r="U37" i="9"/>
  <c r="T37" i="9"/>
  <c r="S37" i="9"/>
  <c r="Q37" i="9"/>
  <c r="P37" i="9"/>
  <c r="O37" i="9"/>
  <c r="L37" i="9"/>
  <c r="K37" i="9"/>
  <c r="X36" i="9"/>
  <c r="W36" i="9"/>
  <c r="V36" i="9"/>
  <c r="U36" i="9"/>
  <c r="T36" i="9"/>
  <c r="S36" i="9"/>
  <c r="Q36" i="9"/>
  <c r="P36" i="9"/>
  <c r="O36" i="9"/>
  <c r="L36" i="9"/>
  <c r="K36" i="9"/>
  <c r="X35" i="9"/>
  <c r="W35" i="9"/>
  <c r="V35" i="9"/>
  <c r="U35" i="9"/>
  <c r="T35" i="9"/>
  <c r="S35" i="9"/>
  <c r="Q35" i="9"/>
  <c r="P35" i="9"/>
  <c r="O35" i="9"/>
  <c r="L35" i="9"/>
  <c r="K35" i="9"/>
  <c r="X34" i="9"/>
  <c r="W34" i="9"/>
  <c r="V34" i="9"/>
  <c r="U34" i="9"/>
  <c r="T34" i="9"/>
  <c r="S34" i="9"/>
  <c r="Q34" i="9"/>
  <c r="P34" i="9"/>
  <c r="O34" i="9"/>
  <c r="L34" i="9"/>
  <c r="K34" i="9"/>
  <c r="X33" i="9"/>
  <c r="W33" i="9"/>
  <c r="V33" i="9"/>
  <c r="U33" i="9"/>
  <c r="T33" i="9"/>
  <c r="S33" i="9"/>
  <c r="Q33" i="9"/>
  <c r="P33" i="9"/>
  <c r="O33" i="9"/>
  <c r="L33" i="9"/>
  <c r="K33" i="9"/>
  <c r="X32" i="9"/>
  <c r="W32" i="9"/>
  <c r="V32" i="9"/>
  <c r="U32" i="9"/>
  <c r="T32" i="9"/>
  <c r="S32" i="9"/>
  <c r="Q32" i="9"/>
  <c r="P32" i="9"/>
  <c r="O32" i="9"/>
  <c r="L32" i="9"/>
  <c r="K32" i="9"/>
  <c r="X31" i="9"/>
  <c r="W31" i="9"/>
  <c r="V31" i="9"/>
  <c r="U31" i="9"/>
  <c r="T31" i="9"/>
  <c r="S31" i="9"/>
  <c r="Q31" i="9"/>
  <c r="P31" i="9"/>
  <c r="O31" i="9"/>
  <c r="L31" i="9"/>
  <c r="K31" i="9"/>
  <c r="X30" i="9"/>
  <c r="W30" i="9"/>
  <c r="V30" i="9"/>
  <c r="U30" i="9"/>
  <c r="T30" i="9"/>
  <c r="S30" i="9"/>
  <c r="Q30" i="9"/>
  <c r="P30" i="9"/>
  <c r="O30" i="9"/>
  <c r="L30" i="9"/>
  <c r="K30" i="9"/>
  <c r="X29" i="9"/>
  <c r="W29" i="9"/>
  <c r="V29" i="9"/>
  <c r="U29" i="9"/>
  <c r="T29" i="9"/>
  <c r="S29" i="9"/>
  <c r="Q29" i="9"/>
  <c r="P29" i="9"/>
  <c r="O29" i="9"/>
  <c r="L29" i="9"/>
  <c r="K29" i="9"/>
  <c r="X28" i="9"/>
  <c r="W28" i="9"/>
  <c r="V28" i="9"/>
  <c r="U28" i="9"/>
  <c r="T28" i="9"/>
  <c r="S28" i="9"/>
  <c r="Q28" i="9"/>
  <c r="P28" i="9"/>
  <c r="O28" i="9"/>
  <c r="L28" i="9"/>
  <c r="K28" i="9"/>
  <c r="X27" i="9"/>
  <c r="W27" i="9"/>
  <c r="V27" i="9"/>
  <c r="U27" i="9"/>
  <c r="T27" i="9"/>
  <c r="S27" i="9"/>
  <c r="R27" i="9"/>
  <c r="R55" i="9" s="1"/>
  <c r="Q27" i="9"/>
  <c r="P27" i="9"/>
  <c r="O27" i="9"/>
  <c r="N27" i="9"/>
  <c r="N68" i="9" s="1"/>
  <c r="M27" i="9"/>
  <c r="M38" i="9" s="1"/>
  <c r="L27" i="9"/>
  <c r="K27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R16" i="9"/>
  <c r="N16" i="9"/>
  <c r="M16" i="9"/>
  <c r="L16" i="9"/>
  <c r="K16" i="9"/>
  <c r="W7" i="9"/>
  <c r="Y2" i="9"/>
  <c r="X153" i="7"/>
  <c r="W153" i="7"/>
  <c r="V153" i="7"/>
  <c r="U153" i="7"/>
  <c r="T153" i="7"/>
  <c r="S153" i="7"/>
  <c r="R153" i="7"/>
  <c r="N153" i="7"/>
  <c r="M153" i="7"/>
  <c r="L153" i="7"/>
  <c r="X152" i="7"/>
  <c r="W152" i="7"/>
  <c r="V152" i="7"/>
  <c r="U152" i="7"/>
  <c r="T152" i="7"/>
  <c r="S152" i="7"/>
  <c r="R152" i="7"/>
  <c r="N152" i="7"/>
  <c r="M152" i="7"/>
  <c r="L152" i="7"/>
  <c r="X151" i="7"/>
  <c r="W151" i="7"/>
  <c r="V151" i="7"/>
  <c r="U151" i="7"/>
  <c r="T151" i="7"/>
  <c r="S151" i="7"/>
  <c r="R151" i="7"/>
  <c r="N151" i="7"/>
  <c r="M151" i="7"/>
  <c r="L151" i="7"/>
  <c r="X150" i="7"/>
  <c r="W150" i="7"/>
  <c r="V150" i="7"/>
  <c r="U150" i="7"/>
  <c r="T150" i="7"/>
  <c r="S150" i="7"/>
  <c r="R150" i="7"/>
  <c r="N150" i="7"/>
  <c r="M150" i="7"/>
  <c r="L150" i="7"/>
  <c r="X149" i="7"/>
  <c r="W149" i="7"/>
  <c r="V149" i="7"/>
  <c r="U149" i="7"/>
  <c r="T149" i="7"/>
  <c r="S149" i="7"/>
  <c r="R149" i="7"/>
  <c r="N149" i="7"/>
  <c r="M149" i="7"/>
  <c r="L149" i="7"/>
  <c r="X148" i="7"/>
  <c r="W148" i="7"/>
  <c r="V148" i="7"/>
  <c r="U148" i="7"/>
  <c r="T148" i="7"/>
  <c r="S148" i="7"/>
  <c r="R148" i="7"/>
  <c r="N148" i="7"/>
  <c r="M148" i="7"/>
  <c r="L148" i="7"/>
  <c r="X147" i="7"/>
  <c r="W147" i="7"/>
  <c r="V147" i="7"/>
  <c r="U147" i="7"/>
  <c r="T147" i="7"/>
  <c r="S147" i="7"/>
  <c r="R147" i="7"/>
  <c r="N147" i="7"/>
  <c r="M147" i="7"/>
  <c r="L147" i="7"/>
  <c r="X146" i="7"/>
  <c r="W146" i="7"/>
  <c r="V146" i="7"/>
  <c r="U146" i="7"/>
  <c r="T146" i="7"/>
  <c r="S146" i="7"/>
  <c r="R146" i="7"/>
  <c r="N146" i="7"/>
  <c r="M146" i="7"/>
  <c r="L146" i="7"/>
  <c r="X145" i="7"/>
  <c r="W145" i="7"/>
  <c r="V145" i="7"/>
  <c r="U145" i="7"/>
  <c r="T145" i="7"/>
  <c r="S145" i="7"/>
  <c r="R145" i="7"/>
  <c r="N145" i="7"/>
  <c r="M145" i="7"/>
  <c r="L145" i="7"/>
  <c r="X144" i="7"/>
  <c r="W144" i="7"/>
  <c r="V144" i="7"/>
  <c r="U144" i="7"/>
  <c r="T144" i="7"/>
  <c r="S144" i="7"/>
  <c r="R144" i="7"/>
  <c r="N144" i="7"/>
  <c r="M144" i="7"/>
  <c r="L144" i="7"/>
  <c r="X143" i="7"/>
  <c r="W143" i="7"/>
  <c r="V143" i="7"/>
  <c r="U143" i="7"/>
  <c r="T143" i="7"/>
  <c r="S143" i="7"/>
  <c r="R143" i="7"/>
  <c r="N143" i="7"/>
  <c r="M143" i="7"/>
  <c r="L143" i="7"/>
  <c r="X142" i="7"/>
  <c r="W142" i="7"/>
  <c r="V142" i="7"/>
  <c r="U142" i="7"/>
  <c r="T142" i="7"/>
  <c r="S142" i="7"/>
  <c r="R142" i="7"/>
  <c r="N142" i="7"/>
  <c r="M142" i="7"/>
  <c r="L142" i="7"/>
  <c r="X141" i="7"/>
  <c r="W141" i="7"/>
  <c r="V141" i="7"/>
  <c r="U141" i="7"/>
  <c r="T141" i="7"/>
  <c r="S141" i="7"/>
  <c r="R141" i="7"/>
  <c r="N141" i="7"/>
  <c r="M141" i="7"/>
  <c r="L141" i="7"/>
  <c r="X140" i="7"/>
  <c r="W140" i="7"/>
  <c r="V140" i="7"/>
  <c r="U140" i="7"/>
  <c r="T140" i="7"/>
  <c r="S140" i="7"/>
  <c r="R140" i="7"/>
  <c r="N140" i="7"/>
  <c r="M140" i="7"/>
  <c r="L140" i="7"/>
  <c r="X139" i="7"/>
  <c r="W139" i="7"/>
  <c r="V139" i="7"/>
  <c r="U139" i="7"/>
  <c r="T139" i="7"/>
  <c r="S139" i="7"/>
  <c r="R139" i="7"/>
  <c r="N139" i="7"/>
  <c r="M139" i="7"/>
  <c r="L139" i="7"/>
  <c r="X138" i="7"/>
  <c r="W138" i="7"/>
  <c r="V138" i="7"/>
  <c r="U138" i="7"/>
  <c r="T138" i="7"/>
  <c r="S138" i="7"/>
  <c r="R138" i="7"/>
  <c r="N138" i="7"/>
  <c r="M138" i="7"/>
  <c r="L138" i="7"/>
  <c r="X137" i="7"/>
  <c r="W137" i="7"/>
  <c r="V137" i="7"/>
  <c r="U137" i="7"/>
  <c r="T137" i="7"/>
  <c r="S137" i="7"/>
  <c r="R137" i="7"/>
  <c r="N137" i="7"/>
  <c r="M137" i="7"/>
  <c r="L137" i="7"/>
  <c r="X136" i="7"/>
  <c r="W136" i="7"/>
  <c r="V136" i="7"/>
  <c r="U136" i="7"/>
  <c r="T136" i="7"/>
  <c r="S136" i="7"/>
  <c r="R136" i="7"/>
  <c r="N136" i="7"/>
  <c r="M136" i="7"/>
  <c r="L136" i="7"/>
  <c r="X135" i="7"/>
  <c r="W135" i="7"/>
  <c r="V135" i="7"/>
  <c r="U135" i="7"/>
  <c r="T135" i="7"/>
  <c r="S135" i="7"/>
  <c r="R135" i="7"/>
  <c r="N135" i="7"/>
  <c r="M135" i="7"/>
  <c r="L135" i="7"/>
  <c r="X134" i="7"/>
  <c r="W134" i="7"/>
  <c r="V134" i="7"/>
  <c r="U134" i="7"/>
  <c r="T134" i="7"/>
  <c r="S134" i="7"/>
  <c r="R134" i="7"/>
  <c r="N134" i="7"/>
  <c r="M134" i="7"/>
  <c r="L134" i="7"/>
  <c r="X133" i="7"/>
  <c r="W133" i="7"/>
  <c r="V133" i="7"/>
  <c r="U133" i="7"/>
  <c r="T133" i="7"/>
  <c r="S133" i="7"/>
  <c r="R133" i="7"/>
  <c r="N133" i="7"/>
  <c r="M133" i="7"/>
  <c r="L133" i="7"/>
  <c r="X132" i="7"/>
  <c r="W132" i="7"/>
  <c r="V132" i="7"/>
  <c r="U132" i="7"/>
  <c r="T132" i="7"/>
  <c r="S132" i="7"/>
  <c r="R132" i="7"/>
  <c r="N132" i="7"/>
  <c r="M132" i="7"/>
  <c r="L132" i="7"/>
  <c r="X131" i="7"/>
  <c r="W131" i="7"/>
  <c r="V131" i="7"/>
  <c r="U131" i="7"/>
  <c r="T131" i="7"/>
  <c r="S131" i="7"/>
  <c r="R131" i="7"/>
  <c r="N131" i="7"/>
  <c r="M131" i="7"/>
  <c r="L131" i="7"/>
  <c r="X130" i="7"/>
  <c r="W130" i="7"/>
  <c r="V130" i="7"/>
  <c r="U130" i="7"/>
  <c r="T130" i="7"/>
  <c r="S130" i="7"/>
  <c r="R130" i="7"/>
  <c r="N130" i="7"/>
  <c r="M130" i="7"/>
  <c r="L130" i="7"/>
  <c r="X129" i="7"/>
  <c r="W129" i="7"/>
  <c r="V129" i="7"/>
  <c r="U129" i="7"/>
  <c r="T129" i="7"/>
  <c r="S129" i="7"/>
  <c r="R129" i="7"/>
  <c r="N129" i="7"/>
  <c r="M129" i="7"/>
  <c r="L129" i="7"/>
  <c r="X128" i="7"/>
  <c r="W128" i="7"/>
  <c r="V128" i="7"/>
  <c r="U128" i="7"/>
  <c r="T128" i="7"/>
  <c r="S128" i="7"/>
  <c r="R128" i="7"/>
  <c r="N128" i="7"/>
  <c r="M128" i="7"/>
  <c r="L128" i="7"/>
  <c r="X127" i="7"/>
  <c r="W127" i="7"/>
  <c r="V127" i="7"/>
  <c r="U127" i="7"/>
  <c r="T127" i="7"/>
  <c r="S127" i="7"/>
  <c r="R127" i="7"/>
  <c r="N127" i="7"/>
  <c r="M127" i="7"/>
  <c r="L127" i="7"/>
  <c r="X126" i="7"/>
  <c r="W126" i="7"/>
  <c r="V126" i="7"/>
  <c r="U126" i="7"/>
  <c r="T126" i="7"/>
  <c r="S126" i="7"/>
  <c r="R126" i="7"/>
  <c r="N126" i="7"/>
  <c r="M126" i="7"/>
  <c r="L126" i="7"/>
  <c r="X125" i="7"/>
  <c r="W125" i="7"/>
  <c r="V125" i="7"/>
  <c r="U125" i="7"/>
  <c r="T125" i="7"/>
  <c r="S125" i="7"/>
  <c r="R125" i="7"/>
  <c r="N125" i="7"/>
  <c r="M125" i="7"/>
  <c r="L125" i="7"/>
  <c r="X124" i="7"/>
  <c r="W124" i="7"/>
  <c r="V124" i="7"/>
  <c r="U124" i="7"/>
  <c r="T124" i="7"/>
  <c r="S124" i="7"/>
  <c r="R124" i="7"/>
  <c r="N124" i="7"/>
  <c r="M124" i="7"/>
  <c r="L124" i="7"/>
  <c r="X123" i="7"/>
  <c r="W123" i="7"/>
  <c r="V123" i="7"/>
  <c r="U123" i="7"/>
  <c r="T123" i="7"/>
  <c r="S123" i="7"/>
  <c r="R123" i="7"/>
  <c r="N123" i="7"/>
  <c r="M123" i="7"/>
  <c r="L123" i="7"/>
  <c r="X122" i="7"/>
  <c r="W122" i="7"/>
  <c r="V122" i="7"/>
  <c r="U122" i="7"/>
  <c r="T122" i="7"/>
  <c r="S122" i="7"/>
  <c r="R122" i="7"/>
  <c r="N122" i="7"/>
  <c r="M122" i="7"/>
  <c r="L122" i="7"/>
  <c r="X121" i="7"/>
  <c r="W121" i="7"/>
  <c r="V121" i="7"/>
  <c r="U121" i="7"/>
  <c r="T121" i="7"/>
  <c r="S121" i="7"/>
  <c r="R121" i="7"/>
  <c r="N121" i="7"/>
  <c r="M121" i="7"/>
  <c r="L121" i="7"/>
  <c r="X120" i="7"/>
  <c r="W120" i="7"/>
  <c r="V120" i="7"/>
  <c r="U120" i="7"/>
  <c r="T120" i="7"/>
  <c r="S120" i="7"/>
  <c r="R120" i="7"/>
  <c r="N120" i="7"/>
  <c r="M120" i="7"/>
  <c r="L120" i="7"/>
  <c r="X119" i="7"/>
  <c r="W119" i="7"/>
  <c r="V119" i="7"/>
  <c r="U119" i="7"/>
  <c r="T119" i="7"/>
  <c r="S119" i="7"/>
  <c r="R119" i="7"/>
  <c r="N119" i="7"/>
  <c r="M119" i="7"/>
  <c r="L119" i="7"/>
  <c r="X118" i="7"/>
  <c r="W118" i="7"/>
  <c r="V118" i="7"/>
  <c r="U118" i="7"/>
  <c r="T118" i="7"/>
  <c r="S118" i="7"/>
  <c r="R118" i="7"/>
  <c r="N118" i="7"/>
  <c r="M118" i="7"/>
  <c r="L118" i="7"/>
  <c r="X117" i="7"/>
  <c r="W117" i="7"/>
  <c r="V117" i="7"/>
  <c r="U117" i="7"/>
  <c r="T117" i="7"/>
  <c r="S117" i="7"/>
  <c r="R117" i="7"/>
  <c r="N117" i="7"/>
  <c r="M117" i="7"/>
  <c r="L117" i="7"/>
  <c r="X116" i="7"/>
  <c r="W116" i="7"/>
  <c r="V116" i="7"/>
  <c r="U116" i="7"/>
  <c r="T116" i="7"/>
  <c r="S116" i="7"/>
  <c r="R116" i="7"/>
  <c r="N116" i="7"/>
  <c r="M116" i="7"/>
  <c r="L116" i="7"/>
  <c r="X115" i="7"/>
  <c r="W115" i="7"/>
  <c r="V115" i="7"/>
  <c r="U115" i="7"/>
  <c r="T115" i="7"/>
  <c r="S115" i="7"/>
  <c r="R115" i="7"/>
  <c r="N115" i="7"/>
  <c r="M115" i="7"/>
  <c r="L115" i="7"/>
  <c r="X114" i="7"/>
  <c r="W114" i="7"/>
  <c r="V114" i="7"/>
  <c r="U114" i="7"/>
  <c r="T114" i="7"/>
  <c r="S114" i="7"/>
  <c r="R114" i="7"/>
  <c r="N114" i="7"/>
  <c r="M114" i="7"/>
  <c r="L114" i="7"/>
  <c r="X113" i="7"/>
  <c r="W113" i="7"/>
  <c r="V113" i="7"/>
  <c r="U113" i="7"/>
  <c r="T113" i="7"/>
  <c r="S113" i="7"/>
  <c r="R113" i="7"/>
  <c r="N113" i="7"/>
  <c r="M113" i="7"/>
  <c r="L113" i="7"/>
  <c r="X112" i="7"/>
  <c r="W112" i="7"/>
  <c r="V112" i="7"/>
  <c r="U112" i="7"/>
  <c r="T112" i="7"/>
  <c r="S112" i="7"/>
  <c r="R112" i="7"/>
  <c r="N112" i="7"/>
  <c r="M112" i="7"/>
  <c r="L112" i="7"/>
  <c r="X111" i="7"/>
  <c r="W111" i="7"/>
  <c r="V111" i="7"/>
  <c r="U111" i="7"/>
  <c r="T111" i="7"/>
  <c r="S111" i="7"/>
  <c r="R111" i="7"/>
  <c r="N111" i="7"/>
  <c r="M111" i="7"/>
  <c r="L111" i="7"/>
  <c r="X110" i="7"/>
  <c r="W110" i="7"/>
  <c r="V110" i="7"/>
  <c r="U110" i="7"/>
  <c r="T110" i="7"/>
  <c r="S110" i="7"/>
  <c r="R110" i="7"/>
  <c r="N110" i="7"/>
  <c r="M110" i="7"/>
  <c r="L110" i="7"/>
  <c r="X109" i="7"/>
  <c r="W109" i="7"/>
  <c r="V109" i="7"/>
  <c r="U109" i="7"/>
  <c r="T109" i="7"/>
  <c r="S109" i="7"/>
  <c r="R109" i="7"/>
  <c r="N109" i="7"/>
  <c r="M109" i="7"/>
  <c r="L109" i="7"/>
  <c r="X108" i="7"/>
  <c r="W108" i="7"/>
  <c r="V108" i="7"/>
  <c r="U108" i="7"/>
  <c r="T108" i="7"/>
  <c r="S108" i="7"/>
  <c r="R108" i="7"/>
  <c r="N108" i="7"/>
  <c r="M108" i="7"/>
  <c r="L108" i="7"/>
  <c r="X107" i="7"/>
  <c r="W107" i="7"/>
  <c r="V107" i="7"/>
  <c r="U107" i="7"/>
  <c r="T107" i="7"/>
  <c r="S107" i="7"/>
  <c r="R107" i="7"/>
  <c r="N107" i="7"/>
  <c r="M107" i="7"/>
  <c r="L107" i="7"/>
  <c r="X106" i="7"/>
  <c r="W106" i="7"/>
  <c r="V106" i="7"/>
  <c r="U106" i="7"/>
  <c r="T106" i="7"/>
  <c r="S106" i="7"/>
  <c r="R106" i="7"/>
  <c r="N106" i="7"/>
  <c r="M106" i="7"/>
  <c r="L106" i="7"/>
  <c r="X105" i="7"/>
  <c r="W105" i="7"/>
  <c r="V105" i="7"/>
  <c r="U105" i="7"/>
  <c r="T105" i="7"/>
  <c r="S105" i="7"/>
  <c r="R105" i="7"/>
  <c r="N105" i="7"/>
  <c r="M105" i="7"/>
  <c r="L105" i="7"/>
  <c r="X104" i="7"/>
  <c r="W104" i="7"/>
  <c r="V104" i="7"/>
  <c r="U104" i="7"/>
  <c r="T104" i="7"/>
  <c r="S104" i="7"/>
  <c r="R104" i="7"/>
  <c r="N104" i="7"/>
  <c r="M104" i="7"/>
  <c r="L104" i="7"/>
  <c r="X103" i="7"/>
  <c r="W103" i="7"/>
  <c r="V103" i="7"/>
  <c r="U103" i="7"/>
  <c r="T103" i="7"/>
  <c r="S103" i="7"/>
  <c r="R103" i="7"/>
  <c r="N103" i="7"/>
  <c r="M103" i="7"/>
  <c r="L103" i="7"/>
  <c r="X102" i="7"/>
  <c r="W102" i="7"/>
  <c r="V102" i="7"/>
  <c r="U102" i="7"/>
  <c r="T102" i="7"/>
  <c r="S102" i="7"/>
  <c r="R102" i="7"/>
  <c r="N102" i="7"/>
  <c r="M102" i="7"/>
  <c r="L102" i="7"/>
  <c r="X101" i="7"/>
  <c r="W101" i="7"/>
  <c r="V101" i="7"/>
  <c r="U101" i="7"/>
  <c r="T101" i="7"/>
  <c r="S101" i="7"/>
  <c r="R101" i="7"/>
  <c r="N101" i="7"/>
  <c r="M101" i="7"/>
  <c r="L101" i="7"/>
  <c r="X100" i="7"/>
  <c r="W100" i="7"/>
  <c r="V100" i="7"/>
  <c r="U100" i="7"/>
  <c r="T100" i="7"/>
  <c r="S100" i="7"/>
  <c r="R100" i="7"/>
  <c r="N100" i="7"/>
  <c r="M100" i="7"/>
  <c r="L100" i="7"/>
  <c r="X99" i="7"/>
  <c r="W99" i="7"/>
  <c r="V99" i="7"/>
  <c r="U99" i="7"/>
  <c r="T99" i="7"/>
  <c r="S99" i="7"/>
  <c r="R99" i="7"/>
  <c r="N99" i="7"/>
  <c r="M99" i="7"/>
  <c r="L99" i="7"/>
  <c r="X98" i="7"/>
  <c r="W98" i="7"/>
  <c r="V98" i="7"/>
  <c r="U98" i="7"/>
  <c r="T98" i="7"/>
  <c r="S98" i="7"/>
  <c r="R98" i="7"/>
  <c r="N98" i="7"/>
  <c r="M98" i="7"/>
  <c r="L98" i="7"/>
  <c r="X97" i="7"/>
  <c r="W97" i="7"/>
  <c r="V97" i="7"/>
  <c r="U97" i="7"/>
  <c r="T97" i="7"/>
  <c r="S97" i="7"/>
  <c r="R97" i="7"/>
  <c r="N97" i="7"/>
  <c r="M97" i="7"/>
  <c r="L97" i="7"/>
  <c r="X96" i="7"/>
  <c r="W96" i="7"/>
  <c r="V96" i="7"/>
  <c r="U96" i="7"/>
  <c r="T96" i="7"/>
  <c r="S96" i="7"/>
  <c r="R96" i="7"/>
  <c r="N96" i="7"/>
  <c r="M96" i="7"/>
  <c r="L96" i="7"/>
  <c r="X95" i="7"/>
  <c r="W95" i="7"/>
  <c r="V95" i="7"/>
  <c r="U95" i="7"/>
  <c r="T95" i="7"/>
  <c r="S95" i="7"/>
  <c r="R95" i="7"/>
  <c r="N95" i="7"/>
  <c r="M95" i="7"/>
  <c r="L95" i="7"/>
  <c r="X94" i="7"/>
  <c r="W94" i="7"/>
  <c r="V94" i="7"/>
  <c r="U94" i="7"/>
  <c r="T94" i="7"/>
  <c r="S94" i="7"/>
  <c r="R94" i="7"/>
  <c r="N94" i="7"/>
  <c r="M94" i="7"/>
  <c r="L94" i="7"/>
  <c r="X93" i="7"/>
  <c r="W93" i="7"/>
  <c r="V93" i="7"/>
  <c r="U93" i="7"/>
  <c r="T93" i="7"/>
  <c r="S93" i="7"/>
  <c r="R93" i="7"/>
  <c r="N93" i="7"/>
  <c r="M93" i="7"/>
  <c r="L93" i="7"/>
  <c r="X92" i="7"/>
  <c r="W92" i="7"/>
  <c r="V92" i="7"/>
  <c r="U92" i="7"/>
  <c r="T92" i="7"/>
  <c r="S92" i="7"/>
  <c r="R92" i="7"/>
  <c r="N92" i="7"/>
  <c r="M92" i="7"/>
  <c r="L92" i="7"/>
  <c r="X91" i="7"/>
  <c r="W91" i="7"/>
  <c r="V91" i="7"/>
  <c r="U91" i="7"/>
  <c r="T91" i="7"/>
  <c r="S91" i="7"/>
  <c r="R91" i="7"/>
  <c r="N91" i="7"/>
  <c r="M91" i="7"/>
  <c r="L91" i="7"/>
  <c r="X90" i="7"/>
  <c r="W90" i="7"/>
  <c r="V90" i="7"/>
  <c r="U90" i="7"/>
  <c r="T90" i="7"/>
  <c r="S90" i="7"/>
  <c r="R90" i="7"/>
  <c r="N90" i="7"/>
  <c r="M90" i="7"/>
  <c r="L90" i="7"/>
  <c r="X89" i="7"/>
  <c r="W89" i="7"/>
  <c r="V89" i="7"/>
  <c r="U89" i="7"/>
  <c r="T89" i="7"/>
  <c r="S89" i="7"/>
  <c r="R89" i="7"/>
  <c r="N89" i="7"/>
  <c r="M89" i="7"/>
  <c r="L89" i="7"/>
  <c r="X88" i="7"/>
  <c r="W88" i="7"/>
  <c r="V88" i="7"/>
  <c r="U88" i="7"/>
  <c r="T88" i="7"/>
  <c r="S88" i="7"/>
  <c r="R88" i="7"/>
  <c r="N88" i="7"/>
  <c r="M88" i="7"/>
  <c r="L88" i="7"/>
  <c r="X87" i="7"/>
  <c r="W87" i="7"/>
  <c r="V87" i="7"/>
  <c r="U87" i="7"/>
  <c r="T87" i="7"/>
  <c r="S87" i="7"/>
  <c r="R87" i="7"/>
  <c r="N87" i="7"/>
  <c r="M87" i="7"/>
  <c r="L87" i="7"/>
  <c r="X86" i="7"/>
  <c r="W86" i="7"/>
  <c r="V86" i="7"/>
  <c r="U86" i="7"/>
  <c r="T86" i="7"/>
  <c r="S86" i="7"/>
  <c r="R86" i="7"/>
  <c r="N86" i="7"/>
  <c r="M86" i="7"/>
  <c r="L86" i="7"/>
  <c r="X85" i="7"/>
  <c r="W85" i="7"/>
  <c r="V85" i="7"/>
  <c r="U85" i="7"/>
  <c r="T85" i="7"/>
  <c r="S85" i="7"/>
  <c r="R85" i="7"/>
  <c r="N85" i="7"/>
  <c r="M85" i="7"/>
  <c r="L85" i="7"/>
  <c r="X84" i="7"/>
  <c r="W84" i="7"/>
  <c r="V84" i="7"/>
  <c r="U84" i="7"/>
  <c r="T84" i="7"/>
  <c r="S84" i="7"/>
  <c r="R84" i="7"/>
  <c r="N84" i="7"/>
  <c r="M84" i="7"/>
  <c r="L84" i="7"/>
  <c r="X83" i="7"/>
  <c r="W83" i="7"/>
  <c r="V83" i="7"/>
  <c r="U83" i="7"/>
  <c r="T83" i="7"/>
  <c r="S83" i="7"/>
  <c r="R83" i="7"/>
  <c r="N83" i="7"/>
  <c r="M83" i="7"/>
  <c r="L83" i="7"/>
  <c r="X82" i="7"/>
  <c r="W82" i="7"/>
  <c r="V82" i="7"/>
  <c r="U82" i="7"/>
  <c r="T82" i="7"/>
  <c r="S82" i="7"/>
  <c r="R82" i="7"/>
  <c r="N82" i="7"/>
  <c r="M82" i="7"/>
  <c r="L82" i="7"/>
  <c r="X81" i="7"/>
  <c r="W81" i="7"/>
  <c r="V81" i="7"/>
  <c r="U81" i="7"/>
  <c r="T81" i="7"/>
  <c r="S81" i="7"/>
  <c r="R81" i="7"/>
  <c r="N81" i="7"/>
  <c r="M81" i="7"/>
  <c r="L81" i="7"/>
  <c r="X80" i="7"/>
  <c r="W80" i="7"/>
  <c r="V80" i="7"/>
  <c r="U80" i="7"/>
  <c r="T80" i="7"/>
  <c r="S80" i="7"/>
  <c r="R80" i="7"/>
  <c r="N80" i="7"/>
  <c r="M80" i="7"/>
  <c r="L80" i="7"/>
  <c r="X79" i="7"/>
  <c r="W79" i="7"/>
  <c r="V79" i="7"/>
  <c r="U79" i="7"/>
  <c r="T79" i="7"/>
  <c r="S79" i="7"/>
  <c r="R79" i="7"/>
  <c r="N79" i="7"/>
  <c r="M79" i="7"/>
  <c r="L79" i="7"/>
  <c r="X78" i="7"/>
  <c r="W78" i="7"/>
  <c r="V78" i="7"/>
  <c r="U78" i="7"/>
  <c r="T78" i="7"/>
  <c r="S78" i="7"/>
  <c r="R78" i="7"/>
  <c r="N78" i="7"/>
  <c r="M78" i="7"/>
  <c r="L78" i="7"/>
  <c r="X77" i="7"/>
  <c r="W77" i="7"/>
  <c r="V77" i="7"/>
  <c r="U77" i="7"/>
  <c r="T77" i="7"/>
  <c r="S77" i="7"/>
  <c r="R77" i="7"/>
  <c r="N77" i="7"/>
  <c r="M77" i="7"/>
  <c r="L77" i="7"/>
  <c r="X76" i="7"/>
  <c r="W76" i="7"/>
  <c r="V76" i="7"/>
  <c r="U76" i="7"/>
  <c r="T76" i="7"/>
  <c r="S76" i="7"/>
  <c r="R76" i="7"/>
  <c r="N76" i="7"/>
  <c r="M76" i="7"/>
  <c r="L76" i="7"/>
  <c r="X75" i="7"/>
  <c r="W75" i="7"/>
  <c r="V75" i="7"/>
  <c r="U75" i="7"/>
  <c r="T75" i="7"/>
  <c r="S75" i="7"/>
  <c r="R75" i="7"/>
  <c r="N75" i="7"/>
  <c r="M75" i="7"/>
  <c r="L75" i="7"/>
  <c r="X74" i="7"/>
  <c r="W74" i="7"/>
  <c r="V74" i="7"/>
  <c r="U74" i="7"/>
  <c r="T74" i="7"/>
  <c r="S74" i="7"/>
  <c r="R74" i="7"/>
  <c r="N74" i="7"/>
  <c r="M74" i="7"/>
  <c r="L74" i="7"/>
  <c r="X73" i="7"/>
  <c r="W73" i="7"/>
  <c r="V73" i="7"/>
  <c r="U73" i="7"/>
  <c r="T73" i="7"/>
  <c r="S73" i="7"/>
  <c r="R73" i="7"/>
  <c r="N73" i="7"/>
  <c r="M73" i="7"/>
  <c r="L73" i="7"/>
  <c r="X72" i="7"/>
  <c r="W72" i="7"/>
  <c r="V72" i="7"/>
  <c r="U72" i="7"/>
  <c r="T72" i="7"/>
  <c r="S72" i="7"/>
  <c r="R72" i="7"/>
  <c r="N72" i="7"/>
  <c r="M72" i="7"/>
  <c r="L72" i="7"/>
  <c r="X71" i="7"/>
  <c r="W71" i="7"/>
  <c r="V71" i="7"/>
  <c r="U71" i="7"/>
  <c r="T71" i="7"/>
  <c r="S71" i="7"/>
  <c r="R71" i="7"/>
  <c r="N71" i="7"/>
  <c r="M71" i="7"/>
  <c r="L71" i="7"/>
  <c r="X70" i="7"/>
  <c r="W70" i="7"/>
  <c r="V70" i="7"/>
  <c r="U70" i="7"/>
  <c r="T70" i="7"/>
  <c r="S70" i="7"/>
  <c r="R70" i="7"/>
  <c r="N70" i="7"/>
  <c r="M70" i="7"/>
  <c r="L70" i="7"/>
  <c r="X69" i="7"/>
  <c r="W69" i="7"/>
  <c r="V69" i="7"/>
  <c r="U69" i="7"/>
  <c r="T69" i="7"/>
  <c r="S69" i="7"/>
  <c r="R69" i="7"/>
  <c r="N69" i="7"/>
  <c r="M69" i="7"/>
  <c r="L69" i="7"/>
  <c r="X68" i="7"/>
  <c r="W68" i="7"/>
  <c r="V68" i="7"/>
  <c r="U68" i="7"/>
  <c r="T68" i="7"/>
  <c r="S68" i="7"/>
  <c r="R68" i="7"/>
  <c r="N68" i="7"/>
  <c r="M68" i="7"/>
  <c r="L68" i="7"/>
  <c r="X67" i="7"/>
  <c r="W67" i="7"/>
  <c r="V67" i="7"/>
  <c r="U67" i="7"/>
  <c r="T67" i="7"/>
  <c r="S67" i="7"/>
  <c r="R67" i="7"/>
  <c r="N67" i="7"/>
  <c r="M67" i="7"/>
  <c r="L67" i="7"/>
  <c r="X66" i="7"/>
  <c r="W66" i="7"/>
  <c r="V66" i="7"/>
  <c r="U66" i="7"/>
  <c r="T66" i="7"/>
  <c r="S66" i="7"/>
  <c r="R66" i="7"/>
  <c r="N66" i="7"/>
  <c r="M66" i="7"/>
  <c r="L66" i="7"/>
  <c r="X65" i="7"/>
  <c r="W65" i="7"/>
  <c r="V65" i="7"/>
  <c r="U65" i="7"/>
  <c r="T65" i="7"/>
  <c r="S65" i="7"/>
  <c r="R65" i="7"/>
  <c r="N65" i="7"/>
  <c r="M65" i="7"/>
  <c r="L65" i="7"/>
  <c r="X64" i="7"/>
  <c r="W64" i="7"/>
  <c r="V64" i="7"/>
  <c r="U64" i="7"/>
  <c r="T64" i="7"/>
  <c r="S64" i="7"/>
  <c r="R64" i="7"/>
  <c r="N64" i="7"/>
  <c r="M64" i="7"/>
  <c r="L64" i="7"/>
  <c r="X63" i="7"/>
  <c r="W63" i="7"/>
  <c r="V63" i="7"/>
  <c r="U63" i="7"/>
  <c r="T63" i="7"/>
  <c r="S63" i="7"/>
  <c r="R63" i="7"/>
  <c r="N63" i="7"/>
  <c r="M63" i="7"/>
  <c r="L63" i="7"/>
  <c r="X62" i="7"/>
  <c r="W62" i="7"/>
  <c r="V62" i="7"/>
  <c r="U62" i="7"/>
  <c r="T62" i="7"/>
  <c r="S62" i="7"/>
  <c r="R62" i="7"/>
  <c r="N62" i="7"/>
  <c r="M62" i="7"/>
  <c r="L62" i="7"/>
  <c r="X61" i="7"/>
  <c r="W61" i="7"/>
  <c r="V61" i="7"/>
  <c r="U61" i="7"/>
  <c r="T61" i="7"/>
  <c r="S61" i="7"/>
  <c r="R61" i="7"/>
  <c r="N61" i="7"/>
  <c r="M61" i="7"/>
  <c r="L61" i="7"/>
  <c r="X60" i="7"/>
  <c r="W60" i="7"/>
  <c r="V60" i="7"/>
  <c r="U60" i="7"/>
  <c r="T60" i="7"/>
  <c r="S60" i="7"/>
  <c r="R60" i="7"/>
  <c r="N60" i="7"/>
  <c r="M60" i="7"/>
  <c r="L60" i="7"/>
  <c r="X59" i="7"/>
  <c r="W59" i="7"/>
  <c r="V59" i="7"/>
  <c r="U59" i="7"/>
  <c r="T59" i="7"/>
  <c r="S59" i="7"/>
  <c r="R59" i="7"/>
  <c r="N59" i="7"/>
  <c r="M59" i="7"/>
  <c r="L59" i="7"/>
  <c r="X58" i="7"/>
  <c r="W58" i="7"/>
  <c r="V58" i="7"/>
  <c r="U58" i="7"/>
  <c r="T58" i="7"/>
  <c r="S58" i="7"/>
  <c r="R58" i="7"/>
  <c r="N58" i="7"/>
  <c r="M58" i="7"/>
  <c r="L58" i="7"/>
  <c r="X57" i="7"/>
  <c r="W57" i="7"/>
  <c r="V57" i="7"/>
  <c r="U57" i="7"/>
  <c r="T57" i="7"/>
  <c r="S57" i="7"/>
  <c r="R57" i="7"/>
  <c r="N57" i="7"/>
  <c r="M57" i="7"/>
  <c r="L57" i="7"/>
  <c r="X56" i="7"/>
  <c r="W56" i="7"/>
  <c r="V56" i="7"/>
  <c r="U56" i="7"/>
  <c r="T56" i="7"/>
  <c r="S56" i="7"/>
  <c r="R56" i="7"/>
  <c r="N56" i="7"/>
  <c r="M56" i="7"/>
  <c r="L56" i="7"/>
  <c r="X55" i="7"/>
  <c r="W55" i="7"/>
  <c r="V55" i="7"/>
  <c r="U55" i="7"/>
  <c r="T55" i="7"/>
  <c r="S55" i="7"/>
  <c r="R55" i="7"/>
  <c r="N55" i="7"/>
  <c r="M55" i="7"/>
  <c r="L55" i="7"/>
  <c r="X54" i="7"/>
  <c r="W54" i="7"/>
  <c r="V54" i="7"/>
  <c r="U54" i="7"/>
  <c r="T54" i="7"/>
  <c r="S54" i="7"/>
  <c r="R54" i="7"/>
  <c r="N54" i="7"/>
  <c r="M54" i="7"/>
  <c r="L54" i="7"/>
  <c r="X53" i="7"/>
  <c r="W53" i="7"/>
  <c r="V53" i="7"/>
  <c r="U53" i="7"/>
  <c r="T53" i="7"/>
  <c r="S53" i="7"/>
  <c r="R53" i="7"/>
  <c r="N53" i="7"/>
  <c r="M53" i="7"/>
  <c r="L53" i="7"/>
  <c r="X52" i="7"/>
  <c r="W52" i="7"/>
  <c r="V52" i="7"/>
  <c r="U52" i="7"/>
  <c r="T52" i="7"/>
  <c r="S52" i="7"/>
  <c r="R52" i="7"/>
  <c r="N52" i="7"/>
  <c r="M52" i="7"/>
  <c r="L52" i="7"/>
  <c r="X51" i="7"/>
  <c r="W51" i="7"/>
  <c r="V51" i="7"/>
  <c r="U51" i="7"/>
  <c r="T51" i="7"/>
  <c r="S51" i="7"/>
  <c r="R51" i="7"/>
  <c r="N51" i="7"/>
  <c r="M51" i="7"/>
  <c r="L51" i="7"/>
  <c r="X50" i="7"/>
  <c r="W50" i="7"/>
  <c r="V50" i="7"/>
  <c r="U50" i="7"/>
  <c r="T50" i="7"/>
  <c r="S50" i="7"/>
  <c r="R50" i="7"/>
  <c r="N50" i="7"/>
  <c r="M50" i="7"/>
  <c r="L50" i="7"/>
  <c r="X49" i="7"/>
  <c r="W49" i="7"/>
  <c r="V49" i="7"/>
  <c r="U49" i="7"/>
  <c r="T49" i="7"/>
  <c r="S49" i="7"/>
  <c r="R49" i="7"/>
  <c r="N49" i="7"/>
  <c r="M49" i="7"/>
  <c r="L49" i="7"/>
  <c r="X48" i="7"/>
  <c r="W48" i="7"/>
  <c r="V48" i="7"/>
  <c r="R48" i="7"/>
  <c r="N48" i="7"/>
  <c r="M48" i="7"/>
  <c r="L48" i="7"/>
  <c r="X47" i="7"/>
  <c r="W47" i="7"/>
  <c r="V47" i="7"/>
  <c r="U47" i="7"/>
  <c r="T47" i="7"/>
  <c r="S47" i="7"/>
  <c r="R47" i="7"/>
  <c r="N47" i="7"/>
  <c r="M47" i="7"/>
  <c r="L47" i="7"/>
  <c r="X46" i="7"/>
  <c r="W46" i="7"/>
  <c r="V46" i="7"/>
  <c r="U46" i="7"/>
  <c r="T46" i="7"/>
  <c r="S46" i="7"/>
  <c r="R46" i="7"/>
  <c r="N46" i="7"/>
  <c r="M46" i="7"/>
  <c r="L46" i="7"/>
  <c r="X45" i="7"/>
  <c r="W45" i="7"/>
  <c r="V45" i="7"/>
  <c r="U45" i="7"/>
  <c r="T45" i="7"/>
  <c r="S45" i="7"/>
  <c r="R45" i="7"/>
  <c r="N45" i="7"/>
  <c r="M45" i="7"/>
  <c r="L45" i="7"/>
  <c r="X44" i="7"/>
  <c r="W44" i="7"/>
  <c r="V44" i="7"/>
  <c r="U44" i="7"/>
  <c r="T44" i="7"/>
  <c r="S44" i="7"/>
  <c r="R44" i="7"/>
  <c r="N44" i="7"/>
  <c r="M44" i="7"/>
  <c r="L44" i="7"/>
  <c r="X43" i="7"/>
  <c r="W43" i="7"/>
  <c r="V43" i="7"/>
  <c r="R43" i="7"/>
  <c r="N43" i="7"/>
  <c r="M43" i="7"/>
  <c r="L43" i="7"/>
  <c r="X42" i="7"/>
  <c r="W42" i="7"/>
  <c r="V42" i="7"/>
  <c r="U42" i="7"/>
  <c r="T42" i="7"/>
  <c r="S42" i="7"/>
  <c r="R42" i="7"/>
  <c r="N42" i="7"/>
  <c r="M42" i="7"/>
  <c r="L42" i="7"/>
  <c r="X41" i="7"/>
  <c r="W41" i="7"/>
  <c r="V41" i="7"/>
  <c r="U41" i="7"/>
  <c r="T41" i="7"/>
  <c r="S41" i="7"/>
  <c r="R41" i="7"/>
  <c r="N41" i="7"/>
  <c r="M41" i="7"/>
  <c r="L41" i="7"/>
  <c r="X40" i="7"/>
  <c r="W40" i="7"/>
  <c r="V40" i="7"/>
  <c r="U40" i="7"/>
  <c r="T40" i="7"/>
  <c r="S40" i="7"/>
  <c r="R40" i="7"/>
  <c r="N40" i="7"/>
  <c r="M40" i="7"/>
  <c r="L40" i="7"/>
  <c r="X39" i="7"/>
  <c r="W39" i="7"/>
  <c r="V39" i="7"/>
  <c r="U39" i="7"/>
  <c r="T39" i="7"/>
  <c r="S39" i="7"/>
  <c r="R39" i="7"/>
  <c r="N39" i="7"/>
  <c r="M39" i="7"/>
  <c r="L39" i="7"/>
  <c r="X38" i="7"/>
  <c r="W38" i="7"/>
  <c r="V38" i="7"/>
  <c r="U38" i="7"/>
  <c r="T38" i="7"/>
  <c r="S38" i="7"/>
  <c r="R38" i="7"/>
  <c r="N38" i="7"/>
  <c r="M38" i="7"/>
  <c r="L38" i="7"/>
  <c r="X37" i="7"/>
  <c r="W37" i="7"/>
  <c r="V37" i="7"/>
  <c r="U37" i="7"/>
  <c r="T37" i="7"/>
  <c r="S37" i="7"/>
  <c r="R37" i="7"/>
  <c r="N37" i="7"/>
  <c r="M37" i="7"/>
  <c r="L37" i="7"/>
  <c r="X36" i="7"/>
  <c r="W36" i="7"/>
  <c r="V36" i="7"/>
  <c r="U36" i="7"/>
  <c r="T36" i="7"/>
  <c r="S36" i="7"/>
  <c r="R36" i="7"/>
  <c r="N36" i="7"/>
  <c r="M36" i="7"/>
  <c r="L36" i="7"/>
  <c r="X35" i="7"/>
  <c r="W35" i="7"/>
  <c r="V35" i="7"/>
  <c r="U35" i="7"/>
  <c r="T35" i="7"/>
  <c r="S35" i="7"/>
  <c r="R35" i="7"/>
  <c r="N35" i="7"/>
  <c r="M35" i="7"/>
  <c r="L35" i="7"/>
  <c r="U34" i="7"/>
  <c r="T34" i="7"/>
  <c r="S34" i="7"/>
  <c r="R34" i="7"/>
  <c r="N34" i="7"/>
  <c r="Q48" i="7" s="1"/>
  <c r="M34" i="7"/>
  <c r="P35" i="7" s="1"/>
  <c r="L34" i="7"/>
  <c r="O42" i="7" s="1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X32" i="7"/>
  <c r="W32" i="7"/>
  <c r="V32" i="7"/>
  <c r="U32" i="7"/>
  <c r="T32" i="7"/>
  <c r="S32" i="7"/>
  <c r="Q32" i="7"/>
  <c r="P32" i="7"/>
  <c r="O32" i="7"/>
  <c r="N32" i="7"/>
  <c r="M32" i="7"/>
  <c r="L32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R16" i="7"/>
  <c r="N16" i="7"/>
  <c r="M16" i="7"/>
  <c r="L16" i="7"/>
  <c r="K16" i="7"/>
  <c r="W7" i="7"/>
  <c r="Y2" i="7"/>
  <c r="O51" i="16"/>
  <c r="O44" i="16"/>
  <c r="P36" i="22"/>
  <c r="P40" i="16"/>
  <c r="O33" i="22"/>
  <c r="O28" i="31"/>
  <c r="O34" i="31"/>
  <c r="O32" i="31"/>
  <c r="O30" i="31"/>
  <c r="P35" i="33"/>
  <c r="O34" i="33"/>
  <c r="P32" i="35"/>
  <c r="O33" i="31"/>
  <c r="O31" i="31"/>
  <c r="P33" i="33"/>
  <c r="O33" i="33"/>
  <c r="O37" i="33"/>
  <c r="O36" i="33"/>
  <c r="O32" i="33"/>
  <c r="Q38" i="37"/>
  <c r="Q23" i="37"/>
  <c r="O34" i="22"/>
  <c r="O35" i="31"/>
  <c r="O36" i="31"/>
  <c r="O57" i="11"/>
  <c r="Q50" i="22" l="1"/>
  <c r="P33" i="37"/>
  <c r="P28" i="37"/>
  <c r="P34" i="37"/>
  <c r="P29" i="37"/>
  <c r="O58" i="9"/>
  <c r="O55" i="11"/>
  <c r="O45" i="18"/>
  <c r="O35" i="33"/>
  <c r="R61" i="9"/>
  <c r="P34" i="35"/>
  <c r="R46" i="9"/>
  <c r="R66" i="9"/>
  <c r="O61" i="9"/>
  <c r="O50" i="9"/>
  <c r="Q32" i="33"/>
  <c r="O52" i="9"/>
  <c r="R29" i="9"/>
  <c r="P26" i="35"/>
  <c r="O38" i="22"/>
  <c r="R52" i="9"/>
  <c r="R65" i="9"/>
  <c r="Q47" i="24"/>
  <c r="R50" i="9"/>
  <c r="Q44" i="24"/>
  <c r="N31" i="35"/>
  <c r="P30" i="28"/>
  <c r="P26" i="28"/>
  <c r="Q51" i="20"/>
  <c r="Q50" i="24"/>
  <c r="P24" i="28"/>
  <c r="Q47" i="20"/>
  <c r="Q43" i="20"/>
  <c r="O40" i="20"/>
  <c r="Q48" i="20"/>
  <c r="Q56" i="20"/>
  <c r="P27" i="35"/>
  <c r="P29" i="35"/>
  <c r="Q41" i="24"/>
  <c r="P22" i="28"/>
  <c r="N33" i="35"/>
  <c r="Q39" i="20"/>
  <c r="R58" i="9"/>
  <c r="Q30" i="28"/>
  <c r="R43" i="9"/>
  <c r="N50" i="9"/>
  <c r="Q28" i="28"/>
  <c r="N30" i="35"/>
  <c r="Q44" i="20"/>
  <c r="Q49" i="24"/>
  <c r="R40" i="9"/>
  <c r="N41" i="9"/>
  <c r="M23" i="28"/>
  <c r="R57" i="9"/>
  <c r="N37" i="9"/>
  <c r="P28" i="35"/>
  <c r="P45" i="16"/>
  <c r="Q46" i="11"/>
  <c r="Q57" i="20"/>
  <c r="R35" i="9"/>
  <c r="N35" i="9"/>
  <c r="P30" i="35"/>
  <c r="P42" i="16"/>
  <c r="N31" i="9"/>
  <c r="Q42" i="11"/>
  <c r="N27" i="35"/>
  <c r="Q43" i="11"/>
  <c r="Q23" i="28"/>
  <c r="N45" i="18"/>
  <c r="Q30" i="31"/>
  <c r="P33" i="28"/>
  <c r="N27" i="18"/>
  <c r="R41" i="9"/>
  <c r="N52" i="9"/>
  <c r="Q46" i="24"/>
  <c r="Q45" i="11"/>
  <c r="Q49" i="11"/>
  <c r="Q29" i="28"/>
  <c r="M27" i="28"/>
  <c r="Q64" i="20"/>
  <c r="N47" i="9"/>
  <c r="M25" i="28"/>
  <c r="R49" i="9"/>
  <c r="N43" i="9"/>
  <c r="P44" i="11"/>
  <c r="P32" i="28"/>
  <c r="N30" i="18"/>
  <c r="R34" i="9"/>
  <c r="N48" i="9"/>
  <c r="P41" i="11"/>
  <c r="N25" i="18"/>
  <c r="R64" i="9"/>
  <c r="O39" i="16"/>
  <c r="P31" i="35"/>
  <c r="Q34" i="31"/>
  <c r="Q43" i="24"/>
  <c r="N44" i="9"/>
  <c r="Q48" i="24"/>
  <c r="O42" i="11"/>
  <c r="R60" i="9"/>
  <c r="O53" i="16"/>
  <c r="P33" i="35"/>
  <c r="Q28" i="31"/>
  <c r="N38" i="9"/>
  <c r="Q26" i="28"/>
  <c r="Q24" i="28"/>
  <c r="N29" i="35"/>
  <c r="N33" i="9"/>
  <c r="M29" i="28"/>
  <c r="Q48" i="11"/>
  <c r="Q31" i="28"/>
  <c r="P47" i="11"/>
  <c r="N29" i="9"/>
  <c r="R48" i="9"/>
  <c r="N34" i="9"/>
  <c r="Q45" i="24"/>
  <c r="Q51" i="24"/>
  <c r="R39" i="9"/>
  <c r="N28" i="9"/>
  <c r="P43" i="11"/>
  <c r="N34" i="35"/>
  <c r="N32" i="35"/>
  <c r="R51" i="9"/>
  <c r="O54" i="16"/>
  <c r="R59" i="9"/>
  <c r="M44" i="9"/>
  <c r="R54" i="9"/>
  <c r="R36" i="9"/>
  <c r="Q56" i="11"/>
  <c r="R27" i="18"/>
  <c r="R53" i="9"/>
  <c r="N49" i="9"/>
  <c r="Q59" i="9" s="1"/>
  <c r="M26" i="28"/>
  <c r="Q54" i="20"/>
  <c r="N26" i="35"/>
  <c r="Q26" i="35" s="1"/>
  <c r="R44" i="9"/>
  <c r="R31" i="9"/>
  <c r="N36" i="9"/>
  <c r="N30" i="9"/>
  <c r="R62" i="9"/>
  <c r="Q52" i="11"/>
  <c r="Q53" i="11"/>
  <c r="M34" i="9"/>
  <c r="R47" i="9"/>
  <c r="R30" i="18"/>
  <c r="N45" i="9"/>
  <c r="M29" i="9"/>
  <c r="R42" i="9"/>
  <c r="R28" i="9"/>
  <c r="M33" i="33"/>
  <c r="P27" i="28"/>
  <c r="N28" i="35"/>
  <c r="Q27" i="28"/>
  <c r="Q25" i="28"/>
  <c r="Q31" i="31"/>
  <c r="Q33" i="31"/>
  <c r="P29" i="28"/>
  <c r="R33" i="9"/>
  <c r="R63" i="9"/>
  <c r="N30" i="31"/>
  <c r="P25" i="28"/>
  <c r="Q22" i="28"/>
  <c r="O40" i="22"/>
  <c r="O51" i="22" s="1"/>
  <c r="Q34" i="37"/>
  <c r="R26" i="18"/>
  <c r="Q31" i="37"/>
  <c r="P43" i="24"/>
  <c r="O44" i="7"/>
  <c r="O35" i="22"/>
  <c r="Q25" i="37"/>
  <c r="R25" i="18"/>
  <c r="Q24" i="37"/>
  <c r="R33" i="18"/>
  <c r="Q30" i="37"/>
  <c r="M31" i="18"/>
  <c r="Q37" i="37"/>
  <c r="O32" i="35"/>
  <c r="R37" i="9"/>
  <c r="R38" i="9"/>
  <c r="R56" i="9"/>
  <c r="N46" i="9"/>
  <c r="N53" i="9"/>
  <c r="R35" i="18"/>
  <c r="Q32" i="37"/>
  <c r="N51" i="9"/>
  <c r="R68" i="9"/>
  <c r="Q27" i="37"/>
  <c r="R37" i="18"/>
  <c r="M53" i="9"/>
  <c r="R30" i="9"/>
  <c r="R32" i="9"/>
  <c r="R45" i="9"/>
  <c r="N39" i="9"/>
  <c r="Q35" i="37"/>
  <c r="R39" i="18"/>
  <c r="N42" i="9"/>
  <c r="M33" i="9"/>
  <c r="P51" i="24"/>
  <c r="Q28" i="37"/>
  <c r="R41" i="18"/>
  <c r="O29" i="35"/>
  <c r="O39" i="7"/>
  <c r="Q36" i="37"/>
  <c r="R31" i="18"/>
  <c r="R43" i="18"/>
  <c r="O36" i="22"/>
  <c r="Q33" i="37"/>
  <c r="R32" i="18"/>
  <c r="O39" i="22"/>
  <c r="Q26" i="37"/>
  <c r="R34" i="18"/>
  <c r="Q29" i="37"/>
  <c r="Q33" i="33"/>
  <c r="O59" i="20"/>
  <c r="Q37" i="33"/>
  <c r="Q34" i="33"/>
  <c r="P49" i="24"/>
  <c r="M33" i="18"/>
  <c r="Q36" i="22"/>
  <c r="M35" i="18"/>
  <c r="N31" i="31"/>
  <c r="O49" i="24"/>
  <c r="P47" i="24"/>
  <c r="M25" i="18"/>
  <c r="Q34" i="22"/>
  <c r="M32" i="18"/>
  <c r="Q43" i="22"/>
  <c r="Q55" i="22"/>
  <c r="P42" i="24"/>
  <c r="Q36" i="33"/>
  <c r="M32" i="31"/>
  <c r="Q52" i="22"/>
  <c r="P45" i="24"/>
  <c r="M27" i="18"/>
  <c r="Q37" i="22"/>
  <c r="P50" i="24"/>
  <c r="O60" i="20"/>
  <c r="Q41" i="22"/>
  <c r="Q44" i="22"/>
  <c r="P41" i="24"/>
  <c r="P48" i="20"/>
  <c r="O42" i="20"/>
  <c r="Q56" i="16"/>
  <c r="P33" i="31"/>
  <c r="P34" i="31"/>
  <c r="Q49" i="22"/>
  <c r="Q42" i="22"/>
  <c r="P48" i="24"/>
  <c r="Q42" i="16"/>
  <c r="O40" i="14"/>
  <c r="O43" i="7"/>
  <c r="P29" i="31"/>
  <c r="P32" i="31"/>
  <c r="O55" i="20"/>
  <c r="Q47" i="22"/>
  <c r="P46" i="24"/>
  <c r="Q49" i="16"/>
  <c r="O35" i="7"/>
  <c r="O41" i="7"/>
  <c r="O26" i="37"/>
  <c r="P30" i="31"/>
  <c r="P44" i="24"/>
  <c r="M30" i="31"/>
  <c r="O40" i="7"/>
  <c r="O34" i="7"/>
  <c r="O37" i="37"/>
  <c r="O56" i="20"/>
  <c r="O38" i="14"/>
  <c r="Q31" i="33"/>
  <c r="O45" i="7"/>
  <c r="O30" i="37"/>
  <c r="Q35" i="33"/>
  <c r="O47" i="20"/>
  <c r="P28" i="31"/>
  <c r="O41" i="14"/>
  <c r="P37" i="22"/>
  <c r="P33" i="22"/>
  <c r="P34" i="22"/>
  <c r="P40" i="22"/>
  <c r="P48" i="22" s="1"/>
  <c r="O35" i="28"/>
  <c r="O23" i="28"/>
  <c r="L28" i="28"/>
  <c r="L25" i="28"/>
  <c r="L23" i="28"/>
  <c r="O22" i="28"/>
  <c r="O25" i="28"/>
  <c r="O29" i="28"/>
  <c r="O26" i="28"/>
  <c r="L29" i="28"/>
  <c r="O49" i="18"/>
  <c r="O34" i="18"/>
  <c r="O39" i="18"/>
  <c r="O47" i="18"/>
  <c r="O42" i="18"/>
  <c r="O44" i="18"/>
  <c r="O50" i="18"/>
  <c r="O37" i="18"/>
  <c r="O40" i="18"/>
  <c r="O30" i="28"/>
  <c r="O46" i="11"/>
  <c r="O56" i="11"/>
  <c r="O41" i="11"/>
  <c r="O50" i="11"/>
  <c r="O52" i="11"/>
  <c r="O44" i="11"/>
  <c r="O47" i="11"/>
  <c r="O45" i="11"/>
  <c r="O51" i="11"/>
  <c r="O60" i="16"/>
  <c r="O45" i="16"/>
  <c r="O46" i="16"/>
  <c r="O43" i="16"/>
  <c r="O47" i="16"/>
  <c r="O49" i="16"/>
  <c r="O42" i="16"/>
  <c r="O48" i="16"/>
  <c r="O52" i="16"/>
  <c r="O41" i="16"/>
  <c r="N34" i="18"/>
  <c r="Q40" i="18" s="1"/>
  <c r="O53" i="11"/>
  <c r="O43" i="11"/>
  <c r="O31" i="37"/>
  <c r="O55" i="16"/>
  <c r="O46" i="18"/>
  <c r="P39" i="22"/>
  <c r="O24" i="28"/>
  <c r="O27" i="28"/>
  <c r="L27" i="28"/>
  <c r="O36" i="18"/>
  <c r="P60" i="11"/>
  <c r="P46" i="11"/>
  <c r="P52" i="11"/>
  <c r="P51" i="11"/>
  <c r="P42" i="11"/>
  <c r="P54" i="11"/>
  <c r="P56" i="11"/>
  <c r="P55" i="11"/>
  <c r="P57" i="16"/>
  <c r="P44" i="16"/>
  <c r="P53" i="16"/>
  <c r="P41" i="16"/>
  <c r="O50" i="24"/>
  <c r="O43" i="24"/>
  <c r="O46" i="24"/>
  <c r="O47" i="24"/>
  <c r="O48" i="24"/>
  <c r="Q49" i="14"/>
  <c r="Q39" i="14"/>
  <c r="Q44" i="14"/>
  <c r="N33" i="18"/>
  <c r="N26" i="18"/>
  <c r="N31" i="18"/>
  <c r="N46" i="18"/>
  <c r="N35" i="18"/>
  <c r="N28" i="18"/>
  <c r="N29" i="18"/>
  <c r="P45" i="20"/>
  <c r="P40" i="20"/>
  <c r="P59" i="20"/>
  <c r="P54" i="20"/>
  <c r="L34" i="35"/>
  <c r="L32" i="35"/>
  <c r="L29" i="35"/>
  <c r="L28" i="35"/>
  <c r="O36" i="37"/>
  <c r="O23" i="37"/>
  <c r="O34" i="37"/>
  <c r="O33" i="37"/>
  <c r="O32" i="37"/>
  <c r="O28" i="37"/>
  <c r="O27" i="37"/>
  <c r="O35" i="37"/>
  <c r="O24" i="37"/>
  <c r="O36" i="28"/>
  <c r="O56" i="16"/>
  <c r="N32" i="18"/>
  <c r="O48" i="11"/>
  <c r="O49" i="11"/>
  <c r="O38" i="37"/>
  <c r="O29" i="37"/>
  <c r="O50" i="16"/>
  <c r="P38" i="22"/>
  <c r="O40" i="16"/>
  <c r="L26" i="28"/>
  <c r="O33" i="28"/>
  <c r="L31" i="35"/>
  <c r="L30" i="35"/>
  <c r="O35" i="18"/>
  <c r="O42" i="24"/>
  <c r="O43" i="18"/>
  <c r="O31" i="28"/>
  <c r="O38" i="18"/>
  <c r="P35" i="22"/>
  <c r="L32" i="31"/>
  <c r="L30" i="31"/>
  <c r="P37" i="33"/>
  <c r="P34" i="33"/>
  <c r="P38" i="33"/>
  <c r="P31" i="33"/>
  <c r="P32" i="33"/>
  <c r="O28" i="35"/>
  <c r="O31" i="35"/>
  <c r="O27" i="35"/>
  <c r="O34" i="35"/>
  <c r="O26" i="35"/>
  <c r="O30" i="35"/>
  <c r="M63" i="9"/>
  <c r="O37" i="7"/>
  <c r="Q52" i="20"/>
  <c r="Q45" i="20"/>
  <c r="Q53" i="20"/>
  <c r="Q46" i="20"/>
  <c r="O36" i="7"/>
  <c r="Q53" i="16"/>
  <c r="Q61" i="20"/>
  <c r="Q47" i="11"/>
  <c r="Q62" i="20"/>
  <c r="M32" i="9"/>
  <c r="N69" i="9"/>
  <c r="Q42" i="7"/>
  <c r="P59" i="16"/>
  <c r="Q55" i="16"/>
  <c r="Q47" i="16"/>
  <c r="M45" i="9"/>
  <c r="M51" i="9"/>
  <c r="P54" i="16"/>
  <c r="P39" i="16"/>
  <c r="Q35" i="14"/>
  <c r="R67" i="9"/>
  <c r="M68" i="9"/>
  <c r="R69" i="9"/>
  <c r="R46" i="18"/>
  <c r="P58" i="16"/>
  <c r="M42" i="9"/>
  <c r="Q40" i="7"/>
  <c r="Q39" i="16"/>
  <c r="M46" i="9"/>
  <c r="M36" i="9"/>
  <c r="M39" i="9"/>
  <c r="Q54" i="16"/>
  <c r="P38" i="16"/>
  <c r="Q51" i="14"/>
  <c r="O58" i="16"/>
  <c r="O29" i="31"/>
  <c r="L37" i="35"/>
  <c r="Q42" i="37"/>
  <c r="Q36" i="14"/>
  <c r="P52" i="16"/>
  <c r="R42" i="18"/>
  <c r="Q50" i="14"/>
  <c r="O57" i="16"/>
  <c r="P55" i="24"/>
  <c r="Q41" i="33"/>
  <c r="P39" i="35"/>
  <c r="O40" i="37"/>
  <c r="Q41" i="14"/>
  <c r="M28" i="9"/>
  <c r="Q45" i="7"/>
  <c r="M35" i="9"/>
  <c r="Q43" i="14"/>
  <c r="M47" i="9"/>
  <c r="P51" i="16"/>
  <c r="M48" i="9"/>
  <c r="Q44" i="7"/>
  <c r="Q51" i="16"/>
  <c r="M31" i="9"/>
  <c r="Q45" i="14"/>
  <c r="P49" i="16"/>
  <c r="P48" i="16"/>
  <c r="M52" i="9"/>
  <c r="Q38" i="16"/>
  <c r="P55" i="16"/>
  <c r="R51" i="18"/>
  <c r="Q52" i="24"/>
  <c r="P39" i="31"/>
  <c r="P40" i="33"/>
  <c r="O38" i="35"/>
  <c r="Q36" i="7"/>
  <c r="M37" i="9"/>
  <c r="Q46" i="16"/>
  <c r="P50" i="16"/>
  <c r="M30" i="9"/>
  <c r="M49" i="9"/>
  <c r="P61" i="9" s="1"/>
  <c r="M40" i="9"/>
  <c r="Q43" i="16"/>
  <c r="Q37" i="14"/>
  <c r="M43" i="9"/>
  <c r="P47" i="16"/>
  <c r="P46" i="16"/>
  <c r="Q42" i="14"/>
  <c r="P56" i="16"/>
  <c r="R50" i="18"/>
  <c r="O47" i="7"/>
  <c r="O38" i="31"/>
  <c r="O46" i="7"/>
  <c r="P61" i="11"/>
  <c r="P58" i="11"/>
  <c r="Q34" i="28"/>
  <c r="P46" i="7"/>
  <c r="P49" i="7"/>
  <c r="P36" i="7"/>
  <c r="P37" i="7"/>
  <c r="P42" i="7"/>
  <c r="O53" i="20"/>
  <c r="O65" i="9"/>
  <c r="O45" i="20"/>
  <c r="P31" i="37"/>
  <c r="O56" i="9"/>
  <c r="O35" i="14"/>
  <c r="O57" i="20"/>
  <c r="O41" i="20"/>
  <c r="O59" i="9"/>
  <c r="O63" i="9"/>
  <c r="O57" i="9"/>
  <c r="P45" i="7"/>
  <c r="O52" i="20"/>
  <c r="O51" i="20"/>
  <c r="O58" i="20"/>
  <c r="O48" i="20"/>
  <c r="P26" i="37"/>
  <c r="P32" i="37"/>
  <c r="O60" i="9"/>
  <c r="O34" i="14"/>
  <c r="P38" i="7"/>
  <c r="P41" i="7"/>
  <c r="M41" i="9"/>
  <c r="M69" i="9"/>
  <c r="M50" i="9"/>
  <c r="Q61" i="11"/>
  <c r="Q60" i="11"/>
  <c r="Q44" i="11"/>
  <c r="Q51" i="11"/>
  <c r="Q59" i="11"/>
  <c r="Q58" i="16"/>
  <c r="Q57" i="16"/>
  <c r="Q45" i="16"/>
  <c r="Q44" i="16"/>
  <c r="Q60" i="16"/>
  <c r="R29" i="18"/>
  <c r="R44" i="18"/>
  <c r="R45" i="18"/>
  <c r="O68" i="9"/>
  <c r="Q58" i="11"/>
  <c r="Q59" i="16"/>
  <c r="O47" i="14"/>
  <c r="O51" i="14"/>
  <c r="O50" i="14"/>
  <c r="O37" i="14"/>
  <c r="O45" i="14"/>
  <c r="O49" i="14"/>
  <c r="P48" i="7"/>
  <c r="P40" i="37"/>
  <c r="P39" i="37"/>
  <c r="P27" i="37"/>
  <c r="P36" i="37"/>
  <c r="P30" i="37"/>
  <c r="P42" i="37"/>
  <c r="O44" i="22"/>
  <c r="O63" i="20"/>
  <c r="O50" i="20"/>
  <c r="O49" i="9"/>
  <c r="O55" i="9"/>
  <c r="Q49" i="20"/>
  <c r="Q60" i="20"/>
  <c r="Q42" i="20"/>
  <c r="Q63" i="20"/>
  <c r="O39" i="20"/>
  <c r="Q41" i="20"/>
  <c r="O43" i="20"/>
  <c r="O46" i="20"/>
  <c r="O61" i="20"/>
  <c r="P23" i="37"/>
  <c r="P35" i="37"/>
  <c r="Q55" i="20"/>
  <c r="Q50" i="20"/>
  <c r="O43" i="14"/>
  <c r="O42" i="14"/>
  <c r="O39" i="14"/>
  <c r="P34" i="7"/>
  <c r="P39" i="7"/>
  <c r="Q39" i="7"/>
  <c r="Q47" i="7"/>
  <c r="Q46" i="7"/>
  <c r="Q35" i="7"/>
  <c r="Q34" i="7"/>
  <c r="O59" i="11"/>
  <c r="O58" i="11"/>
  <c r="O61" i="11"/>
  <c r="P38" i="14"/>
  <c r="P48" i="14"/>
  <c r="P51" i="14"/>
  <c r="P42" i="14"/>
  <c r="P39" i="14"/>
  <c r="P50" i="14"/>
  <c r="M46" i="18"/>
  <c r="M50" i="18"/>
  <c r="M29" i="18"/>
  <c r="P68" i="20"/>
  <c r="P67" i="20"/>
  <c r="P47" i="20"/>
  <c r="P66" i="20"/>
  <c r="P47" i="7"/>
  <c r="P49" i="14"/>
  <c r="P41" i="37"/>
  <c r="O62" i="9"/>
  <c r="O67" i="9"/>
  <c r="O66" i="9"/>
  <c r="O53" i="9"/>
  <c r="O69" i="9"/>
  <c r="O67" i="20"/>
  <c r="O66" i="20"/>
  <c r="O65" i="20"/>
  <c r="O68" i="20"/>
  <c r="O49" i="20"/>
  <c r="O54" i="9"/>
  <c r="O64" i="9"/>
  <c r="O46" i="14"/>
  <c r="O64" i="20"/>
  <c r="O44" i="20"/>
  <c r="P43" i="7"/>
  <c r="O54" i="20"/>
  <c r="P40" i="7"/>
  <c r="P44" i="7"/>
  <c r="Q65" i="20"/>
  <c r="Q68" i="20"/>
  <c r="Q40" i="20"/>
  <c r="Q58" i="20"/>
  <c r="Q59" i="20"/>
  <c r="Q67" i="20"/>
  <c r="Q56" i="22"/>
  <c r="Q57" i="22"/>
  <c r="Q35" i="22"/>
  <c r="Q38" i="22"/>
  <c r="Q51" i="22"/>
  <c r="Q46" i="22"/>
  <c r="Q53" i="22"/>
  <c r="Q58" i="22"/>
  <c r="O51" i="24"/>
  <c r="O53" i="24"/>
  <c r="O52" i="24"/>
  <c r="O45" i="24"/>
  <c r="O44" i="24"/>
  <c r="O55" i="24"/>
  <c r="Q49" i="7"/>
  <c r="O60" i="11"/>
  <c r="O48" i="14"/>
  <c r="P36" i="28"/>
  <c r="P35" i="28"/>
  <c r="M24" i="28"/>
  <c r="M28" i="28"/>
  <c r="P28" i="28"/>
  <c r="P23" i="28"/>
  <c r="P31" i="28"/>
  <c r="P34" i="28"/>
  <c r="R49" i="18"/>
  <c r="R36" i="18"/>
  <c r="P65" i="20"/>
  <c r="Q39" i="31"/>
  <c r="Q38" i="31"/>
  <c r="Q37" i="31"/>
  <c r="O42" i="33"/>
  <c r="O41" i="33"/>
  <c r="O40" i="33"/>
  <c r="O54" i="24"/>
  <c r="O51" i="18"/>
  <c r="Q53" i="24"/>
  <c r="P52" i="24"/>
  <c r="O37" i="28"/>
  <c r="Q35" i="28"/>
  <c r="P40" i="31"/>
  <c r="O39" i="31"/>
  <c r="Q42" i="33"/>
  <c r="P41" i="33"/>
  <c r="O39" i="35"/>
  <c r="P36" i="35"/>
  <c r="O41" i="37"/>
  <c r="Q39" i="37"/>
  <c r="O48" i="7"/>
  <c r="P59" i="11"/>
  <c r="Q48" i="14"/>
  <c r="P60" i="16"/>
  <c r="O59" i="16"/>
  <c r="O48" i="18"/>
  <c r="P35" i="35"/>
  <c r="L33" i="35"/>
  <c r="Q54" i="24"/>
  <c r="P53" i="24"/>
  <c r="Q36" i="28"/>
  <c r="O34" i="28"/>
  <c r="O40" i="31"/>
  <c r="P37" i="31"/>
  <c r="P42" i="33"/>
  <c r="Q39" i="33"/>
  <c r="P37" i="35"/>
  <c r="O36" i="35"/>
  <c r="P42" i="41"/>
  <c r="P44" i="41"/>
  <c r="P43" i="41"/>
  <c r="O42" i="37"/>
  <c r="Q40" i="37"/>
  <c r="O49" i="7"/>
  <c r="Q55" i="24"/>
  <c r="Q37" i="28"/>
  <c r="Q40" i="33"/>
  <c r="P39" i="33"/>
  <c r="O37" i="35"/>
  <c r="O39" i="37"/>
  <c r="P47" i="14"/>
  <c r="P45" i="14"/>
  <c r="P37" i="14"/>
  <c r="P63" i="20"/>
  <c r="P43" i="20"/>
  <c r="P42" i="20"/>
  <c r="P39" i="20"/>
  <c r="P61" i="20"/>
  <c r="P55" i="20"/>
  <c r="P51" i="20"/>
  <c r="P62" i="20"/>
  <c r="P56" i="20"/>
  <c r="P52" i="20"/>
  <c r="P49" i="20"/>
  <c r="P41" i="20"/>
  <c r="P44" i="20"/>
  <c r="P53" i="20"/>
  <c r="P58" i="20"/>
  <c r="P50" i="20"/>
  <c r="P46" i="14"/>
  <c r="P36" i="14"/>
  <c r="P35" i="14"/>
  <c r="P43" i="14"/>
  <c r="P41" i="14"/>
  <c r="P40" i="14"/>
  <c r="O38" i="7"/>
  <c r="P57" i="20"/>
  <c r="P44" i="14"/>
  <c r="P46" i="20"/>
  <c r="Q54" i="11"/>
  <c r="Q57" i="11"/>
  <c r="Q50" i="11"/>
  <c r="Q55" i="11"/>
  <c r="O38" i="33"/>
  <c r="O31" i="33"/>
  <c r="Q37" i="7"/>
  <c r="Q43" i="7"/>
  <c r="Q41" i="16"/>
  <c r="Q40" i="16"/>
  <c r="Q50" i="16"/>
  <c r="Q52" i="16"/>
  <c r="R40" i="18"/>
  <c r="R47" i="18"/>
  <c r="R38" i="18"/>
  <c r="R28" i="18"/>
  <c r="Q38" i="7"/>
  <c r="Q41" i="7"/>
  <c r="Q47" i="14"/>
  <c r="Q34" i="14"/>
  <c r="Q38" i="14"/>
  <c r="Q40" i="14"/>
  <c r="P35" i="31"/>
  <c r="P31" i="31"/>
  <c r="P38" i="37"/>
  <c r="P24" i="37"/>
  <c r="N63" i="9"/>
  <c r="N32" i="9"/>
  <c r="N40" i="9"/>
  <c r="P57" i="11"/>
  <c r="P45" i="11"/>
  <c r="P50" i="11"/>
  <c r="P48" i="11"/>
  <c r="Q39" i="22"/>
  <c r="Q33" i="22"/>
  <c r="Q40" i="22"/>
  <c r="Q48" i="22"/>
  <c r="Q45" i="22"/>
  <c r="Q54" i="22"/>
  <c r="L24" i="28"/>
  <c r="O28" i="28"/>
  <c r="Q36" i="31"/>
  <c r="Q32" i="31"/>
  <c r="O35" i="35"/>
  <c r="L38" i="41"/>
  <c r="L35" i="41"/>
  <c r="L39" i="41"/>
  <c r="L37" i="41"/>
  <c r="L41" i="41"/>
  <c r="L34" i="41"/>
  <c r="L36" i="41"/>
  <c r="L40" i="41"/>
  <c r="P37" i="41"/>
  <c r="P41" i="41"/>
  <c r="P36" i="41"/>
  <c r="P40" i="41"/>
  <c r="P39" i="41"/>
  <c r="P38" i="41"/>
  <c r="P34" i="41"/>
  <c r="P35" i="41"/>
  <c r="M28" i="18"/>
  <c r="P49" i="11"/>
  <c r="O44" i="14"/>
  <c r="P34" i="14"/>
  <c r="M30" i="18"/>
  <c r="M45" i="18"/>
  <c r="M34" i="18"/>
  <c r="P64" i="20"/>
  <c r="Q32" i="28"/>
  <c r="P36" i="31"/>
  <c r="Q29" i="31"/>
  <c r="P37" i="37"/>
  <c r="Q35" i="31"/>
  <c r="O42" i="22" l="1"/>
  <c r="P54" i="9"/>
  <c r="P65" i="9"/>
  <c r="P60" i="9"/>
  <c r="P62" i="9"/>
  <c r="P50" i="9"/>
  <c r="O47" i="22"/>
  <c r="P64" i="9"/>
  <c r="O45" i="22"/>
  <c r="O50" i="22"/>
  <c r="Q52" i="9"/>
  <c r="Q63" i="9"/>
  <c r="Q56" i="9"/>
  <c r="O58" i="22"/>
  <c r="O56" i="22"/>
  <c r="Q29" i="35"/>
  <c r="Q58" i="9"/>
  <c r="Q50" i="9"/>
  <c r="P57" i="22"/>
  <c r="P44" i="22"/>
  <c r="Q49" i="9"/>
  <c r="Q65" i="9"/>
  <c r="Q28" i="35"/>
  <c r="Q60" i="9"/>
  <c r="Q38" i="35"/>
  <c r="Q53" i="9"/>
  <c r="Q30" i="35"/>
  <c r="Q66" i="9"/>
  <c r="Q34" i="35"/>
  <c r="Q61" i="9"/>
  <c r="Q62" i="9"/>
  <c r="Q36" i="35"/>
  <c r="Q67" i="9"/>
  <c r="Q39" i="35"/>
  <c r="Q33" i="35"/>
  <c r="Q35" i="35"/>
  <c r="Q31" i="35"/>
  <c r="Q57" i="9"/>
  <c r="Q51" i="9"/>
  <c r="Q54" i="9"/>
  <c r="Q68" i="9"/>
  <c r="Q69" i="9"/>
  <c r="Q32" i="35"/>
  <c r="Q64" i="9"/>
  <c r="Q37" i="35"/>
  <c r="Q55" i="9"/>
  <c r="O59" i="22"/>
  <c r="P63" i="9"/>
  <c r="P51" i="9"/>
  <c r="O53" i="22"/>
  <c r="Q36" i="18"/>
  <c r="O52" i="22"/>
  <c r="O54" i="22"/>
  <c r="Q27" i="35"/>
  <c r="Q51" i="18"/>
  <c r="P59" i="9"/>
  <c r="O57" i="22"/>
  <c r="O55" i="22"/>
  <c r="O49" i="22"/>
  <c r="O48" i="22"/>
  <c r="O46" i="22"/>
  <c r="O41" i="22"/>
  <c r="O43" i="22"/>
  <c r="P58" i="9"/>
  <c r="P49" i="9"/>
  <c r="P57" i="9"/>
  <c r="P55" i="9"/>
  <c r="P53" i="9"/>
  <c r="P69" i="9"/>
  <c r="P52" i="9"/>
  <c r="Q48" i="18"/>
  <c r="Q44" i="18"/>
  <c r="Q38" i="18"/>
  <c r="Q35" i="18"/>
  <c r="Q39" i="18"/>
  <c r="Q42" i="18"/>
  <c r="Q43" i="18"/>
  <c r="Q37" i="18"/>
  <c r="Q47" i="18"/>
  <c r="P50" i="22"/>
  <c r="P46" i="22"/>
  <c r="P47" i="22"/>
  <c r="P55" i="22"/>
  <c r="Q34" i="18"/>
  <c r="P41" i="22"/>
  <c r="P49" i="22"/>
  <c r="P58" i="22"/>
  <c r="P51" i="22"/>
  <c r="Q46" i="18"/>
  <c r="P67" i="9"/>
  <c r="P43" i="22"/>
  <c r="Q45" i="18"/>
  <c r="P54" i="22"/>
  <c r="P53" i="22"/>
  <c r="P56" i="22"/>
  <c r="Q49" i="18"/>
  <c r="P68" i="9"/>
  <c r="P52" i="22"/>
  <c r="Q41" i="18"/>
  <c r="P42" i="22"/>
  <c r="P45" i="22"/>
  <c r="P59" i="22"/>
  <c r="Q50" i="18"/>
  <c r="P56" i="9"/>
  <c r="P66" i="9"/>
  <c r="P50" i="18"/>
  <c r="P49" i="18"/>
  <c r="P48" i="18"/>
  <c r="P51" i="18"/>
  <c r="O42" i="41"/>
  <c r="O44" i="41"/>
  <c r="O43" i="41"/>
  <c r="O36" i="41"/>
  <c r="O40" i="41"/>
  <c r="O34" i="41"/>
  <c r="O35" i="41"/>
  <c r="O39" i="41"/>
  <c r="O37" i="41"/>
  <c r="O41" i="41"/>
  <c r="O38" i="41"/>
  <c r="P47" i="18"/>
  <c r="P46" i="18"/>
  <c r="P36" i="18"/>
  <c r="P35" i="18"/>
  <c r="P34" i="18"/>
  <c r="P43" i="18"/>
  <c r="P37" i="18"/>
  <c r="P38" i="18"/>
  <c r="P42" i="18"/>
  <c r="P44" i="18"/>
  <c r="P40" i="18"/>
  <c r="P39" i="18"/>
  <c r="P41" i="18"/>
  <c r="P45" i="18"/>
</calcChain>
</file>

<file path=xl/sharedStrings.xml><?xml version="1.0" encoding="utf-8"?>
<sst xmlns="http://schemas.openxmlformats.org/spreadsheetml/2006/main" count="8252" uniqueCount="187">
  <si>
    <t xml:space="preserve">PROYECTO CONSTRUCTIVO DE PLATAFORMA. NUEVA RED FERROVIARIA EN EL PAIS VASCO.                                                                          TERRITORIO HISTÓRICO DE GIPUZKOA. </t>
  </si>
  <si>
    <t>SEGUIMIENTO DE CONVERGENCIAS TOPOGRÁFICAS</t>
  </si>
  <si>
    <t>TRAMO: ZIZURKIL – ANDOAIN</t>
  </si>
  <si>
    <t>TÚNEL ADUNA. BOCA ZIZURKIL</t>
  </si>
  <si>
    <t>LITOLOGÍA :</t>
  </si>
  <si>
    <t>Calizas dolomíticas con niveles brechoides rellenos de arcilla.</t>
  </si>
  <si>
    <t>FECHA EXCAVACIÓN:</t>
  </si>
  <si>
    <t>RMR :</t>
  </si>
  <si>
    <t>FECHA COLOCACIÓN:</t>
  </si>
  <si>
    <t>MONTERA :</t>
  </si>
  <si>
    <t>DISTANCIA A BOCA:</t>
  </si>
  <si>
    <t>P.K. :</t>
  </si>
  <si>
    <t>SOSTENIMIENTO:</t>
  </si>
  <si>
    <t>ST-III (3)</t>
  </si>
  <si>
    <t>GRÁFICO CONVERGENCIA Y NIVELACIÓN DE CLAVE (mm) - TIEMPO (días)</t>
  </si>
  <si>
    <t>GRÁFICO CONVERGENCIA Y NIVELACIÓN DE CLAVE (mm) - DISTANCIA AL FRENTE DE EXCAVACIÓN (m)</t>
  </si>
  <si>
    <t>GRÁFICO VELOCIDAD DE CONVERGENCIA (mm/día) - TIEMPO (días)</t>
  </si>
  <si>
    <t>FECHA</t>
  </si>
  <si>
    <t>LECTURAS DE CAMPO</t>
  </si>
  <si>
    <t>DIFERENCIAS A ORIGEN (mm)</t>
  </si>
  <si>
    <t>VELOCIDAD DE CONVERGENCIA (mm/día)</t>
  </si>
  <si>
    <t>Observaciones</t>
  </si>
  <si>
    <t>AVANCE</t>
  </si>
  <si>
    <t>DESTROZA</t>
  </si>
  <si>
    <t>NIVELACIÓN CLAVE</t>
  </si>
  <si>
    <t>FRENTE</t>
  </si>
  <si>
    <t>H-1</t>
  </si>
  <si>
    <t>D-1</t>
  </si>
  <si>
    <t>D-2</t>
  </si>
  <si>
    <t>H-2</t>
  </si>
  <si>
    <t>D-3</t>
  </si>
  <si>
    <t>D-4</t>
  </si>
  <si>
    <t>PK</t>
  </si>
  <si>
    <t>DIST.</t>
  </si>
  <si>
    <t>NIVELACIÓN</t>
  </si>
  <si>
    <t>Para la destroza y se reanuda el avance</t>
  </si>
  <si>
    <t>Diana de clave gunitada.</t>
  </si>
  <si>
    <t>Calizas dolomíticas con juntas rellenas de arcilla.</t>
  </si>
  <si>
    <t>Alternancia de calizas dolomíticas y margas.</t>
  </si>
  <si>
    <t>Alternancia calizas y margas.</t>
  </si>
  <si>
    <t>58 - 63</t>
  </si>
  <si>
    <t>ST-II (1)</t>
  </si>
  <si>
    <t>Rota y repuesta convergencia de clave.</t>
  </si>
  <si>
    <t>Margocalizas.</t>
  </si>
  <si>
    <t>Reanudación destroza</t>
  </si>
  <si>
    <t>Margocalizas</t>
  </si>
  <si>
    <t>ST-I (2)</t>
  </si>
  <si>
    <t>Reanudación destroza.</t>
  </si>
  <si>
    <t>Convergencia D2 rota y repuesta.</t>
  </si>
  <si>
    <t>Convergencia D2 rota porque esta en el entronque.</t>
  </si>
  <si>
    <t>ST-IV (30cm gunita, sin bulones)</t>
  </si>
  <si>
    <t>Sección convergencias en Pk 0+533 rota y trasladada a Pk 0+538</t>
  </si>
  <si>
    <t>Margocalizas con alguna junta karstizicada rellena de arcillas.</t>
  </si>
  <si>
    <t>Golpe</t>
  </si>
  <si>
    <t>Margocalizas masivas (J3)</t>
  </si>
  <si>
    <t>ST-I (3)</t>
  </si>
  <si>
    <t>Golpe?</t>
  </si>
  <si>
    <t>Convergencias nuevas.</t>
  </si>
  <si>
    <t>X</t>
  </si>
  <si>
    <t>Y</t>
  </si>
  <si>
    <t>COTA</t>
  </si>
  <si>
    <t>MINIPRISMA</t>
  </si>
  <si>
    <t>MP-11</t>
  </si>
  <si>
    <t>MP-12</t>
  </si>
  <si>
    <t>MP-13</t>
  </si>
  <si>
    <t>MP-14</t>
  </si>
  <si>
    <t>MP-21</t>
  </si>
  <si>
    <t>MP-22</t>
  </si>
  <si>
    <t>MP-23</t>
  </si>
  <si>
    <t>MP-24(I)</t>
  </si>
  <si>
    <t>MP-31(I)</t>
  </si>
  <si>
    <t>MP-32(I)</t>
  </si>
  <si>
    <t>MP-41</t>
  </si>
  <si>
    <t>MP-42</t>
  </si>
  <si>
    <t>MP-43</t>
  </si>
  <si>
    <t>MP-44</t>
  </si>
  <si>
    <t>MP-51</t>
  </si>
  <si>
    <t>MP-52(I)</t>
  </si>
  <si>
    <t>MP-53</t>
  </si>
  <si>
    <t>MP-61</t>
  </si>
  <si>
    <t>MP-62(I)</t>
  </si>
  <si>
    <t>MP-63</t>
  </si>
  <si>
    <t>MP-24(II)</t>
  </si>
  <si>
    <t>MP-52</t>
  </si>
  <si>
    <t>MP-62</t>
  </si>
  <si>
    <t>MP-24</t>
  </si>
  <si>
    <t>MP-32</t>
  </si>
  <si>
    <t>MP-31</t>
  </si>
  <si>
    <t>Z</t>
  </si>
  <si>
    <t>MP-406</t>
  </si>
  <si>
    <t>MP-407</t>
  </si>
  <si>
    <t>MP-408</t>
  </si>
  <si>
    <t>MP-409</t>
  </si>
  <si>
    <t>MP-410</t>
  </si>
  <si>
    <t>MP-427</t>
  </si>
  <si>
    <t>MP-431</t>
  </si>
  <si>
    <t>MP-401</t>
  </si>
  <si>
    <t>MP-402</t>
  </si>
  <si>
    <t>MP-403</t>
  </si>
  <si>
    <t>MP-432</t>
  </si>
  <si>
    <t>MP-433</t>
  </si>
  <si>
    <t>MP-434</t>
  </si>
  <si>
    <t>MP-435</t>
  </si>
  <si>
    <t>MP-437</t>
  </si>
  <si>
    <t>MP-438</t>
  </si>
  <si>
    <t>MP-440</t>
  </si>
  <si>
    <t>MP-441</t>
  </si>
  <si>
    <t>MP-442</t>
  </si>
  <si>
    <t>MP-443</t>
  </si>
  <si>
    <t>MP-405</t>
  </si>
  <si>
    <t>MP-439</t>
  </si>
  <si>
    <t>MP-444</t>
  </si>
  <si>
    <t>MP-404</t>
  </si>
  <si>
    <t>MP-445</t>
  </si>
  <si>
    <t>MP-317</t>
  </si>
  <si>
    <t>MP-415</t>
  </si>
  <si>
    <t>MP-426</t>
  </si>
  <si>
    <t>MP-512</t>
  </si>
  <si>
    <t>MP-517</t>
  </si>
  <si>
    <t>MP-609</t>
  </si>
  <si>
    <t>MP-613</t>
  </si>
  <si>
    <t>MP-704</t>
  </si>
  <si>
    <t>MP-334</t>
  </si>
  <si>
    <t>MP-606</t>
  </si>
  <si>
    <t>MP-607</t>
  </si>
  <si>
    <t>MP-645</t>
  </si>
  <si>
    <t>Alternancia de limolitas, lutitas y areniscas.</t>
  </si>
  <si>
    <t>327 m</t>
  </si>
  <si>
    <t>ST- III (3)</t>
  </si>
  <si>
    <t>Covergencias horizontales rotas y repuestas.</t>
  </si>
  <si>
    <t>Diana D1 nueva</t>
  </si>
  <si>
    <t>Convergencias gunitadas</t>
  </si>
  <si>
    <t>324m</t>
  </si>
  <si>
    <t>Alternancia de limolitas, lutitas y areniscas (Su1-2)</t>
  </si>
  <si>
    <t>ST- III (2)</t>
  </si>
  <si>
    <t>Paralización avance.</t>
  </si>
  <si>
    <t>MP-657</t>
  </si>
  <si>
    <t>MP-658</t>
  </si>
  <si>
    <t>MP-659</t>
  </si>
  <si>
    <t>MP-485</t>
  </si>
  <si>
    <t>MP-486</t>
  </si>
  <si>
    <t>MP-487</t>
  </si>
  <si>
    <t>MP-488</t>
  </si>
  <si>
    <t>MP-489</t>
  </si>
  <si>
    <t>MP-459</t>
  </si>
  <si>
    <t>MP-450</t>
  </si>
  <si>
    <t>MP-455</t>
  </si>
  <si>
    <t>MP-469</t>
  </si>
  <si>
    <t>MP-474</t>
  </si>
  <si>
    <t>MP-475</t>
  </si>
  <si>
    <t>MP-476</t>
  </si>
  <si>
    <t>MP-477</t>
  </si>
  <si>
    <t>MP-656</t>
  </si>
  <si>
    <t>DI-601</t>
  </si>
  <si>
    <t>DI-602</t>
  </si>
  <si>
    <t>DI-603</t>
  </si>
  <si>
    <t>DI-604</t>
  </si>
  <si>
    <t>DI-605</t>
  </si>
  <si>
    <t>MP-490</t>
  </si>
  <si>
    <t>MP-491</t>
  </si>
  <si>
    <t>MP-492</t>
  </si>
  <si>
    <t>MP-493</t>
  </si>
  <si>
    <t>MP-494</t>
  </si>
  <si>
    <t>DI-608</t>
  </si>
  <si>
    <t>DI-609</t>
  </si>
  <si>
    <t>MP-478</t>
  </si>
  <si>
    <t>MP-479</t>
  </si>
  <si>
    <t>MP-480</t>
  </si>
  <si>
    <t>MP-481</t>
  </si>
  <si>
    <t>MP-483</t>
  </si>
  <si>
    <t>MP-484</t>
  </si>
  <si>
    <t>MP-467</t>
  </si>
  <si>
    <t>MP-470</t>
  </si>
  <si>
    <t>MP-471</t>
  </si>
  <si>
    <t>MP-472</t>
  </si>
  <si>
    <t>MP-473</t>
  </si>
  <si>
    <t>MP-495</t>
  </si>
  <si>
    <t>MP-496</t>
  </si>
  <si>
    <t>MP-497</t>
  </si>
  <si>
    <t>MP-498</t>
  </si>
  <si>
    <t>MP-499</t>
  </si>
  <si>
    <t>MP-356</t>
  </si>
  <si>
    <t>MP-355</t>
  </si>
  <si>
    <t>MP-354</t>
  </si>
  <si>
    <t>MP-353</t>
  </si>
  <si>
    <t>MP-352</t>
  </si>
  <si>
    <t>MP-351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</si>
</sst>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;@"/>
    <numFmt numFmtId="165" formatCode="0.0\ &quot;m&quot;"/>
    <numFmt numFmtId="166" formatCode="0\+000.00"/>
    <numFmt numFmtId="167" formatCode="0.000"/>
    <numFmt numFmtId="168" formatCode="0.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b/>
      <sz val="20"/>
      <color indexed="48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Arial"/>
      <family val="2"/>
    </font>
    <font>
      <b/>
      <i/>
      <sz val="12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60"/>
      <name val="Arial"/>
      <family val="2"/>
    </font>
    <font>
      <sz val="10"/>
      <color indexed="10"/>
      <name val="Arial"/>
      <family val="2"/>
    </font>
    <font>
      <sz val="14"/>
      <color indexed="8"/>
      <name val="Calibri"/>
      <family val="2"/>
    </font>
    <font>
      <sz val="10"/>
      <color indexed="29"/>
      <name val="Arial"/>
      <family val="2"/>
    </font>
    <font>
      <sz val="8"/>
      <name val="Calibri"/>
      <family val="2"/>
    </font>
    <font>
      <sz val="12"/>
      <color indexed="8"/>
      <name val="Arial"/>
      <family val="2"/>
    </font>
    <font>
      <sz val="10"/>
      <color rgb="FFC00000"/>
      <name val="Arial"/>
      <family val="2"/>
    </font>
    <font>
      <sz val="10"/>
      <color theme="5" tint="0.59999389629810485"/>
      <name val="Arial"/>
      <family val="2"/>
    </font>
    <font>
      <sz val="10"/>
      <color theme="5" tint="0.39997558519241921"/>
      <name val="Arial"/>
      <family val="2"/>
    </font>
    <font>
      <sz val="10"/>
      <color theme="5" tint="0.79998168889431442"/>
      <name val="Arial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1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99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3" xfId="1" applyFont="1" applyBorder="1" applyAlignment="1">
      <alignment wrapText="1"/>
    </xf>
    <xf numFmtId="0" fontId="3" fillId="0" borderId="0" xfId="1" applyFont="1" applyAlignment="1">
      <alignment wrapText="1"/>
    </xf>
    <xf numFmtId="0" fontId="3" fillId="0" borderId="4" xfId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14" fillId="0" borderId="14" xfId="0" applyNumberFormat="1" applyFont="1" applyBorder="1" applyAlignment="1" applyProtection="1">
      <alignment horizontal="center" vertical="center"/>
      <protection locked="0"/>
    </xf>
    <xf numFmtId="167" fontId="14" fillId="0" borderId="14" xfId="0" applyNumberFormat="1" applyFont="1" applyBorder="1" applyAlignment="1">
      <alignment horizontal="center"/>
    </xf>
    <xf numFmtId="2" fontId="14" fillId="0" borderId="15" xfId="0" applyNumberFormat="1" applyFont="1" applyBorder="1" applyAlignment="1">
      <alignment horizontal="center" vertical="center"/>
    </xf>
    <xf numFmtId="168" fontId="2" fillId="3" borderId="16" xfId="0" applyNumberFormat="1" applyFont="1" applyFill="1" applyBorder="1" applyAlignment="1">
      <alignment horizontal="center" vertical="center"/>
    </xf>
    <xf numFmtId="167" fontId="15" fillId="3" borderId="13" xfId="0" applyNumberFormat="1" applyFont="1" applyFill="1" applyBorder="1" applyAlignment="1">
      <alignment vertical="center"/>
    </xf>
    <xf numFmtId="168" fontId="2" fillId="3" borderId="17" xfId="0" applyNumberFormat="1" applyFont="1" applyFill="1" applyBorder="1" applyAlignment="1">
      <alignment horizontal="center" vertical="center"/>
    </xf>
    <xf numFmtId="167" fontId="15" fillId="4" borderId="18" xfId="0" applyNumberFormat="1" applyFont="1" applyFill="1" applyBorder="1" applyAlignment="1">
      <alignment vertical="center"/>
    </xf>
    <xf numFmtId="167" fontId="15" fillId="4" borderId="19" xfId="0" applyNumberFormat="1" applyFont="1" applyFill="1" applyBorder="1" applyAlignment="1">
      <alignment vertical="center"/>
    </xf>
    <xf numFmtId="0" fontId="2" fillId="0" borderId="20" xfId="1" applyBorder="1" applyAlignment="1" applyProtection="1">
      <alignment horizontal="left" vertical="center" wrapText="1"/>
      <protection locked="0"/>
    </xf>
    <xf numFmtId="167" fontId="2" fillId="0" borderId="21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168" fontId="2" fillId="4" borderId="22" xfId="0" applyNumberFormat="1" applyFont="1" applyFill="1" applyBorder="1" applyAlignment="1">
      <alignment horizontal="center" vertical="center"/>
    </xf>
    <xf numFmtId="168" fontId="2" fillId="4" borderId="14" xfId="0" applyNumberFormat="1" applyFont="1" applyFill="1" applyBorder="1" applyAlignment="1">
      <alignment horizontal="center" vertical="center"/>
    </xf>
    <xf numFmtId="168" fontId="2" fillId="4" borderId="16" xfId="0" applyNumberFormat="1" applyFont="1" applyFill="1" applyBorder="1" applyAlignment="1">
      <alignment horizontal="center" vertical="center"/>
    </xf>
    <xf numFmtId="15" fontId="2" fillId="0" borderId="20" xfId="1" applyNumberFormat="1" applyBorder="1" applyAlignment="1" applyProtection="1">
      <alignment horizontal="left" vertical="center" wrapText="1"/>
      <protection locked="0"/>
    </xf>
    <xf numFmtId="164" fontId="2" fillId="0" borderId="20" xfId="1" applyNumberFormat="1" applyBorder="1" applyAlignment="1" applyProtection="1">
      <alignment horizontal="center" vertical="center"/>
      <protection locked="0"/>
    </xf>
    <xf numFmtId="166" fontId="14" fillId="0" borderId="14" xfId="0" applyNumberFormat="1" applyFont="1" applyBorder="1" applyAlignment="1" applyProtection="1">
      <alignment horizontal="center" vertical="center"/>
      <protection locked="0"/>
    </xf>
    <xf numFmtId="167" fontId="14" fillId="0" borderId="16" xfId="0" applyNumberFormat="1" applyFont="1" applyBorder="1" applyAlignment="1" applyProtection="1">
      <alignment horizontal="center" vertical="center"/>
      <protection locked="0"/>
    </xf>
    <xf numFmtId="164" fontId="2" fillId="0" borderId="23" xfId="1" applyNumberFormat="1" applyBorder="1" applyAlignment="1" applyProtection="1">
      <alignment horizontal="center" vertical="center"/>
      <protection locked="0"/>
    </xf>
    <xf numFmtId="167" fontId="2" fillId="0" borderId="24" xfId="0" applyNumberFormat="1" applyFont="1" applyBorder="1" applyAlignment="1">
      <alignment horizontal="center" vertical="center"/>
    </xf>
    <xf numFmtId="167" fontId="2" fillId="0" borderId="25" xfId="0" applyNumberFormat="1" applyFont="1" applyBorder="1" applyAlignment="1">
      <alignment horizontal="center" vertical="center"/>
    </xf>
    <xf numFmtId="167" fontId="14" fillId="0" borderId="25" xfId="0" applyNumberFormat="1" applyFont="1" applyBorder="1" applyAlignment="1" applyProtection="1">
      <alignment horizontal="center" vertical="center"/>
      <protection locked="0"/>
    </xf>
    <xf numFmtId="167" fontId="14" fillId="0" borderId="25" xfId="0" applyNumberFormat="1" applyFont="1" applyBorder="1" applyAlignment="1">
      <alignment horizontal="center"/>
    </xf>
    <xf numFmtId="166" fontId="14" fillId="0" borderId="25" xfId="0" applyNumberFormat="1" applyFont="1" applyBorder="1" applyAlignment="1" applyProtection="1">
      <alignment horizontal="center" vertical="center"/>
      <protection locked="0"/>
    </xf>
    <xf numFmtId="166" fontId="14" fillId="0" borderId="13" xfId="0" applyNumberFormat="1" applyFont="1" applyBorder="1" applyAlignment="1" applyProtection="1">
      <alignment horizontal="center" vertical="center"/>
      <protection locked="0"/>
    </xf>
    <xf numFmtId="167" fontId="14" fillId="0" borderId="13" xfId="0" applyNumberFormat="1" applyFont="1" applyBorder="1" applyAlignment="1">
      <alignment horizontal="center"/>
    </xf>
    <xf numFmtId="167" fontId="14" fillId="0" borderId="13" xfId="0" applyNumberFormat="1" applyFont="1" applyBorder="1" applyAlignment="1" applyProtection="1">
      <alignment horizontal="center" vertical="center"/>
      <protection locked="0"/>
    </xf>
    <xf numFmtId="164" fontId="2" fillId="0" borderId="26" xfId="1" applyNumberFormat="1" applyBorder="1" applyAlignment="1" applyProtection="1">
      <alignment horizontal="center" vertical="center"/>
      <protection locked="0"/>
    </xf>
    <xf numFmtId="167" fontId="14" fillId="0" borderId="27" xfId="0" applyNumberFormat="1" applyFont="1" applyBorder="1" applyAlignment="1">
      <alignment horizontal="center"/>
    </xf>
    <xf numFmtId="167" fontId="16" fillId="0" borderId="14" xfId="0" applyNumberFormat="1" applyFont="1" applyBorder="1" applyAlignment="1">
      <alignment horizontal="center" vertical="center"/>
    </xf>
    <xf numFmtId="167" fontId="16" fillId="0" borderId="27" xfId="0" applyNumberFormat="1" applyFont="1" applyBorder="1" applyAlignment="1">
      <alignment horizontal="center"/>
    </xf>
    <xf numFmtId="167" fontId="2" fillId="0" borderId="14" xfId="0" applyNumberFormat="1" applyFont="1" applyBorder="1" applyAlignment="1" applyProtection="1">
      <alignment horizontal="center" vertical="center"/>
      <protection locked="0"/>
    </xf>
    <xf numFmtId="167" fontId="2" fillId="0" borderId="27" xfId="0" applyNumberFormat="1" applyFont="1" applyBorder="1" applyAlignment="1">
      <alignment horizontal="center"/>
    </xf>
    <xf numFmtId="0" fontId="16" fillId="0" borderId="20" xfId="1" applyFont="1" applyBorder="1" applyAlignment="1" applyProtection="1">
      <alignment horizontal="left" vertical="center" wrapText="1"/>
      <protection locked="0"/>
    </xf>
    <xf numFmtId="0" fontId="11" fillId="2" borderId="28" xfId="1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167" fontId="16" fillId="0" borderId="14" xfId="0" applyNumberFormat="1" applyFont="1" applyBorder="1" applyAlignment="1">
      <alignment horizontal="center"/>
    </xf>
    <xf numFmtId="2" fontId="14" fillId="0" borderId="28" xfId="0" applyNumberFormat="1" applyFont="1" applyBorder="1" applyAlignment="1">
      <alignment horizontal="center" vertical="center"/>
    </xf>
    <xf numFmtId="167" fontId="14" fillId="0" borderId="14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167" fontId="14" fillId="0" borderId="25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/>
    </xf>
    <xf numFmtId="166" fontId="2" fillId="0" borderId="14" xfId="0" applyNumberFormat="1" applyFont="1" applyBorder="1" applyAlignment="1" applyProtection="1">
      <alignment horizontal="center" vertical="center"/>
      <protection locked="0"/>
    </xf>
    <xf numFmtId="2" fontId="2" fillId="0" borderId="15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 applyProtection="1">
      <alignment horizontal="center" vertical="center"/>
      <protection locked="0"/>
    </xf>
    <xf numFmtId="167" fontId="2" fillId="0" borderId="13" xfId="0" applyNumberFormat="1" applyFont="1" applyBorder="1" applyAlignment="1">
      <alignment horizontal="center"/>
    </xf>
    <xf numFmtId="166" fontId="2" fillId="0" borderId="13" xfId="0" applyNumberFormat="1" applyFont="1" applyBorder="1" applyAlignment="1" applyProtection="1">
      <alignment horizontal="center" vertical="center"/>
      <protection locked="0"/>
    </xf>
    <xf numFmtId="2" fontId="2" fillId="0" borderId="29" xfId="0" applyNumberFormat="1" applyFont="1" applyBorder="1" applyAlignment="1">
      <alignment horizontal="center" vertical="center"/>
    </xf>
    <xf numFmtId="167" fontId="19" fillId="0" borderId="21" xfId="0" applyNumberFormat="1" applyFont="1" applyBorder="1" applyAlignment="1">
      <alignment horizontal="center" vertical="center"/>
    </xf>
    <xf numFmtId="167" fontId="19" fillId="0" borderId="14" xfId="0" applyNumberFormat="1" applyFont="1" applyBorder="1" applyAlignment="1">
      <alignment horizontal="center" vertical="center"/>
    </xf>
    <xf numFmtId="167" fontId="19" fillId="0" borderId="14" xfId="0" applyNumberFormat="1" applyFont="1" applyBorder="1" applyAlignment="1">
      <alignment horizontal="center"/>
    </xf>
    <xf numFmtId="167" fontId="17" fillId="0" borderId="14" xfId="0" applyNumberFormat="1" applyFont="1" applyBorder="1" applyAlignment="1">
      <alignment horizontal="center"/>
    </xf>
    <xf numFmtId="166" fontId="2" fillId="0" borderId="25" xfId="0" applyNumberFormat="1" applyFont="1" applyBorder="1" applyAlignment="1" applyProtection="1">
      <alignment horizontal="center" vertical="center"/>
      <protection locked="0"/>
    </xf>
    <xf numFmtId="168" fontId="22" fillId="3" borderId="16" xfId="0" applyNumberFormat="1" applyFont="1" applyFill="1" applyBorder="1" applyAlignment="1">
      <alignment horizontal="center" vertical="center"/>
    </xf>
    <xf numFmtId="167" fontId="22" fillId="0" borderId="14" xfId="0" applyNumberFormat="1" applyFont="1" applyBorder="1" applyAlignment="1">
      <alignment horizontal="center" vertical="center"/>
    </xf>
    <xf numFmtId="167" fontId="23" fillId="0" borderId="14" xfId="0" applyNumberFormat="1" applyFont="1" applyBorder="1" applyAlignment="1">
      <alignment horizontal="center" vertical="center"/>
    </xf>
    <xf numFmtId="167" fontId="23" fillId="0" borderId="14" xfId="0" applyNumberFormat="1" applyFont="1" applyBorder="1" applyAlignment="1">
      <alignment horizontal="center"/>
    </xf>
    <xf numFmtId="167" fontId="23" fillId="0" borderId="21" xfId="0" applyNumberFormat="1" applyFont="1" applyBorder="1" applyAlignment="1">
      <alignment horizontal="center" vertical="center"/>
    </xf>
    <xf numFmtId="167" fontId="22" fillId="0" borderId="21" xfId="0" applyNumberFormat="1" applyFont="1" applyBorder="1" applyAlignment="1">
      <alignment horizontal="center" vertical="center"/>
    </xf>
    <xf numFmtId="167" fontId="24" fillId="0" borderId="14" xfId="0" applyNumberFormat="1" applyFont="1" applyBorder="1" applyAlignment="1" applyProtection="1">
      <alignment horizontal="center" vertical="center"/>
      <protection locked="0"/>
    </xf>
    <xf numFmtId="167" fontId="24" fillId="0" borderId="14" xfId="0" applyNumberFormat="1" applyFont="1" applyBorder="1" applyAlignment="1">
      <alignment horizontal="center" vertical="center"/>
    </xf>
    <xf numFmtId="167" fontId="24" fillId="0" borderId="21" xfId="0" applyNumberFormat="1" applyFont="1" applyBorder="1" applyAlignment="1">
      <alignment horizontal="center" vertical="center"/>
    </xf>
    <xf numFmtId="167" fontId="23" fillId="0" borderId="14" xfId="0" applyNumberFormat="1" applyFont="1" applyBorder="1" applyAlignment="1" applyProtection="1">
      <alignment horizontal="center" vertical="center"/>
      <protection locked="0"/>
    </xf>
    <xf numFmtId="167" fontId="25" fillId="0" borderId="14" xfId="0" applyNumberFormat="1" applyFont="1" applyBorder="1" applyAlignment="1">
      <alignment horizontal="center"/>
    </xf>
    <xf numFmtId="167" fontId="16" fillId="0" borderId="14" xfId="0" applyNumberFormat="1" applyFont="1" applyBorder="1" applyAlignment="1" applyProtection="1">
      <alignment horizontal="center" vertical="center"/>
      <protection locked="0"/>
    </xf>
    <xf numFmtId="168" fontId="16" fillId="3" borderId="16" xfId="0" applyNumberFormat="1" applyFont="1" applyFill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167" fontId="19" fillId="0" borderId="14" xfId="0" applyNumberFormat="1" applyFont="1" applyBorder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1" applyFont="1" applyAlignment="1">
      <alignment horizontal="center"/>
    </xf>
    <xf numFmtId="14" fontId="27" fillId="0" borderId="0" xfId="0" applyNumberFormat="1" applyFont="1"/>
    <xf numFmtId="0" fontId="0" fillId="6" borderId="0" xfId="0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7" fontId="0" fillId="6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27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7" fillId="0" borderId="0" xfId="0" applyFont="1" applyAlignment="1">
      <alignment vertical="center"/>
    </xf>
    <xf numFmtId="14" fontId="0" fillId="0" borderId="0" xfId="0" applyNumberFormat="1" applyFill="1" applyAlignment="1">
      <alignment horizontal="center" vertical="center"/>
    </xf>
    <xf numFmtId="16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1" fillId="2" borderId="23" xfId="1" applyFont="1" applyFill="1" applyBorder="1" applyAlignment="1">
      <alignment horizontal="center" vertical="center"/>
    </xf>
    <xf numFmtId="0" fontId="11" fillId="2" borderId="33" xfId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 applyProtection="1">
      <alignment horizontal="center" vertical="center"/>
      <protection locked="0"/>
    </xf>
    <xf numFmtId="0" fontId="11" fillId="2" borderId="36" xfId="1" applyFont="1" applyFill="1" applyBorder="1" applyAlignment="1">
      <alignment horizontal="center" vertical="center"/>
    </xf>
    <xf numFmtId="0" fontId="11" fillId="2" borderId="40" xfId="1" applyFont="1" applyFill="1" applyBorder="1" applyAlignment="1">
      <alignment horizontal="center" vertical="center"/>
    </xf>
    <xf numFmtId="0" fontId="11" fillId="2" borderId="42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32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/>
    </xf>
    <xf numFmtId="0" fontId="12" fillId="2" borderId="38" xfId="1" applyFont="1" applyFill="1" applyBorder="1" applyAlignment="1">
      <alignment horizontal="center" vertical="center"/>
    </xf>
    <xf numFmtId="0" fontId="12" fillId="2" borderId="39" xfId="1" applyFont="1" applyFill="1" applyBorder="1" applyAlignment="1">
      <alignment horizontal="center" vertical="center"/>
    </xf>
    <xf numFmtId="0" fontId="1" fillId="4" borderId="3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30" xfId="0" applyFont="1" applyFill="1" applyBorder="1" applyAlignment="1" applyProtection="1">
      <alignment horizontal="center"/>
      <protection locked="0"/>
    </xf>
    <xf numFmtId="0" fontId="1" fillId="4" borderId="4" xfId="0" applyFont="1" applyFill="1" applyBorder="1" applyAlignment="1" applyProtection="1">
      <alignment horizontal="center"/>
      <protection locked="0"/>
    </xf>
    <xf numFmtId="0" fontId="1" fillId="4" borderId="5" xfId="0" applyFont="1" applyFill="1" applyBorder="1" applyAlignment="1" applyProtection="1">
      <alignment horizontal="center"/>
      <protection locked="0"/>
    </xf>
    <xf numFmtId="0" fontId="1" fillId="4" borderId="31" xfId="0" applyFont="1" applyFill="1" applyBorder="1" applyAlignment="1" applyProtection="1">
      <alignment horizontal="center"/>
      <protection locked="0"/>
    </xf>
    <xf numFmtId="0" fontId="13" fillId="2" borderId="23" xfId="1" applyFont="1" applyFill="1" applyBorder="1" applyAlignment="1">
      <alignment horizontal="center" vertical="center"/>
    </xf>
    <xf numFmtId="0" fontId="13" fillId="2" borderId="33" xfId="1" applyFont="1" applyFill="1" applyBorder="1" applyAlignment="1">
      <alignment horizontal="center" vertical="center"/>
    </xf>
    <xf numFmtId="0" fontId="13" fillId="2" borderId="34" xfId="1" applyFont="1" applyFill="1" applyBorder="1" applyAlignment="1">
      <alignment horizontal="center" vertical="center"/>
    </xf>
    <xf numFmtId="0" fontId="11" fillId="2" borderId="22" xfId="1" applyFont="1" applyFill="1" applyBorder="1" applyAlignment="1">
      <alignment horizontal="center" vertical="center"/>
    </xf>
    <xf numFmtId="0" fontId="11" fillId="2" borderId="35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 wrapText="1"/>
    </xf>
    <xf numFmtId="0" fontId="11" fillId="2" borderId="41" xfId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164" fontId="9" fillId="0" borderId="2" xfId="0" applyNumberFormat="1" applyFont="1" applyBorder="1" applyAlignment="1" applyProtection="1">
      <alignment horizontal="center" vertical="center"/>
      <protection locked="0"/>
    </xf>
    <xf numFmtId="164" fontId="9" fillId="0" borderId="32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166" fontId="9" fillId="0" borderId="5" xfId="0" applyNumberFormat="1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2" xfId="0" applyFont="1" applyFill="1" applyBorder="1" applyAlignment="1">
      <alignment horizont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164" fontId="9" fillId="0" borderId="30" xfId="0" applyNumberFormat="1" applyFont="1" applyBorder="1" applyAlignment="1" applyProtection="1">
      <alignment horizontal="center" vertical="center"/>
      <protection locked="0"/>
    </xf>
    <xf numFmtId="0" fontId="4" fillId="5" borderId="1" xfId="1" applyFont="1" applyFill="1" applyBorder="1" applyAlignment="1">
      <alignment horizontal="center" vertical="center" wrapText="1"/>
    </xf>
    <xf numFmtId="0" fontId="5" fillId="5" borderId="2" xfId="0" applyFont="1" applyFill="1" applyBorder="1"/>
    <xf numFmtId="0" fontId="5" fillId="5" borderId="32" xfId="0" applyFont="1" applyFill="1" applyBorder="1"/>
    <xf numFmtId="0" fontId="6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4" borderId="30" xfId="1" applyFont="1" applyFill="1" applyBorder="1" applyAlignment="1">
      <alignment horizontal="center" vertical="center"/>
    </xf>
    <xf numFmtId="0" fontId="7" fillId="5" borderId="23" xfId="1" applyFont="1" applyFill="1" applyBorder="1" applyAlignment="1">
      <alignment horizontal="center" vertical="center"/>
    </xf>
    <xf numFmtId="0" fontId="7" fillId="5" borderId="33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5" borderId="30" xfId="1" applyFont="1" applyFill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0" fontId="1" fillId="4" borderId="3" xfId="0" applyFont="1" applyFill="1" applyBorder="1" applyAlignment="1" applyProtection="1">
      <alignment horizontal="left" vertical="center"/>
      <protection locked="0"/>
    </xf>
    <xf numFmtId="0" fontId="1" fillId="4" borderId="0" xfId="0" applyFont="1" applyFill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1" fillId="4" borderId="4" xfId="0" applyFont="1" applyFill="1" applyBorder="1" applyAlignment="1" applyProtection="1">
      <alignment horizontal="left" vertical="center"/>
      <protection locked="0"/>
    </xf>
    <xf numFmtId="0" fontId="1" fillId="4" borderId="5" xfId="0" applyFont="1" applyFill="1" applyBorder="1" applyAlignment="1" applyProtection="1">
      <alignment horizontal="left" vertical="center"/>
      <protection locked="0"/>
    </xf>
    <xf numFmtId="0" fontId="1" fillId="4" borderId="31" xfId="0" applyFont="1" applyFill="1" applyBorder="1" applyAlignment="1" applyProtection="1">
      <alignment horizontal="left" vertical="center"/>
      <protection locked="0"/>
    </xf>
    <xf numFmtId="0" fontId="21" fillId="0" borderId="2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1" fillId="2" borderId="34" xfId="1" applyFont="1" applyFill="1" applyBorder="1" applyAlignment="1">
      <alignment horizontal="center" vertical="center"/>
    </xf>
    <xf numFmtId="0" fontId="11" fillId="2" borderId="43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32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7" fillId="5" borderId="34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5" borderId="31" xfId="1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E650BF"/>
      <color rgb="FFC4F2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garciaa\DC\ACCDocs\ACCIONA%20SA\C3041%20-%20UTE%20METRO%20BENGOETXE\Project%20Files\15%20-%20CONSTRUCCI&#211;N\15.01%20-%20Topograf&#237;a\TOP_08%20AUSCULTACI&#211;N\14_MINIPRISMAS%20y%20DIANAS\Datos%20de%20campo\260515%20y%2018%20MPs%20Aperrribai.csv" TargetMode="External"/><Relationship Id="rId1" Type="http://schemas.openxmlformats.org/officeDocument/2006/relationships/externalLinkPath" Target="/Users/Pgarciaa/DC/ACCDocs/ACCIONA%20SA/C3041%20-%20UTE%20METRO%20BENGOETXE/Project%20Files/15%20-%20CONSTRUCCI&#211;N/15.01%20-%20Topograf&#237;a/TOP_08%20AUSCULTACI&#211;N/14_MINIPRISMAS%20y%20DIANAS/Datos%20de%20campo/260515%20y%2018%20MPs%20Aperrribai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60515 y 18 MPs Aperrribai"/>
    </sheetNames>
    <sheetDataSet>
      <sheetData sheetId="0">
        <row r="1">
          <cell r="B1">
            <v>510834.36200000002</v>
          </cell>
          <cell r="C1">
            <v>4786957.5590000004</v>
          </cell>
          <cell r="D1">
            <v>63.698</v>
          </cell>
        </row>
        <row r="2">
          <cell r="B2">
            <v>510825.908</v>
          </cell>
          <cell r="C2">
            <v>4786967.1100000003</v>
          </cell>
          <cell r="D2">
            <v>61.13</v>
          </cell>
        </row>
        <row r="3">
          <cell r="B3">
            <v>510831.55300000001</v>
          </cell>
          <cell r="C3">
            <v>4786972.45</v>
          </cell>
          <cell r="D3">
            <v>63.011000000000003</v>
          </cell>
        </row>
        <row r="4">
          <cell r="B4">
            <v>510793.84</v>
          </cell>
          <cell r="C4">
            <v>4786978.6540000001</v>
          </cell>
          <cell r="D4">
            <v>64.626999999999995</v>
          </cell>
        </row>
        <row r="5">
          <cell r="B5">
            <v>510791.95799999998</v>
          </cell>
          <cell r="C5">
            <v>4786983.8480000002</v>
          </cell>
          <cell r="D5">
            <v>66.647999999999996</v>
          </cell>
        </row>
        <row r="6">
          <cell r="B6">
            <v>510778.78200000001</v>
          </cell>
          <cell r="C6">
            <v>4786982.54</v>
          </cell>
          <cell r="D6">
            <v>65.783000000000001</v>
          </cell>
        </row>
        <row r="15">
          <cell r="B15">
            <v>510834.35700000002</v>
          </cell>
          <cell r="C15">
            <v>4786957.5559999999</v>
          </cell>
          <cell r="D15">
            <v>63.697000000000003</v>
          </cell>
        </row>
        <row r="16">
          <cell r="B16">
            <v>510825.90299999999</v>
          </cell>
          <cell r="C16">
            <v>4786967.1069999998</v>
          </cell>
          <cell r="D16">
            <v>61.128</v>
          </cell>
        </row>
        <row r="17">
          <cell r="B17">
            <v>510831.549</v>
          </cell>
          <cell r="C17">
            <v>4786972.4469999997</v>
          </cell>
          <cell r="D17">
            <v>63.01</v>
          </cell>
        </row>
        <row r="18">
          <cell r="B18">
            <v>510793.837</v>
          </cell>
          <cell r="C18">
            <v>4786978.6509999996</v>
          </cell>
          <cell r="D18">
            <v>64.623999999999995</v>
          </cell>
        </row>
        <row r="19">
          <cell r="B19">
            <v>510791.95400000003</v>
          </cell>
          <cell r="C19">
            <v>4786983.8449999997</v>
          </cell>
          <cell r="D19">
            <v>66.644999999999996</v>
          </cell>
        </row>
        <row r="20">
          <cell r="B20">
            <v>510778.77899999998</v>
          </cell>
          <cell r="C20">
            <v>4786982.5460000001</v>
          </cell>
          <cell r="D20">
            <v>65.777000000000001</v>
          </cell>
        </row>
        <row r="22">
          <cell r="B22">
            <v>510834.36200000002</v>
          </cell>
          <cell r="C22">
            <v>4786957.5439999998</v>
          </cell>
          <cell r="D22">
            <v>63.698999999999998</v>
          </cell>
        </row>
        <row r="23">
          <cell r="B23">
            <v>510825.90899999999</v>
          </cell>
          <cell r="C23">
            <v>4786967.0949999997</v>
          </cell>
          <cell r="D23">
            <v>61.131</v>
          </cell>
        </row>
        <row r="24">
          <cell r="B24">
            <v>510831.55499999999</v>
          </cell>
          <cell r="C24">
            <v>4786972.4340000004</v>
          </cell>
          <cell r="D24">
            <v>63.012999999999998</v>
          </cell>
        </row>
        <row r="25">
          <cell r="B25">
            <v>510793.842</v>
          </cell>
          <cell r="C25">
            <v>4786978.6399999997</v>
          </cell>
          <cell r="D25">
            <v>64.628</v>
          </cell>
        </row>
        <row r="26">
          <cell r="B26">
            <v>510791.96</v>
          </cell>
          <cell r="C26">
            <v>4786983.8339999998</v>
          </cell>
          <cell r="D26">
            <v>66.647000000000006</v>
          </cell>
        </row>
        <row r="27">
          <cell r="B27">
            <v>510778.78399999999</v>
          </cell>
          <cell r="C27">
            <v>4786982.5329999998</v>
          </cell>
          <cell r="D27">
            <v>65.778999999999996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>
    <pageSetUpPr fitToPage="1"/>
  </sheetPr>
  <dimension ref="A1:AI153"/>
  <sheetViews>
    <sheetView showGridLines="0" topLeftCell="B1" zoomScale="75" zoomScaleNormal="75" zoomScaleSheetLayoutView="40" zoomScalePageLayoutView="40" workbookViewId="0">
      <pane ySplit="8" topLeftCell="A42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TZ-6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5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41624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41625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>
        <v>28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50">
        <f>J8-258</f>
        <v>51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309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13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6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6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27"/>
      <c r="C12" s="128"/>
      <c r="D12" s="128"/>
      <c r="E12" s="128"/>
      <c r="F12" s="128"/>
      <c r="G12" s="128"/>
      <c r="H12" s="128"/>
      <c r="I12" s="128"/>
      <c r="J12" s="129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4">
        <v>41625</v>
      </c>
      <c r="C16" s="35">
        <v>12.718999999999999</v>
      </c>
      <c r="D16" s="36">
        <v>7.8440000000000003</v>
      </c>
      <c r="E16" s="36">
        <v>7.8570000000000002</v>
      </c>
      <c r="F16" s="37"/>
      <c r="G16" s="37"/>
      <c r="H16" s="37"/>
      <c r="I16" s="38">
        <v>101.258</v>
      </c>
      <c r="J16" s="39">
        <v>314</v>
      </c>
      <c r="K16" s="18">
        <f t="shared" ref="K16:K29" si="0">IF(ISBLANK(J16),"",(J16-$J$8))</f>
        <v>5</v>
      </c>
      <c r="L16" s="19">
        <f t="shared" ref="L16:L47" si="1">IF(ISBLANK(C16),"",(C16-C$16)*1000)</f>
        <v>0</v>
      </c>
      <c r="M16" s="19">
        <f t="shared" ref="M16:M47" si="2">IF(ISBLANK(D16),"",(D16-D$16)*1000)</f>
        <v>0</v>
      </c>
      <c r="N16" s="19">
        <f t="shared" ref="N16:N47" si="3">IF(ISBLANK(E16),"",(E16-E$16)*1000)</f>
        <v>0</v>
      </c>
      <c r="O16" s="20"/>
      <c r="P16" s="20"/>
      <c r="Q16" s="20"/>
      <c r="R16" s="21">
        <f t="shared" ref="R16:R32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41626</v>
      </c>
      <c r="C17" s="25">
        <v>12.715999999999999</v>
      </c>
      <c r="D17" s="26">
        <v>7.8419999999999996</v>
      </c>
      <c r="E17" s="26">
        <v>7.8570000000000002</v>
      </c>
      <c r="F17" s="16"/>
      <c r="G17" s="16"/>
      <c r="H17" s="16"/>
      <c r="I17" s="17">
        <v>101.256</v>
      </c>
      <c r="J17" s="32">
        <v>319.5</v>
      </c>
      <c r="K17" s="18">
        <f t="shared" si="0"/>
        <v>10.5</v>
      </c>
      <c r="L17" s="19">
        <f t="shared" si="1"/>
        <v>-3.0000000000001137</v>
      </c>
      <c r="M17" s="19">
        <f t="shared" si="2"/>
        <v>-2.0000000000006679</v>
      </c>
      <c r="N17" s="19">
        <f t="shared" si="3"/>
        <v>0</v>
      </c>
      <c r="O17" s="19" t="str">
        <f t="shared" ref="O17:O33" si="5">IF(ISBLANK(F17),"",(F17-F$16)*1000)</f>
        <v/>
      </c>
      <c r="P17" s="19" t="str">
        <f t="shared" ref="P17:P33" si="6">IF(ISBLANK(G17),"",(G17-G$16)*1000)</f>
        <v/>
      </c>
      <c r="Q17" s="19" t="str">
        <f t="shared" ref="Q17:Q33" si="7">IF(ISBLANK(H17),"",(H17-H$16)*1000)</f>
        <v/>
      </c>
      <c r="R17" s="19">
        <f t="shared" si="4"/>
        <v>-1.9999999999953388</v>
      </c>
      <c r="S17" s="27">
        <f t="shared" ref="S17:S47" si="8">IF(C17="","",((C17-C16)*1000)/($B17-$B16))</f>
        <v>-3.0000000000001137</v>
      </c>
      <c r="T17" s="28">
        <f t="shared" ref="T17:T47" si="9">IF(D17="","",((D17-D16)*1000)/($B17-$B16))</f>
        <v>-2.0000000000006679</v>
      </c>
      <c r="U17" s="28">
        <f t="shared" ref="U17:U47" si="10">IF(E17="","",((E17-E16)*1000)/($B17-$B16))</f>
        <v>0</v>
      </c>
      <c r="V17" s="28" t="str">
        <f t="shared" ref="V17:V48" si="11">IF(F17="","",((F17-F16)*1000)/($B17-$B16))</f>
        <v/>
      </c>
      <c r="W17" s="28" t="str">
        <f t="shared" ref="W17:W48" si="12">IF(G17="","",((G17-G16)*1000)/($B17-$B16))</f>
        <v/>
      </c>
      <c r="X17" s="29" t="str">
        <f t="shared" ref="X17:X48" si="13">IF(H17="","",((H17-H16)*1000)/($B17-$B16))</f>
        <v/>
      </c>
      <c r="Y17" s="30"/>
    </row>
    <row r="18" spans="2:25" ht="15" customHeight="1" x14ac:dyDescent="0.2">
      <c r="B18" s="31">
        <v>41627</v>
      </c>
      <c r="C18" s="25">
        <v>12.715999999999999</v>
      </c>
      <c r="D18" s="26">
        <v>7.8410000000000002</v>
      </c>
      <c r="E18" s="26">
        <v>7.8550000000000004</v>
      </c>
      <c r="F18" s="16"/>
      <c r="G18" s="16"/>
      <c r="H18" s="16"/>
      <c r="I18" s="17">
        <v>101.251</v>
      </c>
      <c r="J18" s="32">
        <v>324.5</v>
      </c>
      <c r="K18" s="18">
        <f t="shared" si="0"/>
        <v>15.5</v>
      </c>
      <c r="L18" s="19">
        <f t="shared" si="1"/>
        <v>-3.0000000000001137</v>
      </c>
      <c r="M18" s="19">
        <f t="shared" si="2"/>
        <v>-3.0000000000001137</v>
      </c>
      <c r="N18" s="19">
        <f t="shared" si="3"/>
        <v>-1.9999999999997797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4"/>
        <v>-6.9999999999907914</v>
      </c>
      <c r="S18" s="27">
        <f t="shared" si="8"/>
        <v>0</v>
      </c>
      <c r="T18" s="28">
        <f t="shared" si="9"/>
        <v>-0.99999999999944578</v>
      </c>
      <c r="U18" s="28">
        <f t="shared" si="10"/>
        <v>-1.9999999999997797</v>
      </c>
      <c r="V18" s="28" t="str">
        <f t="shared" si="11"/>
        <v/>
      </c>
      <c r="W18" s="28" t="str">
        <f t="shared" si="12"/>
        <v/>
      </c>
      <c r="X18" s="29" t="str">
        <f t="shared" si="13"/>
        <v/>
      </c>
      <c r="Y18" s="24"/>
    </row>
    <row r="19" spans="2:25" ht="15" customHeight="1" x14ac:dyDescent="0.2">
      <c r="B19" s="31">
        <v>41628</v>
      </c>
      <c r="C19" s="25">
        <v>12.715999999999999</v>
      </c>
      <c r="D19" s="26">
        <v>7.8410000000000002</v>
      </c>
      <c r="E19" s="26">
        <v>7.8550000000000004</v>
      </c>
      <c r="F19" s="16"/>
      <c r="G19" s="16"/>
      <c r="H19" s="16"/>
      <c r="I19" s="17">
        <v>101.251</v>
      </c>
      <c r="J19" s="32">
        <v>329</v>
      </c>
      <c r="K19" s="18">
        <f t="shared" si="0"/>
        <v>20</v>
      </c>
      <c r="L19" s="19">
        <f t="shared" si="1"/>
        <v>-3.0000000000001137</v>
      </c>
      <c r="M19" s="19">
        <f t="shared" si="2"/>
        <v>-3.0000000000001137</v>
      </c>
      <c r="N19" s="19">
        <f t="shared" si="3"/>
        <v>-1.9999999999997797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4"/>
        <v>-6.9999999999907914</v>
      </c>
      <c r="S19" s="27">
        <f t="shared" si="8"/>
        <v>0</v>
      </c>
      <c r="T19" s="28">
        <f t="shared" si="9"/>
        <v>0</v>
      </c>
      <c r="U19" s="28">
        <f t="shared" si="10"/>
        <v>0</v>
      </c>
      <c r="V19" s="28" t="str">
        <f t="shared" si="11"/>
        <v/>
      </c>
      <c r="W19" s="28" t="str">
        <f t="shared" si="12"/>
        <v/>
      </c>
      <c r="X19" s="29" t="str">
        <f t="shared" si="13"/>
        <v/>
      </c>
      <c r="Y19" s="24"/>
    </row>
    <row r="20" spans="2:25" ht="15" customHeight="1" x14ac:dyDescent="0.2">
      <c r="B20" s="31">
        <v>41635</v>
      </c>
      <c r="C20" s="25">
        <v>12.715</v>
      </c>
      <c r="D20" s="26">
        <v>7.84</v>
      </c>
      <c r="E20" s="26">
        <v>7.8520000000000003</v>
      </c>
      <c r="F20" s="16"/>
      <c r="G20" s="16"/>
      <c r="H20" s="16"/>
      <c r="I20" s="17">
        <v>101.249</v>
      </c>
      <c r="J20" s="32">
        <v>332</v>
      </c>
      <c r="K20" s="18">
        <f t="shared" si="0"/>
        <v>23</v>
      </c>
      <c r="L20" s="19">
        <f t="shared" si="1"/>
        <v>-3.9999999999995595</v>
      </c>
      <c r="M20" s="19">
        <f t="shared" si="2"/>
        <v>-4.0000000000004476</v>
      </c>
      <c r="N20" s="19">
        <f t="shared" si="3"/>
        <v>-4.9999999999998934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4"/>
        <v>-9.0000000000003411</v>
      </c>
      <c r="S20" s="27">
        <f t="shared" si="8"/>
        <v>-0.14285714285706369</v>
      </c>
      <c r="T20" s="28">
        <f t="shared" si="9"/>
        <v>-0.14285714285719056</v>
      </c>
      <c r="U20" s="28">
        <f t="shared" si="10"/>
        <v>-0.42857142857144481</v>
      </c>
      <c r="V20" s="28" t="str">
        <f t="shared" si="11"/>
        <v/>
      </c>
      <c r="W20" s="28" t="str">
        <f t="shared" si="12"/>
        <v/>
      </c>
      <c r="X20" s="29" t="str">
        <f t="shared" si="13"/>
        <v/>
      </c>
      <c r="Y20" s="24"/>
    </row>
    <row r="21" spans="2:25" ht="15" customHeight="1" x14ac:dyDescent="0.2">
      <c r="B21" s="31">
        <v>41641</v>
      </c>
      <c r="C21" s="25">
        <v>12.717000000000001</v>
      </c>
      <c r="D21" s="26">
        <v>7.8419999999999996</v>
      </c>
      <c r="E21" s="26">
        <v>7.8520000000000003</v>
      </c>
      <c r="F21" s="16"/>
      <c r="G21" s="16"/>
      <c r="H21" s="16"/>
      <c r="I21" s="17">
        <v>101.25</v>
      </c>
      <c r="J21" s="32">
        <v>332</v>
      </c>
      <c r="K21" s="18">
        <f t="shared" si="0"/>
        <v>23</v>
      </c>
      <c r="L21" s="19">
        <f t="shared" si="1"/>
        <v>-1.9999999999988916</v>
      </c>
      <c r="M21" s="19">
        <f t="shared" si="2"/>
        <v>-2.0000000000006679</v>
      </c>
      <c r="N21" s="19">
        <f t="shared" si="3"/>
        <v>-4.9999999999998934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4"/>
        <v>-7.9999999999955662</v>
      </c>
      <c r="S21" s="27">
        <f t="shared" si="8"/>
        <v>0.33333333333344467</v>
      </c>
      <c r="T21" s="28">
        <f t="shared" si="9"/>
        <v>0.33333333333329662</v>
      </c>
      <c r="U21" s="28">
        <f t="shared" si="10"/>
        <v>0</v>
      </c>
      <c r="V21" s="28" t="str">
        <f t="shared" si="11"/>
        <v/>
      </c>
      <c r="W21" s="28" t="str">
        <f t="shared" si="12"/>
        <v/>
      </c>
      <c r="X21" s="29" t="str">
        <f t="shared" si="13"/>
        <v/>
      </c>
      <c r="Y21" s="24"/>
    </row>
    <row r="22" spans="2:25" ht="15" customHeight="1" x14ac:dyDescent="0.2">
      <c r="B22" s="31">
        <v>41646</v>
      </c>
      <c r="C22" s="25">
        <v>12.717000000000001</v>
      </c>
      <c r="D22" s="26">
        <v>7.8419999999999996</v>
      </c>
      <c r="E22" s="26">
        <v>7.8520000000000003</v>
      </c>
      <c r="F22" s="16"/>
      <c r="G22" s="16"/>
      <c r="H22" s="16"/>
      <c r="I22" s="17">
        <v>101.249</v>
      </c>
      <c r="J22" s="32">
        <v>332</v>
      </c>
      <c r="K22" s="18">
        <f t="shared" si="0"/>
        <v>23</v>
      </c>
      <c r="L22" s="19">
        <f t="shared" si="1"/>
        <v>-1.9999999999988916</v>
      </c>
      <c r="M22" s="19">
        <f t="shared" si="2"/>
        <v>-2.0000000000006679</v>
      </c>
      <c r="N22" s="19">
        <f t="shared" si="3"/>
        <v>-4.9999999999998934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4"/>
        <v>-9.0000000000003411</v>
      </c>
      <c r="S22" s="27">
        <f t="shared" si="8"/>
        <v>0</v>
      </c>
      <c r="T22" s="28">
        <f t="shared" si="9"/>
        <v>0</v>
      </c>
      <c r="U22" s="28">
        <f t="shared" si="10"/>
        <v>0</v>
      </c>
      <c r="V22" s="28" t="str">
        <f t="shared" si="11"/>
        <v/>
      </c>
      <c r="W22" s="28" t="str">
        <f t="shared" si="12"/>
        <v/>
      </c>
      <c r="X22" s="29" t="str">
        <f t="shared" si="13"/>
        <v/>
      </c>
      <c r="Y22" s="24"/>
    </row>
    <row r="23" spans="2:25" ht="15" customHeight="1" x14ac:dyDescent="0.2">
      <c r="B23" s="31">
        <v>41647</v>
      </c>
      <c r="C23" s="25">
        <v>12.715999999999999</v>
      </c>
      <c r="D23" s="26">
        <v>7.8419999999999996</v>
      </c>
      <c r="E23" s="26">
        <v>7.8520000000000003</v>
      </c>
      <c r="F23" s="16"/>
      <c r="G23" s="16"/>
      <c r="H23" s="16"/>
      <c r="I23" s="17">
        <v>101.25</v>
      </c>
      <c r="J23" s="32">
        <v>336</v>
      </c>
      <c r="K23" s="18">
        <f t="shared" si="0"/>
        <v>27</v>
      </c>
      <c r="L23" s="19">
        <f t="shared" si="1"/>
        <v>-3.0000000000001137</v>
      </c>
      <c r="M23" s="19">
        <f t="shared" si="2"/>
        <v>-2.0000000000006679</v>
      </c>
      <c r="N23" s="19">
        <f t="shared" si="3"/>
        <v>-4.9999999999998934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4"/>
        <v>-7.9999999999955662</v>
      </c>
      <c r="S23" s="27">
        <f t="shared" si="8"/>
        <v>-1.0000000000012221</v>
      </c>
      <c r="T23" s="28">
        <f t="shared" si="9"/>
        <v>0</v>
      </c>
      <c r="U23" s="28">
        <f t="shared" si="10"/>
        <v>0</v>
      </c>
      <c r="V23" s="28" t="str">
        <f t="shared" si="11"/>
        <v/>
      </c>
      <c r="W23" s="28" t="str">
        <f t="shared" si="12"/>
        <v/>
      </c>
      <c r="X23" s="29" t="str">
        <f t="shared" si="13"/>
        <v/>
      </c>
      <c r="Y23" s="24"/>
    </row>
    <row r="24" spans="2:25" ht="15" customHeight="1" x14ac:dyDescent="0.2">
      <c r="B24" s="31">
        <v>41648</v>
      </c>
      <c r="C24" s="25">
        <v>12.712999999999999</v>
      </c>
      <c r="D24" s="26">
        <v>7.8390000000000004</v>
      </c>
      <c r="E24" s="26">
        <v>7.8529999999999998</v>
      </c>
      <c r="F24" s="16"/>
      <c r="G24" s="16"/>
      <c r="H24" s="16"/>
      <c r="I24" s="17">
        <v>101.25</v>
      </c>
      <c r="J24" s="32">
        <v>340</v>
      </c>
      <c r="K24" s="18">
        <f t="shared" si="0"/>
        <v>31</v>
      </c>
      <c r="L24" s="19">
        <f t="shared" si="1"/>
        <v>-6.0000000000002274</v>
      </c>
      <c r="M24" s="19">
        <f t="shared" si="2"/>
        <v>-4.9999999999998934</v>
      </c>
      <c r="N24" s="19">
        <f t="shared" si="3"/>
        <v>-4.0000000000004476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4"/>
        <v>-7.9999999999955662</v>
      </c>
      <c r="S24" s="27">
        <f t="shared" si="8"/>
        <v>-3.0000000000001137</v>
      </c>
      <c r="T24" s="28">
        <f t="shared" si="9"/>
        <v>-2.9999999999992255</v>
      </c>
      <c r="U24" s="28">
        <f t="shared" si="10"/>
        <v>0.99999999999944578</v>
      </c>
      <c r="V24" s="28" t="str">
        <f t="shared" si="11"/>
        <v/>
      </c>
      <c r="W24" s="28" t="str">
        <f t="shared" si="12"/>
        <v/>
      </c>
      <c r="X24" s="29" t="str">
        <f t="shared" si="13"/>
        <v/>
      </c>
      <c r="Y24" s="24"/>
    </row>
    <row r="25" spans="2:25" ht="15" customHeight="1" x14ac:dyDescent="0.2">
      <c r="B25" s="31">
        <v>41649</v>
      </c>
      <c r="C25" s="25">
        <v>12.712999999999999</v>
      </c>
      <c r="D25" s="26">
        <v>7.84</v>
      </c>
      <c r="E25" s="26">
        <v>7.8529999999999998</v>
      </c>
      <c r="F25" s="16"/>
      <c r="G25" s="16"/>
      <c r="H25" s="16"/>
      <c r="I25" s="17">
        <v>101.25</v>
      </c>
      <c r="J25" s="32">
        <v>348</v>
      </c>
      <c r="K25" s="18">
        <f t="shared" si="0"/>
        <v>39</v>
      </c>
      <c r="L25" s="19">
        <f t="shared" si="1"/>
        <v>-6.0000000000002274</v>
      </c>
      <c r="M25" s="19">
        <f t="shared" si="2"/>
        <v>-4.0000000000004476</v>
      </c>
      <c r="N25" s="19">
        <f t="shared" si="3"/>
        <v>-4.0000000000004476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4"/>
        <v>-7.9999999999955662</v>
      </c>
      <c r="S25" s="27">
        <f t="shared" si="8"/>
        <v>0</v>
      </c>
      <c r="T25" s="28">
        <f t="shared" si="9"/>
        <v>0.99999999999944578</v>
      </c>
      <c r="U25" s="28">
        <f t="shared" si="10"/>
        <v>0</v>
      </c>
      <c r="V25" s="28" t="str">
        <f t="shared" si="11"/>
        <v/>
      </c>
      <c r="W25" s="28" t="str">
        <f t="shared" si="12"/>
        <v/>
      </c>
      <c r="X25" s="29" t="str">
        <f t="shared" si="13"/>
        <v/>
      </c>
      <c r="Y25" s="24"/>
    </row>
    <row r="26" spans="2:25" ht="15" customHeight="1" x14ac:dyDescent="0.2">
      <c r="B26" s="31">
        <v>41652</v>
      </c>
      <c r="C26" s="25">
        <v>12.712</v>
      </c>
      <c r="D26" s="26">
        <v>7.8390000000000004</v>
      </c>
      <c r="E26" s="26">
        <v>7.8520000000000003</v>
      </c>
      <c r="F26" s="16"/>
      <c r="G26" s="16"/>
      <c r="H26" s="16"/>
      <c r="I26" s="17">
        <v>101.249</v>
      </c>
      <c r="J26" s="32">
        <v>353</v>
      </c>
      <c r="K26" s="18">
        <f t="shared" si="0"/>
        <v>44</v>
      </c>
      <c r="L26" s="19">
        <f t="shared" si="1"/>
        <v>-6.9999999999996732</v>
      </c>
      <c r="M26" s="19">
        <f t="shared" si="2"/>
        <v>-4.9999999999998934</v>
      </c>
      <c r="N26" s="19">
        <f t="shared" si="3"/>
        <v>-4.9999999999998934</v>
      </c>
      <c r="O26" s="19" t="str">
        <f t="shared" si="5"/>
        <v/>
      </c>
      <c r="P26" s="19" t="str">
        <f t="shared" si="6"/>
        <v/>
      </c>
      <c r="Q26" s="19" t="str">
        <f t="shared" si="7"/>
        <v/>
      </c>
      <c r="R26" s="19">
        <f t="shared" si="4"/>
        <v>-9.0000000000003411</v>
      </c>
      <c r="S26" s="27">
        <f t="shared" si="8"/>
        <v>-0.33333333333314857</v>
      </c>
      <c r="T26" s="28">
        <f t="shared" si="9"/>
        <v>-0.33333333333314857</v>
      </c>
      <c r="U26" s="28">
        <f t="shared" si="10"/>
        <v>-0.33333333333314857</v>
      </c>
      <c r="V26" s="28" t="str">
        <f t="shared" si="11"/>
        <v/>
      </c>
      <c r="W26" s="28" t="str">
        <f t="shared" si="12"/>
        <v/>
      </c>
      <c r="X26" s="29" t="str">
        <f t="shared" si="13"/>
        <v/>
      </c>
      <c r="Y26" s="24"/>
    </row>
    <row r="27" spans="2:25" ht="15" customHeight="1" x14ac:dyDescent="0.2">
      <c r="B27" s="31">
        <v>41653</v>
      </c>
      <c r="C27" s="25">
        <v>12.712</v>
      </c>
      <c r="D27" s="26">
        <v>7.8390000000000004</v>
      </c>
      <c r="E27" s="26">
        <v>7.8520000000000003</v>
      </c>
      <c r="F27" s="16"/>
      <c r="G27" s="16"/>
      <c r="H27" s="16"/>
      <c r="I27" s="17">
        <v>101.249</v>
      </c>
      <c r="J27" s="32">
        <v>359.5</v>
      </c>
      <c r="K27" s="18">
        <f t="shared" si="0"/>
        <v>50.5</v>
      </c>
      <c r="L27" s="19">
        <f t="shared" si="1"/>
        <v>-6.9999999999996732</v>
      </c>
      <c r="M27" s="19">
        <f t="shared" si="2"/>
        <v>-4.9999999999998934</v>
      </c>
      <c r="N27" s="19">
        <f t="shared" si="3"/>
        <v>-4.9999999999998934</v>
      </c>
      <c r="O27" s="19" t="str">
        <f t="shared" si="5"/>
        <v/>
      </c>
      <c r="P27" s="19" t="str">
        <f t="shared" si="6"/>
        <v/>
      </c>
      <c r="Q27" s="19" t="str">
        <f t="shared" si="7"/>
        <v/>
      </c>
      <c r="R27" s="19">
        <f t="shared" si="4"/>
        <v>-9.0000000000003411</v>
      </c>
      <c r="S27" s="27">
        <f t="shared" si="8"/>
        <v>0</v>
      </c>
      <c r="T27" s="28">
        <f t="shared" si="9"/>
        <v>0</v>
      </c>
      <c r="U27" s="28">
        <f t="shared" si="10"/>
        <v>0</v>
      </c>
      <c r="V27" s="28" t="str">
        <f t="shared" si="11"/>
        <v/>
      </c>
      <c r="W27" s="28" t="str">
        <f t="shared" si="12"/>
        <v/>
      </c>
      <c r="X27" s="29" t="str">
        <f t="shared" si="13"/>
        <v/>
      </c>
      <c r="Y27" s="24"/>
    </row>
    <row r="28" spans="2:25" ht="15" customHeight="1" x14ac:dyDescent="0.2">
      <c r="B28" s="31">
        <v>41654</v>
      </c>
      <c r="C28" s="25">
        <v>12.711</v>
      </c>
      <c r="D28" s="26">
        <v>7.8380000000000001</v>
      </c>
      <c r="E28" s="26">
        <v>7.8520000000000003</v>
      </c>
      <c r="F28" s="16"/>
      <c r="G28" s="16"/>
      <c r="H28" s="16"/>
      <c r="I28" s="17">
        <v>101.249</v>
      </c>
      <c r="J28" s="32">
        <v>366</v>
      </c>
      <c r="K28" s="18">
        <f t="shared" si="0"/>
        <v>57</v>
      </c>
      <c r="L28" s="19">
        <f t="shared" si="1"/>
        <v>-7.9999999999991189</v>
      </c>
      <c r="M28" s="19">
        <f t="shared" si="2"/>
        <v>-6.0000000000002274</v>
      </c>
      <c r="N28" s="19">
        <f t="shared" si="3"/>
        <v>-4.9999999999998934</v>
      </c>
      <c r="O28" s="19" t="str">
        <f t="shared" si="5"/>
        <v/>
      </c>
      <c r="P28" s="19" t="str">
        <f t="shared" si="6"/>
        <v/>
      </c>
      <c r="Q28" s="19" t="str">
        <f t="shared" si="7"/>
        <v/>
      </c>
      <c r="R28" s="19">
        <f t="shared" si="4"/>
        <v>-9.0000000000003411</v>
      </c>
      <c r="S28" s="27">
        <f t="shared" si="8"/>
        <v>-0.99999999999944578</v>
      </c>
      <c r="T28" s="28">
        <f t="shared" si="9"/>
        <v>-1.000000000000334</v>
      </c>
      <c r="U28" s="28">
        <f t="shared" si="10"/>
        <v>0</v>
      </c>
      <c r="V28" s="28" t="str">
        <f t="shared" si="11"/>
        <v/>
      </c>
      <c r="W28" s="28" t="str">
        <f t="shared" si="12"/>
        <v/>
      </c>
      <c r="X28" s="29" t="str">
        <f t="shared" si="13"/>
        <v/>
      </c>
      <c r="Y28" s="24"/>
    </row>
    <row r="29" spans="2:25" ht="15" customHeight="1" x14ac:dyDescent="0.2">
      <c r="B29" s="31">
        <v>41655</v>
      </c>
      <c r="C29" s="25">
        <v>12.711</v>
      </c>
      <c r="D29" s="26">
        <v>7.8380000000000001</v>
      </c>
      <c r="E29" s="26">
        <v>7.8520000000000003</v>
      </c>
      <c r="F29" s="16"/>
      <c r="G29" s="16"/>
      <c r="H29" s="16"/>
      <c r="I29" s="17">
        <v>101.25</v>
      </c>
      <c r="J29" s="32">
        <v>373</v>
      </c>
      <c r="K29" s="18">
        <f t="shared" si="0"/>
        <v>64</v>
      </c>
      <c r="L29" s="19">
        <f t="shared" si="1"/>
        <v>-7.9999999999991189</v>
      </c>
      <c r="M29" s="19">
        <f t="shared" si="2"/>
        <v>-6.0000000000002274</v>
      </c>
      <c r="N29" s="19">
        <f t="shared" si="3"/>
        <v>-4.9999999999998934</v>
      </c>
      <c r="O29" s="19" t="str">
        <f t="shared" si="5"/>
        <v/>
      </c>
      <c r="P29" s="19" t="str">
        <f t="shared" si="6"/>
        <v/>
      </c>
      <c r="Q29" s="19" t="str">
        <f t="shared" si="7"/>
        <v/>
      </c>
      <c r="R29" s="19">
        <f t="shared" si="4"/>
        <v>-7.9999999999955662</v>
      </c>
      <c r="S29" s="27">
        <f t="shared" si="8"/>
        <v>0</v>
      </c>
      <c r="T29" s="28">
        <f t="shared" si="9"/>
        <v>0</v>
      </c>
      <c r="U29" s="28">
        <f t="shared" si="10"/>
        <v>0</v>
      </c>
      <c r="V29" s="28" t="str">
        <f t="shared" si="11"/>
        <v/>
      </c>
      <c r="W29" s="28" t="str">
        <f t="shared" si="12"/>
        <v/>
      </c>
      <c r="X29" s="29" t="str">
        <f t="shared" si="13"/>
        <v/>
      </c>
      <c r="Y29" s="24"/>
    </row>
    <row r="30" spans="2:25" ht="15" customHeight="1" x14ac:dyDescent="0.2">
      <c r="B30" s="31">
        <v>41659</v>
      </c>
      <c r="C30" s="25">
        <v>12.711</v>
      </c>
      <c r="D30" s="26">
        <v>7.8390000000000004</v>
      </c>
      <c r="E30" s="26">
        <v>7.8520000000000003</v>
      </c>
      <c r="F30" s="16"/>
      <c r="G30" s="16"/>
      <c r="H30" s="16"/>
      <c r="I30" s="17">
        <v>101.25</v>
      </c>
      <c r="J30" s="32">
        <v>383</v>
      </c>
      <c r="K30" s="18">
        <f t="shared" ref="K30:K40" si="14">IF(ISBLANK(J30),"",(J30-$J$8))</f>
        <v>74</v>
      </c>
      <c r="L30" s="19">
        <f t="shared" si="1"/>
        <v>-7.9999999999991189</v>
      </c>
      <c r="M30" s="19">
        <f t="shared" si="2"/>
        <v>-4.9999999999998934</v>
      </c>
      <c r="N30" s="19">
        <f t="shared" si="3"/>
        <v>-4.9999999999998934</v>
      </c>
      <c r="O30" s="19" t="str">
        <f t="shared" si="5"/>
        <v/>
      </c>
      <c r="P30" s="19" t="str">
        <f t="shared" si="6"/>
        <v/>
      </c>
      <c r="Q30" s="19" t="str">
        <f t="shared" si="7"/>
        <v/>
      </c>
      <c r="R30" s="19">
        <f t="shared" si="4"/>
        <v>-7.9999999999955662</v>
      </c>
      <c r="S30" s="27">
        <f t="shared" si="8"/>
        <v>0</v>
      </c>
      <c r="T30" s="28">
        <f t="shared" si="9"/>
        <v>0.25000000000008349</v>
      </c>
      <c r="U30" s="28">
        <f t="shared" si="10"/>
        <v>0</v>
      </c>
      <c r="V30" s="28" t="str">
        <f t="shared" si="11"/>
        <v/>
      </c>
      <c r="W30" s="28" t="str">
        <f t="shared" si="12"/>
        <v/>
      </c>
      <c r="X30" s="29" t="str">
        <f t="shared" si="13"/>
        <v/>
      </c>
      <c r="Y30" s="24"/>
    </row>
    <row r="31" spans="2:25" ht="15" customHeight="1" x14ac:dyDescent="0.2">
      <c r="B31" s="31">
        <v>41690</v>
      </c>
      <c r="C31" s="25">
        <v>12.71</v>
      </c>
      <c r="D31" s="26">
        <v>7.8380000000000001</v>
      </c>
      <c r="E31" s="26">
        <v>7.8520000000000003</v>
      </c>
      <c r="F31" s="16"/>
      <c r="G31" s="16"/>
      <c r="H31" s="16"/>
      <c r="I31" s="17">
        <v>101.249</v>
      </c>
      <c r="J31" s="32">
        <v>510</v>
      </c>
      <c r="K31" s="18">
        <f t="shared" si="14"/>
        <v>201</v>
      </c>
      <c r="L31" s="19">
        <f t="shared" si="1"/>
        <v>-8.9999999999985647</v>
      </c>
      <c r="M31" s="19">
        <f t="shared" si="2"/>
        <v>-6.0000000000002274</v>
      </c>
      <c r="N31" s="19">
        <f t="shared" si="3"/>
        <v>-4.9999999999998934</v>
      </c>
      <c r="O31" s="19" t="str">
        <f t="shared" si="5"/>
        <v/>
      </c>
      <c r="P31" s="19" t="str">
        <f t="shared" si="6"/>
        <v/>
      </c>
      <c r="Q31" s="19" t="str">
        <f t="shared" si="7"/>
        <v/>
      </c>
      <c r="R31" s="19">
        <f t="shared" si="4"/>
        <v>-9.0000000000003411</v>
      </c>
      <c r="S31" s="27">
        <f t="shared" si="8"/>
        <v>-3.2258064516111157E-2</v>
      </c>
      <c r="T31" s="28">
        <f t="shared" si="9"/>
        <v>-3.2258064516139807E-2</v>
      </c>
      <c r="U31" s="28">
        <f t="shared" si="10"/>
        <v>0</v>
      </c>
      <c r="V31" s="28" t="str">
        <f t="shared" si="11"/>
        <v/>
      </c>
      <c r="W31" s="28" t="str">
        <f t="shared" si="12"/>
        <v/>
      </c>
      <c r="X31" s="29" t="str">
        <f t="shared" si="13"/>
        <v/>
      </c>
      <c r="Y31" s="24"/>
    </row>
    <row r="32" spans="2:25" ht="15" customHeight="1" x14ac:dyDescent="0.2">
      <c r="B32" s="31">
        <v>41723</v>
      </c>
      <c r="C32" s="25">
        <v>12.69</v>
      </c>
      <c r="D32" s="26">
        <v>7.835</v>
      </c>
      <c r="E32" s="26">
        <v>7.8479999999999999</v>
      </c>
      <c r="F32" s="16"/>
      <c r="G32" s="16"/>
      <c r="H32" s="16"/>
      <c r="I32" s="17">
        <v>101.245</v>
      </c>
      <c r="J32" s="32">
        <v>308</v>
      </c>
      <c r="K32" s="18">
        <f t="shared" si="14"/>
        <v>-1</v>
      </c>
      <c r="L32" s="19">
        <f t="shared" si="1"/>
        <v>-28.999999999999915</v>
      </c>
      <c r="M32" s="19">
        <f t="shared" si="2"/>
        <v>-9.0000000000003411</v>
      </c>
      <c r="N32" s="19">
        <f t="shared" si="3"/>
        <v>-9.0000000000003411</v>
      </c>
      <c r="O32" s="19" t="str">
        <f t="shared" si="5"/>
        <v/>
      </c>
      <c r="P32" s="19" t="str">
        <f t="shared" si="6"/>
        <v/>
      </c>
      <c r="Q32" s="19" t="str">
        <f t="shared" si="7"/>
        <v/>
      </c>
      <c r="R32" s="19">
        <f t="shared" si="4"/>
        <v>-12.999999999991019</v>
      </c>
      <c r="S32" s="27">
        <f t="shared" si="8"/>
        <v>-0.60606060606064693</v>
      </c>
      <c r="T32" s="28">
        <f t="shared" si="9"/>
        <v>-9.0909090909094353E-2</v>
      </c>
      <c r="U32" s="28">
        <f t="shared" si="10"/>
        <v>-0.12121212121213477</v>
      </c>
      <c r="V32" s="28" t="str">
        <f t="shared" si="11"/>
        <v/>
      </c>
      <c r="W32" s="28" t="str">
        <f t="shared" si="12"/>
        <v/>
      </c>
      <c r="X32" s="29" t="str">
        <f t="shared" si="13"/>
        <v/>
      </c>
      <c r="Y32" s="24" t="s">
        <v>23</v>
      </c>
    </row>
    <row r="33" spans="2:25" ht="15" customHeight="1" x14ac:dyDescent="0.2">
      <c r="B33" s="31">
        <v>41724</v>
      </c>
      <c r="C33" s="25">
        <v>12.685</v>
      </c>
      <c r="D33" s="26">
        <v>7.8319999999999999</v>
      </c>
      <c r="E33" s="26">
        <v>7.8479999999999999</v>
      </c>
      <c r="F33" s="16"/>
      <c r="G33" s="16"/>
      <c r="H33" s="16"/>
      <c r="I33" s="17">
        <v>101.244</v>
      </c>
      <c r="J33" s="32">
        <v>319</v>
      </c>
      <c r="K33" s="18">
        <f t="shared" si="14"/>
        <v>10</v>
      </c>
      <c r="L33" s="19">
        <f t="shared" si="1"/>
        <v>-33.99999999999892</v>
      </c>
      <c r="M33" s="19">
        <f t="shared" si="2"/>
        <v>-12.000000000000455</v>
      </c>
      <c r="N33" s="19">
        <f t="shared" si="3"/>
        <v>-9.0000000000003411</v>
      </c>
      <c r="O33" s="19" t="str">
        <f t="shared" si="5"/>
        <v/>
      </c>
      <c r="P33" s="19" t="str">
        <f t="shared" si="6"/>
        <v/>
      </c>
      <c r="Q33" s="19" t="str">
        <f t="shared" si="7"/>
        <v/>
      </c>
      <c r="R33" s="19">
        <f t="shared" ref="R33:R64" si="15">IF(ISBLANK(I33),"",(I33-I$16)*1000)</f>
        <v>-13.999999999995794</v>
      </c>
      <c r="S33" s="27">
        <f t="shared" si="8"/>
        <v>-4.9999999999990052</v>
      </c>
      <c r="T33" s="28">
        <f t="shared" si="9"/>
        <v>-3.0000000000001137</v>
      </c>
      <c r="U33" s="28">
        <f t="shared" si="10"/>
        <v>0</v>
      </c>
      <c r="V33" s="28" t="str">
        <f t="shared" si="11"/>
        <v/>
      </c>
      <c r="W33" s="28" t="str">
        <f t="shared" si="12"/>
        <v/>
      </c>
      <c r="X33" s="29" t="str">
        <f t="shared" si="13"/>
        <v/>
      </c>
      <c r="Y33" s="24"/>
    </row>
    <row r="34" spans="2:25" ht="15" customHeight="1" x14ac:dyDescent="0.2">
      <c r="B34" s="31">
        <v>41725</v>
      </c>
      <c r="C34" s="25">
        <v>12.683999999999999</v>
      </c>
      <c r="D34" s="26">
        <v>7.8319999999999999</v>
      </c>
      <c r="E34" s="26">
        <v>7.8470000000000004</v>
      </c>
      <c r="F34" s="16">
        <v>12.977</v>
      </c>
      <c r="G34" s="16">
        <v>10.252000000000001</v>
      </c>
      <c r="H34" s="16">
        <v>10.667</v>
      </c>
      <c r="I34" s="17">
        <v>101.24299999999999</v>
      </c>
      <c r="J34" s="32">
        <v>327</v>
      </c>
      <c r="K34" s="18">
        <f t="shared" si="14"/>
        <v>18</v>
      </c>
      <c r="L34" s="19">
        <f t="shared" si="1"/>
        <v>-35.000000000000142</v>
      </c>
      <c r="M34" s="19">
        <f t="shared" si="2"/>
        <v>-12.000000000000455</v>
      </c>
      <c r="N34" s="19">
        <f t="shared" si="3"/>
        <v>-9.9999999999997868</v>
      </c>
      <c r="O34" s="19">
        <f>IF(ISBLANK(F34),"",((F34-F$34)*1000)+L$34)</f>
        <v>-35.000000000000142</v>
      </c>
      <c r="P34" s="19">
        <f>IF(ISBLANK(G34),"",((G34-G$34)*1000)+M$34)</f>
        <v>-12.000000000000455</v>
      </c>
      <c r="Q34" s="19">
        <f>IF(ISBLANK(H34),"",((H34-H$34)*1000)+N$34)</f>
        <v>-9.9999999999997868</v>
      </c>
      <c r="R34" s="19">
        <f t="shared" si="15"/>
        <v>-15.000000000000568</v>
      </c>
      <c r="S34" s="27">
        <f t="shared" si="8"/>
        <v>-1.0000000000012221</v>
      </c>
      <c r="T34" s="28">
        <f t="shared" si="9"/>
        <v>0</v>
      </c>
      <c r="U34" s="28">
        <f t="shared" si="10"/>
        <v>-0.99999999999944578</v>
      </c>
      <c r="V34" s="28"/>
      <c r="W34" s="28"/>
      <c r="X34" s="29"/>
      <c r="Y34" s="24"/>
    </row>
    <row r="35" spans="2:25" ht="15" customHeight="1" x14ac:dyDescent="0.2">
      <c r="B35" s="31">
        <v>41726</v>
      </c>
      <c r="C35" s="25"/>
      <c r="D35" s="26"/>
      <c r="E35" s="26"/>
      <c r="F35" s="16">
        <v>12.976000000000001</v>
      </c>
      <c r="G35" s="16">
        <v>10.250999999999999</v>
      </c>
      <c r="H35" s="16">
        <v>10.667</v>
      </c>
      <c r="I35" s="17">
        <v>101.24299999999999</v>
      </c>
      <c r="J35" s="32">
        <v>340</v>
      </c>
      <c r="K35" s="18">
        <f t="shared" si="14"/>
        <v>31</v>
      </c>
      <c r="L35" s="19" t="str">
        <f t="shared" si="1"/>
        <v/>
      </c>
      <c r="M35" s="19" t="str">
        <f t="shared" si="2"/>
        <v/>
      </c>
      <c r="N35" s="19" t="str">
        <f t="shared" si="3"/>
        <v/>
      </c>
      <c r="O35" s="19">
        <f t="shared" ref="O35:O98" si="16">IF(ISBLANK(F35),"",((F35-F$34)*1000)+L$34)</f>
        <v>-35.999999999999588</v>
      </c>
      <c r="P35" s="19">
        <f t="shared" ref="P35:P98" si="17">IF(ISBLANK(G35),"",((G35-G$34)*1000)+M$34)</f>
        <v>-13.000000000001677</v>
      </c>
      <c r="Q35" s="19">
        <f t="shared" ref="Q35:Q98" si="18">IF(ISBLANK(H35),"",((H35-H$34)*1000)+N$34)</f>
        <v>-9.9999999999997868</v>
      </c>
      <c r="R35" s="19">
        <f t="shared" si="15"/>
        <v>-15.000000000000568</v>
      </c>
      <c r="S35" s="27" t="str">
        <f t="shared" si="8"/>
        <v/>
      </c>
      <c r="T35" s="28" t="str">
        <f t="shared" si="9"/>
        <v/>
      </c>
      <c r="U35" s="28" t="str">
        <f t="shared" si="10"/>
        <v/>
      </c>
      <c r="V35" s="28">
        <f t="shared" si="11"/>
        <v>-0.99999999999944578</v>
      </c>
      <c r="W35" s="28">
        <f t="shared" si="12"/>
        <v>-1.0000000000012221</v>
      </c>
      <c r="X35" s="29">
        <f t="shared" si="13"/>
        <v>0</v>
      </c>
      <c r="Y35" s="24"/>
    </row>
    <row r="36" spans="2:25" ht="15" customHeight="1" x14ac:dyDescent="0.2">
      <c r="B36" s="31">
        <v>41729</v>
      </c>
      <c r="C36" s="25"/>
      <c r="D36" s="26"/>
      <c r="E36" s="26"/>
      <c r="F36" s="16">
        <v>12.976000000000001</v>
      </c>
      <c r="G36" s="16">
        <v>10.250999999999999</v>
      </c>
      <c r="H36" s="16">
        <v>10.667</v>
      </c>
      <c r="I36" s="17">
        <v>101.24299999999999</v>
      </c>
      <c r="J36" s="32">
        <v>350</v>
      </c>
      <c r="K36" s="18">
        <f t="shared" si="14"/>
        <v>41</v>
      </c>
      <c r="L36" s="19" t="str">
        <f t="shared" si="1"/>
        <v/>
      </c>
      <c r="M36" s="19" t="str">
        <f t="shared" si="2"/>
        <v/>
      </c>
      <c r="N36" s="19" t="str">
        <f t="shared" si="3"/>
        <v/>
      </c>
      <c r="O36" s="19">
        <f t="shared" si="16"/>
        <v>-35.999999999999588</v>
      </c>
      <c r="P36" s="19">
        <f t="shared" si="17"/>
        <v>-13.000000000001677</v>
      </c>
      <c r="Q36" s="19">
        <f t="shared" si="18"/>
        <v>-9.9999999999997868</v>
      </c>
      <c r="R36" s="19">
        <f t="shared" si="15"/>
        <v>-15.000000000000568</v>
      </c>
      <c r="S36" s="27" t="str">
        <f t="shared" si="8"/>
        <v/>
      </c>
      <c r="T36" s="28" t="str">
        <f t="shared" si="9"/>
        <v/>
      </c>
      <c r="U36" s="28" t="str">
        <f t="shared" si="10"/>
        <v/>
      </c>
      <c r="V36" s="28">
        <f t="shared" si="11"/>
        <v>0</v>
      </c>
      <c r="W36" s="28">
        <f t="shared" si="12"/>
        <v>0</v>
      </c>
      <c r="X36" s="29">
        <f t="shared" si="13"/>
        <v>0</v>
      </c>
      <c r="Y36" s="24"/>
    </row>
    <row r="37" spans="2:25" ht="15" customHeight="1" x14ac:dyDescent="0.2">
      <c r="B37" s="31">
        <v>41730</v>
      </c>
      <c r="C37" s="25"/>
      <c r="D37" s="26"/>
      <c r="E37" s="26"/>
      <c r="F37" s="16">
        <v>12.976000000000001</v>
      </c>
      <c r="G37" s="16">
        <v>10.250999999999999</v>
      </c>
      <c r="H37" s="16">
        <v>10.667</v>
      </c>
      <c r="I37" s="17">
        <v>101.24299999999999</v>
      </c>
      <c r="J37" s="32">
        <v>364</v>
      </c>
      <c r="K37" s="18">
        <f t="shared" si="14"/>
        <v>55</v>
      </c>
      <c r="L37" s="19" t="str">
        <f t="shared" si="1"/>
        <v/>
      </c>
      <c r="M37" s="19" t="str">
        <f t="shared" si="2"/>
        <v/>
      </c>
      <c r="N37" s="19" t="str">
        <f t="shared" si="3"/>
        <v/>
      </c>
      <c r="O37" s="19">
        <f t="shared" si="16"/>
        <v>-35.999999999999588</v>
      </c>
      <c r="P37" s="19">
        <f t="shared" si="17"/>
        <v>-13.000000000001677</v>
      </c>
      <c r="Q37" s="19">
        <f t="shared" si="18"/>
        <v>-9.9999999999997868</v>
      </c>
      <c r="R37" s="19">
        <f t="shared" si="15"/>
        <v>-15.000000000000568</v>
      </c>
      <c r="S37" s="27" t="str">
        <f t="shared" si="8"/>
        <v/>
      </c>
      <c r="T37" s="28" t="str">
        <f t="shared" si="9"/>
        <v/>
      </c>
      <c r="U37" s="28" t="str">
        <f t="shared" si="10"/>
        <v/>
      </c>
      <c r="V37" s="28">
        <f t="shared" si="11"/>
        <v>0</v>
      </c>
      <c r="W37" s="28">
        <f t="shared" si="12"/>
        <v>0</v>
      </c>
      <c r="X37" s="29">
        <f t="shared" si="13"/>
        <v>0</v>
      </c>
      <c r="Y37" s="24"/>
    </row>
    <row r="38" spans="2:25" ht="15" customHeight="1" x14ac:dyDescent="0.2">
      <c r="B38" s="31">
        <v>41731</v>
      </c>
      <c r="C38" s="25"/>
      <c r="D38" s="26"/>
      <c r="E38" s="26"/>
      <c r="F38" s="16">
        <v>12.975</v>
      </c>
      <c r="G38" s="16">
        <v>10.250999999999999</v>
      </c>
      <c r="H38" s="16">
        <v>10.667</v>
      </c>
      <c r="I38" s="17">
        <v>101.24299999999999</v>
      </c>
      <c r="J38" s="32">
        <v>375</v>
      </c>
      <c r="K38" s="18">
        <f t="shared" si="14"/>
        <v>66</v>
      </c>
      <c r="L38" s="19" t="str">
        <f t="shared" si="1"/>
        <v/>
      </c>
      <c r="M38" s="19" t="str">
        <f t="shared" si="2"/>
        <v/>
      </c>
      <c r="N38" s="19" t="str">
        <f t="shared" si="3"/>
        <v/>
      </c>
      <c r="O38" s="19">
        <f t="shared" si="16"/>
        <v>-37.00000000000081</v>
      </c>
      <c r="P38" s="19">
        <f t="shared" si="17"/>
        <v>-13.000000000001677</v>
      </c>
      <c r="Q38" s="19">
        <f t="shared" si="18"/>
        <v>-9.9999999999997868</v>
      </c>
      <c r="R38" s="19">
        <f t="shared" si="15"/>
        <v>-15.000000000000568</v>
      </c>
      <c r="S38" s="27" t="str">
        <f t="shared" si="8"/>
        <v/>
      </c>
      <c r="T38" s="28" t="str">
        <f t="shared" si="9"/>
        <v/>
      </c>
      <c r="U38" s="28" t="str">
        <f t="shared" si="10"/>
        <v/>
      </c>
      <c r="V38" s="28">
        <f t="shared" si="11"/>
        <v>-1.0000000000012221</v>
      </c>
      <c r="W38" s="28">
        <f t="shared" si="12"/>
        <v>0</v>
      </c>
      <c r="X38" s="29">
        <f t="shared" si="13"/>
        <v>0</v>
      </c>
      <c r="Y38" s="24"/>
    </row>
    <row r="39" spans="2:25" ht="15" customHeight="1" x14ac:dyDescent="0.2">
      <c r="B39" s="31">
        <v>41736</v>
      </c>
      <c r="C39" s="25"/>
      <c r="D39" s="26"/>
      <c r="E39" s="26"/>
      <c r="F39" s="16">
        <v>12.974</v>
      </c>
      <c r="G39" s="16">
        <v>10.250999999999999</v>
      </c>
      <c r="H39" s="16">
        <v>10.667999999999999</v>
      </c>
      <c r="I39" s="17">
        <v>101.24299999999999</v>
      </c>
      <c r="J39" s="32">
        <v>408</v>
      </c>
      <c r="K39" s="18">
        <f t="shared" si="14"/>
        <v>99</v>
      </c>
      <c r="L39" s="19" t="str">
        <f t="shared" si="1"/>
        <v/>
      </c>
      <c r="M39" s="19" t="str">
        <f t="shared" si="2"/>
        <v/>
      </c>
      <c r="N39" s="19" t="str">
        <f t="shared" si="3"/>
        <v/>
      </c>
      <c r="O39" s="19">
        <f t="shared" si="16"/>
        <v>-38.000000000000256</v>
      </c>
      <c r="P39" s="19">
        <f t="shared" si="17"/>
        <v>-13.000000000001677</v>
      </c>
      <c r="Q39" s="19">
        <f t="shared" si="18"/>
        <v>-9.0000000000003411</v>
      </c>
      <c r="R39" s="19">
        <f t="shared" si="15"/>
        <v>-15.000000000000568</v>
      </c>
      <c r="S39" s="27" t="str">
        <f t="shared" si="8"/>
        <v/>
      </c>
      <c r="T39" s="28" t="str">
        <f t="shared" si="9"/>
        <v/>
      </c>
      <c r="U39" s="28" t="str">
        <f t="shared" si="10"/>
        <v/>
      </c>
      <c r="V39" s="28">
        <f t="shared" si="11"/>
        <v>-0.19999999999988916</v>
      </c>
      <c r="W39" s="28">
        <f t="shared" si="12"/>
        <v>0</v>
      </c>
      <c r="X39" s="29">
        <f t="shared" si="13"/>
        <v>0.19999999999988916</v>
      </c>
      <c r="Y39" s="24"/>
    </row>
    <row r="40" spans="2:25" ht="15" customHeight="1" x14ac:dyDescent="0.2">
      <c r="B40" s="31">
        <v>41751</v>
      </c>
      <c r="C40" s="25"/>
      <c r="D40" s="26"/>
      <c r="E40" s="26"/>
      <c r="F40" s="16">
        <v>12.974</v>
      </c>
      <c r="G40" s="16">
        <v>10.250999999999999</v>
      </c>
      <c r="H40" s="16">
        <v>10.667999999999999</v>
      </c>
      <c r="I40" s="17">
        <v>101.24299999999999</v>
      </c>
      <c r="J40" s="32">
        <v>534.5</v>
      </c>
      <c r="K40" s="18">
        <f t="shared" si="14"/>
        <v>225.5</v>
      </c>
      <c r="L40" s="19" t="str">
        <f t="shared" si="1"/>
        <v/>
      </c>
      <c r="M40" s="19" t="str">
        <f t="shared" si="2"/>
        <v/>
      </c>
      <c r="N40" s="19" t="str">
        <f t="shared" si="3"/>
        <v/>
      </c>
      <c r="O40" s="19">
        <f t="shared" si="16"/>
        <v>-38.000000000000256</v>
      </c>
      <c r="P40" s="19">
        <f t="shared" si="17"/>
        <v>-13.000000000001677</v>
      </c>
      <c r="Q40" s="19">
        <f t="shared" si="18"/>
        <v>-9.0000000000003411</v>
      </c>
      <c r="R40" s="19">
        <f t="shared" si="15"/>
        <v>-15.000000000000568</v>
      </c>
      <c r="S40" s="27" t="str">
        <f t="shared" si="8"/>
        <v/>
      </c>
      <c r="T40" s="28" t="str">
        <f t="shared" si="9"/>
        <v/>
      </c>
      <c r="U40" s="28" t="str">
        <f t="shared" si="10"/>
        <v/>
      </c>
      <c r="V40" s="28">
        <f t="shared" si="11"/>
        <v>0</v>
      </c>
      <c r="W40" s="28">
        <f t="shared" si="12"/>
        <v>0</v>
      </c>
      <c r="X40" s="29">
        <f t="shared" si="13"/>
        <v>0</v>
      </c>
      <c r="Y40" s="24" t="s">
        <v>35</v>
      </c>
    </row>
    <row r="41" spans="2:25" ht="15" customHeight="1" x14ac:dyDescent="0.2">
      <c r="B41" s="31">
        <v>41781</v>
      </c>
      <c r="C41" s="25"/>
      <c r="D41" s="26"/>
      <c r="E41" s="26"/>
      <c r="F41" s="16">
        <v>12.972</v>
      </c>
      <c r="G41" s="16">
        <v>10.250999999999999</v>
      </c>
      <c r="H41" s="16">
        <v>10.667999999999999</v>
      </c>
      <c r="I41" s="17">
        <v>101.242</v>
      </c>
      <c r="J41" s="58">
        <v>792</v>
      </c>
      <c r="K41" s="18">
        <f t="shared" ref="K41:K46" si="19">IF(ISBLANK(J41),"",(J41-$J$8))</f>
        <v>483</v>
      </c>
      <c r="L41" s="19" t="str">
        <f t="shared" si="1"/>
        <v/>
      </c>
      <c r="M41" s="19" t="str">
        <f t="shared" si="2"/>
        <v/>
      </c>
      <c r="N41" s="19" t="str">
        <f t="shared" si="3"/>
        <v/>
      </c>
      <c r="O41" s="19">
        <f t="shared" si="16"/>
        <v>-40.000000000000924</v>
      </c>
      <c r="P41" s="19">
        <f t="shared" si="17"/>
        <v>-13.000000000001677</v>
      </c>
      <c r="Q41" s="19">
        <f t="shared" si="18"/>
        <v>-9.0000000000003411</v>
      </c>
      <c r="R41" s="19">
        <f t="shared" si="15"/>
        <v>-15.999999999991132</v>
      </c>
      <c r="S41" s="27" t="str">
        <f t="shared" si="8"/>
        <v/>
      </c>
      <c r="T41" s="28" t="str">
        <f t="shared" si="9"/>
        <v/>
      </c>
      <c r="U41" s="28" t="str">
        <f t="shared" si="10"/>
        <v/>
      </c>
      <c r="V41" s="28">
        <f t="shared" si="11"/>
        <v>-6.6666666666688926E-2</v>
      </c>
      <c r="W41" s="28">
        <f t="shared" si="12"/>
        <v>0</v>
      </c>
      <c r="X41" s="29">
        <f t="shared" si="13"/>
        <v>0</v>
      </c>
      <c r="Y41" s="24"/>
    </row>
    <row r="42" spans="2:25" ht="15" customHeight="1" x14ac:dyDescent="0.2">
      <c r="B42" s="31">
        <v>41843</v>
      </c>
      <c r="C42" s="25"/>
      <c r="D42" s="26"/>
      <c r="E42" s="26"/>
      <c r="F42" s="16">
        <v>12.971</v>
      </c>
      <c r="G42" s="16">
        <v>10.249000000000001</v>
      </c>
      <c r="H42" s="16">
        <v>10.667999999999999</v>
      </c>
      <c r="I42" s="17">
        <v>101.242</v>
      </c>
      <c r="J42" s="58">
        <v>943</v>
      </c>
      <c r="K42" s="18">
        <f t="shared" si="19"/>
        <v>634</v>
      </c>
      <c r="L42" s="19" t="str">
        <f t="shared" si="1"/>
        <v/>
      </c>
      <c r="M42" s="19" t="str">
        <f t="shared" si="2"/>
        <v/>
      </c>
      <c r="N42" s="19" t="str">
        <f t="shared" si="3"/>
        <v/>
      </c>
      <c r="O42" s="19">
        <f t="shared" si="16"/>
        <v>-41.000000000000369</v>
      </c>
      <c r="P42" s="19">
        <f t="shared" si="17"/>
        <v>-15.000000000000568</v>
      </c>
      <c r="Q42" s="19">
        <f t="shared" si="18"/>
        <v>-9.0000000000003411</v>
      </c>
      <c r="R42" s="19">
        <f t="shared" si="15"/>
        <v>-15.999999999991132</v>
      </c>
      <c r="S42" s="27" t="str">
        <f t="shared" si="8"/>
        <v/>
      </c>
      <c r="T42" s="28" t="str">
        <f t="shared" si="9"/>
        <v/>
      </c>
      <c r="U42" s="28" t="str">
        <f t="shared" si="10"/>
        <v/>
      </c>
      <c r="V42" s="28">
        <f t="shared" si="11"/>
        <v>-1.6129032258055578E-2</v>
      </c>
      <c r="W42" s="28">
        <f t="shared" si="12"/>
        <v>-3.2258064516111157E-2</v>
      </c>
      <c r="X42" s="29">
        <f t="shared" si="13"/>
        <v>0</v>
      </c>
      <c r="Y42" s="24"/>
    </row>
    <row r="43" spans="2:25" ht="15" customHeight="1" x14ac:dyDescent="0.2">
      <c r="B43" s="31">
        <v>41933</v>
      </c>
      <c r="C43" s="25">
        <v>12.677</v>
      </c>
      <c r="D43" s="26">
        <v>7.8310000000000004</v>
      </c>
      <c r="E43" s="26">
        <v>7.8460000000000001</v>
      </c>
      <c r="F43" s="16">
        <v>12.97</v>
      </c>
      <c r="G43" s="16">
        <v>10.25</v>
      </c>
      <c r="H43" s="16">
        <v>10.667</v>
      </c>
      <c r="I43" s="17">
        <v>101.24299999999999</v>
      </c>
      <c r="J43" s="58">
        <v>943</v>
      </c>
      <c r="K43" s="18">
        <f t="shared" si="19"/>
        <v>634</v>
      </c>
      <c r="L43" s="19">
        <f t="shared" si="1"/>
        <v>-41.999999999999815</v>
      </c>
      <c r="M43" s="19">
        <f t="shared" si="2"/>
        <v>-12.999999999999901</v>
      </c>
      <c r="N43" s="19">
        <f t="shared" si="3"/>
        <v>-11.000000000000121</v>
      </c>
      <c r="O43" s="19">
        <f t="shared" si="16"/>
        <v>-41.999999999999815</v>
      </c>
      <c r="P43" s="19">
        <f t="shared" si="17"/>
        <v>-14.000000000001123</v>
      </c>
      <c r="Q43" s="19">
        <f t="shared" si="18"/>
        <v>-9.9999999999997868</v>
      </c>
      <c r="R43" s="19">
        <f t="shared" si="15"/>
        <v>-15.000000000000568</v>
      </c>
      <c r="S43" s="27"/>
      <c r="T43" s="28"/>
      <c r="U43" s="28"/>
      <c r="V43" s="28">
        <f t="shared" si="11"/>
        <v>-1.1111111111104953E-2</v>
      </c>
      <c r="W43" s="28">
        <f t="shared" si="12"/>
        <v>1.1111111111104953E-2</v>
      </c>
      <c r="X43" s="29">
        <f t="shared" si="13"/>
        <v>-1.1111111111104953E-2</v>
      </c>
      <c r="Y43" s="24"/>
    </row>
    <row r="44" spans="2:25" ht="15" customHeight="1" x14ac:dyDescent="0.2">
      <c r="B44" s="31">
        <v>42025</v>
      </c>
      <c r="C44" s="25"/>
      <c r="D44" s="26"/>
      <c r="E44" s="26"/>
      <c r="F44" s="16">
        <v>12.97</v>
      </c>
      <c r="G44" s="16">
        <v>10.247999999999999</v>
      </c>
      <c r="H44" s="16">
        <v>10.666</v>
      </c>
      <c r="I44" s="17">
        <v>101.242</v>
      </c>
      <c r="J44" s="58">
        <v>943</v>
      </c>
      <c r="K44" s="18">
        <f t="shared" si="19"/>
        <v>634</v>
      </c>
      <c r="L44" s="19" t="str">
        <f t="shared" si="1"/>
        <v/>
      </c>
      <c r="M44" s="19" t="str">
        <f t="shared" si="2"/>
        <v/>
      </c>
      <c r="N44" s="19" t="str">
        <f t="shared" si="3"/>
        <v/>
      </c>
      <c r="O44" s="19">
        <f t="shared" si="16"/>
        <v>-41.999999999999815</v>
      </c>
      <c r="P44" s="19">
        <f t="shared" si="17"/>
        <v>-16.000000000001791</v>
      </c>
      <c r="Q44" s="19">
        <f t="shared" si="18"/>
        <v>-10.999999999999233</v>
      </c>
      <c r="R44" s="19">
        <f t="shared" si="15"/>
        <v>-15.999999999991132</v>
      </c>
      <c r="S44" s="27" t="str">
        <f t="shared" si="8"/>
        <v/>
      </c>
      <c r="T44" s="28" t="str">
        <f t="shared" si="9"/>
        <v/>
      </c>
      <c r="U44" s="28" t="str">
        <f t="shared" si="10"/>
        <v/>
      </c>
      <c r="V44" s="28">
        <f t="shared" si="11"/>
        <v>0</v>
      </c>
      <c r="W44" s="28">
        <f t="shared" si="12"/>
        <v>-2.173913043478987E-2</v>
      </c>
      <c r="X44" s="29">
        <f t="shared" si="13"/>
        <v>-1.0869565217385279E-2</v>
      </c>
      <c r="Y44" s="24"/>
    </row>
    <row r="45" spans="2:25" ht="15" customHeight="1" x14ac:dyDescent="0.2">
      <c r="B45" s="31">
        <v>42109</v>
      </c>
      <c r="C45" s="25"/>
      <c r="D45" s="26"/>
      <c r="E45" s="26"/>
      <c r="F45" s="16">
        <v>12.968999999999999</v>
      </c>
      <c r="G45" s="16">
        <v>10.247999999999999</v>
      </c>
      <c r="H45" s="16">
        <v>10.666</v>
      </c>
      <c r="I45" s="17">
        <v>101.239</v>
      </c>
      <c r="J45" s="58">
        <v>943</v>
      </c>
      <c r="K45" s="18">
        <f t="shared" si="19"/>
        <v>634</v>
      </c>
      <c r="L45" s="19" t="str">
        <f t="shared" si="1"/>
        <v/>
      </c>
      <c r="M45" s="19" t="str">
        <f t="shared" si="2"/>
        <v/>
      </c>
      <c r="N45" s="19" t="str">
        <f t="shared" si="3"/>
        <v/>
      </c>
      <c r="O45" s="19">
        <f t="shared" si="16"/>
        <v>-43.000000000001037</v>
      </c>
      <c r="P45" s="19">
        <f t="shared" si="17"/>
        <v>-16.000000000001791</v>
      </c>
      <c r="Q45" s="19">
        <f t="shared" si="18"/>
        <v>-10.999999999999233</v>
      </c>
      <c r="R45" s="19">
        <f t="shared" si="15"/>
        <v>-18.999999999991246</v>
      </c>
      <c r="S45" s="27" t="str">
        <f t="shared" si="8"/>
        <v/>
      </c>
      <c r="T45" s="28" t="str">
        <f t="shared" si="9"/>
        <v/>
      </c>
      <c r="U45" s="28" t="str">
        <f t="shared" si="10"/>
        <v/>
      </c>
      <c r="V45" s="28">
        <f t="shared" si="11"/>
        <v>-1.1904761904776453E-2</v>
      </c>
      <c r="W45" s="28">
        <f t="shared" si="12"/>
        <v>0</v>
      </c>
      <c r="X45" s="29">
        <f t="shared" si="13"/>
        <v>0</v>
      </c>
      <c r="Y45" s="24"/>
    </row>
    <row r="46" spans="2:25" ht="15" customHeight="1" x14ac:dyDescent="0.2">
      <c r="B46" s="31">
        <v>42221</v>
      </c>
      <c r="C46" s="33"/>
      <c r="D46" s="16"/>
      <c r="E46" s="16"/>
      <c r="F46" s="16">
        <v>12.967000000000001</v>
      </c>
      <c r="G46" s="16">
        <v>10.247999999999999</v>
      </c>
      <c r="H46" s="16">
        <v>10.664999999999999</v>
      </c>
      <c r="I46" s="16">
        <v>101.241</v>
      </c>
      <c r="J46" s="32">
        <v>1253</v>
      </c>
      <c r="K46" s="18">
        <f t="shared" si="19"/>
        <v>944</v>
      </c>
      <c r="L46" s="19" t="str">
        <f t="shared" si="1"/>
        <v/>
      </c>
      <c r="M46" s="19" t="str">
        <f t="shared" si="2"/>
        <v/>
      </c>
      <c r="N46" s="19" t="str">
        <f t="shared" si="3"/>
        <v/>
      </c>
      <c r="O46" s="19">
        <f t="shared" si="16"/>
        <v>-44.999999999999929</v>
      </c>
      <c r="P46" s="19">
        <f t="shared" si="17"/>
        <v>-16.000000000001791</v>
      </c>
      <c r="Q46" s="19">
        <f t="shared" si="18"/>
        <v>-12.000000000000455</v>
      </c>
      <c r="R46" s="19">
        <f t="shared" si="15"/>
        <v>-16.999999999995907</v>
      </c>
      <c r="S46" s="27" t="str">
        <f t="shared" si="8"/>
        <v/>
      </c>
      <c r="T46" s="28" t="str">
        <f t="shared" si="9"/>
        <v/>
      </c>
      <c r="U46" s="28" t="str">
        <f t="shared" si="10"/>
        <v/>
      </c>
      <c r="V46" s="28">
        <f t="shared" si="11"/>
        <v>-1.7857142857132961E-2</v>
      </c>
      <c r="W46" s="28">
        <f t="shared" si="12"/>
        <v>0</v>
      </c>
      <c r="X46" s="29">
        <f t="shared" si="13"/>
        <v>-8.9285714285823412E-3</v>
      </c>
      <c r="Y46" s="24"/>
    </row>
    <row r="47" spans="2:25" ht="15" customHeight="1" x14ac:dyDescent="0.2">
      <c r="B47" s="31">
        <v>42317</v>
      </c>
      <c r="C47" s="33"/>
      <c r="D47" s="16"/>
      <c r="E47" s="16"/>
      <c r="F47" s="16">
        <v>12.967000000000001</v>
      </c>
      <c r="G47" s="16">
        <v>10.247</v>
      </c>
      <c r="H47" s="16">
        <v>10.664999999999999</v>
      </c>
      <c r="I47" s="16">
        <v>101.239</v>
      </c>
      <c r="J47" s="32">
        <v>2215</v>
      </c>
      <c r="K47" s="18">
        <f t="shared" ref="K47:K49" si="20">IF(ISBLANK(J47),"",(J47-$J$8))</f>
        <v>1906</v>
      </c>
      <c r="L47" s="19" t="str">
        <f t="shared" si="1"/>
        <v/>
      </c>
      <c r="M47" s="19" t="str">
        <f t="shared" si="2"/>
        <v/>
      </c>
      <c r="N47" s="19" t="str">
        <f t="shared" si="3"/>
        <v/>
      </c>
      <c r="O47" s="19">
        <f t="shared" si="16"/>
        <v>-44.999999999999929</v>
      </c>
      <c r="P47" s="19">
        <f t="shared" si="17"/>
        <v>-17.000000000001236</v>
      </c>
      <c r="Q47" s="19">
        <f t="shared" si="18"/>
        <v>-12.000000000000455</v>
      </c>
      <c r="R47" s="19">
        <f t="shared" si="15"/>
        <v>-18.999999999991246</v>
      </c>
      <c r="S47" s="27" t="str">
        <f t="shared" si="8"/>
        <v/>
      </c>
      <c r="T47" s="28" t="str">
        <f t="shared" si="9"/>
        <v/>
      </c>
      <c r="U47" s="28" t="str">
        <f t="shared" si="10"/>
        <v/>
      </c>
      <c r="V47" s="28">
        <f t="shared" si="11"/>
        <v>0</v>
      </c>
      <c r="W47" s="28">
        <f t="shared" si="12"/>
        <v>-1.0416666666660893E-2</v>
      </c>
      <c r="X47" s="29">
        <f t="shared" si="13"/>
        <v>0</v>
      </c>
      <c r="Y47" s="24"/>
    </row>
    <row r="48" spans="2:25" ht="15" customHeight="1" x14ac:dyDescent="0.2">
      <c r="B48" s="31">
        <v>42404</v>
      </c>
      <c r="C48" s="25">
        <v>12.676</v>
      </c>
      <c r="D48" s="26">
        <v>7.827</v>
      </c>
      <c r="E48" s="26">
        <v>7.8479999999999999</v>
      </c>
      <c r="F48" s="16">
        <v>12.968</v>
      </c>
      <c r="G48" s="16">
        <v>10.244</v>
      </c>
      <c r="H48" s="16">
        <v>10.664</v>
      </c>
      <c r="I48" s="16">
        <v>101.239</v>
      </c>
      <c r="J48" s="58">
        <v>2484</v>
      </c>
      <c r="K48" s="18">
        <f t="shared" si="20"/>
        <v>2175</v>
      </c>
      <c r="L48" s="19">
        <f t="shared" ref="L48:L79" si="21">IF(ISBLANK(C48),"",(C48-C$16)*1000)</f>
        <v>-42.999999999999261</v>
      </c>
      <c r="M48" s="19">
        <f t="shared" ref="M48:M79" si="22">IF(ISBLANK(D48),"",(D48-D$16)*1000)</f>
        <v>-17.000000000000348</v>
      </c>
      <c r="N48" s="19">
        <f t="shared" ref="N48:N79" si="23">IF(ISBLANK(E48),"",(E48-E$16)*1000)</f>
        <v>-9.0000000000003411</v>
      </c>
      <c r="O48" s="19">
        <f t="shared" si="16"/>
        <v>-44.000000000000483</v>
      </c>
      <c r="P48" s="19">
        <f t="shared" si="17"/>
        <v>-20.00000000000135</v>
      </c>
      <c r="Q48" s="19">
        <f t="shared" si="18"/>
        <v>-12.999999999999901</v>
      </c>
      <c r="R48" s="19">
        <f t="shared" si="15"/>
        <v>-18.999999999991246</v>
      </c>
      <c r="S48" s="27"/>
      <c r="T48" s="28"/>
      <c r="U48" s="28"/>
      <c r="V48" s="28">
        <f t="shared" si="11"/>
        <v>1.1494252873556848E-2</v>
      </c>
      <c r="W48" s="28">
        <f t="shared" si="12"/>
        <v>-3.4482758620690959E-2</v>
      </c>
      <c r="X48" s="29">
        <f t="shared" si="13"/>
        <v>-1.1494252873556848E-2</v>
      </c>
      <c r="Y48" s="24"/>
    </row>
    <row r="49" spans="2:25" ht="15" customHeight="1" x14ac:dyDescent="0.2">
      <c r="B49" s="31">
        <v>42529</v>
      </c>
      <c r="C49" s="25">
        <v>12.675000000000001</v>
      </c>
      <c r="D49" s="26">
        <v>7.827</v>
      </c>
      <c r="E49" s="26">
        <v>7.8470000000000004</v>
      </c>
      <c r="F49" s="16">
        <v>12.968999999999999</v>
      </c>
      <c r="G49" s="16">
        <v>10.247</v>
      </c>
      <c r="H49" s="16">
        <v>10.664</v>
      </c>
      <c r="I49" s="16">
        <v>101.239</v>
      </c>
      <c r="J49" s="58">
        <v>2603</v>
      </c>
      <c r="K49" s="18">
        <f t="shared" si="20"/>
        <v>2294</v>
      </c>
      <c r="L49" s="19">
        <f t="shared" si="21"/>
        <v>-43.999999999998707</v>
      </c>
      <c r="M49" s="19">
        <f t="shared" si="22"/>
        <v>-17.000000000000348</v>
      </c>
      <c r="N49" s="19">
        <f t="shared" si="23"/>
        <v>-9.9999999999997868</v>
      </c>
      <c r="O49" s="19">
        <f t="shared" si="16"/>
        <v>-43.000000000001037</v>
      </c>
      <c r="P49" s="19">
        <f t="shared" si="17"/>
        <v>-17.000000000001236</v>
      </c>
      <c r="Q49" s="19">
        <f t="shared" si="18"/>
        <v>-12.999999999999901</v>
      </c>
      <c r="R49" s="19">
        <f t="shared" si="15"/>
        <v>-18.999999999991246</v>
      </c>
      <c r="S49" s="27">
        <f t="shared" ref="S49:S80" si="24">IF(C49="","",((C49-C48)*1000)/($B49-$B48))</f>
        <v>-7.9999999999955662E-3</v>
      </c>
      <c r="T49" s="28">
        <f t="shared" ref="T49:T80" si="25">IF(D49="","",((D49-D48)*1000)/($B49-$B48))</f>
        <v>0</v>
      </c>
      <c r="U49" s="28">
        <f t="shared" ref="U49:U80" si="26">IF(E49="","",((E49-E48)*1000)/($B49-$B48))</f>
        <v>-7.9999999999955662E-3</v>
      </c>
      <c r="V49" s="28">
        <f t="shared" ref="V49:V80" si="27">IF(F49="","",((F49-F48)*1000)/($B49-$B48))</f>
        <v>7.9999999999955662E-3</v>
      </c>
      <c r="W49" s="28">
        <f t="shared" ref="W49:W80" si="28">IF(G49="","",((G49-G48)*1000)/($B49-$B48))</f>
        <v>2.4000000000000909E-2</v>
      </c>
      <c r="X49" s="29">
        <f t="shared" ref="X49:X80" si="29">IF(H49="","",((H49-H48)*1000)/($B49-$B48))</f>
        <v>0</v>
      </c>
      <c r="Y49" s="24"/>
    </row>
    <row r="50" spans="2:25" ht="15" customHeight="1" x14ac:dyDescent="0.2">
      <c r="B50" s="31"/>
      <c r="C50" s="25"/>
      <c r="D50" s="26"/>
      <c r="E50" s="26"/>
      <c r="F50" s="16"/>
      <c r="G50" s="16"/>
      <c r="H50" s="16"/>
      <c r="I50" s="16"/>
      <c r="J50" s="58"/>
      <c r="K50" s="18"/>
      <c r="L50" s="19" t="str">
        <f t="shared" si="21"/>
        <v/>
      </c>
      <c r="M50" s="19" t="str">
        <f t="shared" si="22"/>
        <v/>
      </c>
      <c r="N50" s="19" t="str">
        <f t="shared" si="23"/>
        <v/>
      </c>
      <c r="O50" s="19" t="str">
        <f t="shared" si="16"/>
        <v/>
      </c>
      <c r="P50" s="19" t="str">
        <f t="shared" si="17"/>
        <v/>
      </c>
      <c r="Q50" s="19" t="str">
        <f t="shared" si="18"/>
        <v/>
      </c>
      <c r="R50" s="19" t="str">
        <f t="shared" si="15"/>
        <v/>
      </c>
      <c r="S50" s="27" t="str">
        <f t="shared" si="24"/>
        <v/>
      </c>
      <c r="T50" s="28" t="str">
        <f t="shared" si="25"/>
        <v/>
      </c>
      <c r="U50" s="28" t="str">
        <f t="shared" si="26"/>
        <v/>
      </c>
      <c r="V50" s="28" t="str">
        <f t="shared" si="27"/>
        <v/>
      </c>
      <c r="W50" s="28" t="str">
        <f t="shared" si="28"/>
        <v/>
      </c>
      <c r="X50" s="29" t="str">
        <f t="shared" si="29"/>
        <v/>
      </c>
      <c r="Y50" s="24"/>
    </row>
    <row r="51" spans="2:25" ht="15" customHeight="1" x14ac:dyDescent="0.2">
      <c r="B51" s="31"/>
      <c r="C51" s="25"/>
      <c r="D51" s="26"/>
      <c r="E51" s="26"/>
      <c r="F51" s="16"/>
      <c r="G51" s="16"/>
      <c r="H51" s="16"/>
      <c r="I51" s="16"/>
      <c r="J51" s="58"/>
      <c r="K51" s="18"/>
      <c r="L51" s="19" t="str">
        <f t="shared" si="21"/>
        <v/>
      </c>
      <c r="M51" s="19" t="str">
        <f t="shared" si="22"/>
        <v/>
      </c>
      <c r="N51" s="19" t="str">
        <f t="shared" si="23"/>
        <v/>
      </c>
      <c r="O51" s="19" t="str">
        <f t="shared" si="16"/>
        <v/>
      </c>
      <c r="P51" s="19" t="str">
        <f t="shared" si="17"/>
        <v/>
      </c>
      <c r="Q51" s="19" t="str">
        <f t="shared" si="18"/>
        <v/>
      </c>
      <c r="R51" s="19" t="str">
        <f t="shared" si="15"/>
        <v/>
      </c>
      <c r="S51" s="27" t="str">
        <f t="shared" si="24"/>
        <v/>
      </c>
      <c r="T51" s="28" t="str">
        <f t="shared" si="25"/>
        <v/>
      </c>
      <c r="U51" s="28" t="str">
        <f t="shared" si="26"/>
        <v/>
      </c>
      <c r="V51" s="28" t="str">
        <f t="shared" si="27"/>
        <v/>
      </c>
      <c r="W51" s="28" t="str">
        <f t="shared" si="28"/>
        <v/>
      </c>
      <c r="X51" s="29" t="str">
        <f t="shared" si="29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21"/>
        <v/>
      </c>
      <c r="M52" s="19" t="str">
        <f t="shared" si="22"/>
        <v/>
      </c>
      <c r="N52" s="19" t="str">
        <f t="shared" si="23"/>
        <v/>
      </c>
      <c r="O52" s="19" t="str">
        <f t="shared" si="16"/>
        <v/>
      </c>
      <c r="P52" s="19" t="str">
        <f t="shared" si="17"/>
        <v/>
      </c>
      <c r="Q52" s="19" t="str">
        <f t="shared" si="18"/>
        <v/>
      </c>
      <c r="R52" s="19" t="str">
        <f t="shared" si="15"/>
        <v/>
      </c>
      <c r="S52" s="27" t="str">
        <f t="shared" si="24"/>
        <v/>
      </c>
      <c r="T52" s="28" t="str">
        <f t="shared" si="25"/>
        <v/>
      </c>
      <c r="U52" s="28" t="str">
        <f t="shared" si="26"/>
        <v/>
      </c>
      <c r="V52" s="28" t="str">
        <f t="shared" si="27"/>
        <v/>
      </c>
      <c r="W52" s="28" t="str">
        <f t="shared" si="28"/>
        <v/>
      </c>
      <c r="X52" s="29" t="str">
        <f t="shared" si="29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21"/>
        <v/>
      </c>
      <c r="M53" s="19" t="str">
        <f t="shared" si="22"/>
        <v/>
      </c>
      <c r="N53" s="19" t="str">
        <f t="shared" si="23"/>
        <v/>
      </c>
      <c r="O53" s="19" t="str">
        <f t="shared" si="16"/>
        <v/>
      </c>
      <c r="P53" s="19" t="str">
        <f t="shared" si="17"/>
        <v/>
      </c>
      <c r="Q53" s="19" t="str">
        <f t="shared" si="18"/>
        <v/>
      </c>
      <c r="R53" s="19" t="str">
        <f t="shared" si="15"/>
        <v/>
      </c>
      <c r="S53" s="27" t="str">
        <f t="shared" si="24"/>
        <v/>
      </c>
      <c r="T53" s="28" t="str">
        <f t="shared" si="25"/>
        <v/>
      </c>
      <c r="U53" s="28" t="str">
        <f t="shared" si="26"/>
        <v/>
      </c>
      <c r="V53" s="28" t="str">
        <f t="shared" si="27"/>
        <v/>
      </c>
      <c r="W53" s="28" t="str">
        <f t="shared" si="28"/>
        <v/>
      </c>
      <c r="X53" s="29" t="str">
        <f t="shared" si="29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21"/>
        <v/>
      </c>
      <c r="M54" s="19" t="str">
        <f t="shared" si="22"/>
        <v/>
      </c>
      <c r="N54" s="19" t="str">
        <f t="shared" si="23"/>
        <v/>
      </c>
      <c r="O54" s="19" t="str">
        <f t="shared" si="16"/>
        <v/>
      </c>
      <c r="P54" s="19" t="str">
        <f t="shared" si="17"/>
        <v/>
      </c>
      <c r="Q54" s="19" t="str">
        <f t="shared" si="18"/>
        <v/>
      </c>
      <c r="R54" s="19" t="str">
        <f t="shared" si="15"/>
        <v/>
      </c>
      <c r="S54" s="27" t="str">
        <f t="shared" si="24"/>
        <v/>
      </c>
      <c r="T54" s="28" t="str">
        <f t="shared" si="25"/>
        <v/>
      </c>
      <c r="U54" s="28" t="str">
        <f t="shared" si="26"/>
        <v/>
      </c>
      <c r="V54" s="28" t="str">
        <f t="shared" si="27"/>
        <v/>
      </c>
      <c r="W54" s="28" t="str">
        <f t="shared" si="28"/>
        <v/>
      </c>
      <c r="X54" s="29" t="str">
        <f t="shared" si="29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21"/>
        <v/>
      </c>
      <c r="M55" s="19" t="str">
        <f t="shared" si="22"/>
        <v/>
      </c>
      <c r="N55" s="19" t="str">
        <f t="shared" si="23"/>
        <v/>
      </c>
      <c r="O55" s="19" t="str">
        <f t="shared" si="16"/>
        <v/>
      </c>
      <c r="P55" s="19" t="str">
        <f t="shared" si="17"/>
        <v/>
      </c>
      <c r="Q55" s="19" t="str">
        <f t="shared" si="18"/>
        <v/>
      </c>
      <c r="R55" s="19" t="str">
        <f t="shared" si="15"/>
        <v/>
      </c>
      <c r="S55" s="27" t="str">
        <f t="shared" si="24"/>
        <v/>
      </c>
      <c r="T55" s="28" t="str">
        <f t="shared" si="25"/>
        <v/>
      </c>
      <c r="U55" s="28" t="str">
        <f t="shared" si="26"/>
        <v/>
      </c>
      <c r="V55" s="28" t="str">
        <f t="shared" si="27"/>
        <v/>
      </c>
      <c r="W55" s="28" t="str">
        <f t="shared" si="28"/>
        <v/>
      </c>
      <c r="X55" s="29" t="str">
        <f t="shared" si="29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21"/>
        <v/>
      </c>
      <c r="M56" s="19" t="str">
        <f t="shared" si="22"/>
        <v/>
      </c>
      <c r="N56" s="19" t="str">
        <f t="shared" si="23"/>
        <v/>
      </c>
      <c r="O56" s="19" t="str">
        <f t="shared" si="16"/>
        <v/>
      </c>
      <c r="P56" s="19" t="str">
        <f t="shared" si="17"/>
        <v/>
      </c>
      <c r="Q56" s="19" t="str">
        <f t="shared" si="18"/>
        <v/>
      </c>
      <c r="R56" s="19" t="str">
        <f t="shared" si="15"/>
        <v/>
      </c>
      <c r="S56" s="27" t="str">
        <f t="shared" si="24"/>
        <v/>
      </c>
      <c r="T56" s="28" t="str">
        <f t="shared" si="25"/>
        <v/>
      </c>
      <c r="U56" s="28" t="str">
        <f t="shared" si="26"/>
        <v/>
      </c>
      <c r="V56" s="28" t="str">
        <f t="shared" si="27"/>
        <v/>
      </c>
      <c r="W56" s="28" t="str">
        <f t="shared" si="28"/>
        <v/>
      </c>
      <c r="X56" s="29" t="str">
        <f t="shared" si="29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21"/>
        <v/>
      </c>
      <c r="M57" s="19" t="str">
        <f t="shared" si="22"/>
        <v/>
      </c>
      <c r="N57" s="19" t="str">
        <f t="shared" si="23"/>
        <v/>
      </c>
      <c r="O57" s="19" t="str">
        <f t="shared" si="16"/>
        <v/>
      </c>
      <c r="P57" s="19" t="str">
        <f t="shared" si="17"/>
        <v/>
      </c>
      <c r="Q57" s="19" t="str">
        <f t="shared" si="18"/>
        <v/>
      </c>
      <c r="R57" s="19" t="str">
        <f t="shared" si="15"/>
        <v/>
      </c>
      <c r="S57" s="27" t="str">
        <f t="shared" si="24"/>
        <v/>
      </c>
      <c r="T57" s="28" t="str">
        <f t="shared" si="25"/>
        <v/>
      </c>
      <c r="U57" s="28" t="str">
        <f t="shared" si="26"/>
        <v/>
      </c>
      <c r="V57" s="28" t="str">
        <f t="shared" si="27"/>
        <v/>
      </c>
      <c r="W57" s="28" t="str">
        <f t="shared" si="28"/>
        <v/>
      </c>
      <c r="X57" s="29" t="str">
        <f t="shared" si="29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21"/>
        <v/>
      </c>
      <c r="M58" s="19" t="str">
        <f t="shared" si="22"/>
        <v/>
      </c>
      <c r="N58" s="19" t="str">
        <f t="shared" si="23"/>
        <v/>
      </c>
      <c r="O58" s="19" t="str">
        <f t="shared" si="16"/>
        <v/>
      </c>
      <c r="P58" s="19" t="str">
        <f t="shared" si="17"/>
        <v/>
      </c>
      <c r="Q58" s="19" t="str">
        <f t="shared" si="18"/>
        <v/>
      </c>
      <c r="R58" s="19" t="str">
        <f t="shared" si="15"/>
        <v/>
      </c>
      <c r="S58" s="27" t="str">
        <f t="shared" si="24"/>
        <v/>
      </c>
      <c r="T58" s="28" t="str">
        <f t="shared" si="25"/>
        <v/>
      </c>
      <c r="U58" s="28" t="str">
        <f t="shared" si="26"/>
        <v/>
      </c>
      <c r="V58" s="28" t="str">
        <f t="shared" si="27"/>
        <v/>
      </c>
      <c r="W58" s="28" t="str">
        <f t="shared" si="28"/>
        <v/>
      </c>
      <c r="X58" s="29" t="str">
        <f t="shared" si="29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21"/>
        <v/>
      </c>
      <c r="M59" s="19" t="str">
        <f t="shared" si="22"/>
        <v/>
      </c>
      <c r="N59" s="19" t="str">
        <f t="shared" si="23"/>
        <v/>
      </c>
      <c r="O59" s="19" t="str">
        <f t="shared" si="16"/>
        <v/>
      </c>
      <c r="P59" s="19" t="str">
        <f t="shared" si="17"/>
        <v/>
      </c>
      <c r="Q59" s="19" t="str">
        <f t="shared" si="18"/>
        <v/>
      </c>
      <c r="R59" s="19" t="str">
        <f t="shared" si="15"/>
        <v/>
      </c>
      <c r="S59" s="27" t="str">
        <f t="shared" si="24"/>
        <v/>
      </c>
      <c r="T59" s="28" t="str">
        <f t="shared" si="25"/>
        <v/>
      </c>
      <c r="U59" s="28" t="str">
        <f t="shared" si="26"/>
        <v/>
      </c>
      <c r="V59" s="28" t="str">
        <f t="shared" si="27"/>
        <v/>
      </c>
      <c r="W59" s="28" t="str">
        <f t="shared" si="28"/>
        <v/>
      </c>
      <c r="X59" s="29" t="str">
        <f t="shared" si="29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21"/>
        <v/>
      </c>
      <c r="M60" s="19" t="str">
        <f t="shared" si="22"/>
        <v/>
      </c>
      <c r="N60" s="19" t="str">
        <f t="shared" si="23"/>
        <v/>
      </c>
      <c r="O60" s="19" t="str">
        <f t="shared" si="16"/>
        <v/>
      </c>
      <c r="P60" s="19" t="str">
        <f t="shared" si="17"/>
        <v/>
      </c>
      <c r="Q60" s="19" t="str">
        <f t="shared" si="18"/>
        <v/>
      </c>
      <c r="R60" s="19" t="str">
        <f t="shared" si="15"/>
        <v/>
      </c>
      <c r="S60" s="27" t="str">
        <f t="shared" si="24"/>
        <v/>
      </c>
      <c r="T60" s="28" t="str">
        <f t="shared" si="25"/>
        <v/>
      </c>
      <c r="U60" s="28" t="str">
        <f t="shared" si="26"/>
        <v/>
      </c>
      <c r="V60" s="28" t="str">
        <f t="shared" si="27"/>
        <v/>
      </c>
      <c r="W60" s="28" t="str">
        <f t="shared" si="28"/>
        <v/>
      </c>
      <c r="X60" s="29" t="str">
        <f t="shared" si="29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21"/>
        <v/>
      </c>
      <c r="M61" s="19" t="str">
        <f t="shared" si="22"/>
        <v/>
      </c>
      <c r="N61" s="19" t="str">
        <f t="shared" si="23"/>
        <v/>
      </c>
      <c r="O61" s="19" t="str">
        <f t="shared" si="16"/>
        <v/>
      </c>
      <c r="P61" s="19" t="str">
        <f t="shared" si="17"/>
        <v/>
      </c>
      <c r="Q61" s="19" t="str">
        <f t="shared" si="18"/>
        <v/>
      </c>
      <c r="R61" s="19" t="str">
        <f t="shared" si="15"/>
        <v/>
      </c>
      <c r="S61" s="27" t="str">
        <f t="shared" si="24"/>
        <v/>
      </c>
      <c r="T61" s="28" t="str">
        <f t="shared" si="25"/>
        <v/>
      </c>
      <c r="U61" s="28" t="str">
        <f t="shared" si="26"/>
        <v/>
      </c>
      <c r="V61" s="28" t="str">
        <f t="shared" si="27"/>
        <v/>
      </c>
      <c r="W61" s="28" t="str">
        <f t="shared" si="28"/>
        <v/>
      </c>
      <c r="X61" s="29" t="str">
        <f t="shared" si="29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21"/>
        <v/>
      </c>
      <c r="M62" s="19" t="str">
        <f t="shared" si="22"/>
        <v/>
      </c>
      <c r="N62" s="19" t="str">
        <f t="shared" si="23"/>
        <v/>
      </c>
      <c r="O62" s="19" t="str">
        <f t="shared" si="16"/>
        <v/>
      </c>
      <c r="P62" s="19" t="str">
        <f t="shared" si="17"/>
        <v/>
      </c>
      <c r="Q62" s="19" t="str">
        <f t="shared" si="18"/>
        <v/>
      </c>
      <c r="R62" s="19" t="str">
        <f t="shared" si="15"/>
        <v/>
      </c>
      <c r="S62" s="27" t="str">
        <f t="shared" si="24"/>
        <v/>
      </c>
      <c r="T62" s="28" t="str">
        <f t="shared" si="25"/>
        <v/>
      </c>
      <c r="U62" s="28" t="str">
        <f t="shared" si="26"/>
        <v/>
      </c>
      <c r="V62" s="28" t="str">
        <f t="shared" si="27"/>
        <v/>
      </c>
      <c r="W62" s="28" t="str">
        <f t="shared" si="28"/>
        <v/>
      </c>
      <c r="X62" s="29" t="str">
        <f t="shared" si="29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21"/>
        <v/>
      </c>
      <c r="M63" s="19" t="str">
        <f t="shared" si="22"/>
        <v/>
      </c>
      <c r="N63" s="19" t="str">
        <f t="shared" si="23"/>
        <v/>
      </c>
      <c r="O63" s="19" t="str">
        <f t="shared" si="16"/>
        <v/>
      </c>
      <c r="P63" s="19" t="str">
        <f t="shared" si="17"/>
        <v/>
      </c>
      <c r="Q63" s="19" t="str">
        <f t="shared" si="18"/>
        <v/>
      </c>
      <c r="R63" s="19" t="str">
        <f t="shared" si="15"/>
        <v/>
      </c>
      <c r="S63" s="27" t="str">
        <f t="shared" si="24"/>
        <v/>
      </c>
      <c r="T63" s="28" t="str">
        <f t="shared" si="25"/>
        <v/>
      </c>
      <c r="U63" s="28" t="str">
        <f t="shared" si="26"/>
        <v/>
      </c>
      <c r="V63" s="28" t="str">
        <f t="shared" si="27"/>
        <v/>
      </c>
      <c r="W63" s="28" t="str">
        <f t="shared" si="28"/>
        <v/>
      </c>
      <c r="X63" s="29" t="str">
        <f t="shared" si="29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21"/>
        <v/>
      </c>
      <c r="M64" s="19" t="str">
        <f t="shared" si="22"/>
        <v/>
      </c>
      <c r="N64" s="19" t="str">
        <f t="shared" si="23"/>
        <v/>
      </c>
      <c r="O64" s="19" t="str">
        <f t="shared" si="16"/>
        <v/>
      </c>
      <c r="P64" s="19" t="str">
        <f t="shared" si="17"/>
        <v/>
      </c>
      <c r="Q64" s="19" t="str">
        <f t="shared" si="18"/>
        <v/>
      </c>
      <c r="R64" s="19" t="str">
        <f t="shared" si="15"/>
        <v/>
      </c>
      <c r="S64" s="27" t="str">
        <f t="shared" si="24"/>
        <v/>
      </c>
      <c r="T64" s="28" t="str">
        <f t="shared" si="25"/>
        <v/>
      </c>
      <c r="U64" s="28" t="str">
        <f t="shared" si="26"/>
        <v/>
      </c>
      <c r="V64" s="28" t="str">
        <f t="shared" si="27"/>
        <v/>
      </c>
      <c r="W64" s="28" t="str">
        <f t="shared" si="28"/>
        <v/>
      </c>
      <c r="X64" s="29" t="str">
        <f t="shared" si="29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21"/>
        <v/>
      </c>
      <c r="M65" s="19" t="str">
        <f t="shared" si="22"/>
        <v/>
      </c>
      <c r="N65" s="19" t="str">
        <f t="shared" si="23"/>
        <v/>
      </c>
      <c r="O65" s="19" t="str">
        <f t="shared" si="16"/>
        <v/>
      </c>
      <c r="P65" s="19" t="str">
        <f t="shared" si="17"/>
        <v/>
      </c>
      <c r="Q65" s="19" t="str">
        <f t="shared" si="18"/>
        <v/>
      </c>
      <c r="R65" s="19" t="str">
        <f t="shared" ref="R65:R96" si="30">IF(ISBLANK(I65),"",(I65-I$16)*1000)</f>
        <v/>
      </c>
      <c r="S65" s="27" t="str">
        <f t="shared" si="24"/>
        <v/>
      </c>
      <c r="T65" s="28" t="str">
        <f t="shared" si="25"/>
        <v/>
      </c>
      <c r="U65" s="28" t="str">
        <f t="shared" si="26"/>
        <v/>
      </c>
      <c r="V65" s="28" t="str">
        <f t="shared" si="27"/>
        <v/>
      </c>
      <c r="W65" s="28" t="str">
        <f t="shared" si="28"/>
        <v/>
      </c>
      <c r="X65" s="29" t="str">
        <f t="shared" si="29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21"/>
        <v/>
      </c>
      <c r="M66" s="19" t="str">
        <f t="shared" si="22"/>
        <v/>
      </c>
      <c r="N66" s="19" t="str">
        <f t="shared" si="23"/>
        <v/>
      </c>
      <c r="O66" s="19" t="str">
        <f t="shared" si="16"/>
        <v/>
      </c>
      <c r="P66" s="19" t="str">
        <f t="shared" si="17"/>
        <v/>
      </c>
      <c r="Q66" s="19" t="str">
        <f t="shared" si="18"/>
        <v/>
      </c>
      <c r="R66" s="19" t="str">
        <f t="shared" si="30"/>
        <v/>
      </c>
      <c r="S66" s="27" t="str">
        <f t="shared" si="24"/>
        <v/>
      </c>
      <c r="T66" s="28" t="str">
        <f t="shared" si="25"/>
        <v/>
      </c>
      <c r="U66" s="28" t="str">
        <f t="shared" si="26"/>
        <v/>
      </c>
      <c r="V66" s="28" t="str">
        <f t="shared" si="27"/>
        <v/>
      </c>
      <c r="W66" s="28" t="str">
        <f t="shared" si="28"/>
        <v/>
      </c>
      <c r="X66" s="29" t="str">
        <f t="shared" si="29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21"/>
        <v/>
      </c>
      <c r="M67" s="19" t="str">
        <f t="shared" si="22"/>
        <v/>
      </c>
      <c r="N67" s="19" t="str">
        <f t="shared" si="23"/>
        <v/>
      </c>
      <c r="O67" s="19" t="str">
        <f t="shared" si="16"/>
        <v/>
      </c>
      <c r="P67" s="19" t="str">
        <f t="shared" si="17"/>
        <v/>
      </c>
      <c r="Q67" s="19" t="str">
        <f t="shared" si="18"/>
        <v/>
      </c>
      <c r="R67" s="19" t="str">
        <f t="shared" si="30"/>
        <v/>
      </c>
      <c r="S67" s="27" t="str">
        <f t="shared" si="24"/>
        <v/>
      </c>
      <c r="T67" s="28" t="str">
        <f t="shared" si="25"/>
        <v/>
      </c>
      <c r="U67" s="28" t="str">
        <f t="shared" si="26"/>
        <v/>
      </c>
      <c r="V67" s="28" t="str">
        <f t="shared" si="27"/>
        <v/>
      </c>
      <c r="W67" s="28" t="str">
        <f t="shared" si="28"/>
        <v/>
      </c>
      <c r="X67" s="29" t="str">
        <f t="shared" si="29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21"/>
        <v/>
      </c>
      <c r="M68" s="19" t="str">
        <f t="shared" si="22"/>
        <v/>
      </c>
      <c r="N68" s="19" t="str">
        <f t="shared" si="23"/>
        <v/>
      </c>
      <c r="O68" s="19" t="str">
        <f t="shared" si="16"/>
        <v/>
      </c>
      <c r="P68" s="19" t="str">
        <f t="shared" si="17"/>
        <v/>
      </c>
      <c r="Q68" s="19" t="str">
        <f t="shared" si="18"/>
        <v/>
      </c>
      <c r="R68" s="19" t="str">
        <f t="shared" si="30"/>
        <v/>
      </c>
      <c r="S68" s="27" t="str">
        <f t="shared" si="24"/>
        <v/>
      </c>
      <c r="T68" s="28" t="str">
        <f t="shared" si="25"/>
        <v/>
      </c>
      <c r="U68" s="28" t="str">
        <f t="shared" si="26"/>
        <v/>
      </c>
      <c r="V68" s="28" t="str">
        <f t="shared" si="27"/>
        <v/>
      </c>
      <c r="W68" s="28" t="str">
        <f t="shared" si="28"/>
        <v/>
      </c>
      <c r="X68" s="29" t="str">
        <f t="shared" si="29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21"/>
        <v/>
      </c>
      <c r="M69" s="19" t="str">
        <f t="shared" si="22"/>
        <v/>
      </c>
      <c r="N69" s="19" t="str">
        <f t="shared" si="23"/>
        <v/>
      </c>
      <c r="O69" s="19" t="str">
        <f t="shared" si="16"/>
        <v/>
      </c>
      <c r="P69" s="19" t="str">
        <f t="shared" si="17"/>
        <v/>
      </c>
      <c r="Q69" s="19" t="str">
        <f t="shared" si="18"/>
        <v/>
      </c>
      <c r="R69" s="19" t="str">
        <f t="shared" si="30"/>
        <v/>
      </c>
      <c r="S69" s="27" t="str">
        <f t="shared" si="24"/>
        <v/>
      </c>
      <c r="T69" s="28" t="str">
        <f t="shared" si="25"/>
        <v/>
      </c>
      <c r="U69" s="28" t="str">
        <f t="shared" si="26"/>
        <v/>
      </c>
      <c r="V69" s="28" t="str">
        <f t="shared" si="27"/>
        <v/>
      </c>
      <c r="W69" s="28" t="str">
        <f t="shared" si="28"/>
        <v/>
      </c>
      <c r="X69" s="29" t="str">
        <f t="shared" si="29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21"/>
        <v/>
      </c>
      <c r="M70" s="19" t="str">
        <f t="shared" si="22"/>
        <v/>
      </c>
      <c r="N70" s="19" t="str">
        <f t="shared" si="23"/>
        <v/>
      </c>
      <c r="O70" s="19" t="str">
        <f t="shared" si="16"/>
        <v/>
      </c>
      <c r="P70" s="19" t="str">
        <f t="shared" si="17"/>
        <v/>
      </c>
      <c r="Q70" s="19" t="str">
        <f t="shared" si="18"/>
        <v/>
      </c>
      <c r="R70" s="19" t="str">
        <f t="shared" si="30"/>
        <v/>
      </c>
      <c r="S70" s="27" t="str">
        <f t="shared" si="24"/>
        <v/>
      </c>
      <c r="T70" s="28" t="str">
        <f t="shared" si="25"/>
        <v/>
      </c>
      <c r="U70" s="28" t="str">
        <f t="shared" si="26"/>
        <v/>
      </c>
      <c r="V70" s="28" t="str">
        <f t="shared" si="27"/>
        <v/>
      </c>
      <c r="W70" s="28" t="str">
        <f t="shared" si="28"/>
        <v/>
      </c>
      <c r="X70" s="29" t="str">
        <f t="shared" si="29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21"/>
        <v/>
      </c>
      <c r="M71" s="19" t="str">
        <f t="shared" si="22"/>
        <v/>
      </c>
      <c r="N71" s="19" t="str">
        <f t="shared" si="23"/>
        <v/>
      </c>
      <c r="O71" s="19" t="str">
        <f t="shared" si="16"/>
        <v/>
      </c>
      <c r="P71" s="19" t="str">
        <f t="shared" si="17"/>
        <v/>
      </c>
      <c r="Q71" s="19" t="str">
        <f t="shared" si="18"/>
        <v/>
      </c>
      <c r="R71" s="19" t="str">
        <f t="shared" si="30"/>
        <v/>
      </c>
      <c r="S71" s="27" t="str">
        <f t="shared" si="24"/>
        <v/>
      </c>
      <c r="T71" s="28" t="str">
        <f t="shared" si="25"/>
        <v/>
      </c>
      <c r="U71" s="28" t="str">
        <f t="shared" si="26"/>
        <v/>
      </c>
      <c r="V71" s="28" t="str">
        <f t="shared" si="27"/>
        <v/>
      </c>
      <c r="W71" s="28" t="str">
        <f t="shared" si="28"/>
        <v/>
      </c>
      <c r="X71" s="29" t="str">
        <f t="shared" si="29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21"/>
        <v/>
      </c>
      <c r="M72" s="19" t="str">
        <f t="shared" si="22"/>
        <v/>
      </c>
      <c r="N72" s="19" t="str">
        <f t="shared" si="23"/>
        <v/>
      </c>
      <c r="O72" s="19" t="str">
        <f t="shared" si="16"/>
        <v/>
      </c>
      <c r="P72" s="19" t="str">
        <f t="shared" si="17"/>
        <v/>
      </c>
      <c r="Q72" s="19" t="str">
        <f t="shared" si="18"/>
        <v/>
      </c>
      <c r="R72" s="19" t="str">
        <f t="shared" si="30"/>
        <v/>
      </c>
      <c r="S72" s="27" t="str">
        <f t="shared" si="24"/>
        <v/>
      </c>
      <c r="T72" s="28" t="str">
        <f t="shared" si="25"/>
        <v/>
      </c>
      <c r="U72" s="28" t="str">
        <f t="shared" si="26"/>
        <v/>
      </c>
      <c r="V72" s="28" t="str">
        <f t="shared" si="27"/>
        <v/>
      </c>
      <c r="W72" s="28" t="str">
        <f t="shared" si="28"/>
        <v/>
      </c>
      <c r="X72" s="29" t="str">
        <f t="shared" si="29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21"/>
        <v/>
      </c>
      <c r="M73" s="19" t="str">
        <f t="shared" si="22"/>
        <v/>
      </c>
      <c r="N73" s="19" t="str">
        <f t="shared" si="23"/>
        <v/>
      </c>
      <c r="O73" s="19" t="str">
        <f t="shared" si="16"/>
        <v/>
      </c>
      <c r="P73" s="19" t="str">
        <f t="shared" si="17"/>
        <v/>
      </c>
      <c r="Q73" s="19" t="str">
        <f t="shared" si="18"/>
        <v/>
      </c>
      <c r="R73" s="19" t="str">
        <f t="shared" si="30"/>
        <v/>
      </c>
      <c r="S73" s="27" t="str">
        <f t="shared" si="24"/>
        <v/>
      </c>
      <c r="T73" s="28" t="str">
        <f t="shared" si="25"/>
        <v/>
      </c>
      <c r="U73" s="28" t="str">
        <f t="shared" si="26"/>
        <v/>
      </c>
      <c r="V73" s="28" t="str">
        <f t="shared" si="27"/>
        <v/>
      </c>
      <c r="W73" s="28" t="str">
        <f t="shared" si="28"/>
        <v/>
      </c>
      <c r="X73" s="29" t="str">
        <f t="shared" si="29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21"/>
        <v/>
      </c>
      <c r="M74" s="19" t="str">
        <f t="shared" si="22"/>
        <v/>
      </c>
      <c r="N74" s="19" t="str">
        <f t="shared" si="23"/>
        <v/>
      </c>
      <c r="O74" s="19" t="str">
        <f t="shared" si="16"/>
        <v/>
      </c>
      <c r="P74" s="19" t="str">
        <f t="shared" si="17"/>
        <v/>
      </c>
      <c r="Q74" s="19" t="str">
        <f t="shared" si="18"/>
        <v/>
      </c>
      <c r="R74" s="19" t="str">
        <f t="shared" si="30"/>
        <v/>
      </c>
      <c r="S74" s="27" t="str">
        <f t="shared" si="24"/>
        <v/>
      </c>
      <c r="T74" s="28" t="str">
        <f t="shared" si="25"/>
        <v/>
      </c>
      <c r="U74" s="28" t="str">
        <f t="shared" si="26"/>
        <v/>
      </c>
      <c r="V74" s="28" t="str">
        <f t="shared" si="27"/>
        <v/>
      </c>
      <c r="W74" s="28" t="str">
        <f t="shared" si="28"/>
        <v/>
      </c>
      <c r="X74" s="29" t="str">
        <f t="shared" si="29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21"/>
        <v/>
      </c>
      <c r="M75" s="19" t="str">
        <f t="shared" si="22"/>
        <v/>
      </c>
      <c r="N75" s="19" t="str">
        <f t="shared" si="23"/>
        <v/>
      </c>
      <c r="O75" s="19" t="str">
        <f t="shared" si="16"/>
        <v/>
      </c>
      <c r="P75" s="19" t="str">
        <f t="shared" si="17"/>
        <v/>
      </c>
      <c r="Q75" s="19" t="str">
        <f t="shared" si="18"/>
        <v/>
      </c>
      <c r="R75" s="19" t="str">
        <f t="shared" si="30"/>
        <v/>
      </c>
      <c r="S75" s="27" t="str">
        <f t="shared" si="24"/>
        <v/>
      </c>
      <c r="T75" s="28" t="str">
        <f t="shared" si="25"/>
        <v/>
      </c>
      <c r="U75" s="28" t="str">
        <f t="shared" si="26"/>
        <v/>
      </c>
      <c r="V75" s="28" t="str">
        <f t="shared" si="27"/>
        <v/>
      </c>
      <c r="W75" s="28" t="str">
        <f t="shared" si="28"/>
        <v/>
      </c>
      <c r="X75" s="29" t="str">
        <f t="shared" si="29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21"/>
        <v/>
      </c>
      <c r="M76" s="19" t="str">
        <f t="shared" si="22"/>
        <v/>
      </c>
      <c r="N76" s="19" t="str">
        <f t="shared" si="23"/>
        <v/>
      </c>
      <c r="O76" s="19" t="str">
        <f t="shared" si="16"/>
        <v/>
      </c>
      <c r="P76" s="19" t="str">
        <f t="shared" si="17"/>
        <v/>
      </c>
      <c r="Q76" s="19" t="str">
        <f t="shared" si="18"/>
        <v/>
      </c>
      <c r="R76" s="19" t="str">
        <f t="shared" si="30"/>
        <v/>
      </c>
      <c r="S76" s="27" t="str">
        <f t="shared" si="24"/>
        <v/>
      </c>
      <c r="T76" s="28" t="str">
        <f t="shared" si="25"/>
        <v/>
      </c>
      <c r="U76" s="28" t="str">
        <f t="shared" si="26"/>
        <v/>
      </c>
      <c r="V76" s="28" t="str">
        <f t="shared" si="27"/>
        <v/>
      </c>
      <c r="W76" s="28" t="str">
        <f t="shared" si="28"/>
        <v/>
      </c>
      <c r="X76" s="29" t="str">
        <f t="shared" si="29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21"/>
        <v/>
      </c>
      <c r="M77" s="19" t="str">
        <f t="shared" si="22"/>
        <v/>
      </c>
      <c r="N77" s="19" t="str">
        <f t="shared" si="23"/>
        <v/>
      </c>
      <c r="O77" s="19" t="str">
        <f t="shared" si="16"/>
        <v/>
      </c>
      <c r="P77" s="19" t="str">
        <f t="shared" si="17"/>
        <v/>
      </c>
      <c r="Q77" s="19" t="str">
        <f t="shared" si="18"/>
        <v/>
      </c>
      <c r="R77" s="19" t="str">
        <f t="shared" si="30"/>
        <v/>
      </c>
      <c r="S77" s="27" t="str">
        <f t="shared" si="24"/>
        <v/>
      </c>
      <c r="T77" s="28" t="str">
        <f t="shared" si="25"/>
        <v/>
      </c>
      <c r="U77" s="28" t="str">
        <f t="shared" si="26"/>
        <v/>
      </c>
      <c r="V77" s="28" t="str">
        <f t="shared" si="27"/>
        <v/>
      </c>
      <c r="W77" s="28" t="str">
        <f t="shared" si="28"/>
        <v/>
      </c>
      <c r="X77" s="29" t="str">
        <f t="shared" si="29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21"/>
        <v/>
      </c>
      <c r="M78" s="19" t="str">
        <f t="shared" si="22"/>
        <v/>
      </c>
      <c r="N78" s="19" t="str">
        <f t="shared" si="23"/>
        <v/>
      </c>
      <c r="O78" s="19" t="str">
        <f t="shared" si="16"/>
        <v/>
      </c>
      <c r="P78" s="19" t="str">
        <f t="shared" si="17"/>
        <v/>
      </c>
      <c r="Q78" s="19" t="str">
        <f t="shared" si="18"/>
        <v/>
      </c>
      <c r="R78" s="19" t="str">
        <f t="shared" si="30"/>
        <v/>
      </c>
      <c r="S78" s="27" t="str">
        <f t="shared" si="24"/>
        <v/>
      </c>
      <c r="T78" s="28" t="str">
        <f t="shared" si="25"/>
        <v/>
      </c>
      <c r="U78" s="28" t="str">
        <f t="shared" si="26"/>
        <v/>
      </c>
      <c r="V78" s="28" t="str">
        <f t="shared" si="27"/>
        <v/>
      </c>
      <c r="W78" s="28" t="str">
        <f t="shared" si="28"/>
        <v/>
      </c>
      <c r="X78" s="29" t="str">
        <f t="shared" si="29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21"/>
        <v/>
      </c>
      <c r="M79" s="19" t="str">
        <f t="shared" si="22"/>
        <v/>
      </c>
      <c r="N79" s="19" t="str">
        <f t="shared" si="23"/>
        <v/>
      </c>
      <c r="O79" s="19" t="str">
        <f t="shared" si="16"/>
        <v/>
      </c>
      <c r="P79" s="19" t="str">
        <f t="shared" si="17"/>
        <v/>
      </c>
      <c r="Q79" s="19" t="str">
        <f t="shared" si="18"/>
        <v/>
      </c>
      <c r="R79" s="19" t="str">
        <f t="shared" si="30"/>
        <v/>
      </c>
      <c r="S79" s="27" t="str">
        <f t="shared" si="24"/>
        <v/>
      </c>
      <c r="T79" s="28" t="str">
        <f t="shared" si="25"/>
        <v/>
      </c>
      <c r="U79" s="28" t="str">
        <f t="shared" si="26"/>
        <v/>
      </c>
      <c r="V79" s="28" t="str">
        <f t="shared" si="27"/>
        <v/>
      </c>
      <c r="W79" s="28" t="str">
        <f t="shared" si="28"/>
        <v/>
      </c>
      <c r="X79" s="29" t="str">
        <f t="shared" si="29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ref="L80:L111" si="31">IF(ISBLANK(C80),"",(C80-C$16)*1000)</f>
        <v/>
      </c>
      <c r="M80" s="19" t="str">
        <f t="shared" ref="M80:M111" si="32">IF(ISBLANK(D80),"",(D80-D$16)*1000)</f>
        <v/>
      </c>
      <c r="N80" s="19" t="str">
        <f t="shared" ref="N80:N111" si="33">IF(ISBLANK(E80),"",(E80-E$16)*1000)</f>
        <v/>
      </c>
      <c r="O80" s="19" t="str">
        <f t="shared" si="16"/>
        <v/>
      </c>
      <c r="P80" s="19" t="str">
        <f t="shared" si="17"/>
        <v/>
      </c>
      <c r="Q80" s="19" t="str">
        <f t="shared" si="18"/>
        <v/>
      </c>
      <c r="R80" s="19" t="str">
        <f t="shared" si="30"/>
        <v/>
      </c>
      <c r="S80" s="27" t="str">
        <f t="shared" si="24"/>
        <v/>
      </c>
      <c r="T80" s="28" t="str">
        <f t="shared" si="25"/>
        <v/>
      </c>
      <c r="U80" s="28" t="str">
        <f t="shared" si="26"/>
        <v/>
      </c>
      <c r="V80" s="28" t="str">
        <f t="shared" si="27"/>
        <v/>
      </c>
      <c r="W80" s="28" t="str">
        <f t="shared" si="28"/>
        <v/>
      </c>
      <c r="X80" s="29" t="str">
        <f t="shared" si="29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1"/>
        <v/>
      </c>
      <c r="M81" s="19" t="str">
        <f t="shared" si="32"/>
        <v/>
      </c>
      <c r="N81" s="19" t="str">
        <f t="shared" si="33"/>
        <v/>
      </c>
      <c r="O81" s="19" t="str">
        <f t="shared" si="16"/>
        <v/>
      </c>
      <c r="P81" s="19" t="str">
        <f t="shared" si="17"/>
        <v/>
      </c>
      <c r="Q81" s="19" t="str">
        <f t="shared" si="18"/>
        <v/>
      </c>
      <c r="R81" s="19" t="str">
        <f t="shared" si="30"/>
        <v/>
      </c>
      <c r="S81" s="27" t="str">
        <f t="shared" ref="S81:S112" si="34">IF(C81="","",((C81-C80)*1000)/($B81-$B80))</f>
        <v/>
      </c>
      <c r="T81" s="28" t="str">
        <f t="shared" ref="T81:T112" si="35">IF(D81="","",((D81-D80)*1000)/($B81-$B80))</f>
        <v/>
      </c>
      <c r="U81" s="28" t="str">
        <f t="shared" ref="U81:U112" si="36">IF(E81="","",((E81-E80)*1000)/($B81-$B80))</f>
        <v/>
      </c>
      <c r="V81" s="28" t="str">
        <f t="shared" ref="V81:V112" si="37">IF(F81="","",((F81-F80)*1000)/($B81-$B80))</f>
        <v/>
      </c>
      <c r="W81" s="28" t="str">
        <f t="shared" ref="W81:W112" si="38">IF(G81="","",((G81-G80)*1000)/($B81-$B80))</f>
        <v/>
      </c>
      <c r="X81" s="29" t="str">
        <f t="shared" ref="X81:X112" si="39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1"/>
        <v/>
      </c>
      <c r="M82" s="19" t="str">
        <f t="shared" si="32"/>
        <v/>
      </c>
      <c r="N82" s="19" t="str">
        <f t="shared" si="33"/>
        <v/>
      </c>
      <c r="O82" s="19" t="str">
        <f t="shared" si="16"/>
        <v/>
      </c>
      <c r="P82" s="19" t="str">
        <f t="shared" si="17"/>
        <v/>
      </c>
      <c r="Q82" s="19" t="str">
        <f t="shared" si="18"/>
        <v/>
      </c>
      <c r="R82" s="19" t="str">
        <f t="shared" si="30"/>
        <v/>
      </c>
      <c r="S82" s="27" t="str">
        <f t="shared" si="34"/>
        <v/>
      </c>
      <c r="T82" s="28" t="str">
        <f t="shared" si="35"/>
        <v/>
      </c>
      <c r="U82" s="28" t="str">
        <f t="shared" si="36"/>
        <v/>
      </c>
      <c r="V82" s="28" t="str">
        <f t="shared" si="37"/>
        <v/>
      </c>
      <c r="W82" s="28" t="str">
        <f t="shared" si="38"/>
        <v/>
      </c>
      <c r="X82" s="29" t="str">
        <f t="shared" si="39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1"/>
        <v/>
      </c>
      <c r="M83" s="19" t="str">
        <f t="shared" si="32"/>
        <v/>
      </c>
      <c r="N83" s="19" t="str">
        <f t="shared" si="33"/>
        <v/>
      </c>
      <c r="O83" s="19" t="str">
        <f t="shared" si="16"/>
        <v/>
      </c>
      <c r="P83" s="19" t="str">
        <f t="shared" si="17"/>
        <v/>
      </c>
      <c r="Q83" s="19" t="str">
        <f t="shared" si="18"/>
        <v/>
      </c>
      <c r="R83" s="19" t="str">
        <f t="shared" si="30"/>
        <v/>
      </c>
      <c r="S83" s="27" t="str">
        <f t="shared" si="34"/>
        <v/>
      </c>
      <c r="T83" s="28" t="str">
        <f t="shared" si="35"/>
        <v/>
      </c>
      <c r="U83" s="28" t="str">
        <f t="shared" si="36"/>
        <v/>
      </c>
      <c r="V83" s="28" t="str">
        <f t="shared" si="37"/>
        <v/>
      </c>
      <c r="W83" s="28" t="str">
        <f t="shared" si="38"/>
        <v/>
      </c>
      <c r="X83" s="29" t="str">
        <f t="shared" si="39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1"/>
        <v/>
      </c>
      <c r="M84" s="19" t="str">
        <f t="shared" si="32"/>
        <v/>
      </c>
      <c r="N84" s="19" t="str">
        <f t="shared" si="33"/>
        <v/>
      </c>
      <c r="O84" s="19" t="str">
        <f t="shared" si="16"/>
        <v/>
      </c>
      <c r="P84" s="19" t="str">
        <f t="shared" si="17"/>
        <v/>
      </c>
      <c r="Q84" s="19" t="str">
        <f t="shared" si="18"/>
        <v/>
      </c>
      <c r="R84" s="19" t="str">
        <f t="shared" si="30"/>
        <v/>
      </c>
      <c r="S84" s="27" t="str">
        <f t="shared" si="34"/>
        <v/>
      </c>
      <c r="T84" s="28" t="str">
        <f t="shared" si="35"/>
        <v/>
      </c>
      <c r="U84" s="28" t="str">
        <f t="shared" si="36"/>
        <v/>
      </c>
      <c r="V84" s="28" t="str">
        <f t="shared" si="37"/>
        <v/>
      </c>
      <c r="W84" s="28" t="str">
        <f t="shared" si="38"/>
        <v/>
      </c>
      <c r="X84" s="29" t="str">
        <f t="shared" si="39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1"/>
        <v/>
      </c>
      <c r="M85" s="19" t="str">
        <f t="shared" si="32"/>
        <v/>
      </c>
      <c r="N85" s="19" t="str">
        <f t="shared" si="33"/>
        <v/>
      </c>
      <c r="O85" s="19" t="str">
        <f t="shared" si="16"/>
        <v/>
      </c>
      <c r="P85" s="19" t="str">
        <f t="shared" si="17"/>
        <v/>
      </c>
      <c r="Q85" s="19" t="str">
        <f t="shared" si="18"/>
        <v/>
      </c>
      <c r="R85" s="19" t="str">
        <f t="shared" si="30"/>
        <v/>
      </c>
      <c r="S85" s="27" t="str">
        <f t="shared" si="34"/>
        <v/>
      </c>
      <c r="T85" s="28" t="str">
        <f t="shared" si="35"/>
        <v/>
      </c>
      <c r="U85" s="28" t="str">
        <f t="shared" si="36"/>
        <v/>
      </c>
      <c r="V85" s="28" t="str">
        <f t="shared" si="37"/>
        <v/>
      </c>
      <c r="W85" s="28" t="str">
        <f t="shared" si="38"/>
        <v/>
      </c>
      <c r="X85" s="29" t="str">
        <f t="shared" si="39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1"/>
        <v/>
      </c>
      <c r="M86" s="19" t="str">
        <f t="shared" si="32"/>
        <v/>
      </c>
      <c r="N86" s="19" t="str">
        <f t="shared" si="33"/>
        <v/>
      </c>
      <c r="O86" s="19" t="str">
        <f t="shared" si="16"/>
        <v/>
      </c>
      <c r="P86" s="19" t="str">
        <f t="shared" si="17"/>
        <v/>
      </c>
      <c r="Q86" s="19" t="str">
        <f t="shared" si="18"/>
        <v/>
      </c>
      <c r="R86" s="19" t="str">
        <f t="shared" si="30"/>
        <v/>
      </c>
      <c r="S86" s="27" t="str">
        <f t="shared" si="34"/>
        <v/>
      </c>
      <c r="T86" s="28" t="str">
        <f t="shared" si="35"/>
        <v/>
      </c>
      <c r="U86" s="28" t="str">
        <f t="shared" si="36"/>
        <v/>
      </c>
      <c r="V86" s="28" t="str">
        <f t="shared" si="37"/>
        <v/>
      </c>
      <c r="W86" s="28" t="str">
        <f t="shared" si="38"/>
        <v/>
      </c>
      <c r="X86" s="29" t="str">
        <f t="shared" si="39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1"/>
        <v/>
      </c>
      <c r="M87" s="19" t="str">
        <f t="shared" si="32"/>
        <v/>
      </c>
      <c r="N87" s="19" t="str">
        <f t="shared" si="33"/>
        <v/>
      </c>
      <c r="O87" s="19" t="str">
        <f t="shared" si="16"/>
        <v/>
      </c>
      <c r="P87" s="19" t="str">
        <f t="shared" si="17"/>
        <v/>
      </c>
      <c r="Q87" s="19" t="str">
        <f t="shared" si="18"/>
        <v/>
      </c>
      <c r="R87" s="19" t="str">
        <f t="shared" si="30"/>
        <v/>
      </c>
      <c r="S87" s="27" t="str">
        <f t="shared" si="34"/>
        <v/>
      </c>
      <c r="T87" s="28" t="str">
        <f t="shared" si="35"/>
        <v/>
      </c>
      <c r="U87" s="28" t="str">
        <f t="shared" si="36"/>
        <v/>
      </c>
      <c r="V87" s="28" t="str">
        <f t="shared" si="37"/>
        <v/>
      </c>
      <c r="W87" s="28" t="str">
        <f t="shared" si="38"/>
        <v/>
      </c>
      <c r="X87" s="29" t="str">
        <f t="shared" si="39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1"/>
        <v/>
      </c>
      <c r="M88" s="19" t="str">
        <f t="shared" si="32"/>
        <v/>
      </c>
      <c r="N88" s="19" t="str">
        <f t="shared" si="33"/>
        <v/>
      </c>
      <c r="O88" s="19" t="str">
        <f t="shared" si="16"/>
        <v/>
      </c>
      <c r="P88" s="19" t="str">
        <f t="shared" si="17"/>
        <v/>
      </c>
      <c r="Q88" s="19" t="str">
        <f t="shared" si="18"/>
        <v/>
      </c>
      <c r="R88" s="19" t="str">
        <f t="shared" si="30"/>
        <v/>
      </c>
      <c r="S88" s="27" t="str">
        <f t="shared" si="34"/>
        <v/>
      </c>
      <c r="T88" s="28" t="str">
        <f t="shared" si="35"/>
        <v/>
      </c>
      <c r="U88" s="28" t="str">
        <f t="shared" si="36"/>
        <v/>
      </c>
      <c r="V88" s="28" t="str">
        <f t="shared" si="37"/>
        <v/>
      </c>
      <c r="W88" s="28" t="str">
        <f t="shared" si="38"/>
        <v/>
      </c>
      <c r="X88" s="29" t="str">
        <f t="shared" si="39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1"/>
        <v/>
      </c>
      <c r="M89" s="19" t="str">
        <f t="shared" si="32"/>
        <v/>
      </c>
      <c r="N89" s="19" t="str">
        <f t="shared" si="33"/>
        <v/>
      </c>
      <c r="O89" s="19" t="str">
        <f t="shared" si="16"/>
        <v/>
      </c>
      <c r="P89" s="19" t="str">
        <f t="shared" si="17"/>
        <v/>
      </c>
      <c r="Q89" s="19" t="str">
        <f t="shared" si="18"/>
        <v/>
      </c>
      <c r="R89" s="19" t="str">
        <f t="shared" si="30"/>
        <v/>
      </c>
      <c r="S89" s="27" t="str">
        <f t="shared" si="34"/>
        <v/>
      </c>
      <c r="T89" s="28" t="str">
        <f t="shared" si="35"/>
        <v/>
      </c>
      <c r="U89" s="28" t="str">
        <f t="shared" si="36"/>
        <v/>
      </c>
      <c r="V89" s="28" t="str">
        <f t="shared" si="37"/>
        <v/>
      </c>
      <c r="W89" s="28" t="str">
        <f t="shared" si="38"/>
        <v/>
      </c>
      <c r="X89" s="29" t="str">
        <f t="shared" si="39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1"/>
        <v/>
      </c>
      <c r="M90" s="19" t="str">
        <f t="shared" si="32"/>
        <v/>
      </c>
      <c r="N90" s="19" t="str">
        <f t="shared" si="33"/>
        <v/>
      </c>
      <c r="O90" s="19" t="str">
        <f t="shared" si="16"/>
        <v/>
      </c>
      <c r="P90" s="19" t="str">
        <f t="shared" si="17"/>
        <v/>
      </c>
      <c r="Q90" s="19" t="str">
        <f t="shared" si="18"/>
        <v/>
      </c>
      <c r="R90" s="19" t="str">
        <f t="shared" si="30"/>
        <v/>
      </c>
      <c r="S90" s="27" t="str">
        <f t="shared" si="34"/>
        <v/>
      </c>
      <c r="T90" s="28" t="str">
        <f t="shared" si="35"/>
        <v/>
      </c>
      <c r="U90" s="28" t="str">
        <f t="shared" si="36"/>
        <v/>
      </c>
      <c r="V90" s="28" t="str">
        <f t="shared" si="37"/>
        <v/>
      </c>
      <c r="W90" s="28" t="str">
        <f t="shared" si="38"/>
        <v/>
      </c>
      <c r="X90" s="29" t="str">
        <f t="shared" si="39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1"/>
        <v/>
      </c>
      <c r="M91" s="19" t="str">
        <f t="shared" si="32"/>
        <v/>
      </c>
      <c r="N91" s="19" t="str">
        <f t="shared" si="33"/>
        <v/>
      </c>
      <c r="O91" s="19" t="str">
        <f t="shared" si="16"/>
        <v/>
      </c>
      <c r="P91" s="19" t="str">
        <f t="shared" si="17"/>
        <v/>
      </c>
      <c r="Q91" s="19" t="str">
        <f t="shared" si="18"/>
        <v/>
      </c>
      <c r="R91" s="19" t="str">
        <f t="shared" si="30"/>
        <v/>
      </c>
      <c r="S91" s="27" t="str">
        <f t="shared" si="34"/>
        <v/>
      </c>
      <c r="T91" s="28" t="str">
        <f t="shared" si="35"/>
        <v/>
      </c>
      <c r="U91" s="28" t="str">
        <f t="shared" si="36"/>
        <v/>
      </c>
      <c r="V91" s="28" t="str">
        <f t="shared" si="37"/>
        <v/>
      </c>
      <c r="W91" s="28" t="str">
        <f t="shared" si="38"/>
        <v/>
      </c>
      <c r="X91" s="29" t="str">
        <f t="shared" si="39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1"/>
        <v/>
      </c>
      <c r="M92" s="19" t="str">
        <f t="shared" si="32"/>
        <v/>
      </c>
      <c r="N92" s="19" t="str">
        <f t="shared" si="33"/>
        <v/>
      </c>
      <c r="O92" s="19" t="str">
        <f t="shared" si="16"/>
        <v/>
      </c>
      <c r="P92" s="19" t="str">
        <f t="shared" si="17"/>
        <v/>
      </c>
      <c r="Q92" s="19" t="str">
        <f t="shared" si="18"/>
        <v/>
      </c>
      <c r="R92" s="19" t="str">
        <f t="shared" si="30"/>
        <v/>
      </c>
      <c r="S92" s="27" t="str">
        <f t="shared" si="34"/>
        <v/>
      </c>
      <c r="T92" s="28" t="str">
        <f t="shared" si="35"/>
        <v/>
      </c>
      <c r="U92" s="28" t="str">
        <f t="shared" si="36"/>
        <v/>
      </c>
      <c r="V92" s="28" t="str">
        <f t="shared" si="37"/>
        <v/>
      </c>
      <c r="W92" s="28" t="str">
        <f t="shared" si="38"/>
        <v/>
      </c>
      <c r="X92" s="29" t="str">
        <f t="shared" si="39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1"/>
        <v/>
      </c>
      <c r="M93" s="19" t="str">
        <f t="shared" si="32"/>
        <v/>
      </c>
      <c r="N93" s="19" t="str">
        <f t="shared" si="33"/>
        <v/>
      </c>
      <c r="O93" s="19" t="str">
        <f t="shared" si="16"/>
        <v/>
      </c>
      <c r="P93" s="19" t="str">
        <f t="shared" si="17"/>
        <v/>
      </c>
      <c r="Q93" s="19" t="str">
        <f t="shared" si="18"/>
        <v/>
      </c>
      <c r="R93" s="19" t="str">
        <f t="shared" si="30"/>
        <v/>
      </c>
      <c r="S93" s="27" t="str">
        <f t="shared" si="34"/>
        <v/>
      </c>
      <c r="T93" s="28" t="str">
        <f t="shared" si="35"/>
        <v/>
      </c>
      <c r="U93" s="28" t="str">
        <f t="shared" si="36"/>
        <v/>
      </c>
      <c r="V93" s="28" t="str">
        <f t="shared" si="37"/>
        <v/>
      </c>
      <c r="W93" s="28" t="str">
        <f t="shared" si="38"/>
        <v/>
      </c>
      <c r="X93" s="29" t="str">
        <f t="shared" si="39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1"/>
        <v/>
      </c>
      <c r="M94" s="19" t="str">
        <f t="shared" si="32"/>
        <v/>
      </c>
      <c r="N94" s="19" t="str">
        <f t="shared" si="33"/>
        <v/>
      </c>
      <c r="O94" s="19" t="str">
        <f t="shared" si="16"/>
        <v/>
      </c>
      <c r="P94" s="19" t="str">
        <f t="shared" si="17"/>
        <v/>
      </c>
      <c r="Q94" s="19" t="str">
        <f t="shared" si="18"/>
        <v/>
      </c>
      <c r="R94" s="19" t="str">
        <f t="shared" si="30"/>
        <v/>
      </c>
      <c r="S94" s="27" t="str">
        <f t="shared" si="34"/>
        <v/>
      </c>
      <c r="T94" s="28" t="str">
        <f t="shared" si="35"/>
        <v/>
      </c>
      <c r="U94" s="28" t="str">
        <f t="shared" si="36"/>
        <v/>
      </c>
      <c r="V94" s="28" t="str">
        <f t="shared" si="37"/>
        <v/>
      </c>
      <c r="W94" s="28" t="str">
        <f t="shared" si="38"/>
        <v/>
      </c>
      <c r="X94" s="29" t="str">
        <f t="shared" si="39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1"/>
        <v/>
      </c>
      <c r="M95" s="19" t="str">
        <f t="shared" si="32"/>
        <v/>
      </c>
      <c r="N95" s="19" t="str">
        <f t="shared" si="33"/>
        <v/>
      </c>
      <c r="O95" s="19" t="str">
        <f t="shared" si="16"/>
        <v/>
      </c>
      <c r="P95" s="19" t="str">
        <f t="shared" si="17"/>
        <v/>
      </c>
      <c r="Q95" s="19" t="str">
        <f t="shared" si="18"/>
        <v/>
      </c>
      <c r="R95" s="19" t="str">
        <f t="shared" si="30"/>
        <v/>
      </c>
      <c r="S95" s="27" t="str">
        <f t="shared" si="34"/>
        <v/>
      </c>
      <c r="T95" s="28" t="str">
        <f t="shared" si="35"/>
        <v/>
      </c>
      <c r="U95" s="28" t="str">
        <f t="shared" si="36"/>
        <v/>
      </c>
      <c r="V95" s="28" t="str">
        <f t="shared" si="37"/>
        <v/>
      </c>
      <c r="W95" s="28" t="str">
        <f t="shared" si="38"/>
        <v/>
      </c>
      <c r="X95" s="29" t="str">
        <f t="shared" si="39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1"/>
        <v/>
      </c>
      <c r="M96" s="19" t="str">
        <f t="shared" si="32"/>
        <v/>
      </c>
      <c r="N96" s="19" t="str">
        <f t="shared" si="33"/>
        <v/>
      </c>
      <c r="O96" s="19" t="str">
        <f t="shared" si="16"/>
        <v/>
      </c>
      <c r="P96" s="19" t="str">
        <f t="shared" si="17"/>
        <v/>
      </c>
      <c r="Q96" s="19" t="str">
        <f t="shared" si="18"/>
        <v/>
      </c>
      <c r="R96" s="19" t="str">
        <f t="shared" si="30"/>
        <v/>
      </c>
      <c r="S96" s="27" t="str">
        <f t="shared" si="34"/>
        <v/>
      </c>
      <c r="T96" s="28" t="str">
        <f t="shared" si="35"/>
        <v/>
      </c>
      <c r="U96" s="28" t="str">
        <f t="shared" si="36"/>
        <v/>
      </c>
      <c r="V96" s="28" t="str">
        <f t="shared" si="37"/>
        <v/>
      </c>
      <c r="W96" s="28" t="str">
        <f t="shared" si="38"/>
        <v/>
      </c>
      <c r="X96" s="29" t="str">
        <f t="shared" si="39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1"/>
        <v/>
      </c>
      <c r="M97" s="19" t="str">
        <f t="shared" si="32"/>
        <v/>
      </c>
      <c r="N97" s="19" t="str">
        <f t="shared" si="33"/>
        <v/>
      </c>
      <c r="O97" s="19" t="str">
        <f t="shared" si="16"/>
        <v/>
      </c>
      <c r="P97" s="19" t="str">
        <f t="shared" si="17"/>
        <v/>
      </c>
      <c r="Q97" s="19" t="str">
        <f t="shared" si="18"/>
        <v/>
      </c>
      <c r="R97" s="19" t="str">
        <f t="shared" ref="R97:R128" si="40">IF(ISBLANK(I97),"",(I97-I$16)*1000)</f>
        <v/>
      </c>
      <c r="S97" s="27" t="str">
        <f t="shared" si="34"/>
        <v/>
      </c>
      <c r="T97" s="28" t="str">
        <f t="shared" si="35"/>
        <v/>
      </c>
      <c r="U97" s="28" t="str">
        <f t="shared" si="36"/>
        <v/>
      </c>
      <c r="V97" s="28" t="str">
        <f t="shared" si="37"/>
        <v/>
      </c>
      <c r="W97" s="28" t="str">
        <f t="shared" si="38"/>
        <v/>
      </c>
      <c r="X97" s="29" t="str">
        <f t="shared" si="3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1"/>
        <v/>
      </c>
      <c r="M98" s="19" t="str">
        <f t="shared" si="32"/>
        <v/>
      </c>
      <c r="N98" s="19" t="str">
        <f t="shared" si="33"/>
        <v/>
      </c>
      <c r="O98" s="19" t="str">
        <f t="shared" si="16"/>
        <v/>
      </c>
      <c r="P98" s="19" t="str">
        <f t="shared" si="17"/>
        <v/>
      </c>
      <c r="Q98" s="19" t="str">
        <f t="shared" si="18"/>
        <v/>
      </c>
      <c r="R98" s="19" t="str">
        <f t="shared" si="40"/>
        <v/>
      </c>
      <c r="S98" s="27" t="str">
        <f t="shared" si="34"/>
        <v/>
      </c>
      <c r="T98" s="28" t="str">
        <f t="shared" si="35"/>
        <v/>
      </c>
      <c r="U98" s="28" t="str">
        <f t="shared" si="36"/>
        <v/>
      </c>
      <c r="V98" s="28" t="str">
        <f t="shared" si="37"/>
        <v/>
      </c>
      <c r="W98" s="28" t="str">
        <f t="shared" si="38"/>
        <v/>
      </c>
      <c r="X98" s="29" t="str">
        <f t="shared" si="3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1"/>
        <v/>
      </c>
      <c r="M99" s="19" t="str">
        <f t="shared" si="32"/>
        <v/>
      </c>
      <c r="N99" s="19" t="str">
        <f t="shared" si="33"/>
        <v/>
      </c>
      <c r="O99" s="19" t="str">
        <f t="shared" ref="O99:O153" si="41">IF(ISBLANK(F99),"",((F99-F$34)*1000)+L$34)</f>
        <v/>
      </c>
      <c r="P99" s="19" t="str">
        <f t="shared" ref="P99:P153" si="42">IF(ISBLANK(G99),"",((G99-G$34)*1000)+M$34)</f>
        <v/>
      </c>
      <c r="Q99" s="19" t="str">
        <f t="shared" ref="Q99:Q153" si="43">IF(ISBLANK(H99),"",((H99-H$34)*1000)+N$34)</f>
        <v/>
      </c>
      <c r="R99" s="19" t="str">
        <f t="shared" si="40"/>
        <v/>
      </c>
      <c r="S99" s="27" t="str">
        <f t="shared" si="34"/>
        <v/>
      </c>
      <c r="T99" s="28" t="str">
        <f t="shared" si="35"/>
        <v/>
      </c>
      <c r="U99" s="28" t="str">
        <f t="shared" si="36"/>
        <v/>
      </c>
      <c r="V99" s="28" t="str">
        <f t="shared" si="37"/>
        <v/>
      </c>
      <c r="W99" s="28" t="str">
        <f t="shared" si="38"/>
        <v/>
      </c>
      <c r="X99" s="29" t="str">
        <f t="shared" si="3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1"/>
        <v/>
      </c>
      <c r="M100" s="19" t="str">
        <f t="shared" si="32"/>
        <v/>
      </c>
      <c r="N100" s="19" t="str">
        <f t="shared" si="33"/>
        <v/>
      </c>
      <c r="O100" s="19" t="str">
        <f t="shared" si="41"/>
        <v/>
      </c>
      <c r="P100" s="19" t="str">
        <f t="shared" si="42"/>
        <v/>
      </c>
      <c r="Q100" s="19" t="str">
        <f t="shared" si="43"/>
        <v/>
      </c>
      <c r="R100" s="19" t="str">
        <f t="shared" si="40"/>
        <v/>
      </c>
      <c r="S100" s="27" t="str">
        <f t="shared" si="34"/>
        <v/>
      </c>
      <c r="T100" s="28" t="str">
        <f t="shared" si="35"/>
        <v/>
      </c>
      <c r="U100" s="28" t="str">
        <f t="shared" si="36"/>
        <v/>
      </c>
      <c r="V100" s="28" t="str">
        <f t="shared" si="37"/>
        <v/>
      </c>
      <c r="W100" s="28" t="str">
        <f t="shared" si="38"/>
        <v/>
      </c>
      <c r="X100" s="29" t="str">
        <f t="shared" si="3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1"/>
        <v/>
      </c>
      <c r="M101" s="19" t="str">
        <f t="shared" si="32"/>
        <v/>
      </c>
      <c r="N101" s="19" t="str">
        <f t="shared" si="33"/>
        <v/>
      </c>
      <c r="O101" s="19" t="str">
        <f t="shared" si="41"/>
        <v/>
      </c>
      <c r="P101" s="19" t="str">
        <f t="shared" si="42"/>
        <v/>
      </c>
      <c r="Q101" s="19" t="str">
        <f t="shared" si="43"/>
        <v/>
      </c>
      <c r="R101" s="19" t="str">
        <f t="shared" si="40"/>
        <v/>
      </c>
      <c r="S101" s="27" t="str">
        <f t="shared" si="34"/>
        <v/>
      </c>
      <c r="T101" s="28" t="str">
        <f t="shared" si="35"/>
        <v/>
      </c>
      <c r="U101" s="28" t="str">
        <f t="shared" si="36"/>
        <v/>
      </c>
      <c r="V101" s="28" t="str">
        <f t="shared" si="37"/>
        <v/>
      </c>
      <c r="W101" s="28" t="str">
        <f t="shared" si="38"/>
        <v/>
      </c>
      <c r="X101" s="29" t="str">
        <f t="shared" si="3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1"/>
        <v/>
      </c>
      <c r="M102" s="19" t="str">
        <f t="shared" si="32"/>
        <v/>
      </c>
      <c r="N102" s="19" t="str">
        <f t="shared" si="33"/>
        <v/>
      </c>
      <c r="O102" s="19" t="str">
        <f t="shared" si="41"/>
        <v/>
      </c>
      <c r="P102" s="19" t="str">
        <f t="shared" si="42"/>
        <v/>
      </c>
      <c r="Q102" s="19" t="str">
        <f t="shared" si="43"/>
        <v/>
      </c>
      <c r="R102" s="19" t="str">
        <f t="shared" si="40"/>
        <v/>
      </c>
      <c r="S102" s="27" t="str">
        <f t="shared" si="34"/>
        <v/>
      </c>
      <c r="T102" s="28" t="str">
        <f t="shared" si="35"/>
        <v/>
      </c>
      <c r="U102" s="28" t="str">
        <f t="shared" si="36"/>
        <v/>
      </c>
      <c r="V102" s="28" t="str">
        <f t="shared" si="37"/>
        <v/>
      </c>
      <c r="W102" s="28" t="str">
        <f t="shared" si="38"/>
        <v/>
      </c>
      <c r="X102" s="29" t="str">
        <f t="shared" si="3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1"/>
        <v/>
      </c>
      <c r="M103" s="19" t="str">
        <f t="shared" si="32"/>
        <v/>
      </c>
      <c r="N103" s="19" t="str">
        <f t="shared" si="33"/>
        <v/>
      </c>
      <c r="O103" s="19" t="str">
        <f t="shared" si="41"/>
        <v/>
      </c>
      <c r="P103" s="19" t="str">
        <f t="shared" si="42"/>
        <v/>
      </c>
      <c r="Q103" s="19" t="str">
        <f t="shared" si="43"/>
        <v/>
      </c>
      <c r="R103" s="19" t="str">
        <f t="shared" si="40"/>
        <v/>
      </c>
      <c r="S103" s="27" t="str">
        <f t="shared" si="34"/>
        <v/>
      </c>
      <c r="T103" s="28" t="str">
        <f t="shared" si="35"/>
        <v/>
      </c>
      <c r="U103" s="28" t="str">
        <f t="shared" si="36"/>
        <v/>
      </c>
      <c r="V103" s="28" t="str">
        <f t="shared" si="37"/>
        <v/>
      </c>
      <c r="W103" s="28" t="str">
        <f t="shared" si="38"/>
        <v/>
      </c>
      <c r="X103" s="29" t="str">
        <f t="shared" si="3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1"/>
        <v/>
      </c>
      <c r="M104" s="19" t="str">
        <f t="shared" si="32"/>
        <v/>
      </c>
      <c r="N104" s="19" t="str">
        <f t="shared" si="33"/>
        <v/>
      </c>
      <c r="O104" s="19" t="str">
        <f t="shared" si="41"/>
        <v/>
      </c>
      <c r="P104" s="19" t="str">
        <f t="shared" si="42"/>
        <v/>
      </c>
      <c r="Q104" s="19" t="str">
        <f t="shared" si="43"/>
        <v/>
      </c>
      <c r="R104" s="19" t="str">
        <f t="shared" si="40"/>
        <v/>
      </c>
      <c r="S104" s="27" t="str">
        <f t="shared" si="34"/>
        <v/>
      </c>
      <c r="T104" s="28" t="str">
        <f t="shared" si="35"/>
        <v/>
      </c>
      <c r="U104" s="28" t="str">
        <f t="shared" si="36"/>
        <v/>
      </c>
      <c r="V104" s="28" t="str">
        <f t="shared" si="37"/>
        <v/>
      </c>
      <c r="W104" s="28" t="str">
        <f t="shared" si="38"/>
        <v/>
      </c>
      <c r="X104" s="29" t="str">
        <f t="shared" si="3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1"/>
        <v/>
      </c>
      <c r="M105" s="19" t="str">
        <f t="shared" si="32"/>
        <v/>
      </c>
      <c r="N105" s="19" t="str">
        <f t="shared" si="33"/>
        <v/>
      </c>
      <c r="O105" s="19" t="str">
        <f t="shared" si="41"/>
        <v/>
      </c>
      <c r="P105" s="19" t="str">
        <f t="shared" si="42"/>
        <v/>
      </c>
      <c r="Q105" s="19" t="str">
        <f t="shared" si="43"/>
        <v/>
      </c>
      <c r="R105" s="19" t="str">
        <f t="shared" si="40"/>
        <v/>
      </c>
      <c r="S105" s="27" t="str">
        <f t="shared" si="34"/>
        <v/>
      </c>
      <c r="T105" s="28" t="str">
        <f t="shared" si="35"/>
        <v/>
      </c>
      <c r="U105" s="28" t="str">
        <f t="shared" si="36"/>
        <v/>
      </c>
      <c r="V105" s="28" t="str">
        <f t="shared" si="37"/>
        <v/>
      </c>
      <c r="W105" s="28" t="str">
        <f t="shared" si="38"/>
        <v/>
      </c>
      <c r="X105" s="29" t="str">
        <f t="shared" si="3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1"/>
        <v/>
      </c>
      <c r="M106" s="19" t="str">
        <f t="shared" si="32"/>
        <v/>
      </c>
      <c r="N106" s="19" t="str">
        <f t="shared" si="33"/>
        <v/>
      </c>
      <c r="O106" s="19" t="str">
        <f t="shared" si="41"/>
        <v/>
      </c>
      <c r="P106" s="19" t="str">
        <f t="shared" si="42"/>
        <v/>
      </c>
      <c r="Q106" s="19" t="str">
        <f t="shared" si="43"/>
        <v/>
      </c>
      <c r="R106" s="19" t="str">
        <f t="shared" si="40"/>
        <v/>
      </c>
      <c r="S106" s="27" t="str">
        <f t="shared" si="34"/>
        <v/>
      </c>
      <c r="T106" s="28" t="str">
        <f t="shared" si="35"/>
        <v/>
      </c>
      <c r="U106" s="28" t="str">
        <f t="shared" si="36"/>
        <v/>
      </c>
      <c r="V106" s="28" t="str">
        <f t="shared" si="37"/>
        <v/>
      </c>
      <c r="W106" s="28" t="str">
        <f t="shared" si="38"/>
        <v/>
      </c>
      <c r="X106" s="29" t="str">
        <f t="shared" si="3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1"/>
        <v/>
      </c>
      <c r="M107" s="19" t="str">
        <f t="shared" si="32"/>
        <v/>
      </c>
      <c r="N107" s="19" t="str">
        <f t="shared" si="33"/>
        <v/>
      </c>
      <c r="O107" s="19" t="str">
        <f t="shared" si="41"/>
        <v/>
      </c>
      <c r="P107" s="19" t="str">
        <f t="shared" si="42"/>
        <v/>
      </c>
      <c r="Q107" s="19" t="str">
        <f t="shared" si="43"/>
        <v/>
      </c>
      <c r="R107" s="19" t="str">
        <f t="shared" si="40"/>
        <v/>
      </c>
      <c r="S107" s="27" t="str">
        <f t="shared" si="34"/>
        <v/>
      </c>
      <c r="T107" s="28" t="str">
        <f t="shared" si="35"/>
        <v/>
      </c>
      <c r="U107" s="28" t="str">
        <f t="shared" si="36"/>
        <v/>
      </c>
      <c r="V107" s="28" t="str">
        <f t="shared" si="37"/>
        <v/>
      </c>
      <c r="W107" s="28" t="str">
        <f t="shared" si="38"/>
        <v/>
      </c>
      <c r="X107" s="29" t="str">
        <f t="shared" si="3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1"/>
        <v/>
      </c>
      <c r="M108" s="19" t="str">
        <f t="shared" si="32"/>
        <v/>
      </c>
      <c r="N108" s="19" t="str">
        <f t="shared" si="33"/>
        <v/>
      </c>
      <c r="O108" s="19" t="str">
        <f t="shared" si="41"/>
        <v/>
      </c>
      <c r="P108" s="19" t="str">
        <f t="shared" si="42"/>
        <v/>
      </c>
      <c r="Q108" s="19" t="str">
        <f t="shared" si="43"/>
        <v/>
      </c>
      <c r="R108" s="19" t="str">
        <f t="shared" si="40"/>
        <v/>
      </c>
      <c r="S108" s="27" t="str">
        <f t="shared" si="34"/>
        <v/>
      </c>
      <c r="T108" s="28" t="str">
        <f t="shared" si="35"/>
        <v/>
      </c>
      <c r="U108" s="28" t="str">
        <f t="shared" si="36"/>
        <v/>
      </c>
      <c r="V108" s="28" t="str">
        <f t="shared" si="37"/>
        <v/>
      </c>
      <c r="W108" s="28" t="str">
        <f t="shared" si="38"/>
        <v/>
      </c>
      <c r="X108" s="29" t="str">
        <f t="shared" si="3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1"/>
        <v/>
      </c>
      <c r="M109" s="19" t="str">
        <f t="shared" si="32"/>
        <v/>
      </c>
      <c r="N109" s="19" t="str">
        <f t="shared" si="33"/>
        <v/>
      </c>
      <c r="O109" s="19" t="str">
        <f t="shared" si="41"/>
        <v/>
      </c>
      <c r="P109" s="19" t="str">
        <f t="shared" si="42"/>
        <v/>
      </c>
      <c r="Q109" s="19" t="str">
        <f t="shared" si="43"/>
        <v/>
      </c>
      <c r="R109" s="19" t="str">
        <f t="shared" si="40"/>
        <v/>
      </c>
      <c r="S109" s="27" t="str">
        <f t="shared" si="34"/>
        <v/>
      </c>
      <c r="T109" s="28" t="str">
        <f t="shared" si="35"/>
        <v/>
      </c>
      <c r="U109" s="28" t="str">
        <f t="shared" si="36"/>
        <v/>
      </c>
      <c r="V109" s="28" t="str">
        <f t="shared" si="37"/>
        <v/>
      </c>
      <c r="W109" s="28" t="str">
        <f t="shared" si="38"/>
        <v/>
      </c>
      <c r="X109" s="29" t="str">
        <f t="shared" si="3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1"/>
        <v/>
      </c>
      <c r="M110" s="19" t="str">
        <f t="shared" si="32"/>
        <v/>
      </c>
      <c r="N110" s="19" t="str">
        <f t="shared" si="33"/>
        <v/>
      </c>
      <c r="O110" s="19" t="str">
        <f t="shared" si="41"/>
        <v/>
      </c>
      <c r="P110" s="19" t="str">
        <f t="shared" si="42"/>
        <v/>
      </c>
      <c r="Q110" s="19" t="str">
        <f t="shared" si="43"/>
        <v/>
      </c>
      <c r="R110" s="19" t="str">
        <f t="shared" si="40"/>
        <v/>
      </c>
      <c r="S110" s="27" t="str">
        <f t="shared" si="34"/>
        <v/>
      </c>
      <c r="T110" s="28" t="str">
        <f t="shared" si="35"/>
        <v/>
      </c>
      <c r="U110" s="28" t="str">
        <f t="shared" si="36"/>
        <v/>
      </c>
      <c r="V110" s="28" t="str">
        <f t="shared" si="37"/>
        <v/>
      </c>
      <c r="W110" s="28" t="str">
        <f t="shared" si="38"/>
        <v/>
      </c>
      <c r="X110" s="29" t="str">
        <f t="shared" si="3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1"/>
        <v/>
      </c>
      <c r="M111" s="19" t="str">
        <f t="shared" si="32"/>
        <v/>
      </c>
      <c r="N111" s="19" t="str">
        <f t="shared" si="33"/>
        <v/>
      </c>
      <c r="O111" s="19" t="str">
        <f t="shared" si="41"/>
        <v/>
      </c>
      <c r="P111" s="19" t="str">
        <f t="shared" si="42"/>
        <v/>
      </c>
      <c r="Q111" s="19" t="str">
        <f t="shared" si="43"/>
        <v/>
      </c>
      <c r="R111" s="19" t="str">
        <f t="shared" si="40"/>
        <v/>
      </c>
      <c r="S111" s="27" t="str">
        <f t="shared" si="34"/>
        <v/>
      </c>
      <c r="T111" s="28" t="str">
        <f t="shared" si="35"/>
        <v/>
      </c>
      <c r="U111" s="28" t="str">
        <f t="shared" si="36"/>
        <v/>
      </c>
      <c r="V111" s="28" t="str">
        <f t="shared" si="37"/>
        <v/>
      </c>
      <c r="W111" s="28" t="str">
        <f t="shared" si="38"/>
        <v/>
      </c>
      <c r="X111" s="29" t="str">
        <f t="shared" si="3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ref="L112:L143" si="44">IF(ISBLANK(C112),"",(C112-C$16)*1000)</f>
        <v/>
      </c>
      <c r="M112" s="19" t="str">
        <f t="shared" ref="M112:M143" si="45">IF(ISBLANK(D112),"",(D112-D$16)*1000)</f>
        <v/>
      </c>
      <c r="N112" s="19" t="str">
        <f t="shared" ref="N112:N143" si="46">IF(ISBLANK(E112),"",(E112-E$16)*1000)</f>
        <v/>
      </c>
      <c r="O112" s="19" t="str">
        <f t="shared" si="41"/>
        <v/>
      </c>
      <c r="P112" s="19" t="str">
        <f t="shared" si="42"/>
        <v/>
      </c>
      <c r="Q112" s="19" t="str">
        <f t="shared" si="43"/>
        <v/>
      </c>
      <c r="R112" s="19" t="str">
        <f t="shared" si="40"/>
        <v/>
      </c>
      <c r="S112" s="27" t="str">
        <f t="shared" si="34"/>
        <v/>
      </c>
      <c r="T112" s="28" t="str">
        <f t="shared" si="35"/>
        <v/>
      </c>
      <c r="U112" s="28" t="str">
        <f t="shared" si="36"/>
        <v/>
      </c>
      <c r="V112" s="28" t="str">
        <f t="shared" si="37"/>
        <v/>
      </c>
      <c r="W112" s="28" t="str">
        <f t="shared" si="38"/>
        <v/>
      </c>
      <c r="X112" s="29" t="str">
        <f t="shared" si="3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44"/>
        <v/>
      </c>
      <c r="M113" s="19" t="str">
        <f t="shared" si="45"/>
        <v/>
      </c>
      <c r="N113" s="19" t="str">
        <f t="shared" si="46"/>
        <v/>
      </c>
      <c r="O113" s="19" t="str">
        <f t="shared" si="41"/>
        <v/>
      </c>
      <c r="P113" s="19" t="str">
        <f t="shared" si="42"/>
        <v/>
      </c>
      <c r="Q113" s="19" t="str">
        <f t="shared" si="43"/>
        <v/>
      </c>
      <c r="R113" s="19" t="str">
        <f t="shared" si="40"/>
        <v/>
      </c>
      <c r="S113" s="27" t="str">
        <f t="shared" ref="S113:S144" si="47">IF(C113="","",((C113-C112)*1000)/($B113-$B112))</f>
        <v/>
      </c>
      <c r="T113" s="28" t="str">
        <f t="shared" ref="T113:T144" si="48">IF(D113="","",((D113-D112)*1000)/($B113-$B112))</f>
        <v/>
      </c>
      <c r="U113" s="28" t="str">
        <f t="shared" ref="U113:U144" si="49">IF(E113="","",((E113-E112)*1000)/($B113-$B112))</f>
        <v/>
      </c>
      <c r="V113" s="28" t="str">
        <f t="shared" ref="V113:V144" si="50">IF(F113="","",((F113-F112)*1000)/($B113-$B112))</f>
        <v/>
      </c>
      <c r="W113" s="28" t="str">
        <f t="shared" ref="W113:W144" si="51">IF(G113="","",((G113-G112)*1000)/($B113-$B112))</f>
        <v/>
      </c>
      <c r="X113" s="29" t="str">
        <f t="shared" ref="X113:X144" si="52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44"/>
        <v/>
      </c>
      <c r="M114" s="19" t="str">
        <f t="shared" si="45"/>
        <v/>
      </c>
      <c r="N114" s="19" t="str">
        <f t="shared" si="46"/>
        <v/>
      </c>
      <c r="O114" s="19" t="str">
        <f t="shared" si="41"/>
        <v/>
      </c>
      <c r="P114" s="19" t="str">
        <f t="shared" si="42"/>
        <v/>
      </c>
      <c r="Q114" s="19" t="str">
        <f t="shared" si="43"/>
        <v/>
      </c>
      <c r="R114" s="19" t="str">
        <f t="shared" si="40"/>
        <v/>
      </c>
      <c r="S114" s="27" t="str">
        <f t="shared" si="47"/>
        <v/>
      </c>
      <c r="T114" s="28" t="str">
        <f t="shared" si="48"/>
        <v/>
      </c>
      <c r="U114" s="28" t="str">
        <f t="shared" si="49"/>
        <v/>
      </c>
      <c r="V114" s="28" t="str">
        <f t="shared" si="50"/>
        <v/>
      </c>
      <c r="W114" s="28" t="str">
        <f t="shared" si="51"/>
        <v/>
      </c>
      <c r="X114" s="29" t="str">
        <f t="shared" si="52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44"/>
        <v/>
      </c>
      <c r="M115" s="19" t="str">
        <f t="shared" si="45"/>
        <v/>
      </c>
      <c r="N115" s="19" t="str">
        <f t="shared" si="46"/>
        <v/>
      </c>
      <c r="O115" s="19" t="str">
        <f t="shared" si="41"/>
        <v/>
      </c>
      <c r="P115" s="19" t="str">
        <f t="shared" si="42"/>
        <v/>
      </c>
      <c r="Q115" s="19" t="str">
        <f t="shared" si="43"/>
        <v/>
      </c>
      <c r="R115" s="19" t="str">
        <f t="shared" si="40"/>
        <v/>
      </c>
      <c r="S115" s="27" t="str">
        <f t="shared" si="47"/>
        <v/>
      </c>
      <c r="T115" s="28" t="str">
        <f t="shared" si="48"/>
        <v/>
      </c>
      <c r="U115" s="28" t="str">
        <f t="shared" si="49"/>
        <v/>
      </c>
      <c r="V115" s="28" t="str">
        <f t="shared" si="50"/>
        <v/>
      </c>
      <c r="W115" s="28" t="str">
        <f t="shared" si="51"/>
        <v/>
      </c>
      <c r="X115" s="29" t="str">
        <f t="shared" si="52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44"/>
        <v/>
      </c>
      <c r="M116" s="19" t="str">
        <f t="shared" si="45"/>
        <v/>
      </c>
      <c r="N116" s="19" t="str">
        <f t="shared" si="46"/>
        <v/>
      </c>
      <c r="O116" s="19" t="str">
        <f t="shared" si="41"/>
        <v/>
      </c>
      <c r="P116" s="19" t="str">
        <f t="shared" si="42"/>
        <v/>
      </c>
      <c r="Q116" s="19" t="str">
        <f t="shared" si="43"/>
        <v/>
      </c>
      <c r="R116" s="19" t="str">
        <f t="shared" si="40"/>
        <v/>
      </c>
      <c r="S116" s="27" t="str">
        <f t="shared" si="47"/>
        <v/>
      </c>
      <c r="T116" s="28" t="str">
        <f t="shared" si="48"/>
        <v/>
      </c>
      <c r="U116" s="28" t="str">
        <f t="shared" si="49"/>
        <v/>
      </c>
      <c r="V116" s="28" t="str">
        <f t="shared" si="50"/>
        <v/>
      </c>
      <c r="W116" s="28" t="str">
        <f t="shared" si="51"/>
        <v/>
      </c>
      <c r="X116" s="29" t="str">
        <f t="shared" si="52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44"/>
        <v/>
      </c>
      <c r="M117" s="19" t="str">
        <f t="shared" si="45"/>
        <v/>
      </c>
      <c r="N117" s="19" t="str">
        <f t="shared" si="46"/>
        <v/>
      </c>
      <c r="O117" s="19" t="str">
        <f t="shared" si="41"/>
        <v/>
      </c>
      <c r="P117" s="19" t="str">
        <f t="shared" si="42"/>
        <v/>
      </c>
      <c r="Q117" s="19" t="str">
        <f t="shared" si="43"/>
        <v/>
      </c>
      <c r="R117" s="19" t="str">
        <f t="shared" si="40"/>
        <v/>
      </c>
      <c r="S117" s="27" t="str">
        <f t="shared" si="47"/>
        <v/>
      </c>
      <c r="T117" s="28" t="str">
        <f t="shared" si="48"/>
        <v/>
      </c>
      <c r="U117" s="28" t="str">
        <f t="shared" si="49"/>
        <v/>
      </c>
      <c r="V117" s="28" t="str">
        <f t="shared" si="50"/>
        <v/>
      </c>
      <c r="W117" s="28" t="str">
        <f t="shared" si="51"/>
        <v/>
      </c>
      <c r="X117" s="29" t="str">
        <f t="shared" si="52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44"/>
        <v/>
      </c>
      <c r="M118" s="19" t="str">
        <f t="shared" si="45"/>
        <v/>
      </c>
      <c r="N118" s="19" t="str">
        <f t="shared" si="46"/>
        <v/>
      </c>
      <c r="O118" s="19" t="str">
        <f t="shared" si="41"/>
        <v/>
      </c>
      <c r="P118" s="19" t="str">
        <f t="shared" si="42"/>
        <v/>
      </c>
      <c r="Q118" s="19" t="str">
        <f t="shared" si="43"/>
        <v/>
      </c>
      <c r="R118" s="19" t="str">
        <f t="shared" si="40"/>
        <v/>
      </c>
      <c r="S118" s="27" t="str">
        <f t="shared" si="47"/>
        <v/>
      </c>
      <c r="T118" s="28" t="str">
        <f t="shared" si="48"/>
        <v/>
      </c>
      <c r="U118" s="28" t="str">
        <f t="shared" si="49"/>
        <v/>
      </c>
      <c r="V118" s="28" t="str">
        <f t="shared" si="50"/>
        <v/>
      </c>
      <c r="W118" s="28" t="str">
        <f t="shared" si="51"/>
        <v/>
      </c>
      <c r="X118" s="29" t="str">
        <f t="shared" si="52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44"/>
        <v/>
      </c>
      <c r="M119" s="19" t="str">
        <f t="shared" si="45"/>
        <v/>
      </c>
      <c r="N119" s="19" t="str">
        <f t="shared" si="46"/>
        <v/>
      </c>
      <c r="O119" s="19" t="str">
        <f t="shared" si="41"/>
        <v/>
      </c>
      <c r="P119" s="19" t="str">
        <f t="shared" si="42"/>
        <v/>
      </c>
      <c r="Q119" s="19" t="str">
        <f t="shared" si="43"/>
        <v/>
      </c>
      <c r="R119" s="19" t="str">
        <f t="shared" si="40"/>
        <v/>
      </c>
      <c r="S119" s="27" t="str">
        <f t="shared" si="47"/>
        <v/>
      </c>
      <c r="T119" s="28" t="str">
        <f t="shared" si="48"/>
        <v/>
      </c>
      <c r="U119" s="28" t="str">
        <f t="shared" si="49"/>
        <v/>
      </c>
      <c r="V119" s="28" t="str">
        <f t="shared" si="50"/>
        <v/>
      </c>
      <c r="W119" s="28" t="str">
        <f t="shared" si="51"/>
        <v/>
      </c>
      <c r="X119" s="29" t="str">
        <f t="shared" si="52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44"/>
        <v/>
      </c>
      <c r="M120" s="19" t="str">
        <f t="shared" si="45"/>
        <v/>
      </c>
      <c r="N120" s="19" t="str">
        <f t="shared" si="46"/>
        <v/>
      </c>
      <c r="O120" s="19" t="str">
        <f t="shared" si="41"/>
        <v/>
      </c>
      <c r="P120" s="19" t="str">
        <f t="shared" si="42"/>
        <v/>
      </c>
      <c r="Q120" s="19" t="str">
        <f t="shared" si="43"/>
        <v/>
      </c>
      <c r="R120" s="19" t="str">
        <f t="shared" si="40"/>
        <v/>
      </c>
      <c r="S120" s="27" t="str">
        <f t="shared" si="47"/>
        <v/>
      </c>
      <c r="T120" s="28" t="str">
        <f t="shared" si="48"/>
        <v/>
      </c>
      <c r="U120" s="28" t="str">
        <f t="shared" si="49"/>
        <v/>
      </c>
      <c r="V120" s="28" t="str">
        <f t="shared" si="50"/>
        <v/>
      </c>
      <c r="W120" s="28" t="str">
        <f t="shared" si="51"/>
        <v/>
      </c>
      <c r="X120" s="29" t="str">
        <f t="shared" si="52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44"/>
        <v/>
      </c>
      <c r="M121" s="19" t="str">
        <f t="shared" si="45"/>
        <v/>
      </c>
      <c r="N121" s="19" t="str">
        <f t="shared" si="46"/>
        <v/>
      </c>
      <c r="O121" s="19" t="str">
        <f t="shared" si="41"/>
        <v/>
      </c>
      <c r="P121" s="19" t="str">
        <f t="shared" si="42"/>
        <v/>
      </c>
      <c r="Q121" s="19" t="str">
        <f t="shared" si="43"/>
        <v/>
      </c>
      <c r="R121" s="19" t="str">
        <f t="shared" si="40"/>
        <v/>
      </c>
      <c r="S121" s="27" t="str">
        <f t="shared" si="47"/>
        <v/>
      </c>
      <c r="T121" s="28" t="str">
        <f t="shared" si="48"/>
        <v/>
      </c>
      <c r="U121" s="28" t="str">
        <f t="shared" si="49"/>
        <v/>
      </c>
      <c r="V121" s="28" t="str">
        <f t="shared" si="50"/>
        <v/>
      </c>
      <c r="W121" s="28" t="str">
        <f t="shared" si="51"/>
        <v/>
      </c>
      <c r="X121" s="29" t="str">
        <f t="shared" si="52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44"/>
        <v/>
      </c>
      <c r="M122" s="19" t="str">
        <f t="shared" si="45"/>
        <v/>
      </c>
      <c r="N122" s="19" t="str">
        <f t="shared" si="46"/>
        <v/>
      </c>
      <c r="O122" s="19" t="str">
        <f t="shared" si="41"/>
        <v/>
      </c>
      <c r="P122" s="19" t="str">
        <f t="shared" si="42"/>
        <v/>
      </c>
      <c r="Q122" s="19" t="str">
        <f t="shared" si="43"/>
        <v/>
      </c>
      <c r="R122" s="19" t="str">
        <f t="shared" si="40"/>
        <v/>
      </c>
      <c r="S122" s="27" t="str">
        <f t="shared" si="47"/>
        <v/>
      </c>
      <c r="T122" s="28" t="str">
        <f t="shared" si="48"/>
        <v/>
      </c>
      <c r="U122" s="28" t="str">
        <f t="shared" si="49"/>
        <v/>
      </c>
      <c r="V122" s="28" t="str">
        <f t="shared" si="50"/>
        <v/>
      </c>
      <c r="W122" s="28" t="str">
        <f t="shared" si="51"/>
        <v/>
      </c>
      <c r="X122" s="29" t="str">
        <f t="shared" si="52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44"/>
        <v/>
      </c>
      <c r="M123" s="19" t="str">
        <f t="shared" si="45"/>
        <v/>
      </c>
      <c r="N123" s="19" t="str">
        <f t="shared" si="46"/>
        <v/>
      </c>
      <c r="O123" s="19" t="str">
        <f t="shared" si="41"/>
        <v/>
      </c>
      <c r="P123" s="19" t="str">
        <f t="shared" si="42"/>
        <v/>
      </c>
      <c r="Q123" s="19" t="str">
        <f t="shared" si="43"/>
        <v/>
      </c>
      <c r="R123" s="19" t="str">
        <f t="shared" si="40"/>
        <v/>
      </c>
      <c r="S123" s="27" t="str">
        <f t="shared" si="47"/>
        <v/>
      </c>
      <c r="T123" s="28" t="str">
        <f t="shared" si="48"/>
        <v/>
      </c>
      <c r="U123" s="28" t="str">
        <f t="shared" si="49"/>
        <v/>
      </c>
      <c r="V123" s="28" t="str">
        <f t="shared" si="50"/>
        <v/>
      </c>
      <c r="W123" s="28" t="str">
        <f t="shared" si="51"/>
        <v/>
      </c>
      <c r="X123" s="29" t="str">
        <f t="shared" si="52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44"/>
        <v/>
      </c>
      <c r="M124" s="19" t="str">
        <f t="shared" si="45"/>
        <v/>
      </c>
      <c r="N124" s="19" t="str">
        <f t="shared" si="46"/>
        <v/>
      </c>
      <c r="O124" s="19" t="str">
        <f t="shared" si="41"/>
        <v/>
      </c>
      <c r="P124" s="19" t="str">
        <f t="shared" si="42"/>
        <v/>
      </c>
      <c r="Q124" s="19" t="str">
        <f t="shared" si="43"/>
        <v/>
      </c>
      <c r="R124" s="19" t="str">
        <f t="shared" si="40"/>
        <v/>
      </c>
      <c r="S124" s="27" t="str">
        <f t="shared" si="47"/>
        <v/>
      </c>
      <c r="T124" s="28" t="str">
        <f t="shared" si="48"/>
        <v/>
      </c>
      <c r="U124" s="28" t="str">
        <f t="shared" si="49"/>
        <v/>
      </c>
      <c r="V124" s="28" t="str">
        <f t="shared" si="50"/>
        <v/>
      </c>
      <c r="W124" s="28" t="str">
        <f t="shared" si="51"/>
        <v/>
      </c>
      <c r="X124" s="29" t="str">
        <f t="shared" si="52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44"/>
        <v/>
      </c>
      <c r="M125" s="19" t="str">
        <f t="shared" si="45"/>
        <v/>
      </c>
      <c r="N125" s="19" t="str">
        <f t="shared" si="46"/>
        <v/>
      </c>
      <c r="O125" s="19" t="str">
        <f t="shared" si="41"/>
        <v/>
      </c>
      <c r="P125" s="19" t="str">
        <f t="shared" si="42"/>
        <v/>
      </c>
      <c r="Q125" s="19" t="str">
        <f t="shared" si="43"/>
        <v/>
      </c>
      <c r="R125" s="19" t="str">
        <f t="shared" si="40"/>
        <v/>
      </c>
      <c r="S125" s="27" t="str">
        <f t="shared" si="47"/>
        <v/>
      </c>
      <c r="T125" s="28" t="str">
        <f t="shared" si="48"/>
        <v/>
      </c>
      <c r="U125" s="28" t="str">
        <f t="shared" si="49"/>
        <v/>
      </c>
      <c r="V125" s="28" t="str">
        <f t="shared" si="50"/>
        <v/>
      </c>
      <c r="W125" s="28" t="str">
        <f t="shared" si="51"/>
        <v/>
      </c>
      <c r="X125" s="29" t="str">
        <f t="shared" si="52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44"/>
        <v/>
      </c>
      <c r="M126" s="19" t="str">
        <f t="shared" si="45"/>
        <v/>
      </c>
      <c r="N126" s="19" t="str">
        <f t="shared" si="46"/>
        <v/>
      </c>
      <c r="O126" s="19" t="str">
        <f t="shared" si="41"/>
        <v/>
      </c>
      <c r="P126" s="19" t="str">
        <f t="shared" si="42"/>
        <v/>
      </c>
      <c r="Q126" s="19" t="str">
        <f t="shared" si="43"/>
        <v/>
      </c>
      <c r="R126" s="19" t="str">
        <f t="shared" si="40"/>
        <v/>
      </c>
      <c r="S126" s="27" t="str">
        <f t="shared" si="47"/>
        <v/>
      </c>
      <c r="T126" s="28" t="str">
        <f t="shared" si="48"/>
        <v/>
      </c>
      <c r="U126" s="28" t="str">
        <f t="shared" si="49"/>
        <v/>
      </c>
      <c r="V126" s="28" t="str">
        <f t="shared" si="50"/>
        <v/>
      </c>
      <c r="W126" s="28" t="str">
        <f t="shared" si="51"/>
        <v/>
      </c>
      <c r="X126" s="29" t="str">
        <f t="shared" si="52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44"/>
        <v/>
      </c>
      <c r="M127" s="19" t="str">
        <f t="shared" si="45"/>
        <v/>
      </c>
      <c r="N127" s="19" t="str">
        <f t="shared" si="46"/>
        <v/>
      </c>
      <c r="O127" s="19" t="str">
        <f t="shared" si="41"/>
        <v/>
      </c>
      <c r="P127" s="19" t="str">
        <f t="shared" si="42"/>
        <v/>
      </c>
      <c r="Q127" s="19" t="str">
        <f t="shared" si="43"/>
        <v/>
      </c>
      <c r="R127" s="19" t="str">
        <f t="shared" si="40"/>
        <v/>
      </c>
      <c r="S127" s="27" t="str">
        <f t="shared" si="47"/>
        <v/>
      </c>
      <c r="T127" s="28" t="str">
        <f t="shared" si="48"/>
        <v/>
      </c>
      <c r="U127" s="28" t="str">
        <f t="shared" si="49"/>
        <v/>
      </c>
      <c r="V127" s="28" t="str">
        <f t="shared" si="50"/>
        <v/>
      </c>
      <c r="W127" s="28" t="str">
        <f t="shared" si="51"/>
        <v/>
      </c>
      <c r="X127" s="29" t="str">
        <f t="shared" si="52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44"/>
        <v/>
      </c>
      <c r="M128" s="19" t="str">
        <f t="shared" si="45"/>
        <v/>
      </c>
      <c r="N128" s="19" t="str">
        <f t="shared" si="46"/>
        <v/>
      </c>
      <c r="O128" s="19" t="str">
        <f t="shared" si="41"/>
        <v/>
      </c>
      <c r="P128" s="19" t="str">
        <f t="shared" si="42"/>
        <v/>
      </c>
      <c r="Q128" s="19" t="str">
        <f t="shared" si="43"/>
        <v/>
      </c>
      <c r="R128" s="19" t="str">
        <f t="shared" si="40"/>
        <v/>
      </c>
      <c r="S128" s="27" t="str">
        <f t="shared" si="47"/>
        <v/>
      </c>
      <c r="T128" s="28" t="str">
        <f t="shared" si="48"/>
        <v/>
      </c>
      <c r="U128" s="28" t="str">
        <f t="shared" si="49"/>
        <v/>
      </c>
      <c r="V128" s="28" t="str">
        <f t="shared" si="50"/>
        <v/>
      </c>
      <c r="W128" s="28" t="str">
        <f t="shared" si="51"/>
        <v/>
      </c>
      <c r="X128" s="29" t="str">
        <f t="shared" si="52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44"/>
        <v/>
      </c>
      <c r="M129" s="19" t="str">
        <f t="shared" si="45"/>
        <v/>
      </c>
      <c r="N129" s="19" t="str">
        <f t="shared" si="46"/>
        <v/>
      </c>
      <c r="O129" s="19" t="str">
        <f t="shared" si="41"/>
        <v/>
      </c>
      <c r="P129" s="19" t="str">
        <f t="shared" si="42"/>
        <v/>
      </c>
      <c r="Q129" s="19" t="str">
        <f t="shared" si="43"/>
        <v/>
      </c>
      <c r="R129" s="19" t="str">
        <f t="shared" ref="R129:R153" si="53">IF(ISBLANK(I129),"",(I129-I$16)*1000)</f>
        <v/>
      </c>
      <c r="S129" s="27" t="str">
        <f t="shared" si="47"/>
        <v/>
      </c>
      <c r="T129" s="28" t="str">
        <f t="shared" si="48"/>
        <v/>
      </c>
      <c r="U129" s="28" t="str">
        <f t="shared" si="49"/>
        <v/>
      </c>
      <c r="V129" s="28" t="str">
        <f t="shared" si="50"/>
        <v/>
      </c>
      <c r="W129" s="28" t="str">
        <f t="shared" si="51"/>
        <v/>
      </c>
      <c r="X129" s="29" t="str">
        <f t="shared" si="5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44"/>
        <v/>
      </c>
      <c r="M130" s="19" t="str">
        <f t="shared" si="45"/>
        <v/>
      </c>
      <c r="N130" s="19" t="str">
        <f t="shared" si="46"/>
        <v/>
      </c>
      <c r="O130" s="19" t="str">
        <f t="shared" si="41"/>
        <v/>
      </c>
      <c r="P130" s="19" t="str">
        <f t="shared" si="42"/>
        <v/>
      </c>
      <c r="Q130" s="19" t="str">
        <f t="shared" si="43"/>
        <v/>
      </c>
      <c r="R130" s="19" t="str">
        <f t="shared" si="53"/>
        <v/>
      </c>
      <c r="S130" s="27" t="str">
        <f t="shared" si="47"/>
        <v/>
      </c>
      <c r="T130" s="28" t="str">
        <f t="shared" si="48"/>
        <v/>
      </c>
      <c r="U130" s="28" t="str">
        <f t="shared" si="49"/>
        <v/>
      </c>
      <c r="V130" s="28" t="str">
        <f t="shared" si="50"/>
        <v/>
      </c>
      <c r="W130" s="28" t="str">
        <f t="shared" si="51"/>
        <v/>
      </c>
      <c r="X130" s="29" t="str">
        <f t="shared" si="5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44"/>
        <v/>
      </c>
      <c r="M131" s="19" t="str">
        <f t="shared" si="45"/>
        <v/>
      </c>
      <c r="N131" s="19" t="str">
        <f t="shared" si="46"/>
        <v/>
      </c>
      <c r="O131" s="19" t="str">
        <f t="shared" si="41"/>
        <v/>
      </c>
      <c r="P131" s="19" t="str">
        <f t="shared" si="42"/>
        <v/>
      </c>
      <c r="Q131" s="19" t="str">
        <f t="shared" si="43"/>
        <v/>
      </c>
      <c r="R131" s="19" t="str">
        <f t="shared" si="53"/>
        <v/>
      </c>
      <c r="S131" s="27" t="str">
        <f t="shared" si="47"/>
        <v/>
      </c>
      <c r="T131" s="28" t="str">
        <f t="shared" si="48"/>
        <v/>
      </c>
      <c r="U131" s="28" t="str">
        <f t="shared" si="49"/>
        <v/>
      </c>
      <c r="V131" s="28" t="str">
        <f t="shared" si="50"/>
        <v/>
      </c>
      <c r="W131" s="28" t="str">
        <f t="shared" si="51"/>
        <v/>
      </c>
      <c r="X131" s="29" t="str">
        <f t="shared" si="5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44"/>
        <v/>
      </c>
      <c r="M132" s="19" t="str">
        <f t="shared" si="45"/>
        <v/>
      </c>
      <c r="N132" s="19" t="str">
        <f t="shared" si="46"/>
        <v/>
      </c>
      <c r="O132" s="19" t="str">
        <f t="shared" si="41"/>
        <v/>
      </c>
      <c r="P132" s="19" t="str">
        <f t="shared" si="42"/>
        <v/>
      </c>
      <c r="Q132" s="19" t="str">
        <f t="shared" si="43"/>
        <v/>
      </c>
      <c r="R132" s="19" t="str">
        <f t="shared" si="53"/>
        <v/>
      </c>
      <c r="S132" s="27" t="str">
        <f t="shared" si="47"/>
        <v/>
      </c>
      <c r="T132" s="28" t="str">
        <f t="shared" si="48"/>
        <v/>
      </c>
      <c r="U132" s="28" t="str">
        <f t="shared" si="49"/>
        <v/>
      </c>
      <c r="V132" s="28" t="str">
        <f t="shared" si="50"/>
        <v/>
      </c>
      <c r="W132" s="28" t="str">
        <f t="shared" si="51"/>
        <v/>
      </c>
      <c r="X132" s="29" t="str">
        <f t="shared" si="5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44"/>
        <v/>
      </c>
      <c r="M133" s="19" t="str">
        <f t="shared" si="45"/>
        <v/>
      </c>
      <c r="N133" s="19" t="str">
        <f t="shared" si="46"/>
        <v/>
      </c>
      <c r="O133" s="19" t="str">
        <f t="shared" si="41"/>
        <v/>
      </c>
      <c r="P133" s="19" t="str">
        <f t="shared" si="42"/>
        <v/>
      </c>
      <c r="Q133" s="19" t="str">
        <f t="shared" si="43"/>
        <v/>
      </c>
      <c r="R133" s="19" t="str">
        <f t="shared" si="53"/>
        <v/>
      </c>
      <c r="S133" s="27" t="str">
        <f t="shared" si="47"/>
        <v/>
      </c>
      <c r="T133" s="28" t="str">
        <f t="shared" si="48"/>
        <v/>
      </c>
      <c r="U133" s="28" t="str">
        <f t="shared" si="49"/>
        <v/>
      </c>
      <c r="V133" s="28" t="str">
        <f t="shared" si="50"/>
        <v/>
      </c>
      <c r="W133" s="28" t="str">
        <f t="shared" si="51"/>
        <v/>
      </c>
      <c r="X133" s="29" t="str">
        <f t="shared" si="5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44"/>
        <v/>
      </c>
      <c r="M134" s="19" t="str">
        <f t="shared" si="45"/>
        <v/>
      </c>
      <c r="N134" s="19" t="str">
        <f t="shared" si="46"/>
        <v/>
      </c>
      <c r="O134" s="19" t="str">
        <f t="shared" si="41"/>
        <v/>
      </c>
      <c r="P134" s="19" t="str">
        <f t="shared" si="42"/>
        <v/>
      </c>
      <c r="Q134" s="19" t="str">
        <f t="shared" si="43"/>
        <v/>
      </c>
      <c r="R134" s="19" t="str">
        <f t="shared" si="53"/>
        <v/>
      </c>
      <c r="S134" s="27" t="str">
        <f t="shared" si="47"/>
        <v/>
      </c>
      <c r="T134" s="28" t="str">
        <f t="shared" si="48"/>
        <v/>
      </c>
      <c r="U134" s="28" t="str">
        <f t="shared" si="49"/>
        <v/>
      </c>
      <c r="V134" s="28" t="str">
        <f t="shared" si="50"/>
        <v/>
      </c>
      <c r="W134" s="28" t="str">
        <f t="shared" si="51"/>
        <v/>
      </c>
      <c r="X134" s="29" t="str">
        <f t="shared" si="5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44"/>
        <v/>
      </c>
      <c r="M135" s="19" t="str">
        <f t="shared" si="45"/>
        <v/>
      </c>
      <c r="N135" s="19" t="str">
        <f t="shared" si="46"/>
        <v/>
      </c>
      <c r="O135" s="19" t="str">
        <f t="shared" si="41"/>
        <v/>
      </c>
      <c r="P135" s="19" t="str">
        <f t="shared" si="42"/>
        <v/>
      </c>
      <c r="Q135" s="19" t="str">
        <f t="shared" si="43"/>
        <v/>
      </c>
      <c r="R135" s="19" t="str">
        <f t="shared" si="53"/>
        <v/>
      </c>
      <c r="S135" s="27" t="str">
        <f t="shared" si="47"/>
        <v/>
      </c>
      <c r="T135" s="28" t="str">
        <f t="shared" si="48"/>
        <v/>
      </c>
      <c r="U135" s="28" t="str">
        <f t="shared" si="49"/>
        <v/>
      </c>
      <c r="V135" s="28" t="str">
        <f t="shared" si="50"/>
        <v/>
      </c>
      <c r="W135" s="28" t="str">
        <f t="shared" si="51"/>
        <v/>
      </c>
      <c r="X135" s="29" t="str">
        <f t="shared" si="5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44"/>
        <v/>
      </c>
      <c r="M136" s="19" t="str">
        <f t="shared" si="45"/>
        <v/>
      </c>
      <c r="N136" s="19" t="str">
        <f t="shared" si="46"/>
        <v/>
      </c>
      <c r="O136" s="19" t="str">
        <f t="shared" si="41"/>
        <v/>
      </c>
      <c r="P136" s="19" t="str">
        <f t="shared" si="42"/>
        <v/>
      </c>
      <c r="Q136" s="19" t="str">
        <f t="shared" si="43"/>
        <v/>
      </c>
      <c r="R136" s="19" t="str">
        <f t="shared" si="53"/>
        <v/>
      </c>
      <c r="S136" s="27" t="str">
        <f t="shared" si="47"/>
        <v/>
      </c>
      <c r="T136" s="28" t="str">
        <f t="shared" si="48"/>
        <v/>
      </c>
      <c r="U136" s="28" t="str">
        <f t="shared" si="49"/>
        <v/>
      </c>
      <c r="V136" s="28" t="str">
        <f t="shared" si="50"/>
        <v/>
      </c>
      <c r="W136" s="28" t="str">
        <f t="shared" si="51"/>
        <v/>
      </c>
      <c r="X136" s="29" t="str">
        <f t="shared" si="5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44"/>
        <v/>
      </c>
      <c r="M137" s="19" t="str">
        <f t="shared" si="45"/>
        <v/>
      </c>
      <c r="N137" s="19" t="str">
        <f t="shared" si="46"/>
        <v/>
      </c>
      <c r="O137" s="19" t="str">
        <f t="shared" si="41"/>
        <v/>
      </c>
      <c r="P137" s="19" t="str">
        <f t="shared" si="42"/>
        <v/>
      </c>
      <c r="Q137" s="19" t="str">
        <f t="shared" si="43"/>
        <v/>
      </c>
      <c r="R137" s="19" t="str">
        <f t="shared" si="53"/>
        <v/>
      </c>
      <c r="S137" s="27" t="str">
        <f t="shared" si="47"/>
        <v/>
      </c>
      <c r="T137" s="28" t="str">
        <f t="shared" si="48"/>
        <v/>
      </c>
      <c r="U137" s="28" t="str">
        <f t="shared" si="49"/>
        <v/>
      </c>
      <c r="V137" s="28" t="str">
        <f t="shared" si="50"/>
        <v/>
      </c>
      <c r="W137" s="28" t="str">
        <f t="shared" si="51"/>
        <v/>
      </c>
      <c r="X137" s="29" t="str">
        <f t="shared" si="5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44"/>
        <v/>
      </c>
      <c r="M138" s="19" t="str">
        <f t="shared" si="45"/>
        <v/>
      </c>
      <c r="N138" s="19" t="str">
        <f t="shared" si="46"/>
        <v/>
      </c>
      <c r="O138" s="19" t="str">
        <f t="shared" si="41"/>
        <v/>
      </c>
      <c r="P138" s="19" t="str">
        <f t="shared" si="42"/>
        <v/>
      </c>
      <c r="Q138" s="19" t="str">
        <f t="shared" si="43"/>
        <v/>
      </c>
      <c r="R138" s="19" t="str">
        <f t="shared" si="53"/>
        <v/>
      </c>
      <c r="S138" s="27" t="str">
        <f t="shared" si="47"/>
        <v/>
      </c>
      <c r="T138" s="28" t="str">
        <f t="shared" si="48"/>
        <v/>
      </c>
      <c r="U138" s="28" t="str">
        <f t="shared" si="49"/>
        <v/>
      </c>
      <c r="V138" s="28" t="str">
        <f t="shared" si="50"/>
        <v/>
      </c>
      <c r="W138" s="28" t="str">
        <f t="shared" si="51"/>
        <v/>
      </c>
      <c r="X138" s="29" t="str">
        <f t="shared" si="5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44"/>
        <v/>
      </c>
      <c r="M139" s="19" t="str">
        <f t="shared" si="45"/>
        <v/>
      </c>
      <c r="N139" s="19" t="str">
        <f t="shared" si="46"/>
        <v/>
      </c>
      <c r="O139" s="19" t="str">
        <f t="shared" si="41"/>
        <v/>
      </c>
      <c r="P139" s="19" t="str">
        <f t="shared" si="42"/>
        <v/>
      </c>
      <c r="Q139" s="19" t="str">
        <f t="shared" si="43"/>
        <v/>
      </c>
      <c r="R139" s="19" t="str">
        <f t="shared" si="53"/>
        <v/>
      </c>
      <c r="S139" s="27" t="str">
        <f t="shared" si="47"/>
        <v/>
      </c>
      <c r="T139" s="28" t="str">
        <f t="shared" si="48"/>
        <v/>
      </c>
      <c r="U139" s="28" t="str">
        <f t="shared" si="49"/>
        <v/>
      </c>
      <c r="V139" s="28" t="str">
        <f t="shared" si="50"/>
        <v/>
      </c>
      <c r="W139" s="28" t="str">
        <f t="shared" si="51"/>
        <v/>
      </c>
      <c r="X139" s="29" t="str">
        <f t="shared" si="5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44"/>
        <v/>
      </c>
      <c r="M140" s="19" t="str">
        <f t="shared" si="45"/>
        <v/>
      </c>
      <c r="N140" s="19" t="str">
        <f t="shared" si="46"/>
        <v/>
      </c>
      <c r="O140" s="19" t="str">
        <f t="shared" si="41"/>
        <v/>
      </c>
      <c r="P140" s="19" t="str">
        <f t="shared" si="42"/>
        <v/>
      </c>
      <c r="Q140" s="19" t="str">
        <f t="shared" si="43"/>
        <v/>
      </c>
      <c r="R140" s="19" t="str">
        <f t="shared" si="53"/>
        <v/>
      </c>
      <c r="S140" s="27" t="str">
        <f t="shared" si="47"/>
        <v/>
      </c>
      <c r="T140" s="28" t="str">
        <f t="shared" si="48"/>
        <v/>
      </c>
      <c r="U140" s="28" t="str">
        <f t="shared" si="49"/>
        <v/>
      </c>
      <c r="V140" s="28" t="str">
        <f t="shared" si="50"/>
        <v/>
      </c>
      <c r="W140" s="28" t="str">
        <f t="shared" si="51"/>
        <v/>
      </c>
      <c r="X140" s="29" t="str">
        <f t="shared" si="5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44"/>
        <v/>
      </c>
      <c r="M141" s="19" t="str">
        <f t="shared" si="45"/>
        <v/>
      </c>
      <c r="N141" s="19" t="str">
        <f t="shared" si="46"/>
        <v/>
      </c>
      <c r="O141" s="19" t="str">
        <f t="shared" si="41"/>
        <v/>
      </c>
      <c r="P141" s="19" t="str">
        <f t="shared" si="42"/>
        <v/>
      </c>
      <c r="Q141" s="19" t="str">
        <f t="shared" si="43"/>
        <v/>
      </c>
      <c r="R141" s="19" t="str">
        <f t="shared" si="53"/>
        <v/>
      </c>
      <c r="S141" s="27" t="str">
        <f t="shared" si="47"/>
        <v/>
      </c>
      <c r="T141" s="28" t="str">
        <f t="shared" si="48"/>
        <v/>
      </c>
      <c r="U141" s="28" t="str">
        <f t="shared" si="49"/>
        <v/>
      </c>
      <c r="V141" s="28" t="str">
        <f t="shared" si="50"/>
        <v/>
      </c>
      <c r="W141" s="28" t="str">
        <f t="shared" si="51"/>
        <v/>
      </c>
      <c r="X141" s="29" t="str">
        <f t="shared" si="5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44"/>
        <v/>
      </c>
      <c r="M142" s="19" t="str">
        <f t="shared" si="45"/>
        <v/>
      </c>
      <c r="N142" s="19" t="str">
        <f t="shared" si="46"/>
        <v/>
      </c>
      <c r="O142" s="19" t="str">
        <f t="shared" si="41"/>
        <v/>
      </c>
      <c r="P142" s="19" t="str">
        <f t="shared" si="42"/>
        <v/>
      </c>
      <c r="Q142" s="19" t="str">
        <f t="shared" si="43"/>
        <v/>
      </c>
      <c r="R142" s="19" t="str">
        <f t="shared" si="53"/>
        <v/>
      </c>
      <c r="S142" s="27" t="str">
        <f t="shared" si="47"/>
        <v/>
      </c>
      <c r="T142" s="28" t="str">
        <f t="shared" si="48"/>
        <v/>
      </c>
      <c r="U142" s="28" t="str">
        <f t="shared" si="49"/>
        <v/>
      </c>
      <c r="V142" s="28" t="str">
        <f t="shared" si="50"/>
        <v/>
      </c>
      <c r="W142" s="28" t="str">
        <f t="shared" si="51"/>
        <v/>
      </c>
      <c r="X142" s="29" t="str">
        <f t="shared" si="5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44"/>
        <v/>
      </c>
      <c r="M143" s="19" t="str">
        <f t="shared" si="45"/>
        <v/>
      </c>
      <c r="N143" s="19" t="str">
        <f t="shared" si="46"/>
        <v/>
      </c>
      <c r="O143" s="19" t="str">
        <f t="shared" si="41"/>
        <v/>
      </c>
      <c r="P143" s="19" t="str">
        <f t="shared" si="42"/>
        <v/>
      </c>
      <c r="Q143" s="19" t="str">
        <f t="shared" si="43"/>
        <v/>
      </c>
      <c r="R143" s="19" t="str">
        <f t="shared" si="53"/>
        <v/>
      </c>
      <c r="S143" s="27" t="str">
        <f t="shared" si="47"/>
        <v/>
      </c>
      <c r="T143" s="28" t="str">
        <f t="shared" si="48"/>
        <v/>
      </c>
      <c r="U143" s="28" t="str">
        <f t="shared" si="49"/>
        <v/>
      </c>
      <c r="V143" s="28" t="str">
        <f t="shared" si="50"/>
        <v/>
      </c>
      <c r="W143" s="28" t="str">
        <f t="shared" si="51"/>
        <v/>
      </c>
      <c r="X143" s="29" t="str">
        <f t="shared" si="5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ref="L144:L153" si="54">IF(ISBLANK(C144),"",(C144-C$16)*1000)</f>
        <v/>
      </c>
      <c r="M144" s="19" t="str">
        <f t="shared" ref="M144:M153" si="55">IF(ISBLANK(D144),"",(D144-D$16)*1000)</f>
        <v/>
      </c>
      <c r="N144" s="19" t="str">
        <f t="shared" ref="N144:N153" si="56">IF(ISBLANK(E144),"",(E144-E$16)*1000)</f>
        <v/>
      </c>
      <c r="O144" s="19" t="str">
        <f t="shared" si="41"/>
        <v/>
      </c>
      <c r="P144" s="19" t="str">
        <f t="shared" si="42"/>
        <v/>
      </c>
      <c r="Q144" s="19" t="str">
        <f t="shared" si="43"/>
        <v/>
      </c>
      <c r="R144" s="19" t="str">
        <f t="shared" si="53"/>
        <v/>
      </c>
      <c r="S144" s="27" t="str">
        <f t="shared" si="47"/>
        <v/>
      </c>
      <c r="T144" s="28" t="str">
        <f t="shared" si="48"/>
        <v/>
      </c>
      <c r="U144" s="28" t="str">
        <f t="shared" si="49"/>
        <v/>
      </c>
      <c r="V144" s="28" t="str">
        <f t="shared" si="50"/>
        <v/>
      </c>
      <c r="W144" s="28" t="str">
        <f t="shared" si="51"/>
        <v/>
      </c>
      <c r="X144" s="29" t="str">
        <f t="shared" si="5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4"/>
        <v/>
      </c>
      <c r="M145" s="19" t="str">
        <f t="shared" si="55"/>
        <v/>
      </c>
      <c r="N145" s="19" t="str">
        <f t="shared" si="56"/>
        <v/>
      </c>
      <c r="O145" s="19" t="str">
        <f t="shared" si="41"/>
        <v/>
      </c>
      <c r="P145" s="19" t="str">
        <f t="shared" si="42"/>
        <v/>
      </c>
      <c r="Q145" s="19" t="str">
        <f t="shared" si="43"/>
        <v/>
      </c>
      <c r="R145" s="19" t="str">
        <f t="shared" si="53"/>
        <v/>
      </c>
      <c r="S145" s="27" t="str">
        <f t="shared" ref="S145:S153" si="57">IF(C145="","",((C145-C144)*1000)/($B145-$B144))</f>
        <v/>
      </c>
      <c r="T145" s="28" t="str">
        <f t="shared" ref="T145:T153" si="58">IF(D145="","",((D145-D144)*1000)/($B145-$B144))</f>
        <v/>
      </c>
      <c r="U145" s="28" t="str">
        <f t="shared" ref="U145:U153" si="59">IF(E145="","",((E145-E144)*1000)/($B145-$B144))</f>
        <v/>
      </c>
      <c r="V145" s="28" t="str">
        <f t="shared" ref="V145:V153" si="60">IF(F145="","",((F145-F144)*1000)/($B145-$B144))</f>
        <v/>
      </c>
      <c r="W145" s="28" t="str">
        <f t="shared" ref="W145:W153" si="61">IF(G145="","",((G145-G144)*1000)/($B145-$B144))</f>
        <v/>
      </c>
      <c r="X145" s="29" t="str">
        <f t="shared" ref="X145:X153" si="62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4"/>
        <v/>
      </c>
      <c r="M146" s="19" t="str">
        <f t="shared" si="55"/>
        <v/>
      </c>
      <c r="N146" s="19" t="str">
        <f t="shared" si="56"/>
        <v/>
      </c>
      <c r="O146" s="19" t="str">
        <f t="shared" si="41"/>
        <v/>
      </c>
      <c r="P146" s="19" t="str">
        <f t="shared" si="42"/>
        <v/>
      </c>
      <c r="Q146" s="19" t="str">
        <f t="shared" si="43"/>
        <v/>
      </c>
      <c r="R146" s="19" t="str">
        <f t="shared" si="53"/>
        <v/>
      </c>
      <c r="S146" s="27" t="str">
        <f t="shared" si="57"/>
        <v/>
      </c>
      <c r="T146" s="28" t="str">
        <f t="shared" si="58"/>
        <v/>
      </c>
      <c r="U146" s="28" t="str">
        <f t="shared" si="59"/>
        <v/>
      </c>
      <c r="V146" s="28" t="str">
        <f t="shared" si="60"/>
        <v/>
      </c>
      <c r="W146" s="28" t="str">
        <f t="shared" si="61"/>
        <v/>
      </c>
      <c r="X146" s="29" t="str">
        <f t="shared" si="62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4"/>
        <v/>
      </c>
      <c r="M147" s="19" t="str">
        <f t="shared" si="55"/>
        <v/>
      </c>
      <c r="N147" s="19" t="str">
        <f t="shared" si="56"/>
        <v/>
      </c>
      <c r="O147" s="19" t="str">
        <f t="shared" si="41"/>
        <v/>
      </c>
      <c r="P147" s="19" t="str">
        <f t="shared" si="42"/>
        <v/>
      </c>
      <c r="Q147" s="19" t="str">
        <f t="shared" si="43"/>
        <v/>
      </c>
      <c r="R147" s="19" t="str">
        <f t="shared" si="53"/>
        <v/>
      </c>
      <c r="S147" s="27" t="str">
        <f t="shared" si="57"/>
        <v/>
      </c>
      <c r="T147" s="28" t="str">
        <f t="shared" si="58"/>
        <v/>
      </c>
      <c r="U147" s="28" t="str">
        <f t="shared" si="59"/>
        <v/>
      </c>
      <c r="V147" s="28" t="str">
        <f t="shared" si="60"/>
        <v/>
      </c>
      <c r="W147" s="28" t="str">
        <f t="shared" si="61"/>
        <v/>
      </c>
      <c r="X147" s="29" t="str">
        <f t="shared" si="62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4"/>
        <v/>
      </c>
      <c r="M148" s="19" t="str">
        <f t="shared" si="55"/>
        <v/>
      </c>
      <c r="N148" s="19" t="str">
        <f t="shared" si="56"/>
        <v/>
      </c>
      <c r="O148" s="19" t="str">
        <f t="shared" si="41"/>
        <v/>
      </c>
      <c r="P148" s="19" t="str">
        <f t="shared" si="42"/>
        <v/>
      </c>
      <c r="Q148" s="19" t="str">
        <f t="shared" si="43"/>
        <v/>
      </c>
      <c r="R148" s="19" t="str">
        <f t="shared" si="53"/>
        <v/>
      </c>
      <c r="S148" s="27" t="str">
        <f t="shared" si="57"/>
        <v/>
      </c>
      <c r="T148" s="28" t="str">
        <f t="shared" si="58"/>
        <v/>
      </c>
      <c r="U148" s="28" t="str">
        <f t="shared" si="59"/>
        <v/>
      </c>
      <c r="V148" s="28" t="str">
        <f t="shared" si="60"/>
        <v/>
      </c>
      <c r="W148" s="28" t="str">
        <f t="shared" si="61"/>
        <v/>
      </c>
      <c r="X148" s="29" t="str">
        <f t="shared" si="62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4"/>
        <v/>
      </c>
      <c r="M149" s="19" t="str">
        <f t="shared" si="55"/>
        <v/>
      </c>
      <c r="N149" s="19" t="str">
        <f t="shared" si="56"/>
        <v/>
      </c>
      <c r="O149" s="19" t="str">
        <f t="shared" si="41"/>
        <v/>
      </c>
      <c r="P149" s="19" t="str">
        <f t="shared" si="42"/>
        <v/>
      </c>
      <c r="Q149" s="19" t="str">
        <f t="shared" si="43"/>
        <v/>
      </c>
      <c r="R149" s="19" t="str">
        <f t="shared" si="53"/>
        <v/>
      </c>
      <c r="S149" s="27" t="str">
        <f t="shared" si="57"/>
        <v/>
      </c>
      <c r="T149" s="28" t="str">
        <f t="shared" si="58"/>
        <v/>
      </c>
      <c r="U149" s="28" t="str">
        <f t="shared" si="59"/>
        <v/>
      </c>
      <c r="V149" s="28" t="str">
        <f t="shared" si="60"/>
        <v/>
      </c>
      <c r="W149" s="28" t="str">
        <f t="shared" si="61"/>
        <v/>
      </c>
      <c r="X149" s="29" t="str">
        <f t="shared" si="62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4"/>
        <v/>
      </c>
      <c r="M150" s="19" t="str">
        <f t="shared" si="55"/>
        <v/>
      </c>
      <c r="N150" s="19" t="str">
        <f t="shared" si="56"/>
        <v/>
      </c>
      <c r="O150" s="19" t="str">
        <f t="shared" si="41"/>
        <v/>
      </c>
      <c r="P150" s="19" t="str">
        <f t="shared" si="42"/>
        <v/>
      </c>
      <c r="Q150" s="19" t="str">
        <f t="shared" si="43"/>
        <v/>
      </c>
      <c r="R150" s="19" t="str">
        <f t="shared" si="53"/>
        <v/>
      </c>
      <c r="S150" s="27" t="str">
        <f t="shared" si="57"/>
        <v/>
      </c>
      <c r="T150" s="28" t="str">
        <f t="shared" si="58"/>
        <v/>
      </c>
      <c r="U150" s="28" t="str">
        <f t="shared" si="59"/>
        <v/>
      </c>
      <c r="V150" s="28" t="str">
        <f t="shared" si="60"/>
        <v/>
      </c>
      <c r="W150" s="28" t="str">
        <f t="shared" si="61"/>
        <v/>
      </c>
      <c r="X150" s="29" t="str">
        <f t="shared" si="62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4"/>
        <v/>
      </c>
      <c r="M151" s="19" t="str">
        <f t="shared" si="55"/>
        <v/>
      </c>
      <c r="N151" s="19" t="str">
        <f t="shared" si="56"/>
        <v/>
      </c>
      <c r="O151" s="19" t="str">
        <f t="shared" si="41"/>
        <v/>
      </c>
      <c r="P151" s="19" t="str">
        <f t="shared" si="42"/>
        <v/>
      </c>
      <c r="Q151" s="19" t="str">
        <f t="shared" si="43"/>
        <v/>
      </c>
      <c r="R151" s="19" t="str">
        <f t="shared" si="53"/>
        <v/>
      </c>
      <c r="S151" s="27" t="str">
        <f t="shared" si="57"/>
        <v/>
      </c>
      <c r="T151" s="28" t="str">
        <f t="shared" si="58"/>
        <v/>
      </c>
      <c r="U151" s="28" t="str">
        <f t="shared" si="59"/>
        <v/>
      </c>
      <c r="V151" s="28" t="str">
        <f t="shared" si="60"/>
        <v/>
      </c>
      <c r="W151" s="28" t="str">
        <f t="shared" si="61"/>
        <v/>
      </c>
      <c r="X151" s="29" t="str">
        <f t="shared" si="62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4"/>
        <v/>
      </c>
      <c r="M152" s="19" t="str">
        <f t="shared" si="55"/>
        <v/>
      </c>
      <c r="N152" s="19" t="str">
        <f t="shared" si="56"/>
        <v/>
      </c>
      <c r="O152" s="19" t="str">
        <f t="shared" si="41"/>
        <v/>
      </c>
      <c r="P152" s="19" t="str">
        <f t="shared" si="42"/>
        <v/>
      </c>
      <c r="Q152" s="19" t="str">
        <f t="shared" si="43"/>
        <v/>
      </c>
      <c r="R152" s="19" t="str">
        <f t="shared" si="53"/>
        <v/>
      </c>
      <c r="S152" s="27" t="str">
        <f t="shared" si="57"/>
        <v/>
      </c>
      <c r="T152" s="28" t="str">
        <f t="shared" si="58"/>
        <v/>
      </c>
      <c r="U152" s="28" t="str">
        <f t="shared" si="59"/>
        <v/>
      </c>
      <c r="V152" s="28" t="str">
        <f t="shared" si="60"/>
        <v/>
      </c>
      <c r="W152" s="28" t="str">
        <f t="shared" si="61"/>
        <v/>
      </c>
      <c r="X152" s="29" t="str">
        <f t="shared" si="62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4"/>
        <v/>
      </c>
      <c r="M153" s="19" t="str">
        <f t="shared" si="55"/>
        <v/>
      </c>
      <c r="N153" s="19" t="str">
        <f t="shared" si="56"/>
        <v/>
      </c>
      <c r="O153" s="19" t="str">
        <f t="shared" si="41"/>
        <v/>
      </c>
      <c r="P153" s="19" t="str">
        <f t="shared" si="42"/>
        <v/>
      </c>
      <c r="Q153" s="19" t="str">
        <f t="shared" si="43"/>
        <v/>
      </c>
      <c r="R153" s="19" t="str">
        <f t="shared" si="53"/>
        <v/>
      </c>
      <c r="S153" s="27" t="str">
        <f t="shared" si="57"/>
        <v/>
      </c>
      <c r="T153" s="28" t="str">
        <f t="shared" si="58"/>
        <v/>
      </c>
      <c r="U153" s="28" t="str">
        <f t="shared" si="59"/>
        <v/>
      </c>
      <c r="V153" s="28" t="str">
        <f t="shared" si="60"/>
        <v/>
      </c>
      <c r="W153" s="28" t="str">
        <f t="shared" si="61"/>
        <v/>
      </c>
      <c r="X153" s="29" t="str">
        <f t="shared" si="62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AA9:AI9"/>
    <mergeCell ref="B5:D8"/>
    <mergeCell ref="E5:I5"/>
    <mergeCell ref="J5:Q5"/>
    <mergeCell ref="R5:V5"/>
    <mergeCell ref="W5:Y5"/>
    <mergeCell ref="R7:V7"/>
    <mergeCell ref="W7:Y7"/>
    <mergeCell ref="E8:I8"/>
    <mergeCell ref="J8:Q8"/>
    <mergeCell ref="B9:O9"/>
    <mergeCell ref="P9:Y9"/>
    <mergeCell ref="R6:V6"/>
    <mergeCell ref="W6:Y6"/>
    <mergeCell ref="E7:I7"/>
    <mergeCell ref="J7:Q7"/>
    <mergeCell ref="B13:B15"/>
    <mergeCell ref="R8:V8"/>
    <mergeCell ref="W8:Y8"/>
    <mergeCell ref="E6:I6"/>
    <mergeCell ref="J6:Q6"/>
    <mergeCell ref="J14:K14"/>
    <mergeCell ref="C13:K13"/>
    <mergeCell ref="L13:R14"/>
    <mergeCell ref="S13:X14"/>
    <mergeCell ref="B10:J12"/>
    <mergeCell ref="K10:S12"/>
    <mergeCell ref="T10:Y12"/>
    <mergeCell ref="Y13:Y15"/>
    <mergeCell ref="C14:E14"/>
    <mergeCell ref="F14:H14"/>
    <mergeCell ref="I14:I1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0">
    <pageSetUpPr fitToPage="1"/>
  </sheetPr>
  <dimension ref="A1:AI153"/>
  <sheetViews>
    <sheetView showGridLines="0" zoomScale="75" zoomScaleNormal="75" zoomScaleSheetLayoutView="40" workbookViewId="0">
      <pane ySplit="8" topLeftCell="A63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TZ-8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5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41626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>
        <v>50</v>
      </c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41626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>
        <v>35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50">
        <f>J8-258</f>
        <v>70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328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13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6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6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27"/>
      <c r="C12" s="128"/>
      <c r="D12" s="128"/>
      <c r="E12" s="128"/>
      <c r="F12" s="128"/>
      <c r="G12" s="128"/>
      <c r="H12" s="128"/>
      <c r="I12" s="128"/>
      <c r="J12" s="129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43">
        <v>41628</v>
      </c>
      <c r="C16" s="35">
        <v>12.678000000000001</v>
      </c>
      <c r="D16" s="36">
        <v>7.5579999999999998</v>
      </c>
      <c r="E16" s="36">
        <v>8.1150000000000002</v>
      </c>
      <c r="F16" s="37"/>
      <c r="G16" s="37"/>
      <c r="H16" s="37"/>
      <c r="I16" s="41">
        <v>101.315</v>
      </c>
      <c r="J16" s="39">
        <v>329</v>
      </c>
      <c r="K16" s="18">
        <f t="shared" ref="K16:K26" si="0">IF(ISBLANK(J16),"",(J16-$J$8))</f>
        <v>1</v>
      </c>
      <c r="L16" s="19">
        <f t="shared" ref="L16:L47" si="1">IF(ISBLANK(C16),"",(C16-C$16)*1000)</f>
        <v>0</v>
      </c>
      <c r="M16" s="19">
        <f t="shared" ref="M16:M27" si="2">IF(ISBLANK(D16),"",(D16-D$16)*1000)</f>
        <v>0</v>
      </c>
      <c r="N16" s="19">
        <f t="shared" ref="N16:N27" si="3">IF(ISBLANK(E16),"",(E16-E$16)*1000)</f>
        <v>0</v>
      </c>
      <c r="O16" s="20"/>
      <c r="P16" s="20"/>
      <c r="Q16" s="20"/>
      <c r="R16" s="21">
        <f t="shared" ref="R16:R27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41635</v>
      </c>
      <c r="C17" s="25">
        <v>12.675000000000001</v>
      </c>
      <c r="D17" s="26">
        <v>7.56</v>
      </c>
      <c r="E17" s="26">
        <v>8.1129999999999995</v>
      </c>
      <c r="F17" s="16"/>
      <c r="G17" s="16"/>
      <c r="H17" s="16"/>
      <c r="I17" s="44">
        <v>101.312</v>
      </c>
      <c r="J17" s="32">
        <v>332</v>
      </c>
      <c r="K17" s="18">
        <f t="shared" si="0"/>
        <v>4</v>
      </c>
      <c r="L17" s="19">
        <f t="shared" si="1"/>
        <v>-3.0000000000001137</v>
      </c>
      <c r="M17" s="19">
        <f t="shared" si="2"/>
        <v>1.9999999999997797</v>
      </c>
      <c r="N17" s="19">
        <f t="shared" si="3"/>
        <v>-2.0000000000006679</v>
      </c>
      <c r="O17" s="19" t="str">
        <f t="shared" ref="O17:O48" si="5">IF(ISBLANK(F17),"",(F17-F$16)*1000)</f>
        <v/>
      </c>
      <c r="P17" s="19" t="str">
        <f t="shared" ref="P17:P48" si="6">IF(ISBLANK(G17),"",(G17-G$16)*1000)</f>
        <v/>
      </c>
      <c r="Q17" s="19" t="str">
        <f t="shared" ref="Q17:Q48" si="7">IF(ISBLANK(H17),"",(H17-H$16)*1000)</f>
        <v/>
      </c>
      <c r="R17" s="19">
        <f t="shared" si="4"/>
        <v>-3.0000000000001137</v>
      </c>
      <c r="S17" s="27">
        <f t="shared" ref="S17:S48" si="8">IF(C17="","",((C17-C16)*1000)/($B17-$B16))</f>
        <v>-0.42857142857144481</v>
      </c>
      <c r="T17" s="28">
        <f t="shared" ref="T17:T48" si="9">IF(D17="","",((D17-D16)*1000)/($B17-$B16))</f>
        <v>0.28571428571425422</v>
      </c>
      <c r="U17" s="28">
        <f t="shared" ref="U17:U48" si="10">IF(E17="","",((E17-E16)*1000)/($B17-$B16))</f>
        <v>-0.28571428571438112</v>
      </c>
      <c r="V17" s="28" t="str">
        <f t="shared" ref="V17:V48" si="11">IF(F17="","",((F17-F16)*1000)/($B17-$B16))</f>
        <v/>
      </c>
      <c r="W17" s="28" t="str">
        <f t="shared" ref="W17:W48" si="12">IF(G17="","",((G17-G16)*1000)/($B17-$B16))</f>
        <v/>
      </c>
      <c r="X17" s="29" t="str">
        <f t="shared" ref="X17:X48" si="13">IF(H17="","",((H17-H16)*1000)/($B17-$B16))</f>
        <v/>
      </c>
      <c r="Y17" s="30"/>
    </row>
    <row r="18" spans="2:25" ht="15" customHeight="1" x14ac:dyDescent="0.2">
      <c r="B18" s="31">
        <v>41641</v>
      </c>
      <c r="C18" s="25">
        <v>12.673</v>
      </c>
      <c r="D18" s="26">
        <v>7.5590000000000002</v>
      </c>
      <c r="E18" s="26">
        <v>8.1129999999999995</v>
      </c>
      <c r="F18" s="16"/>
      <c r="G18" s="16"/>
      <c r="H18" s="16"/>
      <c r="I18" s="44">
        <v>101.312</v>
      </c>
      <c r="J18" s="32">
        <v>332</v>
      </c>
      <c r="K18" s="18">
        <f t="shared" si="0"/>
        <v>4</v>
      </c>
      <c r="L18" s="19">
        <f t="shared" si="1"/>
        <v>-5.0000000000007816</v>
      </c>
      <c r="M18" s="19">
        <f t="shared" si="2"/>
        <v>1.000000000000334</v>
      </c>
      <c r="N18" s="19">
        <f t="shared" si="3"/>
        <v>-2.0000000000006679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4"/>
        <v>-3.0000000000001137</v>
      </c>
      <c r="S18" s="27">
        <f t="shared" si="8"/>
        <v>-0.33333333333344467</v>
      </c>
      <c r="T18" s="28">
        <f t="shared" si="9"/>
        <v>-0.16666666666657429</v>
      </c>
      <c r="U18" s="28">
        <f t="shared" si="10"/>
        <v>0</v>
      </c>
      <c r="V18" s="28" t="str">
        <f t="shared" si="11"/>
        <v/>
      </c>
      <c r="W18" s="28" t="str">
        <f t="shared" si="12"/>
        <v/>
      </c>
      <c r="X18" s="29" t="str">
        <f t="shared" si="13"/>
        <v/>
      </c>
      <c r="Y18" s="24"/>
    </row>
    <row r="19" spans="2:25" ht="15" customHeight="1" x14ac:dyDescent="0.2">
      <c r="B19" s="31">
        <v>41646</v>
      </c>
      <c r="C19" s="25">
        <v>12.673</v>
      </c>
      <c r="D19" s="26">
        <v>7.5590000000000002</v>
      </c>
      <c r="E19" s="26">
        <v>8.1129999999999995</v>
      </c>
      <c r="F19" s="16"/>
      <c r="G19" s="16"/>
      <c r="H19" s="16"/>
      <c r="I19" s="44">
        <v>101.312</v>
      </c>
      <c r="J19" s="32">
        <v>332</v>
      </c>
      <c r="K19" s="18">
        <f t="shared" si="0"/>
        <v>4</v>
      </c>
      <c r="L19" s="19">
        <f t="shared" si="1"/>
        <v>-5.0000000000007816</v>
      </c>
      <c r="M19" s="19">
        <f t="shared" si="2"/>
        <v>1.000000000000334</v>
      </c>
      <c r="N19" s="19">
        <f t="shared" si="3"/>
        <v>-2.0000000000006679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4"/>
        <v>-3.0000000000001137</v>
      </c>
      <c r="S19" s="27">
        <f t="shared" si="8"/>
        <v>0</v>
      </c>
      <c r="T19" s="28">
        <f t="shared" si="9"/>
        <v>0</v>
      </c>
      <c r="U19" s="28">
        <f t="shared" si="10"/>
        <v>0</v>
      </c>
      <c r="V19" s="28" t="str">
        <f t="shared" si="11"/>
        <v/>
      </c>
      <c r="W19" s="28" t="str">
        <f t="shared" si="12"/>
        <v/>
      </c>
      <c r="X19" s="29" t="str">
        <f t="shared" si="13"/>
        <v/>
      </c>
      <c r="Y19" s="24"/>
    </row>
    <row r="20" spans="2:25" ht="15" customHeight="1" x14ac:dyDescent="0.2">
      <c r="B20" s="31">
        <v>41647</v>
      </c>
      <c r="C20" s="25">
        <v>12.67</v>
      </c>
      <c r="D20" s="26">
        <v>7.5570000000000004</v>
      </c>
      <c r="E20" s="26">
        <v>8.1129999999999995</v>
      </c>
      <c r="F20" s="16"/>
      <c r="G20" s="16"/>
      <c r="H20" s="16"/>
      <c r="I20" s="44">
        <v>101.312</v>
      </c>
      <c r="J20" s="32">
        <v>336</v>
      </c>
      <c r="K20" s="18">
        <f t="shared" si="0"/>
        <v>8</v>
      </c>
      <c r="L20" s="19">
        <f t="shared" si="1"/>
        <v>-8.0000000000008953</v>
      </c>
      <c r="M20" s="19">
        <f t="shared" si="2"/>
        <v>-0.99999999999944578</v>
      </c>
      <c r="N20" s="19">
        <f t="shared" si="3"/>
        <v>-2.0000000000006679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4"/>
        <v>-3.0000000000001137</v>
      </c>
      <c r="S20" s="27">
        <f t="shared" si="8"/>
        <v>-3.0000000000001137</v>
      </c>
      <c r="T20" s="28">
        <f t="shared" si="9"/>
        <v>-1.9999999999997797</v>
      </c>
      <c r="U20" s="28">
        <f t="shared" si="10"/>
        <v>0</v>
      </c>
      <c r="V20" s="28" t="str">
        <f t="shared" si="11"/>
        <v/>
      </c>
      <c r="W20" s="28" t="str">
        <f t="shared" si="12"/>
        <v/>
      </c>
      <c r="X20" s="29" t="str">
        <f t="shared" si="13"/>
        <v/>
      </c>
      <c r="Y20" s="24"/>
    </row>
    <row r="21" spans="2:25" ht="15" customHeight="1" x14ac:dyDescent="0.2">
      <c r="B21" s="31">
        <v>41648</v>
      </c>
      <c r="C21" s="25">
        <v>12.669</v>
      </c>
      <c r="D21" s="26">
        <v>7.5579999999999998</v>
      </c>
      <c r="E21" s="26">
        <v>8.1129999999999995</v>
      </c>
      <c r="F21" s="16"/>
      <c r="G21" s="16"/>
      <c r="H21" s="16"/>
      <c r="I21" s="44">
        <v>101.31100000000001</v>
      </c>
      <c r="J21" s="32">
        <v>340</v>
      </c>
      <c r="K21" s="18">
        <f t="shared" si="0"/>
        <v>12</v>
      </c>
      <c r="L21" s="19">
        <f t="shared" si="1"/>
        <v>-9.0000000000003411</v>
      </c>
      <c r="M21" s="19">
        <f t="shared" si="2"/>
        <v>0</v>
      </c>
      <c r="N21" s="19">
        <f t="shared" si="3"/>
        <v>-2.0000000000006679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4"/>
        <v>-3.9999999999906777</v>
      </c>
      <c r="S21" s="27">
        <f t="shared" si="8"/>
        <v>-0.99999999999944578</v>
      </c>
      <c r="T21" s="28">
        <f t="shared" si="9"/>
        <v>0.99999999999944578</v>
      </c>
      <c r="U21" s="28">
        <f t="shared" si="10"/>
        <v>0</v>
      </c>
      <c r="V21" s="28" t="str">
        <f t="shared" si="11"/>
        <v/>
      </c>
      <c r="W21" s="28" t="str">
        <f t="shared" si="12"/>
        <v/>
      </c>
      <c r="X21" s="29" t="str">
        <f t="shared" si="13"/>
        <v/>
      </c>
      <c r="Y21" s="24"/>
    </row>
    <row r="22" spans="2:25" ht="15" customHeight="1" x14ac:dyDescent="0.2">
      <c r="B22" s="31">
        <v>41649</v>
      </c>
      <c r="C22" s="25">
        <v>12.667999999999999</v>
      </c>
      <c r="D22" s="26">
        <v>7.5579999999999998</v>
      </c>
      <c r="E22" s="26">
        <v>8.1129999999999995</v>
      </c>
      <c r="F22" s="16"/>
      <c r="G22" s="16"/>
      <c r="H22" s="16"/>
      <c r="I22" s="44">
        <v>101.31100000000001</v>
      </c>
      <c r="J22" s="32">
        <v>348</v>
      </c>
      <c r="K22" s="18">
        <f t="shared" si="0"/>
        <v>20</v>
      </c>
      <c r="L22" s="19">
        <f t="shared" si="1"/>
        <v>-10.000000000001563</v>
      </c>
      <c r="M22" s="19">
        <f t="shared" si="2"/>
        <v>0</v>
      </c>
      <c r="N22" s="19">
        <f t="shared" si="3"/>
        <v>-2.0000000000006679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4"/>
        <v>-3.9999999999906777</v>
      </c>
      <c r="S22" s="27">
        <f t="shared" si="8"/>
        <v>-1.0000000000012221</v>
      </c>
      <c r="T22" s="28">
        <f t="shared" si="9"/>
        <v>0</v>
      </c>
      <c r="U22" s="28">
        <f t="shared" si="10"/>
        <v>0</v>
      </c>
      <c r="V22" s="28" t="str">
        <f t="shared" si="11"/>
        <v/>
      </c>
      <c r="W22" s="28" t="str">
        <f t="shared" si="12"/>
        <v/>
      </c>
      <c r="X22" s="29" t="str">
        <f t="shared" si="13"/>
        <v/>
      </c>
      <c r="Y22" s="24"/>
    </row>
    <row r="23" spans="2:25" ht="15" customHeight="1" x14ac:dyDescent="0.2">
      <c r="B23" s="31">
        <v>41652</v>
      </c>
      <c r="C23" s="25">
        <v>12.667</v>
      </c>
      <c r="D23" s="26">
        <v>7.5570000000000004</v>
      </c>
      <c r="E23" s="26">
        <v>8.1129999999999995</v>
      </c>
      <c r="F23" s="16"/>
      <c r="G23" s="16"/>
      <c r="H23" s="16"/>
      <c r="I23" s="44">
        <v>101.31</v>
      </c>
      <c r="J23" s="32">
        <v>353</v>
      </c>
      <c r="K23" s="18">
        <f t="shared" si="0"/>
        <v>25</v>
      </c>
      <c r="L23" s="19">
        <f t="shared" si="1"/>
        <v>-11.000000000001009</v>
      </c>
      <c r="M23" s="19">
        <f t="shared" si="2"/>
        <v>-0.99999999999944578</v>
      </c>
      <c r="N23" s="19">
        <f t="shared" si="3"/>
        <v>-2.0000000000006679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4"/>
        <v>-4.9999999999954525</v>
      </c>
      <c r="S23" s="27">
        <f t="shared" si="8"/>
        <v>-0.33333333333314857</v>
      </c>
      <c r="T23" s="28">
        <f t="shared" si="9"/>
        <v>-0.33333333333314857</v>
      </c>
      <c r="U23" s="28">
        <f t="shared" si="10"/>
        <v>0</v>
      </c>
      <c r="V23" s="28" t="str">
        <f t="shared" si="11"/>
        <v/>
      </c>
      <c r="W23" s="28" t="str">
        <f t="shared" si="12"/>
        <v/>
      </c>
      <c r="X23" s="29" t="str">
        <f t="shared" si="13"/>
        <v/>
      </c>
      <c r="Y23" s="24"/>
    </row>
    <row r="24" spans="2:25" ht="15" customHeight="1" x14ac:dyDescent="0.2">
      <c r="B24" s="31">
        <v>41653</v>
      </c>
      <c r="C24" s="25">
        <v>12.664999999999999</v>
      </c>
      <c r="D24" s="26">
        <v>7.5570000000000004</v>
      </c>
      <c r="E24" s="26">
        <v>8.1120000000000001</v>
      </c>
      <c r="F24" s="16"/>
      <c r="G24" s="16"/>
      <c r="H24" s="16"/>
      <c r="I24" s="44">
        <v>101.309</v>
      </c>
      <c r="J24" s="32">
        <v>359.5</v>
      </c>
      <c r="K24" s="18">
        <f t="shared" si="0"/>
        <v>31.5</v>
      </c>
      <c r="L24" s="19">
        <f t="shared" si="1"/>
        <v>-13.000000000001677</v>
      </c>
      <c r="M24" s="19">
        <f t="shared" si="2"/>
        <v>-0.99999999999944578</v>
      </c>
      <c r="N24" s="19">
        <f t="shared" si="3"/>
        <v>-3.0000000000001137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4"/>
        <v>-6.0000000000002274</v>
      </c>
      <c r="S24" s="27">
        <f t="shared" si="8"/>
        <v>-2.0000000000006679</v>
      </c>
      <c r="T24" s="28">
        <f t="shared" si="9"/>
        <v>0</v>
      </c>
      <c r="U24" s="28">
        <f t="shared" si="10"/>
        <v>-0.99999999999944578</v>
      </c>
      <c r="V24" s="28" t="str">
        <f t="shared" si="11"/>
        <v/>
      </c>
      <c r="W24" s="28" t="str">
        <f t="shared" si="12"/>
        <v/>
      </c>
      <c r="X24" s="29" t="str">
        <f t="shared" si="13"/>
        <v/>
      </c>
      <c r="Y24" s="24"/>
    </row>
    <row r="25" spans="2:25" ht="15" customHeight="1" x14ac:dyDescent="0.2">
      <c r="B25" s="31">
        <v>41654</v>
      </c>
      <c r="C25" s="25">
        <v>12.666</v>
      </c>
      <c r="D25" s="26">
        <v>7.5570000000000004</v>
      </c>
      <c r="E25" s="26">
        <v>8.1129999999999995</v>
      </c>
      <c r="F25" s="16"/>
      <c r="G25" s="16"/>
      <c r="H25" s="16"/>
      <c r="I25" s="44">
        <v>101.309</v>
      </c>
      <c r="J25" s="32">
        <v>366</v>
      </c>
      <c r="K25" s="18">
        <f t="shared" si="0"/>
        <v>38</v>
      </c>
      <c r="L25" s="19">
        <f t="shared" si="1"/>
        <v>-12.000000000000455</v>
      </c>
      <c r="M25" s="19">
        <f t="shared" si="2"/>
        <v>-0.99999999999944578</v>
      </c>
      <c r="N25" s="19">
        <f t="shared" si="3"/>
        <v>-2.0000000000006679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4"/>
        <v>-6.0000000000002274</v>
      </c>
      <c r="S25" s="27">
        <f t="shared" si="8"/>
        <v>1.0000000000012221</v>
      </c>
      <c r="T25" s="28">
        <f t="shared" si="9"/>
        <v>0</v>
      </c>
      <c r="U25" s="28">
        <f t="shared" si="10"/>
        <v>0.99999999999944578</v>
      </c>
      <c r="V25" s="28" t="str">
        <f t="shared" si="11"/>
        <v/>
      </c>
      <c r="W25" s="28" t="str">
        <f t="shared" si="12"/>
        <v/>
      </c>
      <c r="X25" s="29" t="str">
        <f t="shared" si="13"/>
        <v/>
      </c>
      <c r="Y25" s="24"/>
    </row>
    <row r="26" spans="2:25" ht="15" customHeight="1" x14ac:dyDescent="0.2">
      <c r="B26" s="31">
        <v>41655</v>
      </c>
      <c r="C26" s="25">
        <v>12.664999999999999</v>
      </c>
      <c r="D26" s="26">
        <v>7.5570000000000004</v>
      </c>
      <c r="E26" s="26">
        <v>8.1120000000000001</v>
      </c>
      <c r="F26" s="16"/>
      <c r="G26" s="16"/>
      <c r="H26" s="16"/>
      <c r="I26" s="44">
        <v>101.31</v>
      </c>
      <c r="J26" s="32">
        <v>373</v>
      </c>
      <c r="K26" s="18">
        <f t="shared" si="0"/>
        <v>45</v>
      </c>
      <c r="L26" s="19">
        <f t="shared" si="1"/>
        <v>-13.000000000001677</v>
      </c>
      <c r="M26" s="19">
        <f t="shared" si="2"/>
        <v>-0.99999999999944578</v>
      </c>
      <c r="N26" s="19">
        <f t="shared" si="3"/>
        <v>-3.0000000000001137</v>
      </c>
      <c r="O26" s="19" t="str">
        <f t="shared" si="5"/>
        <v/>
      </c>
      <c r="P26" s="19" t="str">
        <f t="shared" si="6"/>
        <v/>
      </c>
      <c r="Q26" s="19" t="str">
        <f t="shared" si="7"/>
        <v/>
      </c>
      <c r="R26" s="19">
        <f t="shared" si="4"/>
        <v>-4.9999999999954525</v>
      </c>
      <c r="S26" s="27">
        <f t="shared" si="8"/>
        <v>-1.0000000000012221</v>
      </c>
      <c r="T26" s="28">
        <f t="shared" si="9"/>
        <v>0</v>
      </c>
      <c r="U26" s="28">
        <f t="shared" si="10"/>
        <v>-0.99999999999944578</v>
      </c>
      <c r="V26" s="28" t="str">
        <f t="shared" si="11"/>
        <v/>
      </c>
      <c r="W26" s="28" t="str">
        <f t="shared" si="12"/>
        <v/>
      </c>
      <c r="X26" s="29" t="str">
        <f t="shared" si="13"/>
        <v/>
      </c>
      <c r="Y26" s="24"/>
    </row>
    <row r="27" spans="2:25" ht="15" customHeight="1" x14ac:dyDescent="0.2">
      <c r="B27" s="31">
        <v>41656</v>
      </c>
      <c r="C27" s="25">
        <v>12.664</v>
      </c>
      <c r="D27" s="26">
        <v>7.5570000000000004</v>
      </c>
      <c r="E27" s="26">
        <v>8.1129999999999995</v>
      </c>
      <c r="F27" s="16"/>
      <c r="G27" s="16"/>
      <c r="H27" s="16"/>
      <c r="I27" s="44">
        <v>101.31100000000001</v>
      </c>
      <c r="J27" s="32">
        <v>376</v>
      </c>
      <c r="K27" s="18">
        <f t="shared" ref="K27:K42" si="14">IF(ISBLANK(J27),"",(J27-$J$8))</f>
        <v>48</v>
      </c>
      <c r="L27" s="19">
        <f t="shared" si="1"/>
        <v>-14.000000000001123</v>
      </c>
      <c r="M27" s="19">
        <f t="shared" si="2"/>
        <v>-0.99999999999944578</v>
      </c>
      <c r="N27" s="19">
        <f t="shared" si="3"/>
        <v>-2.0000000000006679</v>
      </c>
      <c r="O27" s="19" t="str">
        <f t="shared" si="5"/>
        <v/>
      </c>
      <c r="P27" s="19" t="str">
        <f t="shared" si="6"/>
        <v/>
      </c>
      <c r="Q27" s="19" t="str">
        <f t="shared" si="7"/>
        <v/>
      </c>
      <c r="R27" s="19">
        <f t="shared" si="4"/>
        <v>-3.9999999999906777</v>
      </c>
      <c r="S27" s="27">
        <f t="shared" si="8"/>
        <v>-0.99999999999944578</v>
      </c>
      <c r="T27" s="28">
        <f t="shared" si="9"/>
        <v>0</v>
      </c>
      <c r="U27" s="28">
        <f t="shared" si="10"/>
        <v>0.99999999999944578</v>
      </c>
      <c r="V27" s="28" t="str">
        <f t="shared" si="11"/>
        <v/>
      </c>
      <c r="W27" s="28" t="str">
        <f t="shared" si="12"/>
        <v/>
      </c>
      <c r="X27" s="29" t="str">
        <f t="shared" si="13"/>
        <v/>
      </c>
      <c r="Y27" s="24"/>
    </row>
    <row r="28" spans="2:25" ht="15" customHeight="1" x14ac:dyDescent="0.2">
      <c r="B28" s="31">
        <v>41659</v>
      </c>
      <c r="C28" s="25">
        <v>12.664</v>
      </c>
      <c r="D28" s="45">
        <v>7.8239999999999998</v>
      </c>
      <c r="E28" s="45">
        <v>7.9320000000000004</v>
      </c>
      <c r="F28" s="16"/>
      <c r="G28" s="16"/>
      <c r="H28" s="16"/>
      <c r="I28" s="46">
        <v>101.354</v>
      </c>
      <c r="J28" s="32">
        <v>383</v>
      </c>
      <c r="K28" s="18">
        <f t="shared" si="14"/>
        <v>55</v>
      </c>
      <c r="L28" s="19">
        <f t="shared" si="1"/>
        <v>-14.000000000001123</v>
      </c>
      <c r="M28" s="19">
        <f>IF(ISBLANK(D28),"",((D28-D$28)*1000)+M$27)</f>
        <v>-0.99999999999944578</v>
      </c>
      <c r="N28" s="19">
        <f>IF(ISBLANK(E28),"",((E28-E$28)*1000)+N$27)</f>
        <v>-2.0000000000006679</v>
      </c>
      <c r="O28" s="19" t="str">
        <f t="shared" si="5"/>
        <v/>
      </c>
      <c r="P28" s="19" t="str">
        <f t="shared" si="6"/>
        <v/>
      </c>
      <c r="Q28" s="19" t="str">
        <f t="shared" si="7"/>
        <v/>
      </c>
      <c r="R28" s="19">
        <f>IF(ISBLANK(I28),"",((I28-I$28)*1000)+R$27)</f>
        <v>-3.9999999999906777</v>
      </c>
      <c r="S28" s="27">
        <f t="shared" si="8"/>
        <v>0</v>
      </c>
      <c r="T28" s="28">
        <f t="shared" si="9"/>
        <v>88.999999999999815</v>
      </c>
      <c r="U28" s="28">
        <f t="shared" si="10"/>
        <v>-60.333333333333051</v>
      </c>
      <c r="V28" s="28" t="str">
        <f t="shared" si="11"/>
        <v/>
      </c>
      <c r="W28" s="28" t="str">
        <f t="shared" si="12"/>
        <v/>
      </c>
      <c r="X28" s="29" t="str">
        <f t="shared" si="13"/>
        <v/>
      </c>
      <c r="Y28" s="49" t="s">
        <v>36</v>
      </c>
    </row>
    <row r="29" spans="2:25" ht="15" customHeight="1" x14ac:dyDescent="0.2">
      <c r="B29" s="31">
        <v>41660</v>
      </c>
      <c r="C29" s="25">
        <v>12.666</v>
      </c>
      <c r="D29" s="26">
        <v>7.8230000000000004</v>
      </c>
      <c r="E29" s="26">
        <v>7.9340000000000002</v>
      </c>
      <c r="F29" s="47"/>
      <c r="G29" s="47"/>
      <c r="H29" s="47"/>
      <c r="I29" s="48">
        <v>101.354</v>
      </c>
      <c r="J29" s="32">
        <v>387</v>
      </c>
      <c r="K29" s="18">
        <f t="shared" si="14"/>
        <v>59</v>
      </c>
      <c r="L29" s="19">
        <f t="shared" si="1"/>
        <v>-12.000000000000455</v>
      </c>
      <c r="M29" s="19">
        <f t="shared" ref="M29:M92" si="15">IF(ISBLANK(D29),"",((D29-D$28)*1000)+M$27)</f>
        <v>-1.9999999999988916</v>
      </c>
      <c r="N29" s="19">
        <f t="shared" ref="N29:N92" si="16">IF(ISBLANK(E29),"",((E29-E$28)*1000)+N$27)</f>
        <v>-8.8817841970012523E-13</v>
      </c>
      <c r="O29" s="19" t="str">
        <f t="shared" si="5"/>
        <v/>
      </c>
      <c r="P29" s="19" t="str">
        <f t="shared" si="6"/>
        <v/>
      </c>
      <c r="Q29" s="19" t="str">
        <f t="shared" si="7"/>
        <v/>
      </c>
      <c r="R29" s="19">
        <f t="shared" ref="R29:R92" si="17">IF(ISBLANK(I29),"",((I29-I$28)*1000)+R$27)</f>
        <v>-3.9999999999906777</v>
      </c>
      <c r="S29" s="27">
        <f t="shared" si="8"/>
        <v>2.0000000000006679</v>
      </c>
      <c r="T29" s="28">
        <f t="shared" si="9"/>
        <v>-0.99999999999944578</v>
      </c>
      <c r="U29" s="28">
        <f t="shared" si="10"/>
        <v>1.9999999999997797</v>
      </c>
      <c r="V29" s="28" t="str">
        <f t="shared" si="11"/>
        <v/>
      </c>
      <c r="W29" s="28" t="str">
        <f t="shared" si="12"/>
        <v/>
      </c>
      <c r="X29" s="29" t="str">
        <f t="shared" si="13"/>
        <v/>
      </c>
      <c r="Y29" s="24"/>
    </row>
    <row r="30" spans="2:25" ht="15" customHeight="1" x14ac:dyDescent="0.2">
      <c r="B30" s="31">
        <v>41661</v>
      </c>
      <c r="C30" s="25">
        <v>12.663</v>
      </c>
      <c r="D30" s="26">
        <v>7.8220000000000001</v>
      </c>
      <c r="E30" s="26">
        <v>7.9320000000000004</v>
      </c>
      <c r="F30" s="47"/>
      <c r="G30" s="47"/>
      <c r="H30" s="47"/>
      <c r="I30" s="48">
        <v>101.35299999999999</v>
      </c>
      <c r="J30" s="32">
        <v>388.5</v>
      </c>
      <c r="K30" s="18">
        <f t="shared" si="14"/>
        <v>60.5</v>
      </c>
      <c r="L30" s="19">
        <f t="shared" si="1"/>
        <v>-15.000000000000568</v>
      </c>
      <c r="M30" s="19">
        <f t="shared" si="15"/>
        <v>-2.9999999999992255</v>
      </c>
      <c r="N30" s="19">
        <f t="shared" si="16"/>
        <v>-2.0000000000006679</v>
      </c>
      <c r="O30" s="19" t="str">
        <f t="shared" si="5"/>
        <v/>
      </c>
      <c r="P30" s="19" t="str">
        <f t="shared" si="6"/>
        <v/>
      </c>
      <c r="Q30" s="19" t="str">
        <f t="shared" si="7"/>
        <v/>
      </c>
      <c r="R30" s="19">
        <f t="shared" si="17"/>
        <v>-4.9999999999954525</v>
      </c>
      <c r="S30" s="27">
        <f t="shared" si="8"/>
        <v>-3.0000000000001137</v>
      </c>
      <c r="T30" s="28">
        <f t="shared" si="9"/>
        <v>-1.000000000000334</v>
      </c>
      <c r="U30" s="28">
        <f t="shared" si="10"/>
        <v>-1.9999999999997797</v>
      </c>
      <c r="V30" s="28" t="str">
        <f t="shared" si="11"/>
        <v/>
      </c>
      <c r="W30" s="28" t="str">
        <f t="shared" si="12"/>
        <v/>
      </c>
      <c r="X30" s="29" t="str">
        <f t="shared" si="13"/>
        <v/>
      </c>
      <c r="Y30" s="24"/>
    </row>
    <row r="31" spans="2:25" ht="15" customHeight="1" x14ac:dyDescent="0.2">
      <c r="B31" s="31">
        <v>41662</v>
      </c>
      <c r="C31" s="25">
        <v>12.662000000000001</v>
      </c>
      <c r="D31" s="26">
        <v>7.8209999999999997</v>
      </c>
      <c r="E31" s="26">
        <v>7.9329999999999998</v>
      </c>
      <c r="F31" s="47"/>
      <c r="G31" s="47"/>
      <c r="H31" s="47"/>
      <c r="I31" s="48">
        <v>101.35299999999999</v>
      </c>
      <c r="J31" s="32">
        <v>392</v>
      </c>
      <c r="K31" s="18">
        <f t="shared" si="14"/>
        <v>64</v>
      </c>
      <c r="L31" s="19">
        <f t="shared" si="1"/>
        <v>-16.000000000000014</v>
      </c>
      <c r="M31" s="19">
        <f t="shared" si="15"/>
        <v>-3.9999999999995595</v>
      </c>
      <c r="N31" s="19">
        <f t="shared" si="16"/>
        <v>-1.0000000000012221</v>
      </c>
      <c r="O31" s="19" t="str">
        <f t="shared" si="5"/>
        <v/>
      </c>
      <c r="P31" s="19" t="str">
        <f t="shared" si="6"/>
        <v/>
      </c>
      <c r="Q31" s="19" t="str">
        <f t="shared" si="7"/>
        <v/>
      </c>
      <c r="R31" s="19">
        <f t="shared" si="17"/>
        <v>-4.9999999999954525</v>
      </c>
      <c r="S31" s="27">
        <f t="shared" si="8"/>
        <v>-0.99999999999944578</v>
      </c>
      <c r="T31" s="28">
        <f t="shared" si="9"/>
        <v>-1.000000000000334</v>
      </c>
      <c r="U31" s="28">
        <f t="shared" si="10"/>
        <v>0.99999999999944578</v>
      </c>
      <c r="V31" s="28" t="str">
        <f t="shared" si="11"/>
        <v/>
      </c>
      <c r="W31" s="28" t="str">
        <f t="shared" si="12"/>
        <v/>
      </c>
      <c r="X31" s="29" t="str">
        <f t="shared" si="13"/>
        <v/>
      </c>
      <c r="Y31" s="24"/>
    </row>
    <row r="32" spans="2:25" ht="15" customHeight="1" x14ac:dyDescent="0.2">
      <c r="B32" s="31">
        <v>41663</v>
      </c>
      <c r="C32" s="25">
        <v>12.662000000000001</v>
      </c>
      <c r="D32" s="26">
        <v>7.82</v>
      </c>
      <c r="E32" s="26">
        <v>7.9329999999999998</v>
      </c>
      <c r="F32" s="47"/>
      <c r="G32" s="47"/>
      <c r="H32" s="47"/>
      <c r="I32" s="48">
        <v>101.35299999999999</v>
      </c>
      <c r="J32" s="32">
        <v>393.5</v>
      </c>
      <c r="K32" s="18">
        <f t="shared" si="14"/>
        <v>65.5</v>
      </c>
      <c r="L32" s="19">
        <f t="shared" si="1"/>
        <v>-16.000000000000014</v>
      </c>
      <c r="M32" s="19">
        <f t="shared" si="15"/>
        <v>-4.9999999999990052</v>
      </c>
      <c r="N32" s="19">
        <f t="shared" si="16"/>
        <v>-1.0000000000012221</v>
      </c>
      <c r="O32" s="19" t="str">
        <f t="shared" si="5"/>
        <v/>
      </c>
      <c r="P32" s="19" t="str">
        <f t="shared" si="6"/>
        <v/>
      </c>
      <c r="Q32" s="19" t="str">
        <f t="shared" si="7"/>
        <v/>
      </c>
      <c r="R32" s="19">
        <f t="shared" si="17"/>
        <v>-4.9999999999954525</v>
      </c>
      <c r="S32" s="27">
        <f t="shared" si="8"/>
        <v>0</v>
      </c>
      <c r="T32" s="28">
        <f t="shared" si="9"/>
        <v>-0.99999999999944578</v>
      </c>
      <c r="U32" s="28">
        <f t="shared" si="10"/>
        <v>0</v>
      </c>
      <c r="V32" s="28" t="str">
        <f t="shared" si="11"/>
        <v/>
      </c>
      <c r="W32" s="28" t="str">
        <f t="shared" si="12"/>
        <v/>
      </c>
      <c r="X32" s="29" t="str">
        <f t="shared" si="13"/>
        <v/>
      </c>
      <c r="Y32" s="24"/>
    </row>
    <row r="33" spans="2:25" ht="15" customHeight="1" x14ac:dyDescent="0.2">
      <c r="B33" s="31">
        <v>41666</v>
      </c>
      <c r="C33" s="25">
        <v>12.661</v>
      </c>
      <c r="D33" s="26">
        <v>7.82</v>
      </c>
      <c r="E33" s="26">
        <v>7.9329999999999998</v>
      </c>
      <c r="F33" s="47"/>
      <c r="G33" s="47"/>
      <c r="H33" s="47"/>
      <c r="I33" s="48">
        <v>101.35299999999999</v>
      </c>
      <c r="J33" s="32">
        <v>396.5</v>
      </c>
      <c r="K33" s="18">
        <f t="shared" si="14"/>
        <v>68.5</v>
      </c>
      <c r="L33" s="19">
        <f t="shared" si="1"/>
        <v>-17.000000000001236</v>
      </c>
      <c r="M33" s="19">
        <f t="shared" si="15"/>
        <v>-4.9999999999990052</v>
      </c>
      <c r="N33" s="19">
        <f t="shared" si="16"/>
        <v>-1.0000000000012221</v>
      </c>
      <c r="O33" s="19" t="str">
        <f t="shared" si="5"/>
        <v/>
      </c>
      <c r="P33" s="19" t="str">
        <f t="shared" si="6"/>
        <v/>
      </c>
      <c r="Q33" s="19" t="str">
        <f t="shared" si="7"/>
        <v/>
      </c>
      <c r="R33" s="19">
        <f t="shared" si="17"/>
        <v>-4.9999999999954525</v>
      </c>
      <c r="S33" s="27">
        <f t="shared" si="8"/>
        <v>-0.33333333333374071</v>
      </c>
      <c r="T33" s="28">
        <f t="shared" si="9"/>
        <v>0</v>
      </c>
      <c r="U33" s="28">
        <f t="shared" si="10"/>
        <v>0</v>
      </c>
      <c r="V33" s="28" t="str">
        <f t="shared" si="11"/>
        <v/>
      </c>
      <c r="W33" s="28" t="str">
        <f t="shared" si="12"/>
        <v/>
      </c>
      <c r="X33" s="29" t="str">
        <f t="shared" si="13"/>
        <v/>
      </c>
      <c r="Y33" s="24"/>
    </row>
    <row r="34" spans="2:25" ht="15" customHeight="1" x14ac:dyDescent="0.2">
      <c r="B34" s="31">
        <v>41667</v>
      </c>
      <c r="C34" s="25">
        <v>12.661</v>
      </c>
      <c r="D34" s="26">
        <v>7.8209999999999997</v>
      </c>
      <c r="E34" s="26">
        <v>7.9329999999999998</v>
      </c>
      <c r="F34" s="47"/>
      <c r="G34" s="47"/>
      <c r="H34" s="47"/>
      <c r="I34" s="48">
        <v>101.35299999999999</v>
      </c>
      <c r="J34" s="32">
        <v>398.5</v>
      </c>
      <c r="K34" s="18">
        <f t="shared" si="14"/>
        <v>70.5</v>
      </c>
      <c r="L34" s="19">
        <f t="shared" si="1"/>
        <v>-17.000000000001236</v>
      </c>
      <c r="M34" s="19">
        <f t="shared" si="15"/>
        <v>-3.9999999999995595</v>
      </c>
      <c r="N34" s="19">
        <f t="shared" si="16"/>
        <v>-1.0000000000012221</v>
      </c>
      <c r="O34" s="19" t="str">
        <f t="shared" si="5"/>
        <v/>
      </c>
      <c r="P34" s="19" t="str">
        <f t="shared" si="6"/>
        <v/>
      </c>
      <c r="Q34" s="19" t="str">
        <f t="shared" si="7"/>
        <v/>
      </c>
      <c r="R34" s="19">
        <f t="shared" si="17"/>
        <v>-4.9999999999954525</v>
      </c>
      <c r="S34" s="27">
        <f t="shared" si="8"/>
        <v>0</v>
      </c>
      <c r="T34" s="28">
        <f t="shared" si="9"/>
        <v>0.99999999999944578</v>
      </c>
      <c r="U34" s="28">
        <f t="shared" si="10"/>
        <v>0</v>
      </c>
      <c r="V34" s="28" t="str">
        <f t="shared" si="11"/>
        <v/>
      </c>
      <c r="W34" s="28" t="str">
        <f t="shared" si="12"/>
        <v/>
      </c>
      <c r="X34" s="29" t="str">
        <f t="shared" si="13"/>
        <v/>
      </c>
      <c r="Y34" s="24"/>
    </row>
    <row r="35" spans="2:25" ht="15" customHeight="1" x14ac:dyDescent="0.2">
      <c r="B35" s="31">
        <v>41668</v>
      </c>
      <c r="C35" s="25">
        <v>12.661</v>
      </c>
      <c r="D35" s="26">
        <v>7.8209999999999997</v>
      </c>
      <c r="E35" s="26">
        <v>7.9329999999999998</v>
      </c>
      <c r="F35" s="47"/>
      <c r="G35" s="47"/>
      <c r="H35" s="47"/>
      <c r="I35" s="48">
        <v>101.35299999999999</v>
      </c>
      <c r="J35" s="32">
        <v>402</v>
      </c>
      <c r="K35" s="18">
        <f t="shared" si="14"/>
        <v>74</v>
      </c>
      <c r="L35" s="19">
        <f t="shared" si="1"/>
        <v>-17.000000000001236</v>
      </c>
      <c r="M35" s="19">
        <f t="shared" si="15"/>
        <v>-3.9999999999995595</v>
      </c>
      <c r="N35" s="19">
        <f t="shared" si="16"/>
        <v>-1.0000000000012221</v>
      </c>
      <c r="O35" s="19" t="str">
        <f t="shared" si="5"/>
        <v/>
      </c>
      <c r="P35" s="19" t="str">
        <f t="shared" si="6"/>
        <v/>
      </c>
      <c r="Q35" s="19" t="str">
        <f t="shared" si="7"/>
        <v/>
      </c>
      <c r="R35" s="19">
        <f t="shared" si="17"/>
        <v>-4.9999999999954525</v>
      </c>
      <c r="S35" s="27">
        <f t="shared" si="8"/>
        <v>0</v>
      </c>
      <c r="T35" s="28">
        <f t="shared" si="9"/>
        <v>0</v>
      </c>
      <c r="U35" s="28">
        <f t="shared" si="10"/>
        <v>0</v>
      </c>
      <c r="V35" s="28" t="str">
        <f t="shared" si="11"/>
        <v/>
      </c>
      <c r="W35" s="28" t="str">
        <f t="shared" si="12"/>
        <v/>
      </c>
      <c r="X35" s="29" t="str">
        <f t="shared" si="13"/>
        <v/>
      </c>
      <c r="Y35" s="24"/>
    </row>
    <row r="36" spans="2:25" ht="15" customHeight="1" x14ac:dyDescent="0.2">
      <c r="B36" s="31">
        <v>41669</v>
      </c>
      <c r="C36" s="25">
        <v>12.661</v>
      </c>
      <c r="D36" s="26">
        <v>7.82</v>
      </c>
      <c r="E36" s="26">
        <v>7.9329999999999998</v>
      </c>
      <c r="F36" s="47"/>
      <c r="G36" s="47"/>
      <c r="H36" s="47"/>
      <c r="I36" s="48">
        <v>101.35299999999999</v>
      </c>
      <c r="J36" s="32">
        <v>411</v>
      </c>
      <c r="K36" s="18">
        <f t="shared" si="14"/>
        <v>83</v>
      </c>
      <c r="L36" s="19">
        <f t="shared" si="1"/>
        <v>-17.000000000001236</v>
      </c>
      <c r="M36" s="19">
        <f t="shared" si="15"/>
        <v>-4.9999999999990052</v>
      </c>
      <c r="N36" s="19">
        <f t="shared" si="16"/>
        <v>-1.0000000000012221</v>
      </c>
      <c r="O36" s="19" t="str">
        <f t="shared" si="5"/>
        <v/>
      </c>
      <c r="P36" s="19" t="str">
        <f t="shared" si="6"/>
        <v/>
      </c>
      <c r="Q36" s="19" t="str">
        <f t="shared" si="7"/>
        <v/>
      </c>
      <c r="R36" s="19">
        <f t="shared" si="17"/>
        <v>-4.9999999999954525</v>
      </c>
      <c r="S36" s="27">
        <f t="shared" si="8"/>
        <v>0</v>
      </c>
      <c r="T36" s="28">
        <f t="shared" si="9"/>
        <v>-0.99999999999944578</v>
      </c>
      <c r="U36" s="28">
        <f t="shared" si="10"/>
        <v>0</v>
      </c>
      <c r="V36" s="28" t="str">
        <f t="shared" si="11"/>
        <v/>
      </c>
      <c r="W36" s="28" t="str">
        <f t="shared" si="12"/>
        <v/>
      </c>
      <c r="X36" s="29" t="str">
        <f t="shared" si="13"/>
        <v/>
      </c>
      <c r="Y36" s="24"/>
    </row>
    <row r="37" spans="2:25" ht="15" customHeight="1" x14ac:dyDescent="0.2">
      <c r="B37" s="31">
        <v>41670</v>
      </c>
      <c r="C37" s="25">
        <v>12.661</v>
      </c>
      <c r="D37" s="26">
        <v>7.82</v>
      </c>
      <c r="E37" s="26">
        <v>7.9329999999999998</v>
      </c>
      <c r="F37" s="47"/>
      <c r="G37" s="47"/>
      <c r="H37" s="47"/>
      <c r="I37" s="48">
        <v>101.352</v>
      </c>
      <c r="J37" s="32">
        <v>418.5</v>
      </c>
      <c r="K37" s="18">
        <f t="shared" si="14"/>
        <v>90.5</v>
      </c>
      <c r="L37" s="19">
        <f t="shared" si="1"/>
        <v>-17.000000000001236</v>
      </c>
      <c r="M37" s="19">
        <f t="shared" si="15"/>
        <v>-4.9999999999990052</v>
      </c>
      <c r="N37" s="19">
        <f t="shared" si="16"/>
        <v>-1.0000000000012221</v>
      </c>
      <c r="O37" s="19" t="str">
        <f t="shared" si="5"/>
        <v/>
      </c>
      <c r="P37" s="19" t="str">
        <f t="shared" si="6"/>
        <v/>
      </c>
      <c r="Q37" s="19" t="str">
        <f t="shared" si="7"/>
        <v/>
      </c>
      <c r="R37" s="19">
        <f t="shared" si="17"/>
        <v>-5.9999999999860165</v>
      </c>
      <c r="S37" s="27">
        <f t="shared" si="8"/>
        <v>0</v>
      </c>
      <c r="T37" s="28">
        <f t="shared" si="9"/>
        <v>0</v>
      </c>
      <c r="U37" s="28">
        <f t="shared" si="10"/>
        <v>0</v>
      </c>
      <c r="V37" s="28" t="str">
        <f t="shared" si="11"/>
        <v/>
      </c>
      <c r="W37" s="28" t="str">
        <f t="shared" si="12"/>
        <v/>
      </c>
      <c r="X37" s="29" t="str">
        <f t="shared" si="13"/>
        <v/>
      </c>
      <c r="Y37" s="24"/>
    </row>
    <row r="38" spans="2:25" ht="15" customHeight="1" x14ac:dyDescent="0.2">
      <c r="B38" s="31">
        <v>41673</v>
      </c>
      <c r="C38" s="25">
        <v>12.662000000000001</v>
      </c>
      <c r="D38" s="26">
        <v>7.82</v>
      </c>
      <c r="E38" s="26">
        <v>7.9329999999999998</v>
      </c>
      <c r="F38" s="47"/>
      <c r="G38" s="47"/>
      <c r="H38" s="47"/>
      <c r="I38" s="48">
        <v>101.352</v>
      </c>
      <c r="J38" s="32">
        <v>430</v>
      </c>
      <c r="K38" s="18">
        <f t="shared" si="14"/>
        <v>102</v>
      </c>
      <c r="L38" s="19">
        <f t="shared" si="1"/>
        <v>-16.000000000000014</v>
      </c>
      <c r="M38" s="19">
        <f t="shared" si="15"/>
        <v>-4.9999999999990052</v>
      </c>
      <c r="N38" s="19">
        <f t="shared" si="16"/>
        <v>-1.0000000000012221</v>
      </c>
      <c r="O38" s="19" t="str">
        <f t="shared" si="5"/>
        <v/>
      </c>
      <c r="P38" s="19" t="str">
        <f t="shared" si="6"/>
        <v/>
      </c>
      <c r="Q38" s="19" t="str">
        <f t="shared" si="7"/>
        <v/>
      </c>
      <c r="R38" s="19">
        <f t="shared" si="17"/>
        <v>-5.9999999999860165</v>
      </c>
      <c r="S38" s="27">
        <f t="shared" si="8"/>
        <v>0.33333333333374071</v>
      </c>
      <c r="T38" s="28">
        <f t="shared" si="9"/>
        <v>0</v>
      </c>
      <c r="U38" s="28">
        <f t="shared" si="10"/>
        <v>0</v>
      </c>
      <c r="V38" s="28" t="str">
        <f t="shared" si="11"/>
        <v/>
      </c>
      <c r="W38" s="28" t="str">
        <f t="shared" si="12"/>
        <v/>
      </c>
      <c r="X38" s="29" t="str">
        <f t="shared" si="13"/>
        <v/>
      </c>
      <c r="Y38" s="24"/>
    </row>
    <row r="39" spans="2:25" ht="15" customHeight="1" x14ac:dyDescent="0.2">
      <c r="B39" s="31">
        <v>41674</v>
      </c>
      <c r="C39" s="25">
        <v>12.662000000000001</v>
      </c>
      <c r="D39" s="26">
        <v>7.82</v>
      </c>
      <c r="E39" s="26">
        <v>7.9320000000000004</v>
      </c>
      <c r="F39" s="47"/>
      <c r="G39" s="47"/>
      <c r="H39" s="47"/>
      <c r="I39" s="48">
        <v>101.352</v>
      </c>
      <c r="J39" s="32">
        <v>438</v>
      </c>
      <c r="K39" s="18">
        <f t="shared" si="14"/>
        <v>110</v>
      </c>
      <c r="L39" s="19">
        <f t="shared" si="1"/>
        <v>-16.000000000000014</v>
      </c>
      <c r="M39" s="19">
        <f t="shared" si="15"/>
        <v>-4.9999999999990052</v>
      </c>
      <c r="N39" s="19">
        <f t="shared" si="16"/>
        <v>-2.0000000000006679</v>
      </c>
      <c r="O39" s="19" t="str">
        <f t="shared" si="5"/>
        <v/>
      </c>
      <c r="P39" s="19" t="str">
        <f t="shared" si="6"/>
        <v/>
      </c>
      <c r="Q39" s="19" t="str">
        <f t="shared" si="7"/>
        <v/>
      </c>
      <c r="R39" s="19">
        <f t="shared" si="17"/>
        <v>-5.9999999999860165</v>
      </c>
      <c r="S39" s="27">
        <f t="shared" si="8"/>
        <v>0</v>
      </c>
      <c r="T39" s="28">
        <f t="shared" si="9"/>
        <v>0</v>
      </c>
      <c r="U39" s="28">
        <f t="shared" si="10"/>
        <v>-0.99999999999944578</v>
      </c>
      <c r="V39" s="28" t="str">
        <f t="shared" si="11"/>
        <v/>
      </c>
      <c r="W39" s="28" t="str">
        <f t="shared" si="12"/>
        <v/>
      </c>
      <c r="X39" s="29" t="str">
        <f t="shared" si="13"/>
        <v/>
      </c>
      <c r="Y39" s="24"/>
    </row>
    <row r="40" spans="2:25" ht="15" customHeight="1" x14ac:dyDescent="0.2">
      <c r="B40" s="31">
        <v>41675</v>
      </c>
      <c r="C40" s="25">
        <v>12.661</v>
      </c>
      <c r="D40" s="26">
        <v>7.82</v>
      </c>
      <c r="E40" s="26">
        <v>7.9320000000000004</v>
      </c>
      <c r="F40" s="47"/>
      <c r="G40" s="47"/>
      <c r="H40" s="47"/>
      <c r="I40" s="48">
        <v>101.352</v>
      </c>
      <c r="J40" s="32">
        <v>446</v>
      </c>
      <c r="K40" s="18">
        <f t="shared" si="14"/>
        <v>118</v>
      </c>
      <c r="L40" s="19">
        <f t="shared" si="1"/>
        <v>-17.000000000001236</v>
      </c>
      <c r="M40" s="19">
        <f t="shared" si="15"/>
        <v>-4.9999999999990052</v>
      </c>
      <c r="N40" s="19">
        <f t="shared" si="16"/>
        <v>-2.0000000000006679</v>
      </c>
      <c r="O40" s="19" t="str">
        <f t="shared" si="5"/>
        <v/>
      </c>
      <c r="P40" s="19" t="str">
        <f t="shared" si="6"/>
        <v/>
      </c>
      <c r="Q40" s="19" t="str">
        <f t="shared" si="7"/>
        <v/>
      </c>
      <c r="R40" s="19">
        <f t="shared" si="17"/>
        <v>-5.9999999999860165</v>
      </c>
      <c r="S40" s="27">
        <f t="shared" si="8"/>
        <v>-1.0000000000012221</v>
      </c>
      <c r="T40" s="28">
        <f t="shared" si="9"/>
        <v>0</v>
      </c>
      <c r="U40" s="28">
        <f t="shared" si="10"/>
        <v>0</v>
      </c>
      <c r="V40" s="28" t="str">
        <f t="shared" si="11"/>
        <v/>
      </c>
      <c r="W40" s="28" t="str">
        <f t="shared" si="12"/>
        <v/>
      </c>
      <c r="X40" s="29" t="str">
        <f t="shared" si="13"/>
        <v/>
      </c>
      <c r="Y40" s="24"/>
    </row>
    <row r="41" spans="2:25" ht="15" customHeight="1" x14ac:dyDescent="0.2">
      <c r="B41" s="31">
        <v>41676</v>
      </c>
      <c r="C41" s="25">
        <v>12.662000000000001</v>
      </c>
      <c r="D41" s="26">
        <v>7.82</v>
      </c>
      <c r="E41" s="26">
        <v>7.9320000000000004</v>
      </c>
      <c r="F41" s="47"/>
      <c r="G41" s="47"/>
      <c r="H41" s="47"/>
      <c r="I41" s="48">
        <v>101.352</v>
      </c>
      <c r="J41" s="32">
        <v>453</v>
      </c>
      <c r="K41" s="18">
        <f t="shared" si="14"/>
        <v>125</v>
      </c>
      <c r="L41" s="19">
        <f t="shared" si="1"/>
        <v>-16.000000000000014</v>
      </c>
      <c r="M41" s="19">
        <f t="shared" si="15"/>
        <v>-4.9999999999990052</v>
      </c>
      <c r="N41" s="19">
        <f t="shared" si="16"/>
        <v>-2.0000000000006679</v>
      </c>
      <c r="O41" s="19" t="str">
        <f t="shared" si="5"/>
        <v/>
      </c>
      <c r="P41" s="19" t="str">
        <f t="shared" si="6"/>
        <v/>
      </c>
      <c r="Q41" s="19" t="str">
        <f t="shared" si="7"/>
        <v/>
      </c>
      <c r="R41" s="19">
        <f t="shared" si="17"/>
        <v>-5.9999999999860165</v>
      </c>
      <c r="S41" s="27">
        <f t="shared" si="8"/>
        <v>1.0000000000012221</v>
      </c>
      <c r="T41" s="28">
        <f t="shared" si="9"/>
        <v>0</v>
      </c>
      <c r="U41" s="28">
        <f t="shared" si="10"/>
        <v>0</v>
      </c>
      <c r="V41" s="28" t="str">
        <f t="shared" si="11"/>
        <v/>
      </c>
      <c r="W41" s="28" t="str">
        <f t="shared" si="12"/>
        <v/>
      </c>
      <c r="X41" s="29" t="str">
        <f t="shared" si="13"/>
        <v/>
      </c>
      <c r="Y41" s="24"/>
    </row>
    <row r="42" spans="2:25" ht="15" customHeight="1" x14ac:dyDescent="0.2">
      <c r="B42" s="31">
        <v>41684</v>
      </c>
      <c r="C42" s="25">
        <v>12.662000000000001</v>
      </c>
      <c r="D42" s="26">
        <v>7.82</v>
      </c>
      <c r="E42" s="26">
        <v>7.9320000000000004</v>
      </c>
      <c r="F42" s="47"/>
      <c r="G42" s="47"/>
      <c r="H42" s="47"/>
      <c r="I42" s="48">
        <v>101.352</v>
      </c>
      <c r="J42" s="32">
        <v>477</v>
      </c>
      <c r="K42" s="18">
        <f t="shared" si="14"/>
        <v>149</v>
      </c>
      <c r="L42" s="19">
        <f t="shared" si="1"/>
        <v>-16.000000000000014</v>
      </c>
      <c r="M42" s="19">
        <f t="shared" si="15"/>
        <v>-4.9999999999990052</v>
      </c>
      <c r="N42" s="19">
        <f t="shared" si="16"/>
        <v>-2.0000000000006679</v>
      </c>
      <c r="O42" s="19" t="str">
        <f t="shared" si="5"/>
        <v/>
      </c>
      <c r="P42" s="19" t="str">
        <f t="shared" si="6"/>
        <v/>
      </c>
      <c r="Q42" s="19" t="str">
        <f t="shared" si="7"/>
        <v/>
      </c>
      <c r="R42" s="19">
        <f t="shared" si="17"/>
        <v>-5.9999999999860165</v>
      </c>
      <c r="S42" s="27">
        <f t="shared" si="8"/>
        <v>0</v>
      </c>
      <c r="T42" s="28">
        <f t="shared" si="9"/>
        <v>0</v>
      </c>
      <c r="U42" s="28">
        <f t="shared" si="10"/>
        <v>0</v>
      </c>
      <c r="V42" s="28" t="str">
        <f t="shared" si="11"/>
        <v/>
      </c>
      <c r="W42" s="28" t="str">
        <f t="shared" si="12"/>
        <v/>
      </c>
      <c r="X42" s="29" t="str">
        <f t="shared" si="13"/>
        <v/>
      </c>
      <c r="Y42" s="24"/>
    </row>
    <row r="43" spans="2:25" ht="15" customHeight="1" x14ac:dyDescent="0.2">
      <c r="B43" s="31">
        <v>41690</v>
      </c>
      <c r="C43" s="25">
        <v>12.662000000000001</v>
      </c>
      <c r="D43" s="26">
        <v>7.82</v>
      </c>
      <c r="E43" s="26">
        <v>7.9320000000000004</v>
      </c>
      <c r="F43" s="47"/>
      <c r="G43" s="47"/>
      <c r="H43" s="47"/>
      <c r="I43" s="48">
        <v>101.352</v>
      </c>
      <c r="J43" s="32">
        <v>510</v>
      </c>
      <c r="K43" s="18">
        <f t="shared" ref="K43:K60" si="18">IF(ISBLANK(J43),"",(J43-$J$8))</f>
        <v>182</v>
      </c>
      <c r="L43" s="19">
        <f t="shared" si="1"/>
        <v>-16.000000000000014</v>
      </c>
      <c r="M43" s="19">
        <f t="shared" si="15"/>
        <v>-4.9999999999990052</v>
      </c>
      <c r="N43" s="19">
        <f t="shared" si="16"/>
        <v>-2.0000000000006679</v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>
        <f t="shared" si="17"/>
        <v>-5.9999999999860165</v>
      </c>
      <c r="S43" s="27">
        <f t="shared" si="8"/>
        <v>0</v>
      </c>
      <c r="T43" s="28">
        <f t="shared" si="9"/>
        <v>0</v>
      </c>
      <c r="U43" s="28">
        <f t="shared" si="10"/>
        <v>0</v>
      </c>
      <c r="V43" s="28" t="str">
        <f t="shared" si="11"/>
        <v/>
      </c>
      <c r="W43" s="28" t="str">
        <f t="shared" si="12"/>
        <v/>
      </c>
      <c r="X43" s="29" t="str">
        <f t="shared" si="13"/>
        <v/>
      </c>
      <c r="Y43" s="24"/>
    </row>
    <row r="44" spans="2:25" ht="15" customHeight="1" x14ac:dyDescent="0.2">
      <c r="B44" s="31">
        <v>41697</v>
      </c>
      <c r="C44" s="25">
        <v>12.661</v>
      </c>
      <c r="D44" s="26">
        <v>7.82</v>
      </c>
      <c r="E44" s="26">
        <v>7.931</v>
      </c>
      <c r="F44" s="47"/>
      <c r="G44" s="47"/>
      <c r="H44" s="47"/>
      <c r="I44" s="48">
        <v>101.351</v>
      </c>
      <c r="J44" s="58">
        <v>547.5</v>
      </c>
      <c r="K44" s="18">
        <f t="shared" si="18"/>
        <v>219.5</v>
      </c>
      <c r="L44" s="19">
        <f t="shared" si="1"/>
        <v>-17.000000000001236</v>
      </c>
      <c r="M44" s="19">
        <f t="shared" si="15"/>
        <v>-4.9999999999990052</v>
      </c>
      <c r="N44" s="19">
        <f t="shared" si="16"/>
        <v>-3.0000000000010019</v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>
        <f t="shared" si="17"/>
        <v>-6.9999999999907914</v>
      </c>
      <c r="S44" s="27">
        <f t="shared" si="8"/>
        <v>-0.14285714285731746</v>
      </c>
      <c r="T44" s="28">
        <f t="shared" si="9"/>
        <v>0</v>
      </c>
      <c r="U44" s="28">
        <f t="shared" si="10"/>
        <v>-0.14285714285719056</v>
      </c>
      <c r="V44" s="28" t="str">
        <f t="shared" si="11"/>
        <v/>
      </c>
      <c r="W44" s="28" t="str">
        <f t="shared" si="12"/>
        <v/>
      </c>
      <c r="X44" s="29" t="str">
        <f t="shared" si="13"/>
        <v/>
      </c>
      <c r="Y44" s="24"/>
    </row>
    <row r="45" spans="2:25" ht="15" customHeight="1" x14ac:dyDescent="0.2">
      <c r="B45" s="31">
        <v>41723</v>
      </c>
      <c r="C45" s="25">
        <v>12.659000000000001</v>
      </c>
      <c r="D45" s="26">
        <v>7.819</v>
      </c>
      <c r="E45" s="26">
        <v>7.9320000000000004</v>
      </c>
      <c r="F45" s="47"/>
      <c r="G45" s="47"/>
      <c r="H45" s="47"/>
      <c r="I45" s="48">
        <v>101.352</v>
      </c>
      <c r="J45" s="32">
        <v>308</v>
      </c>
      <c r="K45" s="18">
        <f t="shared" si="18"/>
        <v>-20</v>
      </c>
      <c r="L45" s="19">
        <f t="shared" si="1"/>
        <v>-19.000000000000128</v>
      </c>
      <c r="M45" s="19">
        <f t="shared" si="15"/>
        <v>-5.9999999999993392</v>
      </c>
      <c r="N45" s="19">
        <f t="shared" si="16"/>
        <v>-2.0000000000006679</v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>
        <f t="shared" si="17"/>
        <v>-5.9999999999860165</v>
      </c>
      <c r="S45" s="27">
        <f t="shared" si="8"/>
        <v>-7.6923076923034295E-2</v>
      </c>
      <c r="T45" s="28">
        <f t="shared" si="9"/>
        <v>-3.8461538461551308E-2</v>
      </c>
      <c r="U45" s="28">
        <f t="shared" si="10"/>
        <v>3.8461538461551308E-2</v>
      </c>
      <c r="V45" s="28" t="str">
        <f t="shared" si="11"/>
        <v/>
      </c>
      <c r="W45" s="28" t="str">
        <f t="shared" si="12"/>
        <v/>
      </c>
      <c r="X45" s="29" t="str">
        <f t="shared" si="13"/>
        <v/>
      </c>
      <c r="Y45" s="24" t="s">
        <v>23</v>
      </c>
    </row>
    <row r="46" spans="2:25" ht="15" customHeight="1" x14ac:dyDescent="0.2">
      <c r="B46" s="31">
        <v>41724</v>
      </c>
      <c r="C46" s="25">
        <v>12.654</v>
      </c>
      <c r="D46" s="26">
        <v>7.8179999999999996</v>
      </c>
      <c r="E46" s="26">
        <v>7.931</v>
      </c>
      <c r="F46" s="47"/>
      <c r="G46" s="47"/>
      <c r="H46" s="47"/>
      <c r="I46" s="48">
        <v>101.34699999999999</v>
      </c>
      <c r="J46" s="32">
        <v>319</v>
      </c>
      <c r="K46" s="18">
        <f t="shared" si="18"/>
        <v>-9</v>
      </c>
      <c r="L46" s="19">
        <f t="shared" si="1"/>
        <v>-24.000000000000909</v>
      </c>
      <c r="M46" s="19">
        <f t="shared" si="15"/>
        <v>-6.9999999999996732</v>
      </c>
      <c r="N46" s="19">
        <f t="shared" si="16"/>
        <v>-3.0000000000010019</v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>
        <f t="shared" si="17"/>
        <v>-10.99999999999568</v>
      </c>
      <c r="S46" s="27">
        <f t="shared" si="8"/>
        <v>-5.0000000000007816</v>
      </c>
      <c r="T46" s="28">
        <f t="shared" si="9"/>
        <v>-1.000000000000334</v>
      </c>
      <c r="U46" s="28">
        <f t="shared" si="10"/>
        <v>-1.000000000000334</v>
      </c>
      <c r="V46" s="28" t="str">
        <f t="shared" si="11"/>
        <v/>
      </c>
      <c r="W46" s="28" t="str">
        <f t="shared" si="12"/>
        <v/>
      </c>
      <c r="X46" s="29" t="str">
        <f t="shared" si="13"/>
        <v/>
      </c>
      <c r="Y46" s="24"/>
    </row>
    <row r="47" spans="2:25" ht="15" customHeight="1" x14ac:dyDescent="0.2">
      <c r="B47" s="31">
        <v>41725</v>
      </c>
      <c r="C47" s="25">
        <v>12.64</v>
      </c>
      <c r="D47" s="26">
        <v>7.8159999999999998</v>
      </c>
      <c r="E47" s="26">
        <v>7.9279999999999999</v>
      </c>
      <c r="F47" s="47"/>
      <c r="G47" s="47"/>
      <c r="H47" s="47"/>
      <c r="I47" s="48">
        <v>101.345</v>
      </c>
      <c r="J47" s="32">
        <v>327</v>
      </c>
      <c r="K47" s="18">
        <f t="shared" si="18"/>
        <v>-1</v>
      </c>
      <c r="L47" s="19">
        <f t="shared" si="1"/>
        <v>-38.000000000000256</v>
      </c>
      <c r="M47" s="19">
        <f t="shared" si="15"/>
        <v>-8.9999999999994529</v>
      </c>
      <c r="N47" s="19">
        <f t="shared" si="16"/>
        <v>-6.0000000000011156</v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>
        <f t="shared" si="17"/>
        <v>-12.999999999991019</v>
      </c>
      <c r="S47" s="27">
        <f t="shared" si="8"/>
        <v>-13.999999999999346</v>
      </c>
      <c r="T47" s="28">
        <f t="shared" si="9"/>
        <v>-1.9999999999997797</v>
      </c>
      <c r="U47" s="28">
        <f t="shared" si="10"/>
        <v>-3.0000000000001137</v>
      </c>
      <c r="V47" s="28" t="str">
        <f t="shared" si="11"/>
        <v/>
      </c>
      <c r="W47" s="28" t="str">
        <f t="shared" si="12"/>
        <v/>
      </c>
      <c r="X47" s="29" t="str">
        <f t="shared" si="13"/>
        <v/>
      </c>
      <c r="Y47" s="24"/>
    </row>
    <row r="48" spans="2:25" ht="15" customHeight="1" x14ac:dyDescent="0.2">
      <c r="B48" s="31">
        <v>41726</v>
      </c>
      <c r="C48" s="25">
        <v>12.638999999999999</v>
      </c>
      <c r="D48" s="26">
        <v>7.8159999999999998</v>
      </c>
      <c r="E48" s="26">
        <v>7.9279999999999999</v>
      </c>
      <c r="F48" s="47"/>
      <c r="G48" s="47"/>
      <c r="H48" s="47"/>
      <c r="I48" s="48">
        <v>101.345</v>
      </c>
      <c r="J48" s="32">
        <v>340</v>
      </c>
      <c r="K48" s="18">
        <f t="shared" si="18"/>
        <v>12</v>
      </c>
      <c r="L48" s="19">
        <f t="shared" ref="L48:L79" si="19">IF(ISBLANK(C48),"",(C48-C$16)*1000)</f>
        <v>-39.000000000001478</v>
      </c>
      <c r="M48" s="19">
        <f t="shared" si="15"/>
        <v>-8.9999999999994529</v>
      </c>
      <c r="N48" s="19">
        <f t="shared" si="16"/>
        <v>-6.0000000000011156</v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>
        <f t="shared" si="17"/>
        <v>-12.999999999991019</v>
      </c>
      <c r="S48" s="27">
        <f t="shared" si="8"/>
        <v>-1.0000000000012221</v>
      </c>
      <c r="T48" s="28">
        <f t="shared" si="9"/>
        <v>0</v>
      </c>
      <c r="U48" s="28">
        <f t="shared" si="10"/>
        <v>0</v>
      </c>
      <c r="V48" s="28" t="str">
        <f t="shared" si="11"/>
        <v/>
      </c>
      <c r="W48" s="28" t="str">
        <f t="shared" si="12"/>
        <v/>
      </c>
      <c r="X48" s="29" t="str">
        <f t="shared" si="13"/>
        <v/>
      </c>
      <c r="Y48" s="24"/>
    </row>
    <row r="49" spans="2:25" ht="15" customHeight="1" x14ac:dyDescent="0.2">
      <c r="B49" s="31">
        <v>41729</v>
      </c>
      <c r="C49" s="25">
        <v>12.638</v>
      </c>
      <c r="D49" s="26">
        <v>7.8159999999999998</v>
      </c>
      <c r="E49" s="26">
        <v>7.9279999999999999</v>
      </c>
      <c r="F49" s="47">
        <v>13.263</v>
      </c>
      <c r="G49" s="47">
        <v>9.8879999999999999</v>
      </c>
      <c r="H49" s="47">
        <v>10.292</v>
      </c>
      <c r="I49" s="48">
        <v>101.343</v>
      </c>
      <c r="J49" s="32">
        <v>350</v>
      </c>
      <c r="K49" s="18">
        <f t="shared" si="18"/>
        <v>22</v>
      </c>
      <c r="L49" s="19">
        <f t="shared" si="19"/>
        <v>-40.000000000000924</v>
      </c>
      <c r="M49" s="19">
        <f t="shared" si="15"/>
        <v>-8.9999999999994529</v>
      </c>
      <c r="N49" s="19">
        <f t="shared" si="16"/>
        <v>-6.0000000000011156</v>
      </c>
      <c r="O49" s="19">
        <f>IF(ISBLANK(F49),"",((F49-F$49)*1000)+L$49)</f>
        <v>-40.000000000000924</v>
      </c>
      <c r="P49" s="19">
        <f>IF(ISBLANK(G49),"",((G49-G$49)*1000)+M$49)</f>
        <v>-8.9999999999994529</v>
      </c>
      <c r="Q49" s="19">
        <f>IF(ISBLANK(H49),"",((H49-H$49)*1000)+N$49)</f>
        <v>-6.0000000000011156</v>
      </c>
      <c r="R49" s="19">
        <f t="shared" si="17"/>
        <v>-14.999999999986358</v>
      </c>
      <c r="S49" s="27">
        <f t="shared" ref="S49:S80" si="20">IF(C49="","",((C49-C48)*1000)/($B49-$B48))</f>
        <v>-0.33333333333314857</v>
      </c>
      <c r="T49" s="28">
        <f t="shared" ref="T49:T80" si="21">IF(D49="","",((D49-D48)*1000)/($B49-$B48))</f>
        <v>0</v>
      </c>
      <c r="U49" s="28">
        <f t="shared" ref="U49:U80" si="22">IF(E49="","",((E49-E48)*1000)/($B49-$B48))</f>
        <v>0</v>
      </c>
      <c r="V49" s="28"/>
      <c r="W49" s="28"/>
      <c r="X49" s="29"/>
      <c r="Y49" s="24"/>
    </row>
    <row r="50" spans="2:25" ht="15" customHeight="1" x14ac:dyDescent="0.2">
      <c r="B50" s="31">
        <v>41730</v>
      </c>
      <c r="C50" s="25">
        <v>12.637</v>
      </c>
      <c r="D50" s="26">
        <v>7.8150000000000004</v>
      </c>
      <c r="E50" s="26">
        <v>7.9279999999999999</v>
      </c>
      <c r="F50" s="47">
        <v>13.262</v>
      </c>
      <c r="G50" s="47">
        <v>9.8870000000000005</v>
      </c>
      <c r="H50" s="47">
        <v>10.291</v>
      </c>
      <c r="I50" s="48">
        <v>101.342</v>
      </c>
      <c r="J50" s="32">
        <v>364</v>
      </c>
      <c r="K50" s="18">
        <f t="shared" si="18"/>
        <v>36</v>
      </c>
      <c r="L50" s="19">
        <f t="shared" si="19"/>
        <v>-41.000000000000369</v>
      </c>
      <c r="M50" s="19">
        <f t="shared" si="15"/>
        <v>-9.9999999999988987</v>
      </c>
      <c r="N50" s="19">
        <f t="shared" si="16"/>
        <v>-6.0000000000011156</v>
      </c>
      <c r="O50" s="19">
        <f t="shared" ref="O50:O113" si="23">IF(ISBLANK(F50),"",((F50-F$49)*1000)+L$49)</f>
        <v>-41.000000000000369</v>
      </c>
      <c r="P50" s="19">
        <f t="shared" ref="P50:P113" si="24">IF(ISBLANK(G50),"",((G50-G$49)*1000)+M$49)</f>
        <v>-9.9999999999988987</v>
      </c>
      <c r="Q50" s="19">
        <f t="shared" ref="Q50:Q113" si="25">IF(ISBLANK(H50),"",((H50-H$49)*1000)+N$49)</f>
        <v>-7.0000000000005613</v>
      </c>
      <c r="R50" s="19">
        <f t="shared" si="17"/>
        <v>-15.999999999991132</v>
      </c>
      <c r="S50" s="27">
        <f t="shared" si="20"/>
        <v>-0.99999999999944578</v>
      </c>
      <c r="T50" s="28">
        <f t="shared" si="21"/>
        <v>-0.99999999999944578</v>
      </c>
      <c r="U50" s="28">
        <f t="shared" si="22"/>
        <v>0</v>
      </c>
      <c r="V50" s="28">
        <f t="shared" ref="V50:V80" si="26">IF(F50="","",((F50-F49)*1000)/($B50-$B49))</f>
        <v>-0.99999999999944578</v>
      </c>
      <c r="W50" s="28">
        <f t="shared" ref="W50:W80" si="27">IF(G50="","",((G50-G49)*1000)/($B50-$B49))</f>
        <v>-0.99999999999944578</v>
      </c>
      <c r="X50" s="29">
        <f t="shared" ref="X50:X80" si="28">IF(H50="","",((H50-H49)*1000)/($B50-$B49))</f>
        <v>-0.99999999999944578</v>
      </c>
      <c r="Y50" s="24"/>
    </row>
    <row r="51" spans="2:25" ht="15" customHeight="1" x14ac:dyDescent="0.2">
      <c r="B51" s="31">
        <v>41731</v>
      </c>
      <c r="C51" s="25">
        <v>12.637</v>
      </c>
      <c r="D51" s="26">
        <v>7.8159999999999998</v>
      </c>
      <c r="E51" s="26">
        <v>7.9269999999999996</v>
      </c>
      <c r="F51" s="47">
        <v>13.263</v>
      </c>
      <c r="G51" s="47">
        <v>9.8879999999999999</v>
      </c>
      <c r="H51" s="47">
        <v>10.291</v>
      </c>
      <c r="I51" s="48">
        <v>101.342</v>
      </c>
      <c r="J51" s="32">
        <v>364</v>
      </c>
      <c r="K51" s="18">
        <f t="shared" si="18"/>
        <v>36</v>
      </c>
      <c r="L51" s="19">
        <f t="shared" si="19"/>
        <v>-41.000000000000369</v>
      </c>
      <c r="M51" s="19">
        <f t="shared" si="15"/>
        <v>-8.9999999999994529</v>
      </c>
      <c r="N51" s="19">
        <f t="shared" si="16"/>
        <v>-7.0000000000014495</v>
      </c>
      <c r="O51" s="19">
        <f t="shared" si="23"/>
        <v>-40.000000000000924</v>
      </c>
      <c r="P51" s="19">
        <f t="shared" si="24"/>
        <v>-8.9999999999994529</v>
      </c>
      <c r="Q51" s="19">
        <f t="shared" si="25"/>
        <v>-7.0000000000005613</v>
      </c>
      <c r="R51" s="19">
        <f t="shared" si="17"/>
        <v>-15.999999999991132</v>
      </c>
      <c r="S51" s="27">
        <f t="shared" si="20"/>
        <v>0</v>
      </c>
      <c r="T51" s="28">
        <f t="shared" si="21"/>
        <v>0.99999999999944578</v>
      </c>
      <c r="U51" s="28">
        <f t="shared" si="22"/>
        <v>-1.000000000000334</v>
      </c>
      <c r="V51" s="28">
        <f t="shared" si="26"/>
        <v>0.99999999999944578</v>
      </c>
      <c r="W51" s="28">
        <f t="shared" si="27"/>
        <v>0.99999999999944578</v>
      </c>
      <c r="X51" s="29">
        <f t="shared" si="28"/>
        <v>0</v>
      </c>
      <c r="Y51" s="24"/>
    </row>
    <row r="52" spans="2:25" ht="15" customHeight="1" x14ac:dyDescent="0.2">
      <c r="B52" s="31">
        <v>41732</v>
      </c>
      <c r="C52" s="25">
        <v>12.637</v>
      </c>
      <c r="D52" s="26">
        <v>7.8150000000000004</v>
      </c>
      <c r="E52" s="26">
        <v>7.9279999999999999</v>
      </c>
      <c r="F52" s="47">
        <v>13.262</v>
      </c>
      <c r="G52" s="47">
        <v>9.8879999999999999</v>
      </c>
      <c r="H52" s="47">
        <v>10.29</v>
      </c>
      <c r="I52" s="48">
        <v>101.342</v>
      </c>
      <c r="J52" s="32">
        <v>387</v>
      </c>
      <c r="K52" s="18">
        <f t="shared" si="18"/>
        <v>59</v>
      </c>
      <c r="L52" s="19">
        <f t="shared" si="19"/>
        <v>-41.000000000000369</v>
      </c>
      <c r="M52" s="19">
        <f t="shared" si="15"/>
        <v>-9.9999999999988987</v>
      </c>
      <c r="N52" s="19">
        <f t="shared" si="16"/>
        <v>-6.0000000000011156</v>
      </c>
      <c r="O52" s="19">
        <f t="shared" si="23"/>
        <v>-41.000000000000369</v>
      </c>
      <c r="P52" s="19">
        <f t="shared" si="24"/>
        <v>-8.9999999999994529</v>
      </c>
      <c r="Q52" s="19">
        <f t="shared" si="25"/>
        <v>-8.0000000000017835</v>
      </c>
      <c r="R52" s="19">
        <f t="shared" si="17"/>
        <v>-15.999999999991132</v>
      </c>
      <c r="S52" s="27">
        <f t="shared" si="20"/>
        <v>0</v>
      </c>
      <c r="T52" s="28">
        <f t="shared" si="21"/>
        <v>-0.99999999999944578</v>
      </c>
      <c r="U52" s="28">
        <f t="shared" si="22"/>
        <v>1.000000000000334</v>
      </c>
      <c r="V52" s="28">
        <f t="shared" si="26"/>
        <v>-0.99999999999944578</v>
      </c>
      <c r="W52" s="28">
        <f t="shared" si="27"/>
        <v>0</v>
      </c>
      <c r="X52" s="29">
        <f t="shared" si="28"/>
        <v>-1.0000000000012221</v>
      </c>
      <c r="Y52" s="24"/>
    </row>
    <row r="53" spans="2:25" ht="15" customHeight="1" x14ac:dyDescent="0.2">
      <c r="B53" s="31">
        <v>41733</v>
      </c>
      <c r="C53" s="25">
        <v>12.637</v>
      </c>
      <c r="D53" s="26">
        <v>7.8150000000000004</v>
      </c>
      <c r="E53" s="26">
        <v>7.9279999999999999</v>
      </c>
      <c r="F53" s="47">
        <v>13.262</v>
      </c>
      <c r="G53" s="47">
        <v>9.8879999999999999</v>
      </c>
      <c r="H53" s="47">
        <v>10.29</v>
      </c>
      <c r="I53" s="48">
        <v>101.342</v>
      </c>
      <c r="J53" s="32">
        <v>395</v>
      </c>
      <c r="K53" s="18">
        <f t="shared" si="18"/>
        <v>67</v>
      </c>
      <c r="L53" s="19">
        <f t="shared" si="19"/>
        <v>-41.000000000000369</v>
      </c>
      <c r="M53" s="19">
        <f t="shared" si="15"/>
        <v>-9.9999999999988987</v>
      </c>
      <c r="N53" s="19">
        <f t="shared" si="16"/>
        <v>-6.0000000000011156</v>
      </c>
      <c r="O53" s="19">
        <f t="shared" si="23"/>
        <v>-41.000000000000369</v>
      </c>
      <c r="P53" s="19">
        <f t="shared" si="24"/>
        <v>-8.9999999999994529</v>
      </c>
      <c r="Q53" s="19">
        <f t="shared" si="25"/>
        <v>-8.0000000000017835</v>
      </c>
      <c r="R53" s="19">
        <f t="shared" si="17"/>
        <v>-15.999999999991132</v>
      </c>
      <c r="S53" s="27">
        <f t="shared" si="20"/>
        <v>0</v>
      </c>
      <c r="T53" s="28">
        <f t="shared" si="21"/>
        <v>0</v>
      </c>
      <c r="U53" s="28">
        <f t="shared" si="22"/>
        <v>0</v>
      </c>
      <c r="V53" s="28">
        <f t="shared" si="26"/>
        <v>0</v>
      </c>
      <c r="W53" s="28">
        <f t="shared" si="27"/>
        <v>0</v>
      </c>
      <c r="X53" s="29">
        <f t="shared" si="28"/>
        <v>0</v>
      </c>
      <c r="Y53" s="24"/>
    </row>
    <row r="54" spans="2:25" ht="15" customHeight="1" x14ac:dyDescent="0.2">
      <c r="B54" s="31">
        <v>41736</v>
      </c>
      <c r="C54" s="25"/>
      <c r="D54" s="26"/>
      <c r="E54" s="26"/>
      <c r="F54" s="47">
        <v>13.262</v>
      </c>
      <c r="G54" s="47">
        <v>9.8879999999999999</v>
      </c>
      <c r="H54" s="47">
        <v>10.29</v>
      </c>
      <c r="I54" s="48">
        <v>101.342</v>
      </c>
      <c r="J54" s="32">
        <v>408</v>
      </c>
      <c r="K54" s="18">
        <f t="shared" si="18"/>
        <v>80</v>
      </c>
      <c r="L54" s="19" t="str">
        <f t="shared" si="19"/>
        <v/>
      </c>
      <c r="M54" s="19" t="str">
        <f t="shared" si="15"/>
        <v/>
      </c>
      <c r="N54" s="19" t="str">
        <f t="shared" si="16"/>
        <v/>
      </c>
      <c r="O54" s="19">
        <f t="shared" si="23"/>
        <v>-41.000000000000369</v>
      </c>
      <c r="P54" s="19">
        <f t="shared" si="24"/>
        <v>-8.9999999999994529</v>
      </c>
      <c r="Q54" s="19">
        <f t="shared" si="25"/>
        <v>-8.0000000000017835</v>
      </c>
      <c r="R54" s="19">
        <f t="shared" si="17"/>
        <v>-15.999999999991132</v>
      </c>
      <c r="S54" s="27" t="str">
        <f t="shared" si="20"/>
        <v/>
      </c>
      <c r="T54" s="28" t="str">
        <f t="shared" si="21"/>
        <v/>
      </c>
      <c r="U54" s="28" t="str">
        <f t="shared" si="22"/>
        <v/>
      </c>
      <c r="V54" s="28">
        <f t="shared" si="26"/>
        <v>0</v>
      </c>
      <c r="W54" s="28">
        <f t="shared" si="27"/>
        <v>0</v>
      </c>
      <c r="X54" s="29">
        <f t="shared" si="28"/>
        <v>0</v>
      </c>
      <c r="Y54" s="24"/>
    </row>
    <row r="55" spans="2:25" ht="15" customHeight="1" x14ac:dyDescent="0.2">
      <c r="B55" s="31">
        <v>41737</v>
      </c>
      <c r="C55" s="25"/>
      <c r="D55" s="26"/>
      <c r="E55" s="26"/>
      <c r="F55" s="47">
        <v>13.260999999999999</v>
      </c>
      <c r="G55" s="47">
        <v>9.8879999999999999</v>
      </c>
      <c r="H55" s="47">
        <v>10.29</v>
      </c>
      <c r="I55" s="48">
        <v>101.342</v>
      </c>
      <c r="J55" s="32">
        <v>436</v>
      </c>
      <c r="K55" s="18">
        <f t="shared" si="18"/>
        <v>108</v>
      </c>
      <c r="L55" s="19" t="str">
        <f t="shared" si="19"/>
        <v/>
      </c>
      <c r="M55" s="19" t="str">
        <f t="shared" si="15"/>
        <v/>
      </c>
      <c r="N55" s="19" t="str">
        <f t="shared" si="16"/>
        <v/>
      </c>
      <c r="O55" s="19">
        <f t="shared" si="23"/>
        <v>-42.000000000001592</v>
      </c>
      <c r="P55" s="19">
        <f t="shared" si="24"/>
        <v>-8.9999999999994529</v>
      </c>
      <c r="Q55" s="19">
        <f t="shared" si="25"/>
        <v>-8.0000000000017835</v>
      </c>
      <c r="R55" s="19">
        <f t="shared" si="17"/>
        <v>-15.999999999991132</v>
      </c>
      <c r="S55" s="27" t="str">
        <f t="shared" si="20"/>
        <v/>
      </c>
      <c r="T55" s="28" t="str">
        <f t="shared" si="21"/>
        <v/>
      </c>
      <c r="U55" s="28" t="str">
        <f t="shared" si="22"/>
        <v/>
      </c>
      <c r="V55" s="28">
        <f t="shared" si="26"/>
        <v>-1.0000000000012221</v>
      </c>
      <c r="W55" s="28">
        <f t="shared" si="27"/>
        <v>0</v>
      </c>
      <c r="X55" s="29">
        <f t="shared" si="28"/>
        <v>0</v>
      </c>
      <c r="Y55" s="24"/>
    </row>
    <row r="56" spans="2:25" ht="15" customHeight="1" x14ac:dyDescent="0.2">
      <c r="B56" s="31">
        <v>41738</v>
      </c>
      <c r="C56" s="25"/>
      <c r="D56" s="26"/>
      <c r="E56" s="26"/>
      <c r="F56" s="47">
        <v>13.260999999999999</v>
      </c>
      <c r="G56" s="47">
        <v>9.8879999999999999</v>
      </c>
      <c r="H56" s="47">
        <v>10.29</v>
      </c>
      <c r="I56" s="48">
        <v>101.342</v>
      </c>
      <c r="J56" s="32">
        <v>450</v>
      </c>
      <c r="K56" s="18">
        <f t="shared" si="18"/>
        <v>122</v>
      </c>
      <c r="L56" s="19" t="str">
        <f t="shared" si="19"/>
        <v/>
      </c>
      <c r="M56" s="19" t="str">
        <f t="shared" si="15"/>
        <v/>
      </c>
      <c r="N56" s="19" t="str">
        <f t="shared" si="16"/>
        <v/>
      </c>
      <c r="O56" s="19">
        <f t="shared" si="23"/>
        <v>-42.000000000001592</v>
      </c>
      <c r="P56" s="19">
        <f t="shared" si="24"/>
        <v>-8.9999999999994529</v>
      </c>
      <c r="Q56" s="19">
        <f t="shared" si="25"/>
        <v>-8.0000000000017835</v>
      </c>
      <c r="R56" s="19">
        <f t="shared" si="17"/>
        <v>-15.999999999991132</v>
      </c>
      <c r="S56" s="27" t="str">
        <f t="shared" si="20"/>
        <v/>
      </c>
      <c r="T56" s="28" t="str">
        <f t="shared" si="21"/>
        <v/>
      </c>
      <c r="U56" s="28" t="str">
        <f t="shared" si="22"/>
        <v/>
      </c>
      <c r="V56" s="28">
        <f t="shared" si="26"/>
        <v>0</v>
      </c>
      <c r="W56" s="28">
        <f t="shared" si="27"/>
        <v>0</v>
      </c>
      <c r="X56" s="29">
        <f t="shared" si="28"/>
        <v>0</v>
      </c>
      <c r="Y56" s="24"/>
    </row>
    <row r="57" spans="2:25" ht="15" customHeight="1" x14ac:dyDescent="0.2">
      <c r="B57" s="31">
        <v>41739</v>
      </c>
      <c r="C57" s="25"/>
      <c r="D57" s="26"/>
      <c r="E57" s="26"/>
      <c r="F57" s="47">
        <v>13.26</v>
      </c>
      <c r="G57" s="47">
        <v>9.8879999999999999</v>
      </c>
      <c r="H57" s="47">
        <v>10.29</v>
      </c>
      <c r="I57" s="48">
        <v>101.342</v>
      </c>
      <c r="J57" s="32">
        <v>457</v>
      </c>
      <c r="K57" s="18">
        <f t="shared" si="18"/>
        <v>129</v>
      </c>
      <c r="L57" s="19" t="str">
        <f t="shared" si="19"/>
        <v/>
      </c>
      <c r="M57" s="19" t="str">
        <f t="shared" si="15"/>
        <v/>
      </c>
      <c r="N57" s="19" t="str">
        <f t="shared" si="16"/>
        <v/>
      </c>
      <c r="O57" s="19">
        <f t="shared" si="23"/>
        <v>-43.000000000001037</v>
      </c>
      <c r="P57" s="19">
        <f t="shared" si="24"/>
        <v>-8.9999999999994529</v>
      </c>
      <c r="Q57" s="19">
        <f t="shared" si="25"/>
        <v>-8.0000000000017835</v>
      </c>
      <c r="R57" s="19">
        <f t="shared" si="17"/>
        <v>-15.999999999991132</v>
      </c>
      <c r="S57" s="27" t="str">
        <f t="shared" si="20"/>
        <v/>
      </c>
      <c r="T57" s="28" t="str">
        <f t="shared" si="21"/>
        <v/>
      </c>
      <c r="U57" s="28" t="str">
        <f t="shared" si="22"/>
        <v/>
      </c>
      <c r="V57" s="28">
        <f t="shared" si="26"/>
        <v>-0.99999999999944578</v>
      </c>
      <c r="W57" s="28">
        <f t="shared" si="27"/>
        <v>0</v>
      </c>
      <c r="X57" s="29">
        <f t="shared" si="28"/>
        <v>0</v>
      </c>
      <c r="Y57" s="24"/>
    </row>
    <row r="58" spans="2:25" ht="15" customHeight="1" x14ac:dyDescent="0.2">
      <c r="B58" s="31">
        <v>41745</v>
      </c>
      <c r="C58" s="25"/>
      <c r="D58" s="26"/>
      <c r="E58" s="26"/>
      <c r="F58" s="47">
        <v>13.260999999999999</v>
      </c>
      <c r="G58" s="47">
        <v>9.8870000000000005</v>
      </c>
      <c r="H58" s="47">
        <v>10.291</v>
      </c>
      <c r="I58" s="48">
        <v>101.342</v>
      </c>
      <c r="J58" s="32">
        <v>516</v>
      </c>
      <c r="K58" s="18">
        <f t="shared" si="18"/>
        <v>188</v>
      </c>
      <c r="L58" s="19" t="str">
        <f t="shared" si="19"/>
        <v/>
      </c>
      <c r="M58" s="19" t="str">
        <f t="shared" si="15"/>
        <v/>
      </c>
      <c r="N58" s="19" t="str">
        <f t="shared" si="16"/>
        <v/>
      </c>
      <c r="O58" s="19">
        <f t="shared" si="23"/>
        <v>-42.000000000001592</v>
      </c>
      <c r="P58" s="19">
        <f t="shared" si="24"/>
        <v>-9.9999999999988987</v>
      </c>
      <c r="Q58" s="19">
        <f t="shared" si="25"/>
        <v>-7.0000000000005613</v>
      </c>
      <c r="R58" s="19">
        <f t="shared" si="17"/>
        <v>-15.999999999991132</v>
      </c>
      <c r="S58" s="27" t="str">
        <f t="shared" si="20"/>
        <v/>
      </c>
      <c r="T58" s="28" t="str">
        <f t="shared" si="21"/>
        <v/>
      </c>
      <c r="U58" s="28" t="str">
        <f t="shared" si="22"/>
        <v/>
      </c>
      <c r="V58" s="28">
        <f t="shared" si="26"/>
        <v>0.16666666666657429</v>
      </c>
      <c r="W58" s="28">
        <f t="shared" si="27"/>
        <v>-0.16666666666657429</v>
      </c>
      <c r="X58" s="29">
        <f t="shared" si="28"/>
        <v>0.16666666666687036</v>
      </c>
      <c r="Y58" s="24"/>
    </row>
    <row r="59" spans="2:25" ht="15" customHeight="1" x14ac:dyDescent="0.2">
      <c r="B59" s="31">
        <v>41752</v>
      </c>
      <c r="C59" s="25"/>
      <c r="D59" s="26"/>
      <c r="E59" s="26"/>
      <c r="F59" s="47">
        <v>13.26</v>
      </c>
      <c r="G59" s="47">
        <v>9.8870000000000005</v>
      </c>
      <c r="H59" s="47">
        <v>10.291</v>
      </c>
      <c r="I59" s="48">
        <v>101.342</v>
      </c>
      <c r="J59" s="32">
        <v>534.5</v>
      </c>
      <c r="K59" s="18">
        <f t="shared" si="18"/>
        <v>206.5</v>
      </c>
      <c r="L59" s="19" t="str">
        <f t="shared" si="19"/>
        <v/>
      </c>
      <c r="M59" s="19" t="str">
        <f t="shared" si="15"/>
        <v/>
      </c>
      <c r="N59" s="19" t="str">
        <f t="shared" si="16"/>
        <v/>
      </c>
      <c r="O59" s="19">
        <f t="shared" si="23"/>
        <v>-43.000000000001037</v>
      </c>
      <c r="P59" s="19">
        <f t="shared" si="24"/>
        <v>-9.9999999999988987</v>
      </c>
      <c r="Q59" s="19">
        <f t="shared" si="25"/>
        <v>-7.0000000000005613</v>
      </c>
      <c r="R59" s="19">
        <f t="shared" si="17"/>
        <v>-15.999999999991132</v>
      </c>
      <c r="S59" s="27" t="str">
        <f t="shared" si="20"/>
        <v/>
      </c>
      <c r="T59" s="28" t="str">
        <f t="shared" si="21"/>
        <v/>
      </c>
      <c r="U59" s="28" t="str">
        <f t="shared" si="22"/>
        <v/>
      </c>
      <c r="V59" s="28">
        <f t="shared" si="26"/>
        <v>-0.14285714285706369</v>
      </c>
      <c r="W59" s="28">
        <f t="shared" si="27"/>
        <v>0</v>
      </c>
      <c r="X59" s="29">
        <f t="shared" si="28"/>
        <v>0</v>
      </c>
      <c r="Y59" s="24" t="s">
        <v>35</v>
      </c>
    </row>
    <row r="60" spans="2:25" ht="15" customHeight="1" x14ac:dyDescent="0.2">
      <c r="B60" s="31">
        <v>41759</v>
      </c>
      <c r="C60" s="25"/>
      <c r="D60" s="26"/>
      <c r="E60" s="26"/>
      <c r="F60" s="47">
        <v>13.260999999999999</v>
      </c>
      <c r="G60" s="47">
        <v>9.8870000000000005</v>
      </c>
      <c r="H60" s="47">
        <v>10.291</v>
      </c>
      <c r="I60" s="48">
        <v>101.342</v>
      </c>
      <c r="J60" s="32">
        <v>534.5</v>
      </c>
      <c r="K60" s="18">
        <f t="shared" si="18"/>
        <v>206.5</v>
      </c>
      <c r="L60" s="19" t="str">
        <f t="shared" si="19"/>
        <v/>
      </c>
      <c r="M60" s="19" t="str">
        <f t="shared" si="15"/>
        <v/>
      </c>
      <c r="N60" s="19" t="str">
        <f t="shared" si="16"/>
        <v/>
      </c>
      <c r="O60" s="19">
        <f t="shared" si="23"/>
        <v>-42.000000000001592</v>
      </c>
      <c r="P60" s="19">
        <f t="shared" si="24"/>
        <v>-9.9999999999988987</v>
      </c>
      <c r="Q60" s="19">
        <f t="shared" si="25"/>
        <v>-7.0000000000005613</v>
      </c>
      <c r="R60" s="19">
        <f t="shared" si="17"/>
        <v>-15.999999999991132</v>
      </c>
      <c r="S60" s="27" t="str">
        <f t="shared" si="20"/>
        <v/>
      </c>
      <c r="T60" s="28" t="str">
        <f t="shared" si="21"/>
        <v/>
      </c>
      <c r="U60" s="28" t="str">
        <f t="shared" si="22"/>
        <v/>
      </c>
      <c r="V60" s="28">
        <f t="shared" si="26"/>
        <v>0.14285714285706369</v>
      </c>
      <c r="W60" s="28">
        <f t="shared" si="27"/>
        <v>0</v>
      </c>
      <c r="X60" s="29">
        <f t="shared" si="28"/>
        <v>0</v>
      </c>
      <c r="Y60" s="24"/>
    </row>
    <row r="61" spans="2:25" ht="15" customHeight="1" x14ac:dyDescent="0.2">
      <c r="B61" s="31">
        <v>41781</v>
      </c>
      <c r="C61" s="25"/>
      <c r="D61" s="26"/>
      <c r="E61" s="26"/>
      <c r="F61" s="47">
        <v>13.260999999999999</v>
      </c>
      <c r="G61" s="47">
        <v>9.8859999999999992</v>
      </c>
      <c r="H61" s="47">
        <v>10.291</v>
      </c>
      <c r="I61" s="48">
        <v>101.342</v>
      </c>
      <c r="J61" s="58">
        <v>792</v>
      </c>
      <c r="K61" s="18">
        <f t="shared" ref="K61:K66" si="29">IF(ISBLANK(J61),"",(J61-$J$8))</f>
        <v>464</v>
      </c>
      <c r="L61" s="19" t="str">
        <f t="shared" si="19"/>
        <v/>
      </c>
      <c r="M61" s="19" t="str">
        <f t="shared" si="15"/>
        <v/>
      </c>
      <c r="N61" s="19" t="str">
        <f t="shared" si="16"/>
        <v/>
      </c>
      <c r="O61" s="19">
        <f t="shared" si="23"/>
        <v>-42.000000000001592</v>
      </c>
      <c r="P61" s="19">
        <f t="shared" si="24"/>
        <v>-11.000000000000121</v>
      </c>
      <c r="Q61" s="19">
        <f t="shared" si="25"/>
        <v>-7.0000000000005613</v>
      </c>
      <c r="R61" s="19">
        <f t="shared" si="17"/>
        <v>-15.999999999991132</v>
      </c>
      <c r="S61" s="27" t="str">
        <f t="shared" si="20"/>
        <v/>
      </c>
      <c r="T61" s="28" t="str">
        <f t="shared" si="21"/>
        <v/>
      </c>
      <c r="U61" s="28" t="str">
        <f t="shared" si="22"/>
        <v/>
      </c>
      <c r="V61" s="28">
        <f t="shared" si="26"/>
        <v>0</v>
      </c>
      <c r="W61" s="28">
        <f t="shared" si="27"/>
        <v>-4.5454545454601009E-2</v>
      </c>
      <c r="X61" s="29">
        <f t="shared" si="28"/>
        <v>0</v>
      </c>
      <c r="Y61" s="24"/>
    </row>
    <row r="62" spans="2:25" ht="15" customHeight="1" x14ac:dyDescent="0.2">
      <c r="B62" s="31">
        <v>41843</v>
      </c>
      <c r="C62" s="25"/>
      <c r="D62" s="26"/>
      <c r="E62" s="26"/>
      <c r="F62" s="47">
        <v>13.260999999999999</v>
      </c>
      <c r="G62" s="47">
        <v>9.8870000000000005</v>
      </c>
      <c r="H62" s="47">
        <v>10.291</v>
      </c>
      <c r="I62" s="48">
        <v>101.342</v>
      </c>
      <c r="J62" s="58">
        <v>943</v>
      </c>
      <c r="K62" s="18">
        <f t="shared" si="29"/>
        <v>615</v>
      </c>
      <c r="L62" s="19" t="str">
        <f t="shared" si="19"/>
        <v/>
      </c>
      <c r="M62" s="19" t="str">
        <f t="shared" si="15"/>
        <v/>
      </c>
      <c r="N62" s="19" t="str">
        <f t="shared" si="16"/>
        <v/>
      </c>
      <c r="O62" s="19">
        <f t="shared" si="23"/>
        <v>-42.000000000001592</v>
      </c>
      <c r="P62" s="19">
        <f t="shared" si="24"/>
        <v>-9.9999999999988987</v>
      </c>
      <c r="Q62" s="19">
        <f t="shared" si="25"/>
        <v>-7.0000000000005613</v>
      </c>
      <c r="R62" s="19">
        <f t="shared" si="17"/>
        <v>-15.999999999991132</v>
      </c>
      <c r="S62" s="27" t="str">
        <f t="shared" si="20"/>
        <v/>
      </c>
      <c r="T62" s="28" t="str">
        <f t="shared" si="21"/>
        <v/>
      </c>
      <c r="U62" s="28" t="str">
        <f t="shared" si="22"/>
        <v/>
      </c>
      <c r="V62" s="28">
        <f t="shared" si="26"/>
        <v>0</v>
      </c>
      <c r="W62" s="28">
        <f t="shared" si="27"/>
        <v>1.6129032258084229E-2</v>
      </c>
      <c r="X62" s="29">
        <f t="shared" si="28"/>
        <v>0</v>
      </c>
      <c r="Y62" s="24"/>
    </row>
    <row r="63" spans="2:25" ht="15" customHeight="1" x14ac:dyDescent="0.2">
      <c r="B63" s="31">
        <v>41933</v>
      </c>
      <c r="C63" s="25">
        <v>12.632999999999999</v>
      </c>
      <c r="D63" s="26">
        <v>7.8150000000000004</v>
      </c>
      <c r="E63" s="26">
        <v>7.9279999999999999</v>
      </c>
      <c r="F63" s="47">
        <v>13.26</v>
      </c>
      <c r="G63" s="47">
        <v>9.8870000000000005</v>
      </c>
      <c r="H63" s="47">
        <v>10.292</v>
      </c>
      <c r="I63" s="48">
        <v>101.342</v>
      </c>
      <c r="J63" s="58">
        <v>943</v>
      </c>
      <c r="K63" s="18">
        <f t="shared" si="29"/>
        <v>615</v>
      </c>
      <c r="L63" s="19">
        <f t="shared" si="19"/>
        <v>-45.000000000001705</v>
      </c>
      <c r="M63" s="19">
        <f t="shared" si="15"/>
        <v>-9.9999999999988987</v>
      </c>
      <c r="N63" s="19">
        <f t="shared" si="16"/>
        <v>-6.0000000000011156</v>
      </c>
      <c r="O63" s="19">
        <f t="shared" si="23"/>
        <v>-43.000000000001037</v>
      </c>
      <c r="P63" s="19">
        <f t="shared" si="24"/>
        <v>-9.9999999999988987</v>
      </c>
      <c r="Q63" s="19">
        <f t="shared" si="25"/>
        <v>-6.0000000000011156</v>
      </c>
      <c r="R63" s="19">
        <f t="shared" si="17"/>
        <v>-15.999999999991132</v>
      </c>
      <c r="S63" s="27"/>
      <c r="T63" s="28"/>
      <c r="U63" s="28"/>
      <c r="V63" s="28">
        <f t="shared" si="26"/>
        <v>-1.1111111111104953E-2</v>
      </c>
      <c r="W63" s="28">
        <f t="shared" si="27"/>
        <v>0</v>
      </c>
      <c r="X63" s="29">
        <f t="shared" si="28"/>
        <v>1.1111111111104953E-2</v>
      </c>
      <c r="Y63" s="24"/>
    </row>
    <row r="64" spans="2:25" ht="15" customHeight="1" x14ac:dyDescent="0.2">
      <c r="B64" s="31">
        <v>42025</v>
      </c>
      <c r="C64" s="25"/>
      <c r="D64" s="26"/>
      <c r="E64" s="26"/>
      <c r="F64" s="47">
        <v>13.260999999999999</v>
      </c>
      <c r="G64" s="47">
        <v>9.8870000000000005</v>
      </c>
      <c r="H64" s="47">
        <v>10.292</v>
      </c>
      <c r="I64" s="48">
        <v>101.342</v>
      </c>
      <c r="J64" s="58">
        <v>943</v>
      </c>
      <c r="K64" s="18">
        <f t="shared" si="29"/>
        <v>615</v>
      </c>
      <c r="L64" s="19" t="str">
        <f t="shared" si="19"/>
        <v/>
      </c>
      <c r="M64" s="19" t="str">
        <f t="shared" si="15"/>
        <v/>
      </c>
      <c r="N64" s="19" t="str">
        <f t="shared" si="16"/>
        <v/>
      </c>
      <c r="O64" s="19">
        <f t="shared" si="23"/>
        <v>-42.000000000001592</v>
      </c>
      <c r="P64" s="19">
        <f t="shared" si="24"/>
        <v>-9.9999999999988987</v>
      </c>
      <c r="Q64" s="19">
        <f t="shared" si="25"/>
        <v>-6.0000000000011156</v>
      </c>
      <c r="R64" s="19">
        <f t="shared" si="17"/>
        <v>-15.999999999991132</v>
      </c>
      <c r="S64" s="27" t="str">
        <f t="shared" si="20"/>
        <v/>
      </c>
      <c r="T64" s="28" t="str">
        <f t="shared" si="21"/>
        <v/>
      </c>
      <c r="U64" s="28" t="str">
        <f t="shared" si="22"/>
        <v/>
      </c>
      <c r="V64" s="28">
        <f t="shared" si="26"/>
        <v>1.0869565217385279E-2</v>
      </c>
      <c r="W64" s="28">
        <f t="shared" si="27"/>
        <v>0</v>
      </c>
      <c r="X64" s="29">
        <f t="shared" si="28"/>
        <v>0</v>
      </c>
      <c r="Y64" s="24"/>
    </row>
    <row r="65" spans="2:25" ht="15" customHeight="1" x14ac:dyDescent="0.2">
      <c r="B65" s="31">
        <v>42109</v>
      </c>
      <c r="C65" s="25"/>
      <c r="D65" s="26"/>
      <c r="E65" s="26"/>
      <c r="F65" s="47">
        <v>13.255000000000001</v>
      </c>
      <c r="G65" s="47">
        <v>9.8859999999999992</v>
      </c>
      <c r="H65" s="47">
        <v>10.289</v>
      </c>
      <c r="I65" s="48">
        <v>101.33799999999999</v>
      </c>
      <c r="J65" s="58">
        <v>943</v>
      </c>
      <c r="K65" s="18">
        <f t="shared" si="29"/>
        <v>615</v>
      </c>
      <c r="L65" s="19" t="str">
        <f t="shared" si="19"/>
        <v/>
      </c>
      <c r="M65" s="19" t="str">
        <f t="shared" si="15"/>
        <v/>
      </c>
      <c r="N65" s="19" t="str">
        <f t="shared" si="16"/>
        <v/>
      </c>
      <c r="O65" s="19">
        <f t="shared" si="23"/>
        <v>-48.000000000000043</v>
      </c>
      <c r="P65" s="19">
        <f t="shared" si="24"/>
        <v>-11.000000000000121</v>
      </c>
      <c r="Q65" s="19">
        <f t="shared" si="25"/>
        <v>-9.0000000000012292</v>
      </c>
      <c r="R65" s="19">
        <f t="shared" si="17"/>
        <v>-19.999999999996021</v>
      </c>
      <c r="S65" s="27" t="str">
        <f t="shared" si="20"/>
        <v/>
      </c>
      <c r="T65" s="28" t="str">
        <f t="shared" si="21"/>
        <v/>
      </c>
      <c r="U65" s="28" t="str">
        <f t="shared" si="22"/>
        <v/>
      </c>
      <c r="V65" s="28">
        <f t="shared" si="26"/>
        <v>-7.1428571428552995E-2</v>
      </c>
      <c r="W65" s="28">
        <f t="shared" si="27"/>
        <v>-1.1904761904776453E-2</v>
      </c>
      <c r="X65" s="29">
        <f t="shared" si="28"/>
        <v>-3.5714285714287065E-2</v>
      </c>
      <c r="Y65" s="24"/>
    </row>
    <row r="66" spans="2:25" ht="15" customHeight="1" x14ac:dyDescent="0.2">
      <c r="B66" s="31">
        <v>42221</v>
      </c>
      <c r="C66" s="33"/>
      <c r="D66" s="16"/>
      <c r="E66" s="16"/>
      <c r="F66" s="16">
        <v>13.257999999999999</v>
      </c>
      <c r="G66" s="16">
        <v>9.8849999999999998</v>
      </c>
      <c r="H66" s="16">
        <v>10.29</v>
      </c>
      <c r="I66" s="16">
        <v>101.339</v>
      </c>
      <c r="J66" s="32">
        <v>1253</v>
      </c>
      <c r="K66" s="18">
        <f t="shared" si="29"/>
        <v>925</v>
      </c>
      <c r="L66" s="19" t="str">
        <f t="shared" si="19"/>
        <v/>
      </c>
      <c r="M66" s="19" t="str">
        <f t="shared" si="15"/>
        <v/>
      </c>
      <c r="N66" s="19" t="str">
        <f t="shared" si="16"/>
        <v/>
      </c>
      <c r="O66" s="19">
        <f t="shared" si="23"/>
        <v>-45.000000000001705</v>
      </c>
      <c r="P66" s="19">
        <f t="shared" si="24"/>
        <v>-11.999999999999567</v>
      </c>
      <c r="Q66" s="19">
        <f t="shared" si="25"/>
        <v>-8.0000000000017835</v>
      </c>
      <c r="R66" s="19">
        <f t="shared" si="17"/>
        <v>-18.999999999991246</v>
      </c>
      <c r="S66" s="27" t="str">
        <f t="shared" si="20"/>
        <v/>
      </c>
      <c r="T66" s="28" t="str">
        <f t="shared" si="21"/>
        <v/>
      </c>
      <c r="U66" s="28" t="str">
        <f t="shared" si="22"/>
        <v/>
      </c>
      <c r="V66" s="28">
        <f t="shared" si="26"/>
        <v>2.6785714285699442E-2</v>
      </c>
      <c r="W66" s="28">
        <f t="shared" si="27"/>
        <v>-8.9285714285664806E-3</v>
      </c>
      <c r="X66" s="29">
        <f t="shared" si="28"/>
        <v>8.9285714285664806E-3</v>
      </c>
      <c r="Y66" s="24"/>
    </row>
    <row r="67" spans="2:25" ht="15" customHeight="1" x14ac:dyDescent="0.2">
      <c r="B67" s="31">
        <v>42317</v>
      </c>
      <c r="C67" s="33"/>
      <c r="D67" s="16"/>
      <c r="E67" s="16"/>
      <c r="F67" s="16">
        <v>13.257</v>
      </c>
      <c r="G67" s="16">
        <v>9.8849999999999998</v>
      </c>
      <c r="H67" s="16">
        <v>10.29</v>
      </c>
      <c r="I67" s="16">
        <v>101.337</v>
      </c>
      <c r="J67" s="32">
        <v>2215</v>
      </c>
      <c r="K67" s="18">
        <f t="shared" ref="K67:K69" si="30">IF(ISBLANK(J67),"",(J67-$J$8))</f>
        <v>1887</v>
      </c>
      <c r="L67" s="19" t="str">
        <f t="shared" si="19"/>
        <v/>
      </c>
      <c r="M67" s="19" t="str">
        <f t="shared" si="15"/>
        <v/>
      </c>
      <c r="N67" s="19" t="str">
        <f t="shared" si="16"/>
        <v/>
      </c>
      <c r="O67" s="19">
        <f t="shared" si="23"/>
        <v>-46.000000000001151</v>
      </c>
      <c r="P67" s="19">
        <f t="shared" si="24"/>
        <v>-11.999999999999567</v>
      </c>
      <c r="Q67" s="19">
        <f t="shared" si="25"/>
        <v>-8.0000000000017835</v>
      </c>
      <c r="R67" s="19">
        <f t="shared" si="17"/>
        <v>-20.999999999986585</v>
      </c>
      <c r="S67" s="27" t="str">
        <f t="shared" si="20"/>
        <v/>
      </c>
      <c r="T67" s="28" t="str">
        <f t="shared" si="21"/>
        <v/>
      </c>
      <c r="U67" s="28" t="str">
        <f t="shared" si="22"/>
        <v/>
      </c>
      <c r="V67" s="28">
        <f t="shared" si="26"/>
        <v>-1.0416666666660893E-2</v>
      </c>
      <c r="W67" s="28">
        <f t="shared" si="27"/>
        <v>0</v>
      </c>
      <c r="X67" s="29">
        <f t="shared" si="28"/>
        <v>0</v>
      </c>
      <c r="Y67" s="24"/>
    </row>
    <row r="68" spans="2:25" ht="15" customHeight="1" x14ac:dyDescent="0.2">
      <c r="B68" s="31">
        <v>42404</v>
      </c>
      <c r="C68" s="25">
        <v>12.631</v>
      </c>
      <c r="D68" s="26">
        <v>7.8129999999999997</v>
      </c>
      <c r="E68" s="26">
        <v>7.9260000000000002</v>
      </c>
      <c r="F68" s="16">
        <v>13.255000000000001</v>
      </c>
      <c r="G68" s="16">
        <v>9.8859999999999992</v>
      </c>
      <c r="H68" s="16">
        <v>10.289</v>
      </c>
      <c r="I68" s="16">
        <v>101.339</v>
      </c>
      <c r="J68" s="58">
        <v>2484</v>
      </c>
      <c r="K68" s="18">
        <f t="shared" si="30"/>
        <v>2156</v>
      </c>
      <c r="L68" s="19">
        <f t="shared" si="19"/>
        <v>-47.000000000000597</v>
      </c>
      <c r="M68" s="19">
        <f t="shared" si="15"/>
        <v>-11.999999999999567</v>
      </c>
      <c r="N68" s="19">
        <f t="shared" si="16"/>
        <v>-8.0000000000008953</v>
      </c>
      <c r="O68" s="19">
        <f t="shared" si="23"/>
        <v>-48.000000000000043</v>
      </c>
      <c r="P68" s="19">
        <f t="shared" si="24"/>
        <v>-11.000000000000121</v>
      </c>
      <c r="Q68" s="19">
        <f t="shared" si="25"/>
        <v>-9.0000000000012292</v>
      </c>
      <c r="R68" s="19">
        <f t="shared" si="17"/>
        <v>-18.999999999991246</v>
      </c>
      <c r="S68" s="27"/>
      <c r="T68" s="28"/>
      <c r="U68" s="28"/>
      <c r="V68" s="28">
        <f t="shared" si="26"/>
        <v>-2.2988505747113697E-2</v>
      </c>
      <c r="W68" s="28">
        <f t="shared" si="27"/>
        <v>1.1494252873556848E-2</v>
      </c>
      <c r="X68" s="29">
        <f t="shared" si="28"/>
        <v>-1.1494252873556848E-2</v>
      </c>
      <c r="Y68" s="24"/>
    </row>
    <row r="69" spans="2:25" ht="15" customHeight="1" x14ac:dyDescent="0.2">
      <c r="B69" s="31">
        <v>42529</v>
      </c>
      <c r="C69" s="25">
        <v>12.63</v>
      </c>
      <c r="D69" s="26">
        <v>7.8129999999999997</v>
      </c>
      <c r="E69" s="26">
        <v>7.9249999999999998</v>
      </c>
      <c r="F69" s="16">
        <v>13.254</v>
      </c>
      <c r="G69" s="16">
        <v>9.8840000000000003</v>
      </c>
      <c r="H69" s="16">
        <v>10.289</v>
      </c>
      <c r="I69" s="16">
        <v>101.33799999999999</v>
      </c>
      <c r="J69" s="58">
        <v>2603</v>
      </c>
      <c r="K69" s="18">
        <f t="shared" si="30"/>
        <v>2275</v>
      </c>
      <c r="L69" s="19">
        <f t="shared" si="19"/>
        <v>-48.000000000000043</v>
      </c>
      <c r="M69" s="19">
        <f t="shared" si="15"/>
        <v>-11.999999999999567</v>
      </c>
      <c r="N69" s="19">
        <f t="shared" si="16"/>
        <v>-9.0000000000012292</v>
      </c>
      <c r="O69" s="19">
        <f t="shared" si="23"/>
        <v>-49.000000000001265</v>
      </c>
      <c r="P69" s="19">
        <f t="shared" si="24"/>
        <v>-12.999999999999012</v>
      </c>
      <c r="Q69" s="19">
        <f t="shared" si="25"/>
        <v>-9.0000000000012292</v>
      </c>
      <c r="R69" s="19">
        <f t="shared" si="17"/>
        <v>-19.999999999996021</v>
      </c>
      <c r="S69" s="27">
        <f t="shared" si="20"/>
        <v>-7.9999999999955662E-3</v>
      </c>
      <c r="T69" s="28">
        <f t="shared" si="21"/>
        <v>0</v>
      </c>
      <c r="U69" s="28">
        <f t="shared" si="22"/>
        <v>-8.0000000000026716E-3</v>
      </c>
      <c r="V69" s="28">
        <f t="shared" si="26"/>
        <v>-8.0000000000097771E-3</v>
      </c>
      <c r="W69" s="28">
        <f t="shared" si="27"/>
        <v>-1.5999999999991132E-2</v>
      </c>
      <c r="X69" s="29">
        <f t="shared" si="28"/>
        <v>0</v>
      </c>
      <c r="Y69" s="24"/>
    </row>
    <row r="70" spans="2:25" ht="15" customHeight="1" x14ac:dyDescent="0.2">
      <c r="B70" s="31"/>
      <c r="C70" s="25"/>
      <c r="D70" s="26"/>
      <c r="E70" s="26"/>
      <c r="F70" s="16"/>
      <c r="G70" s="16"/>
      <c r="H70" s="16"/>
      <c r="I70" s="16"/>
      <c r="J70" s="58"/>
      <c r="K70" s="18"/>
      <c r="L70" s="19" t="str">
        <f t="shared" si="19"/>
        <v/>
      </c>
      <c r="M70" s="19" t="str">
        <f t="shared" si="15"/>
        <v/>
      </c>
      <c r="N70" s="19" t="str">
        <f t="shared" si="16"/>
        <v/>
      </c>
      <c r="O70" s="19" t="str">
        <f t="shared" si="23"/>
        <v/>
      </c>
      <c r="P70" s="19" t="str">
        <f t="shared" si="24"/>
        <v/>
      </c>
      <c r="Q70" s="19" t="str">
        <f t="shared" si="25"/>
        <v/>
      </c>
      <c r="R70" s="19" t="str">
        <f t="shared" si="17"/>
        <v/>
      </c>
      <c r="S70" s="27" t="str">
        <f t="shared" si="20"/>
        <v/>
      </c>
      <c r="T70" s="28" t="str">
        <f t="shared" si="21"/>
        <v/>
      </c>
      <c r="U70" s="28" t="str">
        <f t="shared" si="22"/>
        <v/>
      </c>
      <c r="V70" s="28" t="str">
        <f t="shared" si="26"/>
        <v/>
      </c>
      <c r="W70" s="28" t="str">
        <f t="shared" si="27"/>
        <v/>
      </c>
      <c r="X70" s="29" t="str">
        <f t="shared" si="28"/>
        <v/>
      </c>
      <c r="Y70" s="24"/>
    </row>
    <row r="71" spans="2:25" ht="15" customHeight="1" x14ac:dyDescent="0.2">
      <c r="B71" s="31"/>
      <c r="C71" s="25"/>
      <c r="D71" s="26"/>
      <c r="E71" s="26"/>
      <c r="F71" s="16"/>
      <c r="G71" s="16"/>
      <c r="H71" s="16"/>
      <c r="I71" s="16"/>
      <c r="J71" s="58"/>
      <c r="K71" s="18"/>
      <c r="L71" s="19" t="str">
        <f t="shared" si="19"/>
        <v/>
      </c>
      <c r="M71" s="19" t="str">
        <f t="shared" si="15"/>
        <v/>
      </c>
      <c r="N71" s="19" t="str">
        <f t="shared" si="16"/>
        <v/>
      </c>
      <c r="O71" s="19" t="str">
        <f t="shared" si="23"/>
        <v/>
      </c>
      <c r="P71" s="19" t="str">
        <f t="shared" si="24"/>
        <v/>
      </c>
      <c r="Q71" s="19" t="str">
        <f t="shared" si="25"/>
        <v/>
      </c>
      <c r="R71" s="19" t="str">
        <f t="shared" si="17"/>
        <v/>
      </c>
      <c r="S71" s="27" t="str">
        <f t="shared" si="20"/>
        <v/>
      </c>
      <c r="T71" s="28" t="str">
        <f t="shared" si="21"/>
        <v/>
      </c>
      <c r="U71" s="28" t="str">
        <f t="shared" si="22"/>
        <v/>
      </c>
      <c r="V71" s="28" t="str">
        <f t="shared" si="26"/>
        <v/>
      </c>
      <c r="W71" s="28" t="str">
        <f t="shared" si="27"/>
        <v/>
      </c>
      <c r="X71" s="29" t="str">
        <f t="shared" si="28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9"/>
        <v/>
      </c>
      <c r="M72" s="19" t="str">
        <f t="shared" si="15"/>
        <v/>
      </c>
      <c r="N72" s="19" t="str">
        <f t="shared" si="16"/>
        <v/>
      </c>
      <c r="O72" s="19" t="str">
        <f t="shared" si="23"/>
        <v/>
      </c>
      <c r="P72" s="19" t="str">
        <f t="shared" si="24"/>
        <v/>
      </c>
      <c r="Q72" s="19" t="str">
        <f t="shared" si="25"/>
        <v/>
      </c>
      <c r="R72" s="19" t="str">
        <f t="shared" si="17"/>
        <v/>
      </c>
      <c r="S72" s="27" t="str">
        <f t="shared" si="20"/>
        <v/>
      </c>
      <c r="T72" s="28" t="str">
        <f t="shared" si="21"/>
        <v/>
      </c>
      <c r="U72" s="28" t="str">
        <f t="shared" si="22"/>
        <v/>
      </c>
      <c r="V72" s="28" t="str">
        <f t="shared" si="26"/>
        <v/>
      </c>
      <c r="W72" s="28" t="str">
        <f t="shared" si="27"/>
        <v/>
      </c>
      <c r="X72" s="29" t="str">
        <f t="shared" si="28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9"/>
        <v/>
      </c>
      <c r="M73" s="19" t="str">
        <f t="shared" si="15"/>
        <v/>
      </c>
      <c r="N73" s="19" t="str">
        <f t="shared" si="16"/>
        <v/>
      </c>
      <c r="O73" s="19" t="str">
        <f t="shared" si="23"/>
        <v/>
      </c>
      <c r="P73" s="19" t="str">
        <f t="shared" si="24"/>
        <v/>
      </c>
      <c r="Q73" s="19" t="str">
        <f t="shared" si="25"/>
        <v/>
      </c>
      <c r="R73" s="19" t="str">
        <f t="shared" si="17"/>
        <v/>
      </c>
      <c r="S73" s="27" t="str">
        <f t="shared" si="20"/>
        <v/>
      </c>
      <c r="T73" s="28" t="str">
        <f t="shared" si="21"/>
        <v/>
      </c>
      <c r="U73" s="28" t="str">
        <f t="shared" si="22"/>
        <v/>
      </c>
      <c r="V73" s="28" t="str">
        <f t="shared" si="26"/>
        <v/>
      </c>
      <c r="W73" s="28" t="str">
        <f t="shared" si="27"/>
        <v/>
      </c>
      <c r="X73" s="29" t="str">
        <f t="shared" si="28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9"/>
        <v/>
      </c>
      <c r="M74" s="19" t="str">
        <f t="shared" si="15"/>
        <v/>
      </c>
      <c r="N74" s="19" t="str">
        <f t="shared" si="16"/>
        <v/>
      </c>
      <c r="O74" s="19" t="str">
        <f t="shared" si="23"/>
        <v/>
      </c>
      <c r="P74" s="19" t="str">
        <f t="shared" si="24"/>
        <v/>
      </c>
      <c r="Q74" s="19" t="str">
        <f t="shared" si="25"/>
        <v/>
      </c>
      <c r="R74" s="19" t="str">
        <f t="shared" si="17"/>
        <v/>
      </c>
      <c r="S74" s="27" t="str">
        <f t="shared" si="20"/>
        <v/>
      </c>
      <c r="T74" s="28" t="str">
        <f t="shared" si="21"/>
        <v/>
      </c>
      <c r="U74" s="28" t="str">
        <f t="shared" si="22"/>
        <v/>
      </c>
      <c r="V74" s="28" t="str">
        <f t="shared" si="26"/>
        <v/>
      </c>
      <c r="W74" s="28" t="str">
        <f t="shared" si="27"/>
        <v/>
      </c>
      <c r="X74" s="29" t="str">
        <f t="shared" si="28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9"/>
        <v/>
      </c>
      <c r="M75" s="19" t="str">
        <f t="shared" si="15"/>
        <v/>
      </c>
      <c r="N75" s="19" t="str">
        <f t="shared" si="16"/>
        <v/>
      </c>
      <c r="O75" s="19" t="str">
        <f t="shared" si="23"/>
        <v/>
      </c>
      <c r="P75" s="19" t="str">
        <f t="shared" si="24"/>
        <v/>
      </c>
      <c r="Q75" s="19" t="str">
        <f t="shared" si="25"/>
        <v/>
      </c>
      <c r="R75" s="19" t="str">
        <f t="shared" si="17"/>
        <v/>
      </c>
      <c r="S75" s="27" t="str">
        <f t="shared" si="20"/>
        <v/>
      </c>
      <c r="T75" s="28" t="str">
        <f t="shared" si="21"/>
        <v/>
      </c>
      <c r="U75" s="28" t="str">
        <f t="shared" si="22"/>
        <v/>
      </c>
      <c r="V75" s="28" t="str">
        <f t="shared" si="26"/>
        <v/>
      </c>
      <c r="W75" s="28" t="str">
        <f t="shared" si="27"/>
        <v/>
      </c>
      <c r="X75" s="29" t="str">
        <f t="shared" si="28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9"/>
        <v/>
      </c>
      <c r="M76" s="19" t="str">
        <f t="shared" si="15"/>
        <v/>
      </c>
      <c r="N76" s="19" t="str">
        <f t="shared" si="16"/>
        <v/>
      </c>
      <c r="O76" s="19" t="str">
        <f t="shared" si="23"/>
        <v/>
      </c>
      <c r="P76" s="19" t="str">
        <f t="shared" si="24"/>
        <v/>
      </c>
      <c r="Q76" s="19" t="str">
        <f t="shared" si="25"/>
        <v/>
      </c>
      <c r="R76" s="19" t="str">
        <f t="shared" si="17"/>
        <v/>
      </c>
      <c r="S76" s="27" t="str">
        <f t="shared" si="20"/>
        <v/>
      </c>
      <c r="T76" s="28" t="str">
        <f t="shared" si="21"/>
        <v/>
      </c>
      <c r="U76" s="28" t="str">
        <f t="shared" si="22"/>
        <v/>
      </c>
      <c r="V76" s="28" t="str">
        <f t="shared" si="26"/>
        <v/>
      </c>
      <c r="W76" s="28" t="str">
        <f t="shared" si="27"/>
        <v/>
      </c>
      <c r="X76" s="29" t="str">
        <f t="shared" si="28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9"/>
        <v/>
      </c>
      <c r="M77" s="19" t="str">
        <f t="shared" si="15"/>
        <v/>
      </c>
      <c r="N77" s="19" t="str">
        <f t="shared" si="16"/>
        <v/>
      </c>
      <c r="O77" s="19" t="str">
        <f t="shared" si="23"/>
        <v/>
      </c>
      <c r="P77" s="19" t="str">
        <f t="shared" si="24"/>
        <v/>
      </c>
      <c r="Q77" s="19" t="str">
        <f t="shared" si="25"/>
        <v/>
      </c>
      <c r="R77" s="19" t="str">
        <f t="shared" si="17"/>
        <v/>
      </c>
      <c r="S77" s="27" t="str">
        <f t="shared" si="20"/>
        <v/>
      </c>
      <c r="T77" s="28" t="str">
        <f t="shared" si="21"/>
        <v/>
      </c>
      <c r="U77" s="28" t="str">
        <f t="shared" si="22"/>
        <v/>
      </c>
      <c r="V77" s="28" t="str">
        <f t="shared" si="26"/>
        <v/>
      </c>
      <c r="W77" s="28" t="str">
        <f t="shared" si="27"/>
        <v/>
      </c>
      <c r="X77" s="29" t="str">
        <f t="shared" si="28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9"/>
        <v/>
      </c>
      <c r="M78" s="19" t="str">
        <f t="shared" si="15"/>
        <v/>
      </c>
      <c r="N78" s="19" t="str">
        <f t="shared" si="16"/>
        <v/>
      </c>
      <c r="O78" s="19" t="str">
        <f t="shared" si="23"/>
        <v/>
      </c>
      <c r="P78" s="19" t="str">
        <f t="shared" si="24"/>
        <v/>
      </c>
      <c r="Q78" s="19" t="str">
        <f t="shared" si="25"/>
        <v/>
      </c>
      <c r="R78" s="19" t="str">
        <f t="shared" si="17"/>
        <v/>
      </c>
      <c r="S78" s="27" t="str">
        <f t="shared" si="20"/>
        <v/>
      </c>
      <c r="T78" s="28" t="str">
        <f t="shared" si="21"/>
        <v/>
      </c>
      <c r="U78" s="28" t="str">
        <f t="shared" si="22"/>
        <v/>
      </c>
      <c r="V78" s="28" t="str">
        <f t="shared" si="26"/>
        <v/>
      </c>
      <c r="W78" s="28" t="str">
        <f t="shared" si="27"/>
        <v/>
      </c>
      <c r="X78" s="29" t="str">
        <f t="shared" si="28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9"/>
        <v/>
      </c>
      <c r="M79" s="19" t="str">
        <f t="shared" si="15"/>
        <v/>
      </c>
      <c r="N79" s="19" t="str">
        <f t="shared" si="16"/>
        <v/>
      </c>
      <c r="O79" s="19" t="str">
        <f t="shared" si="23"/>
        <v/>
      </c>
      <c r="P79" s="19" t="str">
        <f t="shared" si="24"/>
        <v/>
      </c>
      <c r="Q79" s="19" t="str">
        <f t="shared" si="25"/>
        <v/>
      </c>
      <c r="R79" s="19" t="str">
        <f t="shared" si="17"/>
        <v/>
      </c>
      <c r="S79" s="27" t="str">
        <f t="shared" si="20"/>
        <v/>
      </c>
      <c r="T79" s="28" t="str">
        <f t="shared" si="21"/>
        <v/>
      </c>
      <c r="U79" s="28" t="str">
        <f t="shared" si="22"/>
        <v/>
      </c>
      <c r="V79" s="28" t="str">
        <f t="shared" si="26"/>
        <v/>
      </c>
      <c r="W79" s="28" t="str">
        <f t="shared" si="27"/>
        <v/>
      </c>
      <c r="X79" s="29" t="str">
        <f t="shared" si="28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ref="L80:L111" si="31">IF(ISBLANK(C80),"",(C80-C$16)*1000)</f>
        <v/>
      </c>
      <c r="M80" s="19" t="str">
        <f t="shared" si="15"/>
        <v/>
      </c>
      <c r="N80" s="19" t="str">
        <f t="shared" si="16"/>
        <v/>
      </c>
      <c r="O80" s="19" t="str">
        <f t="shared" si="23"/>
        <v/>
      </c>
      <c r="P80" s="19" t="str">
        <f t="shared" si="24"/>
        <v/>
      </c>
      <c r="Q80" s="19" t="str">
        <f t="shared" si="25"/>
        <v/>
      </c>
      <c r="R80" s="19" t="str">
        <f t="shared" si="17"/>
        <v/>
      </c>
      <c r="S80" s="27" t="str">
        <f t="shared" si="20"/>
        <v/>
      </c>
      <c r="T80" s="28" t="str">
        <f t="shared" si="21"/>
        <v/>
      </c>
      <c r="U80" s="28" t="str">
        <f t="shared" si="22"/>
        <v/>
      </c>
      <c r="V80" s="28" t="str">
        <f t="shared" si="26"/>
        <v/>
      </c>
      <c r="W80" s="28" t="str">
        <f t="shared" si="27"/>
        <v/>
      </c>
      <c r="X80" s="29" t="str">
        <f t="shared" si="28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1"/>
        <v/>
      </c>
      <c r="M81" s="19" t="str">
        <f t="shared" si="15"/>
        <v/>
      </c>
      <c r="N81" s="19" t="str">
        <f t="shared" si="16"/>
        <v/>
      </c>
      <c r="O81" s="19" t="str">
        <f t="shared" si="23"/>
        <v/>
      </c>
      <c r="P81" s="19" t="str">
        <f t="shared" si="24"/>
        <v/>
      </c>
      <c r="Q81" s="19" t="str">
        <f t="shared" si="25"/>
        <v/>
      </c>
      <c r="R81" s="19" t="str">
        <f t="shared" si="17"/>
        <v/>
      </c>
      <c r="S81" s="27" t="str">
        <f t="shared" ref="S81:S112" si="32">IF(C81="","",((C81-C80)*1000)/($B81-$B80))</f>
        <v/>
      </c>
      <c r="T81" s="28" t="str">
        <f t="shared" ref="T81:T112" si="33">IF(D81="","",((D81-D80)*1000)/($B81-$B80))</f>
        <v/>
      </c>
      <c r="U81" s="28" t="str">
        <f t="shared" ref="U81:U112" si="34">IF(E81="","",((E81-E80)*1000)/($B81-$B80))</f>
        <v/>
      </c>
      <c r="V81" s="28" t="str">
        <f t="shared" ref="V81:V112" si="35">IF(F81="","",((F81-F80)*1000)/($B81-$B80))</f>
        <v/>
      </c>
      <c r="W81" s="28" t="str">
        <f t="shared" ref="W81:W112" si="36">IF(G81="","",((G81-G80)*1000)/($B81-$B80))</f>
        <v/>
      </c>
      <c r="X81" s="29" t="str">
        <f t="shared" ref="X81:X112" si="37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1"/>
        <v/>
      </c>
      <c r="M82" s="19" t="str">
        <f t="shared" si="15"/>
        <v/>
      </c>
      <c r="N82" s="19" t="str">
        <f t="shared" si="16"/>
        <v/>
      </c>
      <c r="O82" s="19" t="str">
        <f t="shared" si="23"/>
        <v/>
      </c>
      <c r="P82" s="19" t="str">
        <f t="shared" si="24"/>
        <v/>
      </c>
      <c r="Q82" s="19" t="str">
        <f t="shared" si="25"/>
        <v/>
      </c>
      <c r="R82" s="19" t="str">
        <f t="shared" si="17"/>
        <v/>
      </c>
      <c r="S82" s="27" t="str">
        <f t="shared" si="32"/>
        <v/>
      </c>
      <c r="T82" s="28" t="str">
        <f t="shared" si="33"/>
        <v/>
      </c>
      <c r="U82" s="28" t="str">
        <f t="shared" si="34"/>
        <v/>
      </c>
      <c r="V82" s="28" t="str">
        <f t="shared" si="35"/>
        <v/>
      </c>
      <c r="W82" s="28" t="str">
        <f t="shared" si="36"/>
        <v/>
      </c>
      <c r="X82" s="29" t="str">
        <f t="shared" si="3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1"/>
        <v/>
      </c>
      <c r="M83" s="19" t="str">
        <f t="shared" si="15"/>
        <v/>
      </c>
      <c r="N83" s="19" t="str">
        <f t="shared" si="16"/>
        <v/>
      </c>
      <c r="O83" s="19" t="str">
        <f t="shared" si="23"/>
        <v/>
      </c>
      <c r="P83" s="19" t="str">
        <f t="shared" si="24"/>
        <v/>
      </c>
      <c r="Q83" s="19" t="str">
        <f t="shared" si="25"/>
        <v/>
      </c>
      <c r="R83" s="19" t="str">
        <f t="shared" si="17"/>
        <v/>
      </c>
      <c r="S83" s="27" t="str">
        <f t="shared" si="32"/>
        <v/>
      </c>
      <c r="T83" s="28" t="str">
        <f t="shared" si="33"/>
        <v/>
      </c>
      <c r="U83" s="28" t="str">
        <f t="shared" si="34"/>
        <v/>
      </c>
      <c r="V83" s="28" t="str">
        <f t="shared" si="35"/>
        <v/>
      </c>
      <c r="W83" s="28" t="str">
        <f t="shared" si="36"/>
        <v/>
      </c>
      <c r="X83" s="29" t="str">
        <f t="shared" si="3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1"/>
        <v/>
      </c>
      <c r="M84" s="19" t="str">
        <f t="shared" si="15"/>
        <v/>
      </c>
      <c r="N84" s="19" t="str">
        <f t="shared" si="16"/>
        <v/>
      </c>
      <c r="O84" s="19" t="str">
        <f t="shared" si="23"/>
        <v/>
      </c>
      <c r="P84" s="19" t="str">
        <f t="shared" si="24"/>
        <v/>
      </c>
      <c r="Q84" s="19" t="str">
        <f t="shared" si="25"/>
        <v/>
      </c>
      <c r="R84" s="19" t="str">
        <f t="shared" si="17"/>
        <v/>
      </c>
      <c r="S84" s="27" t="str">
        <f t="shared" si="32"/>
        <v/>
      </c>
      <c r="T84" s="28" t="str">
        <f t="shared" si="33"/>
        <v/>
      </c>
      <c r="U84" s="28" t="str">
        <f t="shared" si="34"/>
        <v/>
      </c>
      <c r="V84" s="28" t="str">
        <f t="shared" si="35"/>
        <v/>
      </c>
      <c r="W84" s="28" t="str">
        <f t="shared" si="36"/>
        <v/>
      </c>
      <c r="X84" s="29" t="str">
        <f t="shared" si="3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1"/>
        <v/>
      </c>
      <c r="M85" s="19" t="str">
        <f t="shared" si="15"/>
        <v/>
      </c>
      <c r="N85" s="19" t="str">
        <f t="shared" si="16"/>
        <v/>
      </c>
      <c r="O85" s="19" t="str">
        <f t="shared" si="23"/>
        <v/>
      </c>
      <c r="P85" s="19" t="str">
        <f t="shared" si="24"/>
        <v/>
      </c>
      <c r="Q85" s="19" t="str">
        <f t="shared" si="25"/>
        <v/>
      </c>
      <c r="R85" s="19" t="str">
        <f t="shared" si="17"/>
        <v/>
      </c>
      <c r="S85" s="27" t="str">
        <f t="shared" si="32"/>
        <v/>
      </c>
      <c r="T85" s="28" t="str">
        <f t="shared" si="33"/>
        <v/>
      </c>
      <c r="U85" s="28" t="str">
        <f t="shared" si="34"/>
        <v/>
      </c>
      <c r="V85" s="28" t="str">
        <f t="shared" si="35"/>
        <v/>
      </c>
      <c r="W85" s="28" t="str">
        <f t="shared" si="36"/>
        <v/>
      </c>
      <c r="X85" s="29" t="str">
        <f t="shared" si="3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1"/>
        <v/>
      </c>
      <c r="M86" s="19" t="str">
        <f t="shared" si="15"/>
        <v/>
      </c>
      <c r="N86" s="19" t="str">
        <f t="shared" si="16"/>
        <v/>
      </c>
      <c r="O86" s="19" t="str">
        <f t="shared" si="23"/>
        <v/>
      </c>
      <c r="P86" s="19" t="str">
        <f t="shared" si="24"/>
        <v/>
      </c>
      <c r="Q86" s="19" t="str">
        <f t="shared" si="25"/>
        <v/>
      </c>
      <c r="R86" s="19" t="str">
        <f t="shared" si="17"/>
        <v/>
      </c>
      <c r="S86" s="27" t="str">
        <f t="shared" si="32"/>
        <v/>
      </c>
      <c r="T86" s="28" t="str">
        <f t="shared" si="33"/>
        <v/>
      </c>
      <c r="U86" s="28" t="str">
        <f t="shared" si="34"/>
        <v/>
      </c>
      <c r="V86" s="28" t="str">
        <f t="shared" si="35"/>
        <v/>
      </c>
      <c r="W86" s="28" t="str">
        <f t="shared" si="36"/>
        <v/>
      </c>
      <c r="X86" s="29" t="str">
        <f t="shared" si="3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1"/>
        <v/>
      </c>
      <c r="M87" s="19" t="str">
        <f t="shared" si="15"/>
        <v/>
      </c>
      <c r="N87" s="19" t="str">
        <f t="shared" si="16"/>
        <v/>
      </c>
      <c r="O87" s="19" t="str">
        <f t="shared" si="23"/>
        <v/>
      </c>
      <c r="P87" s="19" t="str">
        <f t="shared" si="24"/>
        <v/>
      </c>
      <c r="Q87" s="19" t="str">
        <f t="shared" si="25"/>
        <v/>
      </c>
      <c r="R87" s="19" t="str">
        <f t="shared" si="17"/>
        <v/>
      </c>
      <c r="S87" s="27" t="str">
        <f t="shared" si="32"/>
        <v/>
      </c>
      <c r="T87" s="28" t="str">
        <f t="shared" si="33"/>
        <v/>
      </c>
      <c r="U87" s="28" t="str">
        <f t="shared" si="34"/>
        <v/>
      </c>
      <c r="V87" s="28" t="str">
        <f t="shared" si="35"/>
        <v/>
      </c>
      <c r="W87" s="28" t="str">
        <f t="shared" si="36"/>
        <v/>
      </c>
      <c r="X87" s="29" t="str">
        <f t="shared" si="3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1"/>
        <v/>
      </c>
      <c r="M88" s="19" t="str">
        <f t="shared" si="15"/>
        <v/>
      </c>
      <c r="N88" s="19" t="str">
        <f t="shared" si="16"/>
        <v/>
      </c>
      <c r="O88" s="19" t="str">
        <f t="shared" si="23"/>
        <v/>
      </c>
      <c r="P88" s="19" t="str">
        <f t="shared" si="24"/>
        <v/>
      </c>
      <c r="Q88" s="19" t="str">
        <f t="shared" si="25"/>
        <v/>
      </c>
      <c r="R88" s="19" t="str">
        <f t="shared" si="17"/>
        <v/>
      </c>
      <c r="S88" s="27" t="str">
        <f t="shared" si="32"/>
        <v/>
      </c>
      <c r="T88" s="28" t="str">
        <f t="shared" si="33"/>
        <v/>
      </c>
      <c r="U88" s="28" t="str">
        <f t="shared" si="34"/>
        <v/>
      </c>
      <c r="V88" s="28" t="str">
        <f t="shared" si="35"/>
        <v/>
      </c>
      <c r="W88" s="28" t="str">
        <f t="shared" si="36"/>
        <v/>
      </c>
      <c r="X88" s="29" t="str">
        <f t="shared" si="3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1"/>
        <v/>
      </c>
      <c r="M89" s="19" t="str">
        <f t="shared" si="15"/>
        <v/>
      </c>
      <c r="N89" s="19" t="str">
        <f t="shared" si="16"/>
        <v/>
      </c>
      <c r="O89" s="19" t="str">
        <f t="shared" si="23"/>
        <v/>
      </c>
      <c r="P89" s="19" t="str">
        <f t="shared" si="24"/>
        <v/>
      </c>
      <c r="Q89" s="19" t="str">
        <f t="shared" si="25"/>
        <v/>
      </c>
      <c r="R89" s="19" t="str">
        <f t="shared" si="17"/>
        <v/>
      </c>
      <c r="S89" s="27" t="str">
        <f t="shared" si="32"/>
        <v/>
      </c>
      <c r="T89" s="28" t="str">
        <f t="shared" si="33"/>
        <v/>
      </c>
      <c r="U89" s="28" t="str">
        <f t="shared" si="34"/>
        <v/>
      </c>
      <c r="V89" s="28" t="str">
        <f t="shared" si="35"/>
        <v/>
      </c>
      <c r="W89" s="28" t="str">
        <f t="shared" si="36"/>
        <v/>
      </c>
      <c r="X89" s="29" t="str">
        <f t="shared" si="3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1"/>
        <v/>
      </c>
      <c r="M90" s="19" t="str">
        <f t="shared" si="15"/>
        <v/>
      </c>
      <c r="N90" s="19" t="str">
        <f t="shared" si="16"/>
        <v/>
      </c>
      <c r="O90" s="19" t="str">
        <f t="shared" si="23"/>
        <v/>
      </c>
      <c r="P90" s="19" t="str">
        <f t="shared" si="24"/>
        <v/>
      </c>
      <c r="Q90" s="19" t="str">
        <f t="shared" si="25"/>
        <v/>
      </c>
      <c r="R90" s="19" t="str">
        <f t="shared" si="17"/>
        <v/>
      </c>
      <c r="S90" s="27" t="str">
        <f t="shared" si="32"/>
        <v/>
      </c>
      <c r="T90" s="28" t="str">
        <f t="shared" si="33"/>
        <v/>
      </c>
      <c r="U90" s="28" t="str">
        <f t="shared" si="34"/>
        <v/>
      </c>
      <c r="V90" s="28" t="str">
        <f t="shared" si="35"/>
        <v/>
      </c>
      <c r="W90" s="28" t="str">
        <f t="shared" si="36"/>
        <v/>
      </c>
      <c r="X90" s="29" t="str">
        <f t="shared" si="3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1"/>
        <v/>
      </c>
      <c r="M91" s="19" t="str">
        <f t="shared" si="15"/>
        <v/>
      </c>
      <c r="N91" s="19" t="str">
        <f t="shared" si="16"/>
        <v/>
      </c>
      <c r="O91" s="19" t="str">
        <f t="shared" si="23"/>
        <v/>
      </c>
      <c r="P91" s="19" t="str">
        <f t="shared" si="24"/>
        <v/>
      </c>
      <c r="Q91" s="19" t="str">
        <f t="shared" si="25"/>
        <v/>
      </c>
      <c r="R91" s="19" t="str">
        <f t="shared" si="17"/>
        <v/>
      </c>
      <c r="S91" s="27" t="str">
        <f t="shared" si="32"/>
        <v/>
      </c>
      <c r="T91" s="28" t="str">
        <f t="shared" si="33"/>
        <v/>
      </c>
      <c r="U91" s="28" t="str">
        <f t="shared" si="34"/>
        <v/>
      </c>
      <c r="V91" s="28" t="str">
        <f t="shared" si="35"/>
        <v/>
      </c>
      <c r="W91" s="28" t="str">
        <f t="shared" si="36"/>
        <v/>
      </c>
      <c r="X91" s="29" t="str">
        <f t="shared" si="3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1"/>
        <v/>
      </c>
      <c r="M92" s="19" t="str">
        <f t="shared" si="15"/>
        <v/>
      </c>
      <c r="N92" s="19" t="str">
        <f t="shared" si="16"/>
        <v/>
      </c>
      <c r="O92" s="19" t="str">
        <f t="shared" si="23"/>
        <v/>
      </c>
      <c r="P92" s="19" t="str">
        <f t="shared" si="24"/>
        <v/>
      </c>
      <c r="Q92" s="19" t="str">
        <f t="shared" si="25"/>
        <v/>
      </c>
      <c r="R92" s="19" t="str">
        <f t="shared" si="17"/>
        <v/>
      </c>
      <c r="S92" s="27" t="str">
        <f t="shared" si="32"/>
        <v/>
      </c>
      <c r="T92" s="28" t="str">
        <f t="shared" si="33"/>
        <v/>
      </c>
      <c r="U92" s="28" t="str">
        <f t="shared" si="34"/>
        <v/>
      </c>
      <c r="V92" s="28" t="str">
        <f t="shared" si="35"/>
        <v/>
      </c>
      <c r="W92" s="28" t="str">
        <f t="shared" si="36"/>
        <v/>
      </c>
      <c r="X92" s="29" t="str">
        <f t="shared" si="3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1"/>
        <v/>
      </c>
      <c r="M93" s="19" t="str">
        <f t="shared" ref="M93:M153" si="38">IF(ISBLANK(D93),"",((D93-D$28)*1000)+M$27)</f>
        <v/>
      </c>
      <c r="N93" s="19" t="str">
        <f t="shared" ref="N93:N153" si="39">IF(ISBLANK(E93),"",((E93-E$28)*1000)+N$27)</f>
        <v/>
      </c>
      <c r="O93" s="19" t="str">
        <f t="shared" si="23"/>
        <v/>
      </c>
      <c r="P93" s="19" t="str">
        <f t="shared" si="24"/>
        <v/>
      </c>
      <c r="Q93" s="19" t="str">
        <f t="shared" si="25"/>
        <v/>
      </c>
      <c r="R93" s="19" t="str">
        <f t="shared" ref="R93:R153" si="40">IF(ISBLANK(I93),"",((I93-I$28)*1000)+R$27)</f>
        <v/>
      </c>
      <c r="S93" s="27" t="str">
        <f t="shared" si="32"/>
        <v/>
      </c>
      <c r="T93" s="28" t="str">
        <f t="shared" si="33"/>
        <v/>
      </c>
      <c r="U93" s="28" t="str">
        <f t="shared" si="34"/>
        <v/>
      </c>
      <c r="V93" s="28" t="str">
        <f t="shared" si="35"/>
        <v/>
      </c>
      <c r="W93" s="28" t="str">
        <f t="shared" si="36"/>
        <v/>
      </c>
      <c r="X93" s="29" t="str">
        <f t="shared" si="3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1"/>
        <v/>
      </c>
      <c r="M94" s="19" t="str">
        <f t="shared" si="38"/>
        <v/>
      </c>
      <c r="N94" s="19" t="str">
        <f t="shared" si="39"/>
        <v/>
      </c>
      <c r="O94" s="19" t="str">
        <f t="shared" si="23"/>
        <v/>
      </c>
      <c r="P94" s="19" t="str">
        <f t="shared" si="24"/>
        <v/>
      </c>
      <c r="Q94" s="19" t="str">
        <f t="shared" si="25"/>
        <v/>
      </c>
      <c r="R94" s="19" t="str">
        <f t="shared" si="40"/>
        <v/>
      </c>
      <c r="S94" s="27" t="str">
        <f t="shared" si="32"/>
        <v/>
      </c>
      <c r="T94" s="28" t="str">
        <f t="shared" si="33"/>
        <v/>
      </c>
      <c r="U94" s="28" t="str">
        <f t="shared" si="34"/>
        <v/>
      </c>
      <c r="V94" s="28" t="str">
        <f t="shared" si="35"/>
        <v/>
      </c>
      <c r="W94" s="28" t="str">
        <f t="shared" si="36"/>
        <v/>
      </c>
      <c r="X94" s="29" t="str">
        <f t="shared" si="3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1"/>
        <v/>
      </c>
      <c r="M95" s="19" t="str">
        <f t="shared" si="38"/>
        <v/>
      </c>
      <c r="N95" s="19" t="str">
        <f t="shared" si="39"/>
        <v/>
      </c>
      <c r="O95" s="19" t="str">
        <f t="shared" si="23"/>
        <v/>
      </c>
      <c r="P95" s="19" t="str">
        <f t="shared" si="24"/>
        <v/>
      </c>
      <c r="Q95" s="19" t="str">
        <f t="shared" si="25"/>
        <v/>
      </c>
      <c r="R95" s="19" t="str">
        <f t="shared" si="40"/>
        <v/>
      </c>
      <c r="S95" s="27" t="str">
        <f t="shared" si="32"/>
        <v/>
      </c>
      <c r="T95" s="28" t="str">
        <f t="shared" si="33"/>
        <v/>
      </c>
      <c r="U95" s="28" t="str">
        <f t="shared" si="34"/>
        <v/>
      </c>
      <c r="V95" s="28" t="str">
        <f t="shared" si="35"/>
        <v/>
      </c>
      <c r="W95" s="28" t="str">
        <f t="shared" si="36"/>
        <v/>
      </c>
      <c r="X95" s="29" t="str">
        <f t="shared" si="3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1"/>
        <v/>
      </c>
      <c r="M96" s="19" t="str">
        <f t="shared" si="38"/>
        <v/>
      </c>
      <c r="N96" s="19" t="str">
        <f t="shared" si="39"/>
        <v/>
      </c>
      <c r="O96" s="19" t="str">
        <f t="shared" si="23"/>
        <v/>
      </c>
      <c r="P96" s="19" t="str">
        <f t="shared" si="24"/>
        <v/>
      </c>
      <c r="Q96" s="19" t="str">
        <f t="shared" si="25"/>
        <v/>
      </c>
      <c r="R96" s="19" t="str">
        <f t="shared" si="40"/>
        <v/>
      </c>
      <c r="S96" s="27" t="str">
        <f t="shared" si="32"/>
        <v/>
      </c>
      <c r="T96" s="28" t="str">
        <f t="shared" si="33"/>
        <v/>
      </c>
      <c r="U96" s="28" t="str">
        <f t="shared" si="34"/>
        <v/>
      </c>
      <c r="V96" s="28" t="str">
        <f t="shared" si="35"/>
        <v/>
      </c>
      <c r="W96" s="28" t="str">
        <f t="shared" si="36"/>
        <v/>
      </c>
      <c r="X96" s="29" t="str">
        <f t="shared" si="3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1"/>
        <v/>
      </c>
      <c r="M97" s="19" t="str">
        <f t="shared" si="38"/>
        <v/>
      </c>
      <c r="N97" s="19" t="str">
        <f t="shared" si="39"/>
        <v/>
      </c>
      <c r="O97" s="19" t="str">
        <f t="shared" si="23"/>
        <v/>
      </c>
      <c r="P97" s="19" t="str">
        <f t="shared" si="24"/>
        <v/>
      </c>
      <c r="Q97" s="19" t="str">
        <f t="shared" si="25"/>
        <v/>
      </c>
      <c r="R97" s="19" t="str">
        <f t="shared" si="40"/>
        <v/>
      </c>
      <c r="S97" s="27" t="str">
        <f t="shared" si="32"/>
        <v/>
      </c>
      <c r="T97" s="28" t="str">
        <f t="shared" si="33"/>
        <v/>
      </c>
      <c r="U97" s="28" t="str">
        <f t="shared" si="34"/>
        <v/>
      </c>
      <c r="V97" s="28" t="str">
        <f t="shared" si="35"/>
        <v/>
      </c>
      <c r="W97" s="28" t="str">
        <f t="shared" si="36"/>
        <v/>
      </c>
      <c r="X97" s="29" t="str">
        <f t="shared" si="37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1"/>
        <v/>
      </c>
      <c r="M98" s="19" t="str">
        <f t="shared" si="38"/>
        <v/>
      </c>
      <c r="N98" s="19" t="str">
        <f t="shared" si="39"/>
        <v/>
      </c>
      <c r="O98" s="19" t="str">
        <f t="shared" si="23"/>
        <v/>
      </c>
      <c r="P98" s="19" t="str">
        <f t="shared" si="24"/>
        <v/>
      </c>
      <c r="Q98" s="19" t="str">
        <f t="shared" si="25"/>
        <v/>
      </c>
      <c r="R98" s="19" t="str">
        <f t="shared" si="40"/>
        <v/>
      </c>
      <c r="S98" s="27" t="str">
        <f t="shared" si="32"/>
        <v/>
      </c>
      <c r="T98" s="28" t="str">
        <f t="shared" si="33"/>
        <v/>
      </c>
      <c r="U98" s="28" t="str">
        <f t="shared" si="34"/>
        <v/>
      </c>
      <c r="V98" s="28" t="str">
        <f t="shared" si="35"/>
        <v/>
      </c>
      <c r="W98" s="28" t="str">
        <f t="shared" si="36"/>
        <v/>
      </c>
      <c r="X98" s="29" t="str">
        <f t="shared" si="37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1"/>
        <v/>
      </c>
      <c r="M99" s="19" t="str">
        <f t="shared" si="38"/>
        <v/>
      </c>
      <c r="N99" s="19" t="str">
        <f t="shared" si="39"/>
        <v/>
      </c>
      <c r="O99" s="19" t="str">
        <f t="shared" si="23"/>
        <v/>
      </c>
      <c r="P99" s="19" t="str">
        <f t="shared" si="24"/>
        <v/>
      </c>
      <c r="Q99" s="19" t="str">
        <f t="shared" si="25"/>
        <v/>
      </c>
      <c r="R99" s="19" t="str">
        <f t="shared" si="40"/>
        <v/>
      </c>
      <c r="S99" s="27" t="str">
        <f t="shared" si="32"/>
        <v/>
      </c>
      <c r="T99" s="28" t="str">
        <f t="shared" si="33"/>
        <v/>
      </c>
      <c r="U99" s="28" t="str">
        <f t="shared" si="34"/>
        <v/>
      </c>
      <c r="V99" s="28" t="str">
        <f t="shared" si="35"/>
        <v/>
      </c>
      <c r="W99" s="28" t="str">
        <f t="shared" si="36"/>
        <v/>
      </c>
      <c r="X99" s="29" t="str">
        <f t="shared" si="37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1"/>
        <v/>
      </c>
      <c r="M100" s="19" t="str">
        <f t="shared" si="38"/>
        <v/>
      </c>
      <c r="N100" s="19" t="str">
        <f t="shared" si="39"/>
        <v/>
      </c>
      <c r="O100" s="19" t="str">
        <f t="shared" si="23"/>
        <v/>
      </c>
      <c r="P100" s="19" t="str">
        <f t="shared" si="24"/>
        <v/>
      </c>
      <c r="Q100" s="19" t="str">
        <f t="shared" si="25"/>
        <v/>
      </c>
      <c r="R100" s="19" t="str">
        <f t="shared" si="40"/>
        <v/>
      </c>
      <c r="S100" s="27" t="str">
        <f t="shared" si="32"/>
        <v/>
      </c>
      <c r="T100" s="28" t="str">
        <f t="shared" si="33"/>
        <v/>
      </c>
      <c r="U100" s="28" t="str">
        <f t="shared" si="34"/>
        <v/>
      </c>
      <c r="V100" s="28" t="str">
        <f t="shared" si="35"/>
        <v/>
      </c>
      <c r="W100" s="28" t="str">
        <f t="shared" si="36"/>
        <v/>
      </c>
      <c r="X100" s="29" t="str">
        <f t="shared" si="37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1"/>
        <v/>
      </c>
      <c r="M101" s="19" t="str">
        <f t="shared" si="38"/>
        <v/>
      </c>
      <c r="N101" s="19" t="str">
        <f t="shared" si="39"/>
        <v/>
      </c>
      <c r="O101" s="19" t="str">
        <f t="shared" si="23"/>
        <v/>
      </c>
      <c r="P101" s="19" t="str">
        <f t="shared" si="24"/>
        <v/>
      </c>
      <c r="Q101" s="19" t="str">
        <f t="shared" si="25"/>
        <v/>
      </c>
      <c r="R101" s="19" t="str">
        <f t="shared" si="40"/>
        <v/>
      </c>
      <c r="S101" s="27" t="str">
        <f t="shared" si="32"/>
        <v/>
      </c>
      <c r="T101" s="28" t="str">
        <f t="shared" si="33"/>
        <v/>
      </c>
      <c r="U101" s="28" t="str">
        <f t="shared" si="34"/>
        <v/>
      </c>
      <c r="V101" s="28" t="str">
        <f t="shared" si="35"/>
        <v/>
      </c>
      <c r="W101" s="28" t="str">
        <f t="shared" si="36"/>
        <v/>
      </c>
      <c r="X101" s="29" t="str">
        <f t="shared" si="37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1"/>
        <v/>
      </c>
      <c r="M102" s="19" t="str">
        <f t="shared" si="38"/>
        <v/>
      </c>
      <c r="N102" s="19" t="str">
        <f t="shared" si="39"/>
        <v/>
      </c>
      <c r="O102" s="19" t="str">
        <f t="shared" si="23"/>
        <v/>
      </c>
      <c r="P102" s="19" t="str">
        <f t="shared" si="24"/>
        <v/>
      </c>
      <c r="Q102" s="19" t="str">
        <f t="shared" si="25"/>
        <v/>
      </c>
      <c r="R102" s="19" t="str">
        <f t="shared" si="40"/>
        <v/>
      </c>
      <c r="S102" s="27" t="str">
        <f t="shared" si="32"/>
        <v/>
      </c>
      <c r="T102" s="28" t="str">
        <f t="shared" si="33"/>
        <v/>
      </c>
      <c r="U102" s="28" t="str">
        <f t="shared" si="34"/>
        <v/>
      </c>
      <c r="V102" s="28" t="str">
        <f t="shared" si="35"/>
        <v/>
      </c>
      <c r="W102" s="28" t="str">
        <f t="shared" si="36"/>
        <v/>
      </c>
      <c r="X102" s="29" t="str">
        <f t="shared" si="37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1"/>
        <v/>
      </c>
      <c r="M103" s="19" t="str">
        <f t="shared" si="38"/>
        <v/>
      </c>
      <c r="N103" s="19" t="str">
        <f t="shared" si="39"/>
        <v/>
      </c>
      <c r="O103" s="19" t="str">
        <f t="shared" si="23"/>
        <v/>
      </c>
      <c r="P103" s="19" t="str">
        <f t="shared" si="24"/>
        <v/>
      </c>
      <c r="Q103" s="19" t="str">
        <f t="shared" si="25"/>
        <v/>
      </c>
      <c r="R103" s="19" t="str">
        <f t="shared" si="40"/>
        <v/>
      </c>
      <c r="S103" s="27" t="str">
        <f t="shared" si="32"/>
        <v/>
      </c>
      <c r="T103" s="28" t="str">
        <f t="shared" si="33"/>
        <v/>
      </c>
      <c r="U103" s="28" t="str">
        <f t="shared" si="34"/>
        <v/>
      </c>
      <c r="V103" s="28" t="str">
        <f t="shared" si="35"/>
        <v/>
      </c>
      <c r="W103" s="28" t="str">
        <f t="shared" si="36"/>
        <v/>
      </c>
      <c r="X103" s="29" t="str">
        <f t="shared" si="37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1"/>
        <v/>
      </c>
      <c r="M104" s="19" t="str">
        <f t="shared" si="38"/>
        <v/>
      </c>
      <c r="N104" s="19" t="str">
        <f t="shared" si="39"/>
        <v/>
      </c>
      <c r="O104" s="19" t="str">
        <f t="shared" si="23"/>
        <v/>
      </c>
      <c r="P104" s="19" t="str">
        <f t="shared" si="24"/>
        <v/>
      </c>
      <c r="Q104" s="19" t="str">
        <f t="shared" si="25"/>
        <v/>
      </c>
      <c r="R104" s="19" t="str">
        <f t="shared" si="40"/>
        <v/>
      </c>
      <c r="S104" s="27" t="str">
        <f t="shared" si="32"/>
        <v/>
      </c>
      <c r="T104" s="28" t="str">
        <f t="shared" si="33"/>
        <v/>
      </c>
      <c r="U104" s="28" t="str">
        <f t="shared" si="34"/>
        <v/>
      </c>
      <c r="V104" s="28" t="str">
        <f t="shared" si="35"/>
        <v/>
      </c>
      <c r="W104" s="28" t="str">
        <f t="shared" si="36"/>
        <v/>
      </c>
      <c r="X104" s="29" t="str">
        <f t="shared" si="37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1"/>
        <v/>
      </c>
      <c r="M105" s="19" t="str">
        <f t="shared" si="38"/>
        <v/>
      </c>
      <c r="N105" s="19" t="str">
        <f t="shared" si="39"/>
        <v/>
      </c>
      <c r="O105" s="19" t="str">
        <f t="shared" si="23"/>
        <v/>
      </c>
      <c r="P105" s="19" t="str">
        <f t="shared" si="24"/>
        <v/>
      </c>
      <c r="Q105" s="19" t="str">
        <f t="shared" si="25"/>
        <v/>
      </c>
      <c r="R105" s="19" t="str">
        <f t="shared" si="40"/>
        <v/>
      </c>
      <c r="S105" s="27" t="str">
        <f t="shared" si="32"/>
        <v/>
      </c>
      <c r="T105" s="28" t="str">
        <f t="shared" si="33"/>
        <v/>
      </c>
      <c r="U105" s="28" t="str">
        <f t="shared" si="34"/>
        <v/>
      </c>
      <c r="V105" s="28" t="str">
        <f t="shared" si="35"/>
        <v/>
      </c>
      <c r="W105" s="28" t="str">
        <f t="shared" si="36"/>
        <v/>
      </c>
      <c r="X105" s="29" t="str">
        <f t="shared" si="37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1"/>
        <v/>
      </c>
      <c r="M106" s="19" t="str">
        <f t="shared" si="38"/>
        <v/>
      </c>
      <c r="N106" s="19" t="str">
        <f t="shared" si="39"/>
        <v/>
      </c>
      <c r="O106" s="19" t="str">
        <f t="shared" si="23"/>
        <v/>
      </c>
      <c r="P106" s="19" t="str">
        <f t="shared" si="24"/>
        <v/>
      </c>
      <c r="Q106" s="19" t="str">
        <f t="shared" si="25"/>
        <v/>
      </c>
      <c r="R106" s="19" t="str">
        <f t="shared" si="40"/>
        <v/>
      </c>
      <c r="S106" s="27" t="str">
        <f t="shared" si="32"/>
        <v/>
      </c>
      <c r="T106" s="28" t="str">
        <f t="shared" si="33"/>
        <v/>
      </c>
      <c r="U106" s="28" t="str">
        <f t="shared" si="34"/>
        <v/>
      </c>
      <c r="V106" s="28" t="str">
        <f t="shared" si="35"/>
        <v/>
      </c>
      <c r="W106" s="28" t="str">
        <f t="shared" si="36"/>
        <v/>
      </c>
      <c r="X106" s="29" t="str">
        <f t="shared" si="37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1"/>
        <v/>
      </c>
      <c r="M107" s="19" t="str">
        <f t="shared" si="38"/>
        <v/>
      </c>
      <c r="N107" s="19" t="str">
        <f t="shared" si="39"/>
        <v/>
      </c>
      <c r="O107" s="19" t="str">
        <f t="shared" si="23"/>
        <v/>
      </c>
      <c r="P107" s="19" t="str">
        <f t="shared" si="24"/>
        <v/>
      </c>
      <c r="Q107" s="19" t="str">
        <f t="shared" si="25"/>
        <v/>
      </c>
      <c r="R107" s="19" t="str">
        <f t="shared" si="40"/>
        <v/>
      </c>
      <c r="S107" s="27" t="str">
        <f t="shared" si="32"/>
        <v/>
      </c>
      <c r="T107" s="28" t="str">
        <f t="shared" si="33"/>
        <v/>
      </c>
      <c r="U107" s="28" t="str">
        <f t="shared" si="34"/>
        <v/>
      </c>
      <c r="V107" s="28" t="str">
        <f t="shared" si="35"/>
        <v/>
      </c>
      <c r="W107" s="28" t="str">
        <f t="shared" si="36"/>
        <v/>
      </c>
      <c r="X107" s="29" t="str">
        <f t="shared" si="37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1"/>
        <v/>
      </c>
      <c r="M108" s="19" t="str">
        <f t="shared" si="38"/>
        <v/>
      </c>
      <c r="N108" s="19" t="str">
        <f t="shared" si="39"/>
        <v/>
      </c>
      <c r="O108" s="19" t="str">
        <f t="shared" si="23"/>
        <v/>
      </c>
      <c r="P108" s="19" t="str">
        <f t="shared" si="24"/>
        <v/>
      </c>
      <c r="Q108" s="19" t="str">
        <f t="shared" si="25"/>
        <v/>
      </c>
      <c r="R108" s="19" t="str">
        <f t="shared" si="40"/>
        <v/>
      </c>
      <c r="S108" s="27" t="str">
        <f t="shared" si="32"/>
        <v/>
      </c>
      <c r="T108" s="28" t="str">
        <f t="shared" si="33"/>
        <v/>
      </c>
      <c r="U108" s="28" t="str">
        <f t="shared" si="34"/>
        <v/>
      </c>
      <c r="V108" s="28" t="str">
        <f t="shared" si="35"/>
        <v/>
      </c>
      <c r="W108" s="28" t="str">
        <f t="shared" si="36"/>
        <v/>
      </c>
      <c r="X108" s="29" t="str">
        <f t="shared" si="37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1"/>
        <v/>
      </c>
      <c r="M109" s="19" t="str">
        <f t="shared" si="38"/>
        <v/>
      </c>
      <c r="N109" s="19" t="str">
        <f t="shared" si="39"/>
        <v/>
      </c>
      <c r="O109" s="19" t="str">
        <f t="shared" si="23"/>
        <v/>
      </c>
      <c r="P109" s="19" t="str">
        <f t="shared" si="24"/>
        <v/>
      </c>
      <c r="Q109" s="19" t="str">
        <f t="shared" si="25"/>
        <v/>
      </c>
      <c r="R109" s="19" t="str">
        <f t="shared" si="40"/>
        <v/>
      </c>
      <c r="S109" s="27" t="str">
        <f t="shared" si="32"/>
        <v/>
      </c>
      <c r="T109" s="28" t="str">
        <f t="shared" si="33"/>
        <v/>
      </c>
      <c r="U109" s="28" t="str">
        <f t="shared" si="34"/>
        <v/>
      </c>
      <c r="V109" s="28" t="str">
        <f t="shared" si="35"/>
        <v/>
      </c>
      <c r="W109" s="28" t="str">
        <f t="shared" si="36"/>
        <v/>
      </c>
      <c r="X109" s="29" t="str">
        <f t="shared" si="37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1"/>
        <v/>
      </c>
      <c r="M110" s="19" t="str">
        <f t="shared" si="38"/>
        <v/>
      </c>
      <c r="N110" s="19" t="str">
        <f t="shared" si="39"/>
        <v/>
      </c>
      <c r="O110" s="19" t="str">
        <f t="shared" si="23"/>
        <v/>
      </c>
      <c r="P110" s="19" t="str">
        <f t="shared" si="24"/>
        <v/>
      </c>
      <c r="Q110" s="19" t="str">
        <f t="shared" si="25"/>
        <v/>
      </c>
      <c r="R110" s="19" t="str">
        <f t="shared" si="40"/>
        <v/>
      </c>
      <c r="S110" s="27" t="str">
        <f t="shared" si="32"/>
        <v/>
      </c>
      <c r="T110" s="28" t="str">
        <f t="shared" si="33"/>
        <v/>
      </c>
      <c r="U110" s="28" t="str">
        <f t="shared" si="34"/>
        <v/>
      </c>
      <c r="V110" s="28" t="str">
        <f t="shared" si="35"/>
        <v/>
      </c>
      <c r="W110" s="28" t="str">
        <f t="shared" si="36"/>
        <v/>
      </c>
      <c r="X110" s="29" t="str">
        <f t="shared" si="37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1"/>
        <v/>
      </c>
      <c r="M111" s="19" t="str">
        <f t="shared" si="38"/>
        <v/>
      </c>
      <c r="N111" s="19" t="str">
        <f t="shared" si="39"/>
        <v/>
      </c>
      <c r="O111" s="19" t="str">
        <f t="shared" si="23"/>
        <v/>
      </c>
      <c r="P111" s="19" t="str">
        <f t="shared" si="24"/>
        <v/>
      </c>
      <c r="Q111" s="19" t="str">
        <f t="shared" si="25"/>
        <v/>
      </c>
      <c r="R111" s="19" t="str">
        <f t="shared" si="40"/>
        <v/>
      </c>
      <c r="S111" s="27" t="str">
        <f t="shared" si="32"/>
        <v/>
      </c>
      <c r="T111" s="28" t="str">
        <f t="shared" si="33"/>
        <v/>
      </c>
      <c r="U111" s="28" t="str">
        <f t="shared" si="34"/>
        <v/>
      </c>
      <c r="V111" s="28" t="str">
        <f t="shared" si="35"/>
        <v/>
      </c>
      <c r="W111" s="28" t="str">
        <f t="shared" si="36"/>
        <v/>
      </c>
      <c r="X111" s="29" t="str">
        <f t="shared" si="37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ref="L112:L143" si="41">IF(ISBLANK(C112),"",(C112-C$16)*1000)</f>
        <v/>
      </c>
      <c r="M112" s="19" t="str">
        <f t="shared" si="38"/>
        <v/>
      </c>
      <c r="N112" s="19" t="str">
        <f t="shared" si="39"/>
        <v/>
      </c>
      <c r="O112" s="19" t="str">
        <f t="shared" si="23"/>
        <v/>
      </c>
      <c r="P112" s="19" t="str">
        <f t="shared" si="24"/>
        <v/>
      </c>
      <c r="Q112" s="19" t="str">
        <f t="shared" si="25"/>
        <v/>
      </c>
      <c r="R112" s="19" t="str">
        <f t="shared" si="40"/>
        <v/>
      </c>
      <c r="S112" s="27" t="str">
        <f t="shared" si="32"/>
        <v/>
      </c>
      <c r="T112" s="28" t="str">
        <f t="shared" si="33"/>
        <v/>
      </c>
      <c r="U112" s="28" t="str">
        <f t="shared" si="34"/>
        <v/>
      </c>
      <c r="V112" s="28" t="str">
        <f t="shared" si="35"/>
        <v/>
      </c>
      <c r="W112" s="28" t="str">
        <f t="shared" si="36"/>
        <v/>
      </c>
      <c r="X112" s="29" t="str">
        <f t="shared" si="37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41"/>
        <v/>
      </c>
      <c r="M113" s="19" t="str">
        <f t="shared" si="38"/>
        <v/>
      </c>
      <c r="N113" s="19" t="str">
        <f t="shared" si="39"/>
        <v/>
      </c>
      <c r="O113" s="19" t="str">
        <f t="shared" si="23"/>
        <v/>
      </c>
      <c r="P113" s="19" t="str">
        <f t="shared" si="24"/>
        <v/>
      </c>
      <c r="Q113" s="19" t="str">
        <f t="shared" si="25"/>
        <v/>
      </c>
      <c r="R113" s="19" t="str">
        <f t="shared" si="40"/>
        <v/>
      </c>
      <c r="S113" s="27" t="str">
        <f t="shared" ref="S113:S144" si="42">IF(C113="","",((C113-C112)*1000)/($B113-$B112))</f>
        <v/>
      </c>
      <c r="T113" s="28" t="str">
        <f t="shared" ref="T113:T144" si="43">IF(D113="","",((D113-D112)*1000)/($B113-$B112))</f>
        <v/>
      </c>
      <c r="U113" s="28" t="str">
        <f t="shared" ref="U113:U144" si="44">IF(E113="","",((E113-E112)*1000)/($B113-$B112))</f>
        <v/>
      </c>
      <c r="V113" s="28" t="str">
        <f t="shared" ref="V113:V144" si="45">IF(F113="","",((F113-F112)*1000)/($B113-$B112))</f>
        <v/>
      </c>
      <c r="W113" s="28" t="str">
        <f t="shared" ref="W113:W144" si="46">IF(G113="","",((G113-G112)*1000)/($B113-$B112))</f>
        <v/>
      </c>
      <c r="X113" s="29" t="str">
        <f t="shared" ref="X113:X144" si="47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41"/>
        <v/>
      </c>
      <c r="M114" s="19" t="str">
        <f t="shared" si="38"/>
        <v/>
      </c>
      <c r="N114" s="19" t="str">
        <f t="shared" si="39"/>
        <v/>
      </c>
      <c r="O114" s="19" t="str">
        <f t="shared" ref="O114:O153" si="48">IF(ISBLANK(F114),"",((F114-F$49)*1000)+L$49)</f>
        <v/>
      </c>
      <c r="P114" s="19" t="str">
        <f t="shared" ref="P114:P153" si="49">IF(ISBLANK(G114),"",((G114-G$49)*1000)+M$49)</f>
        <v/>
      </c>
      <c r="Q114" s="19" t="str">
        <f t="shared" ref="Q114:Q153" si="50">IF(ISBLANK(H114),"",((H114-H$49)*1000)+N$49)</f>
        <v/>
      </c>
      <c r="R114" s="19" t="str">
        <f t="shared" si="40"/>
        <v/>
      </c>
      <c r="S114" s="27" t="str">
        <f t="shared" si="42"/>
        <v/>
      </c>
      <c r="T114" s="28" t="str">
        <f t="shared" si="43"/>
        <v/>
      </c>
      <c r="U114" s="28" t="str">
        <f t="shared" si="44"/>
        <v/>
      </c>
      <c r="V114" s="28" t="str">
        <f t="shared" si="45"/>
        <v/>
      </c>
      <c r="W114" s="28" t="str">
        <f t="shared" si="46"/>
        <v/>
      </c>
      <c r="X114" s="29" t="str">
        <f t="shared" si="4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41"/>
        <v/>
      </c>
      <c r="M115" s="19" t="str">
        <f t="shared" si="38"/>
        <v/>
      </c>
      <c r="N115" s="19" t="str">
        <f t="shared" si="39"/>
        <v/>
      </c>
      <c r="O115" s="19" t="str">
        <f t="shared" si="48"/>
        <v/>
      </c>
      <c r="P115" s="19" t="str">
        <f t="shared" si="49"/>
        <v/>
      </c>
      <c r="Q115" s="19" t="str">
        <f t="shared" si="50"/>
        <v/>
      </c>
      <c r="R115" s="19" t="str">
        <f t="shared" si="40"/>
        <v/>
      </c>
      <c r="S115" s="27" t="str">
        <f t="shared" si="42"/>
        <v/>
      </c>
      <c r="T115" s="28" t="str">
        <f t="shared" si="43"/>
        <v/>
      </c>
      <c r="U115" s="28" t="str">
        <f t="shared" si="44"/>
        <v/>
      </c>
      <c r="V115" s="28" t="str">
        <f t="shared" si="45"/>
        <v/>
      </c>
      <c r="W115" s="28" t="str">
        <f t="shared" si="46"/>
        <v/>
      </c>
      <c r="X115" s="29" t="str">
        <f t="shared" si="4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41"/>
        <v/>
      </c>
      <c r="M116" s="19" t="str">
        <f t="shared" si="38"/>
        <v/>
      </c>
      <c r="N116" s="19" t="str">
        <f t="shared" si="39"/>
        <v/>
      </c>
      <c r="O116" s="19" t="str">
        <f t="shared" si="48"/>
        <v/>
      </c>
      <c r="P116" s="19" t="str">
        <f t="shared" si="49"/>
        <v/>
      </c>
      <c r="Q116" s="19" t="str">
        <f t="shared" si="50"/>
        <v/>
      </c>
      <c r="R116" s="19" t="str">
        <f t="shared" si="40"/>
        <v/>
      </c>
      <c r="S116" s="27" t="str">
        <f t="shared" si="42"/>
        <v/>
      </c>
      <c r="T116" s="28" t="str">
        <f t="shared" si="43"/>
        <v/>
      </c>
      <c r="U116" s="28" t="str">
        <f t="shared" si="44"/>
        <v/>
      </c>
      <c r="V116" s="28" t="str">
        <f t="shared" si="45"/>
        <v/>
      </c>
      <c r="W116" s="28" t="str">
        <f t="shared" si="46"/>
        <v/>
      </c>
      <c r="X116" s="29" t="str">
        <f t="shared" si="4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41"/>
        <v/>
      </c>
      <c r="M117" s="19" t="str">
        <f t="shared" si="38"/>
        <v/>
      </c>
      <c r="N117" s="19" t="str">
        <f t="shared" si="39"/>
        <v/>
      </c>
      <c r="O117" s="19" t="str">
        <f t="shared" si="48"/>
        <v/>
      </c>
      <c r="P117" s="19" t="str">
        <f t="shared" si="49"/>
        <v/>
      </c>
      <c r="Q117" s="19" t="str">
        <f t="shared" si="50"/>
        <v/>
      </c>
      <c r="R117" s="19" t="str">
        <f t="shared" si="40"/>
        <v/>
      </c>
      <c r="S117" s="27" t="str">
        <f t="shared" si="42"/>
        <v/>
      </c>
      <c r="T117" s="28" t="str">
        <f t="shared" si="43"/>
        <v/>
      </c>
      <c r="U117" s="28" t="str">
        <f t="shared" si="44"/>
        <v/>
      </c>
      <c r="V117" s="28" t="str">
        <f t="shared" si="45"/>
        <v/>
      </c>
      <c r="W117" s="28" t="str">
        <f t="shared" si="46"/>
        <v/>
      </c>
      <c r="X117" s="29" t="str">
        <f t="shared" si="4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41"/>
        <v/>
      </c>
      <c r="M118" s="19" t="str">
        <f t="shared" si="38"/>
        <v/>
      </c>
      <c r="N118" s="19" t="str">
        <f t="shared" si="39"/>
        <v/>
      </c>
      <c r="O118" s="19" t="str">
        <f t="shared" si="48"/>
        <v/>
      </c>
      <c r="P118" s="19" t="str">
        <f t="shared" si="49"/>
        <v/>
      </c>
      <c r="Q118" s="19" t="str">
        <f t="shared" si="50"/>
        <v/>
      </c>
      <c r="R118" s="19" t="str">
        <f t="shared" si="40"/>
        <v/>
      </c>
      <c r="S118" s="27" t="str">
        <f t="shared" si="42"/>
        <v/>
      </c>
      <c r="T118" s="28" t="str">
        <f t="shared" si="43"/>
        <v/>
      </c>
      <c r="U118" s="28" t="str">
        <f t="shared" si="44"/>
        <v/>
      </c>
      <c r="V118" s="28" t="str">
        <f t="shared" si="45"/>
        <v/>
      </c>
      <c r="W118" s="28" t="str">
        <f t="shared" si="46"/>
        <v/>
      </c>
      <c r="X118" s="29" t="str">
        <f t="shared" si="4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41"/>
        <v/>
      </c>
      <c r="M119" s="19" t="str">
        <f t="shared" si="38"/>
        <v/>
      </c>
      <c r="N119" s="19" t="str">
        <f t="shared" si="39"/>
        <v/>
      </c>
      <c r="O119" s="19" t="str">
        <f t="shared" si="48"/>
        <v/>
      </c>
      <c r="P119" s="19" t="str">
        <f t="shared" si="49"/>
        <v/>
      </c>
      <c r="Q119" s="19" t="str">
        <f t="shared" si="50"/>
        <v/>
      </c>
      <c r="R119" s="19" t="str">
        <f t="shared" si="40"/>
        <v/>
      </c>
      <c r="S119" s="27" t="str">
        <f t="shared" si="42"/>
        <v/>
      </c>
      <c r="T119" s="28" t="str">
        <f t="shared" si="43"/>
        <v/>
      </c>
      <c r="U119" s="28" t="str">
        <f t="shared" si="44"/>
        <v/>
      </c>
      <c r="V119" s="28" t="str">
        <f t="shared" si="45"/>
        <v/>
      </c>
      <c r="W119" s="28" t="str">
        <f t="shared" si="46"/>
        <v/>
      </c>
      <c r="X119" s="29" t="str">
        <f t="shared" si="4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41"/>
        <v/>
      </c>
      <c r="M120" s="19" t="str">
        <f t="shared" si="38"/>
        <v/>
      </c>
      <c r="N120" s="19" t="str">
        <f t="shared" si="39"/>
        <v/>
      </c>
      <c r="O120" s="19" t="str">
        <f t="shared" si="48"/>
        <v/>
      </c>
      <c r="P120" s="19" t="str">
        <f t="shared" si="49"/>
        <v/>
      </c>
      <c r="Q120" s="19" t="str">
        <f t="shared" si="50"/>
        <v/>
      </c>
      <c r="R120" s="19" t="str">
        <f t="shared" si="40"/>
        <v/>
      </c>
      <c r="S120" s="27" t="str">
        <f t="shared" si="42"/>
        <v/>
      </c>
      <c r="T120" s="28" t="str">
        <f t="shared" si="43"/>
        <v/>
      </c>
      <c r="U120" s="28" t="str">
        <f t="shared" si="44"/>
        <v/>
      </c>
      <c r="V120" s="28" t="str">
        <f t="shared" si="45"/>
        <v/>
      </c>
      <c r="W120" s="28" t="str">
        <f t="shared" si="46"/>
        <v/>
      </c>
      <c r="X120" s="29" t="str">
        <f t="shared" si="4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41"/>
        <v/>
      </c>
      <c r="M121" s="19" t="str">
        <f t="shared" si="38"/>
        <v/>
      </c>
      <c r="N121" s="19" t="str">
        <f t="shared" si="39"/>
        <v/>
      </c>
      <c r="O121" s="19" t="str">
        <f t="shared" si="48"/>
        <v/>
      </c>
      <c r="P121" s="19" t="str">
        <f t="shared" si="49"/>
        <v/>
      </c>
      <c r="Q121" s="19" t="str">
        <f t="shared" si="50"/>
        <v/>
      </c>
      <c r="R121" s="19" t="str">
        <f t="shared" si="40"/>
        <v/>
      </c>
      <c r="S121" s="27" t="str">
        <f t="shared" si="42"/>
        <v/>
      </c>
      <c r="T121" s="28" t="str">
        <f t="shared" si="43"/>
        <v/>
      </c>
      <c r="U121" s="28" t="str">
        <f t="shared" si="44"/>
        <v/>
      </c>
      <c r="V121" s="28" t="str">
        <f t="shared" si="45"/>
        <v/>
      </c>
      <c r="W121" s="28" t="str">
        <f t="shared" si="46"/>
        <v/>
      </c>
      <c r="X121" s="29" t="str">
        <f t="shared" si="4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41"/>
        <v/>
      </c>
      <c r="M122" s="19" t="str">
        <f t="shared" si="38"/>
        <v/>
      </c>
      <c r="N122" s="19" t="str">
        <f t="shared" si="39"/>
        <v/>
      </c>
      <c r="O122" s="19" t="str">
        <f t="shared" si="48"/>
        <v/>
      </c>
      <c r="P122" s="19" t="str">
        <f t="shared" si="49"/>
        <v/>
      </c>
      <c r="Q122" s="19" t="str">
        <f t="shared" si="50"/>
        <v/>
      </c>
      <c r="R122" s="19" t="str">
        <f t="shared" si="40"/>
        <v/>
      </c>
      <c r="S122" s="27" t="str">
        <f t="shared" si="42"/>
        <v/>
      </c>
      <c r="T122" s="28" t="str">
        <f t="shared" si="43"/>
        <v/>
      </c>
      <c r="U122" s="28" t="str">
        <f t="shared" si="44"/>
        <v/>
      </c>
      <c r="V122" s="28" t="str">
        <f t="shared" si="45"/>
        <v/>
      </c>
      <c r="W122" s="28" t="str">
        <f t="shared" si="46"/>
        <v/>
      </c>
      <c r="X122" s="29" t="str">
        <f t="shared" si="4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41"/>
        <v/>
      </c>
      <c r="M123" s="19" t="str">
        <f t="shared" si="38"/>
        <v/>
      </c>
      <c r="N123" s="19" t="str">
        <f t="shared" si="39"/>
        <v/>
      </c>
      <c r="O123" s="19" t="str">
        <f t="shared" si="48"/>
        <v/>
      </c>
      <c r="P123" s="19" t="str">
        <f t="shared" si="49"/>
        <v/>
      </c>
      <c r="Q123" s="19" t="str">
        <f t="shared" si="50"/>
        <v/>
      </c>
      <c r="R123" s="19" t="str">
        <f t="shared" si="40"/>
        <v/>
      </c>
      <c r="S123" s="27" t="str">
        <f t="shared" si="42"/>
        <v/>
      </c>
      <c r="T123" s="28" t="str">
        <f t="shared" si="43"/>
        <v/>
      </c>
      <c r="U123" s="28" t="str">
        <f t="shared" si="44"/>
        <v/>
      </c>
      <c r="V123" s="28" t="str">
        <f t="shared" si="45"/>
        <v/>
      </c>
      <c r="W123" s="28" t="str">
        <f t="shared" si="46"/>
        <v/>
      </c>
      <c r="X123" s="29" t="str">
        <f t="shared" si="4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41"/>
        <v/>
      </c>
      <c r="M124" s="19" t="str">
        <f t="shared" si="38"/>
        <v/>
      </c>
      <c r="N124" s="19" t="str">
        <f t="shared" si="39"/>
        <v/>
      </c>
      <c r="O124" s="19" t="str">
        <f t="shared" si="48"/>
        <v/>
      </c>
      <c r="P124" s="19" t="str">
        <f t="shared" si="49"/>
        <v/>
      </c>
      <c r="Q124" s="19" t="str">
        <f t="shared" si="50"/>
        <v/>
      </c>
      <c r="R124" s="19" t="str">
        <f t="shared" si="40"/>
        <v/>
      </c>
      <c r="S124" s="27" t="str">
        <f t="shared" si="42"/>
        <v/>
      </c>
      <c r="T124" s="28" t="str">
        <f t="shared" si="43"/>
        <v/>
      </c>
      <c r="U124" s="28" t="str">
        <f t="shared" si="44"/>
        <v/>
      </c>
      <c r="V124" s="28" t="str">
        <f t="shared" si="45"/>
        <v/>
      </c>
      <c r="W124" s="28" t="str">
        <f t="shared" si="46"/>
        <v/>
      </c>
      <c r="X124" s="29" t="str">
        <f t="shared" si="4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41"/>
        <v/>
      </c>
      <c r="M125" s="19" t="str">
        <f t="shared" si="38"/>
        <v/>
      </c>
      <c r="N125" s="19" t="str">
        <f t="shared" si="39"/>
        <v/>
      </c>
      <c r="O125" s="19" t="str">
        <f t="shared" si="48"/>
        <v/>
      </c>
      <c r="P125" s="19" t="str">
        <f t="shared" si="49"/>
        <v/>
      </c>
      <c r="Q125" s="19" t="str">
        <f t="shared" si="50"/>
        <v/>
      </c>
      <c r="R125" s="19" t="str">
        <f t="shared" si="40"/>
        <v/>
      </c>
      <c r="S125" s="27" t="str">
        <f t="shared" si="42"/>
        <v/>
      </c>
      <c r="T125" s="28" t="str">
        <f t="shared" si="43"/>
        <v/>
      </c>
      <c r="U125" s="28" t="str">
        <f t="shared" si="44"/>
        <v/>
      </c>
      <c r="V125" s="28" t="str">
        <f t="shared" si="45"/>
        <v/>
      </c>
      <c r="W125" s="28" t="str">
        <f t="shared" si="46"/>
        <v/>
      </c>
      <c r="X125" s="29" t="str">
        <f t="shared" si="4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41"/>
        <v/>
      </c>
      <c r="M126" s="19" t="str">
        <f t="shared" si="38"/>
        <v/>
      </c>
      <c r="N126" s="19" t="str">
        <f t="shared" si="39"/>
        <v/>
      </c>
      <c r="O126" s="19" t="str">
        <f t="shared" si="48"/>
        <v/>
      </c>
      <c r="P126" s="19" t="str">
        <f t="shared" si="49"/>
        <v/>
      </c>
      <c r="Q126" s="19" t="str">
        <f t="shared" si="50"/>
        <v/>
      </c>
      <c r="R126" s="19" t="str">
        <f t="shared" si="40"/>
        <v/>
      </c>
      <c r="S126" s="27" t="str">
        <f t="shared" si="42"/>
        <v/>
      </c>
      <c r="T126" s="28" t="str">
        <f t="shared" si="43"/>
        <v/>
      </c>
      <c r="U126" s="28" t="str">
        <f t="shared" si="44"/>
        <v/>
      </c>
      <c r="V126" s="28" t="str">
        <f t="shared" si="45"/>
        <v/>
      </c>
      <c r="W126" s="28" t="str">
        <f t="shared" si="46"/>
        <v/>
      </c>
      <c r="X126" s="29" t="str">
        <f t="shared" si="4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41"/>
        <v/>
      </c>
      <c r="M127" s="19" t="str">
        <f t="shared" si="38"/>
        <v/>
      </c>
      <c r="N127" s="19" t="str">
        <f t="shared" si="39"/>
        <v/>
      </c>
      <c r="O127" s="19" t="str">
        <f t="shared" si="48"/>
        <v/>
      </c>
      <c r="P127" s="19" t="str">
        <f t="shared" si="49"/>
        <v/>
      </c>
      <c r="Q127" s="19" t="str">
        <f t="shared" si="50"/>
        <v/>
      </c>
      <c r="R127" s="19" t="str">
        <f t="shared" si="40"/>
        <v/>
      </c>
      <c r="S127" s="27" t="str">
        <f t="shared" si="42"/>
        <v/>
      </c>
      <c r="T127" s="28" t="str">
        <f t="shared" si="43"/>
        <v/>
      </c>
      <c r="U127" s="28" t="str">
        <f t="shared" si="44"/>
        <v/>
      </c>
      <c r="V127" s="28" t="str">
        <f t="shared" si="45"/>
        <v/>
      </c>
      <c r="W127" s="28" t="str">
        <f t="shared" si="46"/>
        <v/>
      </c>
      <c r="X127" s="29" t="str">
        <f t="shared" si="4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41"/>
        <v/>
      </c>
      <c r="M128" s="19" t="str">
        <f t="shared" si="38"/>
        <v/>
      </c>
      <c r="N128" s="19" t="str">
        <f t="shared" si="39"/>
        <v/>
      </c>
      <c r="O128" s="19" t="str">
        <f t="shared" si="48"/>
        <v/>
      </c>
      <c r="P128" s="19" t="str">
        <f t="shared" si="49"/>
        <v/>
      </c>
      <c r="Q128" s="19" t="str">
        <f t="shared" si="50"/>
        <v/>
      </c>
      <c r="R128" s="19" t="str">
        <f t="shared" si="40"/>
        <v/>
      </c>
      <c r="S128" s="27" t="str">
        <f t="shared" si="42"/>
        <v/>
      </c>
      <c r="T128" s="28" t="str">
        <f t="shared" si="43"/>
        <v/>
      </c>
      <c r="U128" s="28" t="str">
        <f t="shared" si="44"/>
        <v/>
      </c>
      <c r="V128" s="28" t="str">
        <f t="shared" si="45"/>
        <v/>
      </c>
      <c r="W128" s="28" t="str">
        <f t="shared" si="46"/>
        <v/>
      </c>
      <c r="X128" s="29" t="str">
        <f t="shared" si="4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41"/>
        <v/>
      </c>
      <c r="M129" s="19" t="str">
        <f t="shared" si="38"/>
        <v/>
      </c>
      <c r="N129" s="19" t="str">
        <f t="shared" si="39"/>
        <v/>
      </c>
      <c r="O129" s="19" t="str">
        <f t="shared" si="48"/>
        <v/>
      </c>
      <c r="P129" s="19" t="str">
        <f t="shared" si="49"/>
        <v/>
      </c>
      <c r="Q129" s="19" t="str">
        <f t="shared" si="50"/>
        <v/>
      </c>
      <c r="R129" s="19" t="str">
        <f t="shared" si="40"/>
        <v/>
      </c>
      <c r="S129" s="27" t="str">
        <f t="shared" si="42"/>
        <v/>
      </c>
      <c r="T129" s="28" t="str">
        <f t="shared" si="43"/>
        <v/>
      </c>
      <c r="U129" s="28" t="str">
        <f t="shared" si="44"/>
        <v/>
      </c>
      <c r="V129" s="28" t="str">
        <f t="shared" si="45"/>
        <v/>
      </c>
      <c r="W129" s="28" t="str">
        <f t="shared" si="46"/>
        <v/>
      </c>
      <c r="X129" s="29" t="str">
        <f t="shared" si="47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41"/>
        <v/>
      </c>
      <c r="M130" s="19" t="str">
        <f t="shared" si="38"/>
        <v/>
      </c>
      <c r="N130" s="19" t="str">
        <f t="shared" si="39"/>
        <v/>
      </c>
      <c r="O130" s="19" t="str">
        <f t="shared" si="48"/>
        <v/>
      </c>
      <c r="P130" s="19" t="str">
        <f t="shared" si="49"/>
        <v/>
      </c>
      <c r="Q130" s="19" t="str">
        <f t="shared" si="50"/>
        <v/>
      </c>
      <c r="R130" s="19" t="str">
        <f t="shared" si="40"/>
        <v/>
      </c>
      <c r="S130" s="27" t="str">
        <f t="shared" si="42"/>
        <v/>
      </c>
      <c r="T130" s="28" t="str">
        <f t="shared" si="43"/>
        <v/>
      </c>
      <c r="U130" s="28" t="str">
        <f t="shared" si="44"/>
        <v/>
      </c>
      <c r="V130" s="28" t="str">
        <f t="shared" si="45"/>
        <v/>
      </c>
      <c r="W130" s="28" t="str">
        <f t="shared" si="46"/>
        <v/>
      </c>
      <c r="X130" s="29" t="str">
        <f t="shared" si="47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41"/>
        <v/>
      </c>
      <c r="M131" s="19" t="str">
        <f t="shared" si="38"/>
        <v/>
      </c>
      <c r="N131" s="19" t="str">
        <f t="shared" si="39"/>
        <v/>
      </c>
      <c r="O131" s="19" t="str">
        <f t="shared" si="48"/>
        <v/>
      </c>
      <c r="P131" s="19" t="str">
        <f t="shared" si="49"/>
        <v/>
      </c>
      <c r="Q131" s="19" t="str">
        <f t="shared" si="50"/>
        <v/>
      </c>
      <c r="R131" s="19" t="str">
        <f t="shared" si="40"/>
        <v/>
      </c>
      <c r="S131" s="27" t="str">
        <f t="shared" si="42"/>
        <v/>
      </c>
      <c r="T131" s="28" t="str">
        <f t="shared" si="43"/>
        <v/>
      </c>
      <c r="U131" s="28" t="str">
        <f t="shared" si="44"/>
        <v/>
      </c>
      <c r="V131" s="28" t="str">
        <f t="shared" si="45"/>
        <v/>
      </c>
      <c r="W131" s="28" t="str">
        <f t="shared" si="46"/>
        <v/>
      </c>
      <c r="X131" s="29" t="str">
        <f t="shared" si="47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41"/>
        <v/>
      </c>
      <c r="M132" s="19" t="str">
        <f t="shared" si="38"/>
        <v/>
      </c>
      <c r="N132" s="19" t="str">
        <f t="shared" si="39"/>
        <v/>
      </c>
      <c r="O132" s="19" t="str">
        <f t="shared" si="48"/>
        <v/>
      </c>
      <c r="P132" s="19" t="str">
        <f t="shared" si="49"/>
        <v/>
      </c>
      <c r="Q132" s="19" t="str">
        <f t="shared" si="50"/>
        <v/>
      </c>
      <c r="R132" s="19" t="str">
        <f t="shared" si="40"/>
        <v/>
      </c>
      <c r="S132" s="27" t="str">
        <f t="shared" si="42"/>
        <v/>
      </c>
      <c r="T132" s="28" t="str">
        <f t="shared" si="43"/>
        <v/>
      </c>
      <c r="U132" s="28" t="str">
        <f t="shared" si="44"/>
        <v/>
      </c>
      <c r="V132" s="28" t="str">
        <f t="shared" si="45"/>
        <v/>
      </c>
      <c r="W132" s="28" t="str">
        <f t="shared" si="46"/>
        <v/>
      </c>
      <c r="X132" s="29" t="str">
        <f t="shared" si="47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41"/>
        <v/>
      </c>
      <c r="M133" s="19" t="str">
        <f t="shared" si="38"/>
        <v/>
      </c>
      <c r="N133" s="19" t="str">
        <f t="shared" si="39"/>
        <v/>
      </c>
      <c r="O133" s="19" t="str">
        <f t="shared" si="48"/>
        <v/>
      </c>
      <c r="P133" s="19" t="str">
        <f t="shared" si="49"/>
        <v/>
      </c>
      <c r="Q133" s="19" t="str">
        <f t="shared" si="50"/>
        <v/>
      </c>
      <c r="R133" s="19" t="str">
        <f t="shared" si="40"/>
        <v/>
      </c>
      <c r="S133" s="27" t="str">
        <f t="shared" si="42"/>
        <v/>
      </c>
      <c r="T133" s="28" t="str">
        <f t="shared" si="43"/>
        <v/>
      </c>
      <c r="U133" s="28" t="str">
        <f t="shared" si="44"/>
        <v/>
      </c>
      <c r="V133" s="28" t="str">
        <f t="shared" si="45"/>
        <v/>
      </c>
      <c r="W133" s="28" t="str">
        <f t="shared" si="46"/>
        <v/>
      </c>
      <c r="X133" s="29" t="str">
        <f t="shared" si="47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41"/>
        <v/>
      </c>
      <c r="M134" s="19" t="str">
        <f t="shared" si="38"/>
        <v/>
      </c>
      <c r="N134" s="19" t="str">
        <f t="shared" si="39"/>
        <v/>
      </c>
      <c r="O134" s="19" t="str">
        <f t="shared" si="48"/>
        <v/>
      </c>
      <c r="P134" s="19" t="str">
        <f t="shared" si="49"/>
        <v/>
      </c>
      <c r="Q134" s="19" t="str">
        <f t="shared" si="50"/>
        <v/>
      </c>
      <c r="R134" s="19" t="str">
        <f t="shared" si="40"/>
        <v/>
      </c>
      <c r="S134" s="27" t="str">
        <f t="shared" si="42"/>
        <v/>
      </c>
      <c r="T134" s="28" t="str">
        <f t="shared" si="43"/>
        <v/>
      </c>
      <c r="U134" s="28" t="str">
        <f t="shared" si="44"/>
        <v/>
      </c>
      <c r="V134" s="28" t="str">
        <f t="shared" si="45"/>
        <v/>
      </c>
      <c r="W134" s="28" t="str">
        <f t="shared" si="46"/>
        <v/>
      </c>
      <c r="X134" s="29" t="str">
        <f t="shared" si="47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41"/>
        <v/>
      </c>
      <c r="M135" s="19" t="str">
        <f t="shared" si="38"/>
        <v/>
      </c>
      <c r="N135" s="19" t="str">
        <f t="shared" si="39"/>
        <v/>
      </c>
      <c r="O135" s="19" t="str">
        <f t="shared" si="48"/>
        <v/>
      </c>
      <c r="P135" s="19" t="str">
        <f t="shared" si="49"/>
        <v/>
      </c>
      <c r="Q135" s="19" t="str">
        <f t="shared" si="50"/>
        <v/>
      </c>
      <c r="R135" s="19" t="str">
        <f t="shared" si="40"/>
        <v/>
      </c>
      <c r="S135" s="27" t="str">
        <f t="shared" si="42"/>
        <v/>
      </c>
      <c r="T135" s="28" t="str">
        <f t="shared" si="43"/>
        <v/>
      </c>
      <c r="U135" s="28" t="str">
        <f t="shared" si="44"/>
        <v/>
      </c>
      <c r="V135" s="28" t="str">
        <f t="shared" si="45"/>
        <v/>
      </c>
      <c r="W135" s="28" t="str">
        <f t="shared" si="46"/>
        <v/>
      </c>
      <c r="X135" s="29" t="str">
        <f t="shared" si="47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41"/>
        <v/>
      </c>
      <c r="M136" s="19" t="str">
        <f t="shared" si="38"/>
        <v/>
      </c>
      <c r="N136" s="19" t="str">
        <f t="shared" si="39"/>
        <v/>
      </c>
      <c r="O136" s="19" t="str">
        <f t="shared" si="48"/>
        <v/>
      </c>
      <c r="P136" s="19" t="str">
        <f t="shared" si="49"/>
        <v/>
      </c>
      <c r="Q136" s="19" t="str">
        <f t="shared" si="50"/>
        <v/>
      </c>
      <c r="R136" s="19" t="str">
        <f t="shared" si="40"/>
        <v/>
      </c>
      <c r="S136" s="27" t="str">
        <f t="shared" si="42"/>
        <v/>
      </c>
      <c r="T136" s="28" t="str">
        <f t="shared" si="43"/>
        <v/>
      </c>
      <c r="U136" s="28" t="str">
        <f t="shared" si="44"/>
        <v/>
      </c>
      <c r="V136" s="28" t="str">
        <f t="shared" si="45"/>
        <v/>
      </c>
      <c r="W136" s="28" t="str">
        <f t="shared" si="46"/>
        <v/>
      </c>
      <c r="X136" s="29" t="str">
        <f t="shared" si="47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41"/>
        <v/>
      </c>
      <c r="M137" s="19" t="str">
        <f t="shared" si="38"/>
        <v/>
      </c>
      <c r="N137" s="19" t="str">
        <f t="shared" si="39"/>
        <v/>
      </c>
      <c r="O137" s="19" t="str">
        <f t="shared" si="48"/>
        <v/>
      </c>
      <c r="P137" s="19" t="str">
        <f t="shared" si="49"/>
        <v/>
      </c>
      <c r="Q137" s="19" t="str">
        <f t="shared" si="50"/>
        <v/>
      </c>
      <c r="R137" s="19" t="str">
        <f t="shared" si="40"/>
        <v/>
      </c>
      <c r="S137" s="27" t="str">
        <f t="shared" si="42"/>
        <v/>
      </c>
      <c r="T137" s="28" t="str">
        <f t="shared" si="43"/>
        <v/>
      </c>
      <c r="U137" s="28" t="str">
        <f t="shared" si="44"/>
        <v/>
      </c>
      <c r="V137" s="28" t="str">
        <f t="shared" si="45"/>
        <v/>
      </c>
      <c r="W137" s="28" t="str">
        <f t="shared" si="46"/>
        <v/>
      </c>
      <c r="X137" s="29" t="str">
        <f t="shared" si="47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41"/>
        <v/>
      </c>
      <c r="M138" s="19" t="str">
        <f t="shared" si="38"/>
        <v/>
      </c>
      <c r="N138" s="19" t="str">
        <f t="shared" si="39"/>
        <v/>
      </c>
      <c r="O138" s="19" t="str">
        <f t="shared" si="48"/>
        <v/>
      </c>
      <c r="P138" s="19" t="str">
        <f t="shared" si="49"/>
        <v/>
      </c>
      <c r="Q138" s="19" t="str">
        <f t="shared" si="50"/>
        <v/>
      </c>
      <c r="R138" s="19" t="str">
        <f t="shared" si="40"/>
        <v/>
      </c>
      <c r="S138" s="27" t="str">
        <f t="shared" si="42"/>
        <v/>
      </c>
      <c r="T138" s="28" t="str">
        <f t="shared" si="43"/>
        <v/>
      </c>
      <c r="U138" s="28" t="str">
        <f t="shared" si="44"/>
        <v/>
      </c>
      <c r="V138" s="28" t="str">
        <f t="shared" si="45"/>
        <v/>
      </c>
      <c r="W138" s="28" t="str">
        <f t="shared" si="46"/>
        <v/>
      </c>
      <c r="X138" s="29" t="str">
        <f t="shared" si="47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41"/>
        <v/>
      </c>
      <c r="M139" s="19" t="str">
        <f t="shared" si="38"/>
        <v/>
      </c>
      <c r="N139" s="19" t="str">
        <f t="shared" si="39"/>
        <v/>
      </c>
      <c r="O139" s="19" t="str">
        <f t="shared" si="48"/>
        <v/>
      </c>
      <c r="P139" s="19" t="str">
        <f t="shared" si="49"/>
        <v/>
      </c>
      <c r="Q139" s="19" t="str">
        <f t="shared" si="50"/>
        <v/>
      </c>
      <c r="R139" s="19" t="str">
        <f t="shared" si="40"/>
        <v/>
      </c>
      <c r="S139" s="27" t="str">
        <f t="shared" si="42"/>
        <v/>
      </c>
      <c r="T139" s="28" t="str">
        <f t="shared" si="43"/>
        <v/>
      </c>
      <c r="U139" s="28" t="str">
        <f t="shared" si="44"/>
        <v/>
      </c>
      <c r="V139" s="28" t="str">
        <f t="shared" si="45"/>
        <v/>
      </c>
      <c r="W139" s="28" t="str">
        <f t="shared" si="46"/>
        <v/>
      </c>
      <c r="X139" s="29" t="str">
        <f t="shared" si="47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41"/>
        <v/>
      </c>
      <c r="M140" s="19" t="str">
        <f t="shared" si="38"/>
        <v/>
      </c>
      <c r="N140" s="19" t="str">
        <f t="shared" si="39"/>
        <v/>
      </c>
      <c r="O140" s="19" t="str">
        <f t="shared" si="48"/>
        <v/>
      </c>
      <c r="P140" s="19" t="str">
        <f t="shared" si="49"/>
        <v/>
      </c>
      <c r="Q140" s="19" t="str">
        <f t="shared" si="50"/>
        <v/>
      </c>
      <c r="R140" s="19" t="str">
        <f t="shared" si="40"/>
        <v/>
      </c>
      <c r="S140" s="27" t="str">
        <f t="shared" si="42"/>
        <v/>
      </c>
      <c r="T140" s="28" t="str">
        <f t="shared" si="43"/>
        <v/>
      </c>
      <c r="U140" s="28" t="str">
        <f t="shared" si="44"/>
        <v/>
      </c>
      <c r="V140" s="28" t="str">
        <f t="shared" si="45"/>
        <v/>
      </c>
      <c r="W140" s="28" t="str">
        <f t="shared" si="46"/>
        <v/>
      </c>
      <c r="X140" s="29" t="str">
        <f t="shared" si="47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41"/>
        <v/>
      </c>
      <c r="M141" s="19" t="str">
        <f t="shared" si="38"/>
        <v/>
      </c>
      <c r="N141" s="19" t="str">
        <f t="shared" si="39"/>
        <v/>
      </c>
      <c r="O141" s="19" t="str">
        <f t="shared" si="48"/>
        <v/>
      </c>
      <c r="P141" s="19" t="str">
        <f t="shared" si="49"/>
        <v/>
      </c>
      <c r="Q141" s="19" t="str">
        <f t="shared" si="50"/>
        <v/>
      </c>
      <c r="R141" s="19" t="str">
        <f t="shared" si="40"/>
        <v/>
      </c>
      <c r="S141" s="27" t="str">
        <f t="shared" si="42"/>
        <v/>
      </c>
      <c r="T141" s="28" t="str">
        <f t="shared" si="43"/>
        <v/>
      </c>
      <c r="U141" s="28" t="str">
        <f t="shared" si="44"/>
        <v/>
      </c>
      <c r="V141" s="28" t="str">
        <f t="shared" si="45"/>
        <v/>
      </c>
      <c r="W141" s="28" t="str">
        <f t="shared" si="46"/>
        <v/>
      </c>
      <c r="X141" s="29" t="str">
        <f t="shared" si="47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41"/>
        <v/>
      </c>
      <c r="M142" s="19" t="str">
        <f t="shared" si="38"/>
        <v/>
      </c>
      <c r="N142" s="19" t="str">
        <f t="shared" si="39"/>
        <v/>
      </c>
      <c r="O142" s="19" t="str">
        <f t="shared" si="48"/>
        <v/>
      </c>
      <c r="P142" s="19" t="str">
        <f t="shared" si="49"/>
        <v/>
      </c>
      <c r="Q142" s="19" t="str">
        <f t="shared" si="50"/>
        <v/>
      </c>
      <c r="R142" s="19" t="str">
        <f t="shared" si="40"/>
        <v/>
      </c>
      <c r="S142" s="27" t="str">
        <f t="shared" si="42"/>
        <v/>
      </c>
      <c r="T142" s="28" t="str">
        <f t="shared" si="43"/>
        <v/>
      </c>
      <c r="U142" s="28" t="str">
        <f t="shared" si="44"/>
        <v/>
      </c>
      <c r="V142" s="28" t="str">
        <f t="shared" si="45"/>
        <v/>
      </c>
      <c r="W142" s="28" t="str">
        <f t="shared" si="46"/>
        <v/>
      </c>
      <c r="X142" s="29" t="str">
        <f t="shared" si="47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41"/>
        <v/>
      </c>
      <c r="M143" s="19" t="str">
        <f t="shared" si="38"/>
        <v/>
      </c>
      <c r="N143" s="19" t="str">
        <f t="shared" si="39"/>
        <v/>
      </c>
      <c r="O143" s="19" t="str">
        <f t="shared" si="48"/>
        <v/>
      </c>
      <c r="P143" s="19" t="str">
        <f t="shared" si="49"/>
        <v/>
      </c>
      <c r="Q143" s="19" t="str">
        <f t="shared" si="50"/>
        <v/>
      </c>
      <c r="R143" s="19" t="str">
        <f t="shared" si="40"/>
        <v/>
      </c>
      <c r="S143" s="27" t="str">
        <f t="shared" si="42"/>
        <v/>
      </c>
      <c r="T143" s="28" t="str">
        <f t="shared" si="43"/>
        <v/>
      </c>
      <c r="U143" s="28" t="str">
        <f t="shared" si="44"/>
        <v/>
      </c>
      <c r="V143" s="28" t="str">
        <f t="shared" si="45"/>
        <v/>
      </c>
      <c r="W143" s="28" t="str">
        <f t="shared" si="46"/>
        <v/>
      </c>
      <c r="X143" s="29" t="str">
        <f t="shared" si="47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ref="L144:L153" si="51">IF(ISBLANK(C144),"",(C144-C$16)*1000)</f>
        <v/>
      </c>
      <c r="M144" s="19" t="str">
        <f t="shared" si="38"/>
        <v/>
      </c>
      <c r="N144" s="19" t="str">
        <f t="shared" si="39"/>
        <v/>
      </c>
      <c r="O144" s="19" t="str">
        <f t="shared" si="48"/>
        <v/>
      </c>
      <c r="P144" s="19" t="str">
        <f t="shared" si="49"/>
        <v/>
      </c>
      <c r="Q144" s="19" t="str">
        <f t="shared" si="50"/>
        <v/>
      </c>
      <c r="R144" s="19" t="str">
        <f t="shared" si="40"/>
        <v/>
      </c>
      <c r="S144" s="27" t="str">
        <f t="shared" si="42"/>
        <v/>
      </c>
      <c r="T144" s="28" t="str">
        <f t="shared" si="43"/>
        <v/>
      </c>
      <c r="U144" s="28" t="str">
        <f t="shared" si="44"/>
        <v/>
      </c>
      <c r="V144" s="28" t="str">
        <f t="shared" si="45"/>
        <v/>
      </c>
      <c r="W144" s="28" t="str">
        <f t="shared" si="46"/>
        <v/>
      </c>
      <c r="X144" s="29" t="str">
        <f t="shared" si="47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1"/>
        <v/>
      </c>
      <c r="M145" s="19" t="str">
        <f t="shared" si="38"/>
        <v/>
      </c>
      <c r="N145" s="19" t="str">
        <f t="shared" si="39"/>
        <v/>
      </c>
      <c r="O145" s="19" t="str">
        <f t="shared" si="48"/>
        <v/>
      </c>
      <c r="P145" s="19" t="str">
        <f t="shared" si="49"/>
        <v/>
      </c>
      <c r="Q145" s="19" t="str">
        <f t="shared" si="50"/>
        <v/>
      </c>
      <c r="R145" s="19" t="str">
        <f t="shared" si="40"/>
        <v/>
      </c>
      <c r="S145" s="27" t="str">
        <f t="shared" ref="S145:S153" si="52">IF(C145="","",((C145-C144)*1000)/($B145-$B144))</f>
        <v/>
      </c>
      <c r="T145" s="28" t="str">
        <f t="shared" ref="T145:T153" si="53">IF(D145="","",((D145-D144)*1000)/($B145-$B144))</f>
        <v/>
      </c>
      <c r="U145" s="28" t="str">
        <f t="shared" ref="U145:U153" si="54">IF(E145="","",((E145-E144)*1000)/($B145-$B144))</f>
        <v/>
      </c>
      <c r="V145" s="28" t="str">
        <f t="shared" ref="V145:V153" si="55">IF(F145="","",((F145-F144)*1000)/($B145-$B144))</f>
        <v/>
      </c>
      <c r="W145" s="28" t="str">
        <f t="shared" ref="W145:W153" si="56">IF(G145="","",((G145-G144)*1000)/($B145-$B144))</f>
        <v/>
      </c>
      <c r="X145" s="29" t="str">
        <f t="shared" ref="X145:X153" si="57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1"/>
        <v/>
      </c>
      <c r="M146" s="19" t="str">
        <f t="shared" si="38"/>
        <v/>
      </c>
      <c r="N146" s="19" t="str">
        <f t="shared" si="39"/>
        <v/>
      </c>
      <c r="O146" s="19" t="str">
        <f t="shared" si="48"/>
        <v/>
      </c>
      <c r="P146" s="19" t="str">
        <f t="shared" si="49"/>
        <v/>
      </c>
      <c r="Q146" s="19" t="str">
        <f t="shared" si="50"/>
        <v/>
      </c>
      <c r="R146" s="19" t="str">
        <f t="shared" si="40"/>
        <v/>
      </c>
      <c r="S146" s="27" t="str">
        <f t="shared" si="52"/>
        <v/>
      </c>
      <c r="T146" s="28" t="str">
        <f t="shared" si="53"/>
        <v/>
      </c>
      <c r="U146" s="28" t="str">
        <f t="shared" si="54"/>
        <v/>
      </c>
      <c r="V146" s="28" t="str">
        <f t="shared" si="55"/>
        <v/>
      </c>
      <c r="W146" s="28" t="str">
        <f t="shared" si="56"/>
        <v/>
      </c>
      <c r="X146" s="29" t="str">
        <f t="shared" si="57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1"/>
        <v/>
      </c>
      <c r="M147" s="19" t="str">
        <f t="shared" si="38"/>
        <v/>
      </c>
      <c r="N147" s="19" t="str">
        <f t="shared" si="39"/>
        <v/>
      </c>
      <c r="O147" s="19" t="str">
        <f t="shared" si="48"/>
        <v/>
      </c>
      <c r="P147" s="19" t="str">
        <f t="shared" si="49"/>
        <v/>
      </c>
      <c r="Q147" s="19" t="str">
        <f t="shared" si="50"/>
        <v/>
      </c>
      <c r="R147" s="19" t="str">
        <f t="shared" si="40"/>
        <v/>
      </c>
      <c r="S147" s="27" t="str">
        <f t="shared" si="52"/>
        <v/>
      </c>
      <c r="T147" s="28" t="str">
        <f t="shared" si="53"/>
        <v/>
      </c>
      <c r="U147" s="28" t="str">
        <f t="shared" si="54"/>
        <v/>
      </c>
      <c r="V147" s="28" t="str">
        <f t="shared" si="55"/>
        <v/>
      </c>
      <c r="W147" s="28" t="str">
        <f t="shared" si="56"/>
        <v/>
      </c>
      <c r="X147" s="29" t="str">
        <f t="shared" si="57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1"/>
        <v/>
      </c>
      <c r="M148" s="19" t="str">
        <f t="shared" si="38"/>
        <v/>
      </c>
      <c r="N148" s="19" t="str">
        <f t="shared" si="39"/>
        <v/>
      </c>
      <c r="O148" s="19" t="str">
        <f t="shared" si="48"/>
        <v/>
      </c>
      <c r="P148" s="19" t="str">
        <f t="shared" si="49"/>
        <v/>
      </c>
      <c r="Q148" s="19" t="str">
        <f t="shared" si="50"/>
        <v/>
      </c>
      <c r="R148" s="19" t="str">
        <f t="shared" si="40"/>
        <v/>
      </c>
      <c r="S148" s="27" t="str">
        <f t="shared" si="52"/>
        <v/>
      </c>
      <c r="T148" s="28" t="str">
        <f t="shared" si="53"/>
        <v/>
      </c>
      <c r="U148" s="28" t="str">
        <f t="shared" si="54"/>
        <v/>
      </c>
      <c r="V148" s="28" t="str">
        <f t="shared" si="55"/>
        <v/>
      </c>
      <c r="W148" s="28" t="str">
        <f t="shared" si="56"/>
        <v/>
      </c>
      <c r="X148" s="29" t="str">
        <f t="shared" si="57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1"/>
        <v/>
      </c>
      <c r="M149" s="19" t="str">
        <f t="shared" si="38"/>
        <v/>
      </c>
      <c r="N149" s="19" t="str">
        <f t="shared" si="39"/>
        <v/>
      </c>
      <c r="O149" s="19" t="str">
        <f t="shared" si="48"/>
        <v/>
      </c>
      <c r="P149" s="19" t="str">
        <f t="shared" si="49"/>
        <v/>
      </c>
      <c r="Q149" s="19" t="str">
        <f t="shared" si="50"/>
        <v/>
      </c>
      <c r="R149" s="19" t="str">
        <f t="shared" si="40"/>
        <v/>
      </c>
      <c r="S149" s="27" t="str">
        <f t="shared" si="52"/>
        <v/>
      </c>
      <c r="T149" s="28" t="str">
        <f t="shared" si="53"/>
        <v/>
      </c>
      <c r="U149" s="28" t="str">
        <f t="shared" si="54"/>
        <v/>
      </c>
      <c r="V149" s="28" t="str">
        <f t="shared" si="55"/>
        <v/>
      </c>
      <c r="W149" s="28" t="str">
        <f t="shared" si="56"/>
        <v/>
      </c>
      <c r="X149" s="29" t="str">
        <f t="shared" si="57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1"/>
        <v/>
      </c>
      <c r="M150" s="19" t="str">
        <f t="shared" si="38"/>
        <v/>
      </c>
      <c r="N150" s="19" t="str">
        <f t="shared" si="39"/>
        <v/>
      </c>
      <c r="O150" s="19" t="str">
        <f t="shared" si="48"/>
        <v/>
      </c>
      <c r="P150" s="19" t="str">
        <f t="shared" si="49"/>
        <v/>
      </c>
      <c r="Q150" s="19" t="str">
        <f t="shared" si="50"/>
        <v/>
      </c>
      <c r="R150" s="19" t="str">
        <f t="shared" si="40"/>
        <v/>
      </c>
      <c r="S150" s="27" t="str">
        <f t="shared" si="52"/>
        <v/>
      </c>
      <c r="T150" s="28" t="str">
        <f t="shared" si="53"/>
        <v/>
      </c>
      <c r="U150" s="28" t="str">
        <f t="shared" si="54"/>
        <v/>
      </c>
      <c r="V150" s="28" t="str">
        <f t="shared" si="55"/>
        <v/>
      </c>
      <c r="W150" s="28" t="str">
        <f t="shared" si="56"/>
        <v/>
      </c>
      <c r="X150" s="29" t="str">
        <f t="shared" si="57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1"/>
        <v/>
      </c>
      <c r="M151" s="19" t="str">
        <f t="shared" si="38"/>
        <v/>
      </c>
      <c r="N151" s="19" t="str">
        <f t="shared" si="39"/>
        <v/>
      </c>
      <c r="O151" s="19" t="str">
        <f t="shared" si="48"/>
        <v/>
      </c>
      <c r="P151" s="19" t="str">
        <f t="shared" si="49"/>
        <v/>
      </c>
      <c r="Q151" s="19" t="str">
        <f t="shared" si="50"/>
        <v/>
      </c>
      <c r="R151" s="19" t="str">
        <f t="shared" si="40"/>
        <v/>
      </c>
      <c r="S151" s="27" t="str">
        <f t="shared" si="52"/>
        <v/>
      </c>
      <c r="T151" s="28" t="str">
        <f t="shared" si="53"/>
        <v/>
      </c>
      <c r="U151" s="28" t="str">
        <f t="shared" si="54"/>
        <v/>
      </c>
      <c r="V151" s="28" t="str">
        <f t="shared" si="55"/>
        <v/>
      </c>
      <c r="W151" s="28" t="str">
        <f t="shared" si="56"/>
        <v/>
      </c>
      <c r="X151" s="29" t="str">
        <f t="shared" si="57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1"/>
        <v/>
      </c>
      <c r="M152" s="19" t="str">
        <f t="shared" si="38"/>
        <v/>
      </c>
      <c r="N152" s="19" t="str">
        <f t="shared" si="39"/>
        <v/>
      </c>
      <c r="O152" s="19" t="str">
        <f t="shared" si="48"/>
        <v/>
      </c>
      <c r="P152" s="19" t="str">
        <f t="shared" si="49"/>
        <v/>
      </c>
      <c r="Q152" s="19" t="str">
        <f t="shared" si="50"/>
        <v/>
      </c>
      <c r="R152" s="19" t="str">
        <f t="shared" si="40"/>
        <v/>
      </c>
      <c r="S152" s="27" t="str">
        <f t="shared" si="52"/>
        <v/>
      </c>
      <c r="T152" s="28" t="str">
        <f t="shared" si="53"/>
        <v/>
      </c>
      <c r="U152" s="28" t="str">
        <f t="shared" si="54"/>
        <v/>
      </c>
      <c r="V152" s="28" t="str">
        <f t="shared" si="55"/>
        <v/>
      </c>
      <c r="W152" s="28" t="str">
        <f t="shared" si="56"/>
        <v/>
      </c>
      <c r="X152" s="29" t="str">
        <f t="shared" si="57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1"/>
        <v/>
      </c>
      <c r="M153" s="19" t="str">
        <f t="shared" si="38"/>
        <v/>
      </c>
      <c r="N153" s="19" t="str">
        <f t="shared" si="39"/>
        <v/>
      </c>
      <c r="O153" s="19" t="str">
        <f t="shared" si="48"/>
        <v/>
      </c>
      <c r="P153" s="19" t="str">
        <f t="shared" si="49"/>
        <v/>
      </c>
      <c r="Q153" s="19" t="str">
        <f t="shared" si="50"/>
        <v/>
      </c>
      <c r="R153" s="19" t="str">
        <f t="shared" si="40"/>
        <v/>
      </c>
      <c r="S153" s="27" t="str">
        <f t="shared" si="52"/>
        <v/>
      </c>
      <c r="T153" s="28" t="str">
        <f t="shared" si="53"/>
        <v/>
      </c>
      <c r="U153" s="28" t="str">
        <f t="shared" si="54"/>
        <v/>
      </c>
      <c r="V153" s="28" t="str">
        <f t="shared" si="55"/>
        <v/>
      </c>
      <c r="W153" s="28" t="str">
        <f t="shared" si="56"/>
        <v/>
      </c>
      <c r="X153" s="29" t="str">
        <f t="shared" si="57"/>
        <v/>
      </c>
      <c r="Y153" s="24"/>
    </row>
  </sheetData>
  <sheetProtection selectLockedCells="1"/>
  <mergeCells count="38">
    <mergeCell ref="W6:Y6"/>
    <mergeCell ref="AA9:AI9"/>
    <mergeCell ref="B5:D8"/>
    <mergeCell ref="E5:I5"/>
    <mergeCell ref="J5:Q5"/>
    <mergeCell ref="R5:V5"/>
    <mergeCell ref="W5:Y5"/>
    <mergeCell ref="E6:I6"/>
    <mergeCell ref="J6:Q6"/>
    <mergeCell ref="R6:V6"/>
    <mergeCell ref="E8:I8"/>
    <mergeCell ref="R7:V7"/>
    <mergeCell ref="W7:Y7"/>
    <mergeCell ref="J8:Q8"/>
    <mergeCell ref="R8:V8"/>
    <mergeCell ref="W8:Y8"/>
    <mergeCell ref="B13:B15"/>
    <mergeCell ref="C13:K13"/>
    <mergeCell ref="L13:R14"/>
    <mergeCell ref="E7:I7"/>
    <mergeCell ref="J7:Q7"/>
    <mergeCell ref="B10:J12"/>
    <mergeCell ref="K10:S12"/>
    <mergeCell ref="B9:O9"/>
    <mergeCell ref="P9:Y9"/>
    <mergeCell ref="T10:Y12"/>
    <mergeCell ref="S13:X14"/>
    <mergeCell ref="Y13:Y15"/>
    <mergeCell ref="C14:E14"/>
    <mergeCell ref="F14:H14"/>
    <mergeCell ref="I14:I15"/>
    <mergeCell ref="J14:K14"/>
    <mergeCell ref="A1:J1"/>
    <mergeCell ref="E2:Q2"/>
    <mergeCell ref="R2:X4"/>
    <mergeCell ref="Y2:Y4"/>
    <mergeCell ref="E3:Q3"/>
    <mergeCell ref="E4:Q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>
    <pageSetUpPr fitToPage="1"/>
  </sheetPr>
  <dimension ref="A1:AI153"/>
  <sheetViews>
    <sheetView showGridLines="0" zoomScale="75" zoomScaleNormal="75" zoomScaleSheetLayoutView="40" workbookViewId="0">
      <pane ySplit="8" topLeftCell="A58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TZ-10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37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41649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>
        <v>36</v>
      </c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41650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>
        <v>35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50">
        <f>J8-258</f>
        <v>90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348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13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6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6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27"/>
      <c r="C12" s="128"/>
      <c r="D12" s="128"/>
      <c r="E12" s="128"/>
      <c r="F12" s="128"/>
      <c r="G12" s="128"/>
      <c r="H12" s="128"/>
      <c r="I12" s="128"/>
      <c r="J12" s="129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4">
        <v>41652</v>
      </c>
      <c r="C16" s="35">
        <v>12.766999999999999</v>
      </c>
      <c r="D16" s="36">
        <v>7.48</v>
      </c>
      <c r="E16" s="36">
        <v>8.202</v>
      </c>
      <c r="F16" s="37"/>
      <c r="G16" s="37"/>
      <c r="H16" s="37"/>
      <c r="I16" s="38">
        <v>101.529</v>
      </c>
      <c r="J16" s="39">
        <v>353</v>
      </c>
      <c r="K16" s="18">
        <f t="shared" ref="K16:K21" si="0">IF(ISBLANK(J16),"",(J16-$J$8))</f>
        <v>5</v>
      </c>
      <c r="L16" s="19">
        <f t="shared" ref="L16:L47" si="1">IF(ISBLANK(C16),"",(C16-C$16)*1000)</f>
        <v>0</v>
      </c>
      <c r="M16" s="19">
        <f t="shared" ref="M16:M47" si="2">IF(ISBLANK(D16),"",(D16-D$16)*1000)</f>
        <v>0</v>
      </c>
      <c r="N16" s="19">
        <f t="shared" ref="N16:N47" si="3">IF(ISBLANK(E16),"",(E16-E$16)*1000)</f>
        <v>0</v>
      </c>
      <c r="O16" s="20"/>
      <c r="P16" s="20"/>
      <c r="Q16" s="20"/>
      <c r="R16" s="21">
        <f t="shared" ref="R16:R32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41653</v>
      </c>
      <c r="C17" s="25">
        <v>12.766</v>
      </c>
      <c r="D17" s="26">
        <v>7.4790000000000001</v>
      </c>
      <c r="E17" s="26">
        <v>8.202</v>
      </c>
      <c r="F17" s="16"/>
      <c r="G17" s="16"/>
      <c r="H17" s="16"/>
      <c r="I17" s="17">
        <v>101.529</v>
      </c>
      <c r="J17" s="32">
        <v>359.5</v>
      </c>
      <c r="K17" s="18">
        <f t="shared" si="0"/>
        <v>11.5</v>
      </c>
      <c r="L17" s="19">
        <f t="shared" si="1"/>
        <v>-0.99999999999944578</v>
      </c>
      <c r="M17" s="19">
        <f t="shared" si="2"/>
        <v>-1.000000000000334</v>
      </c>
      <c r="N17" s="19">
        <f t="shared" si="3"/>
        <v>0</v>
      </c>
      <c r="O17" s="19" t="str">
        <f t="shared" ref="O17:O40" si="5">IF(ISBLANK(F17),"",(F17-F$16)*1000)</f>
        <v/>
      </c>
      <c r="P17" s="19" t="str">
        <f t="shared" ref="P17:P40" si="6">IF(ISBLANK(G17),"",(G17-G$16)*1000)</f>
        <v/>
      </c>
      <c r="Q17" s="19" t="str">
        <f t="shared" ref="Q17:Q40" si="7">IF(ISBLANK(H17),"",(H17-H$16)*1000)</f>
        <v/>
      </c>
      <c r="R17" s="19">
        <f t="shared" si="4"/>
        <v>0</v>
      </c>
      <c r="S17" s="27">
        <f t="shared" ref="S17:S48" si="8">IF(C17="","",((C17-C16)*1000)/($B17-$B16))</f>
        <v>-0.99999999999944578</v>
      </c>
      <c r="T17" s="28">
        <f t="shared" ref="T17:T48" si="9">IF(D17="","",((D17-D16)*1000)/($B17-$B16))</f>
        <v>-1.000000000000334</v>
      </c>
      <c r="U17" s="28">
        <f t="shared" ref="U17:U48" si="10">IF(E17="","",((E17-E16)*1000)/($B17-$B16))</f>
        <v>0</v>
      </c>
      <c r="V17" s="28" t="str">
        <f t="shared" ref="V17:V48" si="11">IF(F17="","",((F17-F16)*1000)/($B17-$B16))</f>
        <v/>
      </c>
      <c r="W17" s="28" t="str">
        <f t="shared" ref="W17:W48" si="12">IF(G17="","",((G17-G16)*1000)/($B17-$B16))</f>
        <v/>
      </c>
      <c r="X17" s="29" t="str">
        <f t="shared" ref="X17:X48" si="13">IF(H17="","",((H17-H16)*1000)/($B17-$B16))</f>
        <v/>
      </c>
      <c r="Y17" s="30"/>
    </row>
    <row r="18" spans="2:25" ht="15" customHeight="1" x14ac:dyDescent="0.2">
      <c r="B18" s="31">
        <v>41654</v>
      </c>
      <c r="C18" s="25">
        <v>12.766999999999999</v>
      </c>
      <c r="D18" s="26">
        <v>7.4790000000000001</v>
      </c>
      <c r="E18" s="26">
        <v>8.202</v>
      </c>
      <c r="F18" s="16"/>
      <c r="G18" s="16"/>
      <c r="H18" s="16"/>
      <c r="I18" s="17">
        <v>101.529</v>
      </c>
      <c r="J18" s="32">
        <v>366</v>
      </c>
      <c r="K18" s="18">
        <f t="shared" si="0"/>
        <v>18</v>
      </c>
      <c r="L18" s="19">
        <f t="shared" si="1"/>
        <v>0</v>
      </c>
      <c r="M18" s="19">
        <f t="shared" si="2"/>
        <v>-1.000000000000334</v>
      </c>
      <c r="N18" s="19">
        <f t="shared" si="3"/>
        <v>0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4"/>
        <v>0</v>
      </c>
      <c r="S18" s="27">
        <f t="shared" si="8"/>
        <v>0.99999999999944578</v>
      </c>
      <c r="T18" s="28">
        <f t="shared" si="9"/>
        <v>0</v>
      </c>
      <c r="U18" s="28">
        <f t="shared" si="10"/>
        <v>0</v>
      </c>
      <c r="V18" s="28" t="str">
        <f t="shared" si="11"/>
        <v/>
      </c>
      <c r="W18" s="28" t="str">
        <f t="shared" si="12"/>
        <v/>
      </c>
      <c r="X18" s="29" t="str">
        <f t="shared" si="13"/>
        <v/>
      </c>
      <c r="Y18" s="24"/>
    </row>
    <row r="19" spans="2:25" ht="15" customHeight="1" x14ac:dyDescent="0.2">
      <c r="B19" s="31">
        <v>41655</v>
      </c>
      <c r="C19" s="25">
        <v>12.763999999999999</v>
      </c>
      <c r="D19" s="26">
        <v>7.4779999999999998</v>
      </c>
      <c r="E19" s="26">
        <v>8.1999999999999993</v>
      </c>
      <c r="F19" s="16"/>
      <c r="G19" s="16"/>
      <c r="H19" s="16"/>
      <c r="I19" s="17">
        <v>101.529</v>
      </c>
      <c r="J19" s="32">
        <v>373</v>
      </c>
      <c r="K19" s="18">
        <f t="shared" si="0"/>
        <v>25</v>
      </c>
      <c r="L19" s="19">
        <f t="shared" si="1"/>
        <v>-3.0000000000001137</v>
      </c>
      <c r="M19" s="19">
        <f t="shared" si="2"/>
        <v>-2.0000000000006679</v>
      </c>
      <c r="N19" s="19">
        <f t="shared" si="3"/>
        <v>-2.0000000000006679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4"/>
        <v>0</v>
      </c>
      <c r="S19" s="27">
        <f t="shared" si="8"/>
        <v>-3.0000000000001137</v>
      </c>
      <c r="T19" s="28">
        <f t="shared" si="9"/>
        <v>-1.000000000000334</v>
      </c>
      <c r="U19" s="28">
        <f t="shared" si="10"/>
        <v>-2.0000000000006679</v>
      </c>
      <c r="V19" s="28" t="str">
        <f t="shared" si="11"/>
        <v/>
      </c>
      <c r="W19" s="28" t="str">
        <f t="shared" si="12"/>
        <v/>
      </c>
      <c r="X19" s="29" t="str">
        <f t="shared" si="13"/>
        <v/>
      </c>
      <c r="Y19" s="24"/>
    </row>
    <row r="20" spans="2:25" ht="15" customHeight="1" x14ac:dyDescent="0.2">
      <c r="B20" s="31">
        <v>41656</v>
      </c>
      <c r="C20" s="25">
        <v>12.765000000000001</v>
      </c>
      <c r="D20" s="26">
        <v>7.4779999999999998</v>
      </c>
      <c r="E20" s="26">
        <v>8.2010000000000005</v>
      </c>
      <c r="F20" s="16"/>
      <c r="G20" s="16"/>
      <c r="H20" s="16"/>
      <c r="I20" s="17">
        <v>101.529</v>
      </c>
      <c r="J20" s="32">
        <v>376</v>
      </c>
      <c r="K20" s="18">
        <f t="shared" si="0"/>
        <v>28</v>
      </c>
      <c r="L20" s="19">
        <f t="shared" si="1"/>
        <v>-1.9999999999988916</v>
      </c>
      <c r="M20" s="19">
        <f t="shared" si="2"/>
        <v>-2.0000000000006679</v>
      </c>
      <c r="N20" s="19">
        <f t="shared" si="3"/>
        <v>-0.99999999999944578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4"/>
        <v>0</v>
      </c>
      <c r="S20" s="27">
        <f t="shared" si="8"/>
        <v>1.0000000000012221</v>
      </c>
      <c r="T20" s="28">
        <f t="shared" si="9"/>
        <v>0</v>
      </c>
      <c r="U20" s="28">
        <f t="shared" si="10"/>
        <v>1.0000000000012221</v>
      </c>
      <c r="V20" s="28" t="str">
        <f t="shared" si="11"/>
        <v/>
      </c>
      <c r="W20" s="28" t="str">
        <f t="shared" si="12"/>
        <v/>
      </c>
      <c r="X20" s="29" t="str">
        <f t="shared" si="13"/>
        <v/>
      </c>
      <c r="Y20" s="24"/>
    </row>
    <row r="21" spans="2:25" ht="15" customHeight="1" x14ac:dyDescent="0.2">
      <c r="B21" s="31">
        <v>41659</v>
      </c>
      <c r="C21" s="25">
        <v>12.763</v>
      </c>
      <c r="D21" s="26">
        <v>7.4779999999999998</v>
      </c>
      <c r="E21" s="26">
        <v>8.1999999999999993</v>
      </c>
      <c r="F21" s="16"/>
      <c r="G21" s="16"/>
      <c r="H21" s="16"/>
      <c r="I21" s="17">
        <v>101.529</v>
      </c>
      <c r="J21" s="32">
        <v>383</v>
      </c>
      <c r="K21" s="18">
        <f t="shared" si="0"/>
        <v>35</v>
      </c>
      <c r="L21" s="19">
        <f t="shared" si="1"/>
        <v>-3.9999999999995595</v>
      </c>
      <c r="M21" s="19">
        <f t="shared" si="2"/>
        <v>-2.0000000000006679</v>
      </c>
      <c r="N21" s="19">
        <f t="shared" si="3"/>
        <v>-2.0000000000006679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4"/>
        <v>0</v>
      </c>
      <c r="S21" s="27">
        <f t="shared" si="8"/>
        <v>-0.66666666666688934</v>
      </c>
      <c r="T21" s="28">
        <f t="shared" si="9"/>
        <v>0</v>
      </c>
      <c r="U21" s="28">
        <f t="shared" si="10"/>
        <v>-0.33333333333374071</v>
      </c>
      <c r="V21" s="28" t="str">
        <f t="shared" si="11"/>
        <v/>
      </c>
      <c r="W21" s="28" t="str">
        <f t="shared" si="12"/>
        <v/>
      </c>
      <c r="X21" s="29" t="str">
        <f t="shared" si="13"/>
        <v/>
      </c>
      <c r="Y21" s="24"/>
    </row>
    <row r="22" spans="2:25" ht="15" customHeight="1" x14ac:dyDescent="0.2">
      <c r="B22" s="31">
        <v>41660</v>
      </c>
      <c r="C22" s="25">
        <v>12.763</v>
      </c>
      <c r="D22" s="26">
        <v>7.476</v>
      </c>
      <c r="E22" s="26">
        <v>8.1980000000000004</v>
      </c>
      <c r="F22" s="16"/>
      <c r="G22" s="16"/>
      <c r="H22" s="16"/>
      <c r="I22" s="17">
        <v>101.52500000000001</v>
      </c>
      <c r="J22" s="32">
        <v>387</v>
      </c>
      <c r="K22" s="18">
        <f t="shared" ref="K22:K35" si="14">IF(ISBLANK(J22),"",(J22-$J$8))</f>
        <v>39</v>
      </c>
      <c r="L22" s="19">
        <f t="shared" si="1"/>
        <v>-3.9999999999995595</v>
      </c>
      <c r="M22" s="19">
        <f t="shared" si="2"/>
        <v>-4.0000000000004476</v>
      </c>
      <c r="N22" s="19">
        <f t="shared" si="3"/>
        <v>-3.9999999999995595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4"/>
        <v>-3.9999999999906777</v>
      </c>
      <c r="S22" s="27">
        <f t="shared" si="8"/>
        <v>0</v>
      </c>
      <c r="T22" s="28">
        <f t="shared" si="9"/>
        <v>-1.9999999999997797</v>
      </c>
      <c r="U22" s="28">
        <f t="shared" si="10"/>
        <v>-1.9999999999988916</v>
      </c>
      <c r="V22" s="28" t="str">
        <f t="shared" si="11"/>
        <v/>
      </c>
      <c r="W22" s="28" t="str">
        <f t="shared" si="12"/>
        <v/>
      </c>
      <c r="X22" s="29" t="str">
        <f t="shared" si="13"/>
        <v/>
      </c>
      <c r="Y22" s="24"/>
    </row>
    <row r="23" spans="2:25" ht="15" customHeight="1" x14ac:dyDescent="0.2">
      <c r="B23" s="31">
        <v>41661</v>
      </c>
      <c r="C23" s="25">
        <v>12.762</v>
      </c>
      <c r="D23" s="26">
        <v>7.4770000000000003</v>
      </c>
      <c r="E23" s="26">
        <v>8.1999999999999993</v>
      </c>
      <c r="F23" s="16"/>
      <c r="G23" s="16"/>
      <c r="H23" s="16"/>
      <c r="I23" s="17">
        <v>101.526</v>
      </c>
      <c r="J23" s="32">
        <v>388.5</v>
      </c>
      <c r="K23" s="18">
        <f t="shared" si="14"/>
        <v>40.5</v>
      </c>
      <c r="L23" s="19">
        <f t="shared" si="1"/>
        <v>-4.9999999999990052</v>
      </c>
      <c r="M23" s="19">
        <f t="shared" si="2"/>
        <v>-3.0000000000001137</v>
      </c>
      <c r="N23" s="19">
        <f t="shared" si="3"/>
        <v>-2.0000000000006679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4"/>
        <v>-3.0000000000001137</v>
      </c>
      <c r="S23" s="27">
        <f t="shared" si="8"/>
        <v>-0.99999999999944578</v>
      </c>
      <c r="T23" s="28">
        <f t="shared" si="9"/>
        <v>1.000000000000334</v>
      </c>
      <c r="U23" s="28">
        <f t="shared" si="10"/>
        <v>1.9999999999988916</v>
      </c>
      <c r="V23" s="28" t="str">
        <f t="shared" si="11"/>
        <v/>
      </c>
      <c r="W23" s="28" t="str">
        <f t="shared" si="12"/>
        <v/>
      </c>
      <c r="X23" s="29" t="str">
        <f t="shared" si="13"/>
        <v/>
      </c>
      <c r="Y23" s="24"/>
    </row>
    <row r="24" spans="2:25" ht="15" customHeight="1" x14ac:dyDescent="0.2">
      <c r="B24" s="31">
        <v>41662</v>
      </c>
      <c r="C24" s="25">
        <v>12.760999999999999</v>
      </c>
      <c r="D24" s="26">
        <v>7.476</v>
      </c>
      <c r="E24" s="26">
        <v>8.1999999999999993</v>
      </c>
      <c r="F24" s="16"/>
      <c r="G24" s="16"/>
      <c r="H24" s="16"/>
      <c r="I24" s="17">
        <v>101.526</v>
      </c>
      <c r="J24" s="32">
        <v>392</v>
      </c>
      <c r="K24" s="18">
        <f t="shared" si="14"/>
        <v>44</v>
      </c>
      <c r="L24" s="19">
        <f t="shared" si="1"/>
        <v>-6.0000000000002274</v>
      </c>
      <c r="M24" s="19">
        <f t="shared" si="2"/>
        <v>-4.0000000000004476</v>
      </c>
      <c r="N24" s="19">
        <f t="shared" si="3"/>
        <v>-2.0000000000006679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4"/>
        <v>-3.0000000000001137</v>
      </c>
      <c r="S24" s="27">
        <f t="shared" si="8"/>
        <v>-1.0000000000012221</v>
      </c>
      <c r="T24" s="28">
        <f t="shared" si="9"/>
        <v>-1.000000000000334</v>
      </c>
      <c r="U24" s="28">
        <f t="shared" si="10"/>
        <v>0</v>
      </c>
      <c r="V24" s="28" t="str">
        <f t="shared" si="11"/>
        <v/>
      </c>
      <c r="W24" s="28" t="str">
        <f t="shared" si="12"/>
        <v/>
      </c>
      <c r="X24" s="29" t="str">
        <f t="shared" si="13"/>
        <v/>
      </c>
      <c r="Y24" s="24"/>
    </row>
    <row r="25" spans="2:25" ht="15" customHeight="1" x14ac:dyDescent="0.2">
      <c r="B25" s="31">
        <v>41663</v>
      </c>
      <c r="C25" s="25">
        <v>12.760999999999999</v>
      </c>
      <c r="D25" s="26">
        <v>7.476</v>
      </c>
      <c r="E25" s="26">
        <v>8.1999999999999993</v>
      </c>
      <c r="F25" s="16"/>
      <c r="G25" s="16"/>
      <c r="H25" s="16"/>
      <c r="I25" s="17">
        <v>101.526</v>
      </c>
      <c r="J25" s="32">
        <v>393.5</v>
      </c>
      <c r="K25" s="18">
        <f t="shared" si="14"/>
        <v>45.5</v>
      </c>
      <c r="L25" s="19">
        <f t="shared" si="1"/>
        <v>-6.0000000000002274</v>
      </c>
      <c r="M25" s="19">
        <f t="shared" si="2"/>
        <v>-4.0000000000004476</v>
      </c>
      <c r="N25" s="19">
        <f t="shared" si="3"/>
        <v>-2.0000000000006679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4"/>
        <v>-3.0000000000001137</v>
      </c>
      <c r="S25" s="27">
        <f t="shared" si="8"/>
        <v>0</v>
      </c>
      <c r="T25" s="28">
        <f t="shared" si="9"/>
        <v>0</v>
      </c>
      <c r="U25" s="28">
        <f t="shared" si="10"/>
        <v>0</v>
      </c>
      <c r="V25" s="28" t="str">
        <f t="shared" si="11"/>
        <v/>
      </c>
      <c r="W25" s="28" t="str">
        <f t="shared" si="12"/>
        <v/>
      </c>
      <c r="X25" s="29" t="str">
        <f t="shared" si="13"/>
        <v/>
      </c>
      <c r="Y25" s="24"/>
    </row>
    <row r="26" spans="2:25" ht="15" customHeight="1" x14ac:dyDescent="0.2">
      <c r="B26" s="31">
        <v>41666</v>
      </c>
      <c r="C26" s="25">
        <v>12.760999999999999</v>
      </c>
      <c r="D26" s="26">
        <v>7.476</v>
      </c>
      <c r="E26" s="26">
        <v>8.1999999999999993</v>
      </c>
      <c r="F26" s="16"/>
      <c r="G26" s="16"/>
      <c r="H26" s="16"/>
      <c r="I26" s="17">
        <v>101.526</v>
      </c>
      <c r="J26" s="32">
        <v>396.5</v>
      </c>
      <c r="K26" s="18">
        <f t="shared" si="14"/>
        <v>48.5</v>
      </c>
      <c r="L26" s="19">
        <f t="shared" si="1"/>
        <v>-6.0000000000002274</v>
      </c>
      <c r="M26" s="19">
        <f t="shared" si="2"/>
        <v>-4.0000000000004476</v>
      </c>
      <c r="N26" s="19">
        <f t="shared" si="3"/>
        <v>-2.0000000000006679</v>
      </c>
      <c r="O26" s="19" t="str">
        <f t="shared" si="5"/>
        <v/>
      </c>
      <c r="P26" s="19" t="str">
        <f t="shared" si="6"/>
        <v/>
      </c>
      <c r="Q26" s="19" t="str">
        <f t="shared" si="7"/>
        <v/>
      </c>
      <c r="R26" s="19">
        <f t="shared" si="4"/>
        <v>-3.0000000000001137</v>
      </c>
      <c r="S26" s="27">
        <f t="shared" si="8"/>
        <v>0</v>
      </c>
      <c r="T26" s="28">
        <f t="shared" si="9"/>
        <v>0</v>
      </c>
      <c r="U26" s="28">
        <f t="shared" si="10"/>
        <v>0</v>
      </c>
      <c r="V26" s="28" t="str">
        <f t="shared" si="11"/>
        <v/>
      </c>
      <c r="W26" s="28" t="str">
        <f t="shared" si="12"/>
        <v/>
      </c>
      <c r="X26" s="29" t="str">
        <f t="shared" si="13"/>
        <v/>
      </c>
      <c r="Y26" s="24"/>
    </row>
    <row r="27" spans="2:25" ht="15" customHeight="1" x14ac:dyDescent="0.2">
      <c r="B27" s="31">
        <v>41667</v>
      </c>
      <c r="C27" s="25">
        <v>12.760999999999999</v>
      </c>
      <c r="D27" s="26">
        <v>7.4749999999999996</v>
      </c>
      <c r="E27" s="26">
        <v>8.1999999999999993</v>
      </c>
      <c r="F27" s="16"/>
      <c r="G27" s="16"/>
      <c r="H27" s="16"/>
      <c r="I27" s="17">
        <v>101.526</v>
      </c>
      <c r="J27" s="32">
        <v>398.5</v>
      </c>
      <c r="K27" s="18">
        <f t="shared" si="14"/>
        <v>50.5</v>
      </c>
      <c r="L27" s="19">
        <f t="shared" si="1"/>
        <v>-6.0000000000002274</v>
      </c>
      <c r="M27" s="19">
        <f t="shared" si="2"/>
        <v>-5.0000000000007816</v>
      </c>
      <c r="N27" s="19">
        <f t="shared" si="3"/>
        <v>-2.0000000000006679</v>
      </c>
      <c r="O27" s="19" t="str">
        <f t="shared" si="5"/>
        <v/>
      </c>
      <c r="P27" s="19" t="str">
        <f t="shared" si="6"/>
        <v/>
      </c>
      <c r="Q27" s="19" t="str">
        <f t="shared" si="7"/>
        <v/>
      </c>
      <c r="R27" s="19">
        <f t="shared" si="4"/>
        <v>-3.0000000000001137</v>
      </c>
      <c r="S27" s="27">
        <f t="shared" si="8"/>
        <v>0</v>
      </c>
      <c r="T27" s="28">
        <f t="shared" si="9"/>
        <v>-1.000000000000334</v>
      </c>
      <c r="U27" s="28">
        <f t="shared" si="10"/>
        <v>0</v>
      </c>
      <c r="V27" s="28" t="str">
        <f t="shared" si="11"/>
        <v/>
      </c>
      <c r="W27" s="28" t="str">
        <f t="shared" si="12"/>
        <v/>
      </c>
      <c r="X27" s="29" t="str">
        <f t="shared" si="13"/>
        <v/>
      </c>
      <c r="Y27" s="24"/>
    </row>
    <row r="28" spans="2:25" ht="15" customHeight="1" x14ac:dyDescent="0.2">
      <c r="B28" s="31">
        <v>41668</v>
      </c>
      <c r="C28" s="25">
        <v>12.760999999999999</v>
      </c>
      <c r="D28" s="26">
        <v>7.4740000000000002</v>
      </c>
      <c r="E28" s="26">
        <v>8.1999999999999993</v>
      </c>
      <c r="F28" s="16"/>
      <c r="G28" s="16"/>
      <c r="H28" s="16"/>
      <c r="I28" s="17">
        <v>101.526</v>
      </c>
      <c r="J28" s="32">
        <v>402</v>
      </c>
      <c r="K28" s="18">
        <f t="shared" si="14"/>
        <v>54</v>
      </c>
      <c r="L28" s="19">
        <f t="shared" si="1"/>
        <v>-6.0000000000002274</v>
      </c>
      <c r="M28" s="19">
        <f t="shared" si="2"/>
        <v>-6.0000000000002274</v>
      </c>
      <c r="N28" s="19">
        <f t="shared" si="3"/>
        <v>-2.0000000000006679</v>
      </c>
      <c r="O28" s="19" t="str">
        <f t="shared" si="5"/>
        <v/>
      </c>
      <c r="P28" s="19" t="str">
        <f t="shared" si="6"/>
        <v/>
      </c>
      <c r="Q28" s="19" t="str">
        <f t="shared" si="7"/>
        <v/>
      </c>
      <c r="R28" s="19">
        <f t="shared" si="4"/>
        <v>-3.0000000000001137</v>
      </c>
      <c r="S28" s="27">
        <f t="shared" si="8"/>
        <v>0</v>
      </c>
      <c r="T28" s="28">
        <f t="shared" si="9"/>
        <v>-0.99999999999944578</v>
      </c>
      <c r="U28" s="28">
        <f t="shared" si="10"/>
        <v>0</v>
      </c>
      <c r="V28" s="28" t="str">
        <f t="shared" si="11"/>
        <v/>
      </c>
      <c r="W28" s="28" t="str">
        <f t="shared" si="12"/>
        <v/>
      </c>
      <c r="X28" s="29" t="str">
        <f t="shared" si="13"/>
        <v/>
      </c>
      <c r="Y28" s="24"/>
    </row>
    <row r="29" spans="2:25" ht="15" customHeight="1" x14ac:dyDescent="0.2">
      <c r="B29" s="31">
        <v>41669</v>
      </c>
      <c r="C29" s="25">
        <v>12.760999999999999</v>
      </c>
      <c r="D29" s="26">
        <v>7.4740000000000002</v>
      </c>
      <c r="E29" s="26">
        <v>8.1999999999999993</v>
      </c>
      <c r="F29" s="16"/>
      <c r="G29" s="16"/>
      <c r="H29" s="16"/>
      <c r="I29" s="17">
        <v>101.526</v>
      </c>
      <c r="J29" s="32">
        <v>411</v>
      </c>
      <c r="K29" s="18">
        <f t="shared" si="14"/>
        <v>63</v>
      </c>
      <c r="L29" s="19">
        <f t="shared" si="1"/>
        <v>-6.0000000000002274</v>
      </c>
      <c r="M29" s="19">
        <f t="shared" si="2"/>
        <v>-6.0000000000002274</v>
      </c>
      <c r="N29" s="19">
        <f t="shared" si="3"/>
        <v>-2.0000000000006679</v>
      </c>
      <c r="O29" s="19" t="str">
        <f t="shared" si="5"/>
        <v/>
      </c>
      <c r="P29" s="19" t="str">
        <f t="shared" si="6"/>
        <v/>
      </c>
      <c r="Q29" s="19" t="str">
        <f t="shared" si="7"/>
        <v/>
      </c>
      <c r="R29" s="19">
        <f t="shared" si="4"/>
        <v>-3.0000000000001137</v>
      </c>
      <c r="S29" s="27">
        <f t="shared" si="8"/>
        <v>0</v>
      </c>
      <c r="T29" s="28">
        <f t="shared" si="9"/>
        <v>0</v>
      </c>
      <c r="U29" s="28">
        <f t="shared" si="10"/>
        <v>0</v>
      </c>
      <c r="V29" s="28" t="str">
        <f t="shared" si="11"/>
        <v/>
      </c>
      <c r="W29" s="28" t="str">
        <f t="shared" si="12"/>
        <v/>
      </c>
      <c r="X29" s="29" t="str">
        <f t="shared" si="13"/>
        <v/>
      </c>
      <c r="Y29" s="24"/>
    </row>
    <row r="30" spans="2:25" ht="15" customHeight="1" x14ac:dyDescent="0.2">
      <c r="B30" s="31">
        <v>41670</v>
      </c>
      <c r="C30" s="25">
        <v>12.760999999999999</v>
      </c>
      <c r="D30" s="26">
        <v>7.4740000000000002</v>
      </c>
      <c r="E30" s="26">
        <v>8.1999999999999993</v>
      </c>
      <c r="F30" s="16"/>
      <c r="G30" s="16"/>
      <c r="H30" s="16"/>
      <c r="I30" s="17">
        <v>101.526</v>
      </c>
      <c r="J30" s="32">
        <v>418.5</v>
      </c>
      <c r="K30" s="18">
        <f t="shared" si="14"/>
        <v>70.5</v>
      </c>
      <c r="L30" s="19">
        <f t="shared" si="1"/>
        <v>-6.0000000000002274</v>
      </c>
      <c r="M30" s="19">
        <f t="shared" si="2"/>
        <v>-6.0000000000002274</v>
      </c>
      <c r="N30" s="19">
        <f t="shared" si="3"/>
        <v>-2.0000000000006679</v>
      </c>
      <c r="O30" s="19" t="str">
        <f t="shared" si="5"/>
        <v/>
      </c>
      <c r="P30" s="19" t="str">
        <f t="shared" si="6"/>
        <v/>
      </c>
      <c r="Q30" s="19" t="str">
        <f t="shared" si="7"/>
        <v/>
      </c>
      <c r="R30" s="19">
        <f t="shared" si="4"/>
        <v>-3.0000000000001137</v>
      </c>
      <c r="S30" s="27">
        <f t="shared" si="8"/>
        <v>0</v>
      </c>
      <c r="T30" s="28">
        <f t="shared" si="9"/>
        <v>0</v>
      </c>
      <c r="U30" s="28">
        <f t="shared" si="10"/>
        <v>0</v>
      </c>
      <c r="V30" s="28" t="str">
        <f t="shared" si="11"/>
        <v/>
      </c>
      <c r="W30" s="28" t="str">
        <f t="shared" si="12"/>
        <v/>
      </c>
      <c r="X30" s="29" t="str">
        <f t="shared" si="13"/>
        <v/>
      </c>
      <c r="Y30" s="24"/>
    </row>
    <row r="31" spans="2:25" ht="15" customHeight="1" x14ac:dyDescent="0.2">
      <c r="B31" s="31">
        <v>41673</v>
      </c>
      <c r="C31" s="25">
        <v>12.760999999999999</v>
      </c>
      <c r="D31" s="26">
        <v>7.4749999999999996</v>
      </c>
      <c r="E31" s="26">
        <v>8.1999999999999993</v>
      </c>
      <c r="F31" s="16"/>
      <c r="G31" s="16"/>
      <c r="H31" s="16"/>
      <c r="I31" s="17">
        <v>101.526</v>
      </c>
      <c r="J31" s="32">
        <v>430</v>
      </c>
      <c r="K31" s="18">
        <f t="shared" si="14"/>
        <v>82</v>
      </c>
      <c r="L31" s="19">
        <f t="shared" si="1"/>
        <v>-6.0000000000002274</v>
      </c>
      <c r="M31" s="19">
        <f t="shared" si="2"/>
        <v>-5.0000000000007816</v>
      </c>
      <c r="N31" s="19">
        <f t="shared" si="3"/>
        <v>-2.0000000000006679</v>
      </c>
      <c r="O31" s="19" t="str">
        <f t="shared" si="5"/>
        <v/>
      </c>
      <c r="P31" s="19" t="str">
        <f t="shared" si="6"/>
        <v/>
      </c>
      <c r="Q31" s="19" t="str">
        <f t="shared" si="7"/>
        <v/>
      </c>
      <c r="R31" s="19">
        <f t="shared" si="4"/>
        <v>-3.0000000000001137</v>
      </c>
      <c r="S31" s="27">
        <f t="shared" si="8"/>
        <v>0</v>
      </c>
      <c r="T31" s="28">
        <f t="shared" si="9"/>
        <v>0.33333333333314857</v>
      </c>
      <c r="U31" s="28">
        <f t="shared" si="10"/>
        <v>0</v>
      </c>
      <c r="V31" s="28" t="str">
        <f t="shared" si="11"/>
        <v/>
      </c>
      <c r="W31" s="28" t="str">
        <f t="shared" si="12"/>
        <v/>
      </c>
      <c r="X31" s="29" t="str">
        <f t="shared" si="13"/>
        <v/>
      </c>
      <c r="Y31" s="24"/>
    </row>
    <row r="32" spans="2:25" ht="15" customHeight="1" x14ac:dyDescent="0.2">
      <c r="B32" s="31">
        <v>41674</v>
      </c>
      <c r="C32" s="25">
        <v>12.760999999999999</v>
      </c>
      <c r="D32" s="26">
        <v>7.4749999999999996</v>
      </c>
      <c r="E32" s="26">
        <v>8.1999999999999993</v>
      </c>
      <c r="F32" s="16"/>
      <c r="G32" s="16"/>
      <c r="H32" s="16"/>
      <c r="I32" s="17">
        <v>101.526</v>
      </c>
      <c r="J32" s="32">
        <v>438</v>
      </c>
      <c r="K32" s="18">
        <f t="shared" si="14"/>
        <v>90</v>
      </c>
      <c r="L32" s="19">
        <f t="shared" si="1"/>
        <v>-6.0000000000002274</v>
      </c>
      <c r="M32" s="19">
        <f t="shared" si="2"/>
        <v>-5.0000000000007816</v>
      </c>
      <c r="N32" s="19">
        <f t="shared" si="3"/>
        <v>-2.0000000000006679</v>
      </c>
      <c r="O32" s="19" t="str">
        <f t="shared" si="5"/>
        <v/>
      </c>
      <c r="P32" s="19" t="str">
        <f t="shared" si="6"/>
        <v/>
      </c>
      <c r="Q32" s="19" t="str">
        <f t="shared" si="7"/>
        <v/>
      </c>
      <c r="R32" s="19">
        <f t="shared" si="4"/>
        <v>-3.0000000000001137</v>
      </c>
      <c r="S32" s="27">
        <f t="shared" si="8"/>
        <v>0</v>
      </c>
      <c r="T32" s="28">
        <f t="shared" si="9"/>
        <v>0</v>
      </c>
      <c r="U32" s="28">
        <f t="shared" si="10"/>
        <v>0</v>
      </c>
      <c r="V32" s="28" t="str">
        <f t="shared" si="11"/>
        <v/>
      </c>
      <c r="W32" s="28" t="str">
        <f t="shared" si="12"/>
        <v/>
      </c>
      <c r="X32" s="29" t="str">
        <f t="shared" si="13"/>
        <v/>
      </c>
      <c r="Y32" s="24"/>
    </row>
    <row r="33" spans="2:25" ht="15" customHeight="1" x14ac:dyDescent="0.2">
      <c r="B33" s="31">
        <v>41675</v>
      </c>
      <c r="C33" s="25">
        <v>12.760999999999999</v>
      </c>
      <c r="D33" s="26">
        <v>7.4749999999999996</v>
      </c>
      <c r="E33" s="26">
        <v>8.1999999999999993</v>
      </c>
      <c r="F33" s="16"/>
      <c r="G33" s="16"/>
      <c r="H33" s="16"/>
      <c r="I33" s="17">
        <v>101.526</v>
      </c>
      <c r="J33" s="32">
        <v>446</v>
      </c>
      <c r="K33" s="18">
        <f t="shared" si="14"/>
        <v>98</v>
      </c>
      <c r="L33" s="19">
        <f t="shared" si="1"/>
        <v>-6.0000000000002274</v>
      </c>
      <c r="M33" s="19">
        <f t="shared" si="2"/>
        <v>-5.0000000000007816</v>
      </c>
      <c r="N33" s="19">
        <f t="shared" si="3"/>
        <v>-2.0000000000006679</v>
      </c>
      <c r="O33" s="19" t="str">
        <f t="shared" si="5"/>
        <v/>
      </c>
      <c r="P33" s="19" t="str">
        <f t="shared" si="6"/>
        <v/>
      </c>
      <c r="Q33" s="19" t="str">
        <f t="shared" si="7"/>
        <v/>
      </c>
      <c r="R33" s="19">
        <f t="shared" ref="R33:R64" si="15">IF(ISBLANK(I33),"",(I33-I$16)*1000)</f>
        <v>-3.0000000000001137</v>
      </c>
      <c r="S33" s="27">
        <f t="shared" si="8"/>
        <v>0</v>
      </c>
      <c r="T33" s="28">
        <f t="shared" si="9"/>
        <v>0</v>
      </c>
      <c r="U33" s="28">
        <f t="shared" si="10"/>
        <v>0</v>
      </c>
      <c r="V33" s="28" t="str">
        <f t="shared" si="11"/>
        <v/>
      </c>
      <c r="W33" s="28" t="str">
        <f t="shared" si="12"/>
        <v/>
      </c>
      <c r="X33" s="29" t="str">
        <f t="shared" si="13"/>
        <v/>
      </c>
      <c r="Y33" s="24"/>
    </row>
    <row r="34" spans="2:25" ht="15" customHeight="1" x14ac:dyDescent="0.2">
      <c r="B34" s="31">
        <v>41676</v>
      </c>
      <c r="C34" s="25">
        <v>12.760999999999999</v>
      </c>
      <c r="D34" s="26">
        <v>7.4749999999999996</v>
      </c>
      <c r="E34" s="26">
        <v>8.1999999999999993</v>
      </c>
      <c r="F34" s="16"/>
      <c r="G34" s="16"/>
      <c r="H34" s="16"/>
      <c r="I34" s="17">
        <v>101.526</v>
      </c>
      <c r="J34" s="32">
        <v>453</v>
      </c>
      <c r="K34" s="18">
        <f t="shared" si="14"/>
        <v>105</v>
      </c>
      <c r="L34" s="19">
        <f t="shared" si="1"/>
        <v>-6.0000000000002274</v>
      </c>
      <c r="M34" s="19">
        <f t="shared" si="2"/>
        <v>-5.0000000000007816</v>
      </c>
      <c r="N34" s="19">
        <f t="shared" si="3"/>
        <v>-2.0000000000006679</v>
      </c>
      <c r="O34" s="19" t="str">
        <f t="shared" si="5"/>
        <v/>
      </c>
      <c r="P34" s="19" t="str">
        <f t="shared" si="6"/>
        <v/>
      </c>
      <c r="Q34" s="19" t="str">
        <f t="shared" si="7"/>
        <v/>
      </c>
      <c r="R34" s="19">
        <f t="shared" si="15"/>
        <v>-3.0000000000001137</v>
      </c>
      <c r="S34" s="27">
        <f t="shared" si="8"/>
        <v>0</v>
      </c>
      <c r="T34" s="28">
        <f t="shared" si="9"/>
        <v>0</v>
      </c>
      <c r="U34" s="28">
        <f t="shared" si="10"/>
        <v>0</v>
      </c>
      <c r="V34" s="28" t="str">
        <f t="shared" si="11"/>
        <v/>
      </c>
      <c r="W34" s="28" t="str">
        <f t="shared" si="12"/>
        <v/>
      </c>
      <c r="X34" s="29" t="str">
        <f t="shared" si="13"/>
        <v/>
      </c>
      <c r="Y34" s="24"/>
    </row>
    <row r="35" spans="2:25" ht="15" customHeight="1" x14ac:dyDescent="0.2">
      <c r="B35" s="31">
        <v>41684</v>
      </c>
      <c r="C35" s="25">
        <v>12.76</v>
      </c>
      <c r="D35" s="26">
        <v>7.4749999999999996</v>
      </c>
      <c r="E35" s="26">
        <v>8.1989999999999998</v>
      </c>
      <c r="F35" s="16"/>
      <c r="G35" s="16"/>
      <c r="H35" s="16"/>
      <c r="I35" s="17">
        <v>101.526</v>
      </c>
      <c r="J35" s="32">
        <v>477</v>
      </c>
      <c r="K35" s="18">
        <f t="shared" si="14"/>
        <v>129</v>
      </c>
      <c r="L35" s="19">
        <f t="shared" si="1"/>
        <v>-6.9999999999996732</v>
      </c>
      <c r="M35" s="19">
        <f t="shared" si="2"/>
        <v>-5.0000000000007816</v>
      </c>
      <c r="N35" s="19">
        <f t="shared" si="3"/>
        <v>-3.0000000000001137</v>
      </c>
      <c r="O35" s="19" t="str">
        <f t="shared" si="5"/>
        <v/>
      </c>
      <c r="P35" s="19" t="str">
        <f t="shared" si="6"/>
        <v/>
      </c>
      <c r="Q35" s="19" t="str">
        <f t="shared" si="7"/>
        <v/>
      </c>
      <c r="R35" s="19">
        <f t="shared" si="15"/>
        <v>-3.0000000000001137</v>
      </c>
      <c r="S35" s="27">
        <f t="shared" si="8"/>
        <v>-0.12499999999993072</v>
      </c>
      <c r="T35" s="28">
        <f t="shared" si="9"/>
        <v>0</v>
      </c>
      <c r="U35" s="28">
        <f t="shared" si="10"/>
        <v>-0.12499999999993072</v>
      </c>
      <c r="V35" s="28" t="str">
        <f t="shared" si="11"/>
        <v/>
      </c>
      <c r="W35" s="28" t="str">
        <f t="shared" si="12"/>
        <v/>
      </c>
      <c r="X35" s="29" t="str">
        <f t="shared" si="13"/>
        <v/>
      </c>
      <c r="Y35" s="24"/>
    </row>
    <row r="36" spans="2:25" ht="15" customHeight="1" x14ac:dyDescent="0.2">
      <c r="B36" s="31">
        <v>41690</v>
      </c>
      <c r="C36" s="25">
        <v>12.759</v>
      </c>
      <c r="D36" s="26">
        <v>7.4749999999999996</v>
      </c>
      <c r="E36" s="26">
        <v>8.1989999999999998</v>
      </c>
      <c r="F36" s="16"/>
      <c r="G36" s="16"/>
      <c r="H36" s="16"/>
      <c r="I36" s="17">
        <v>101.526</v>
      </c>
      <c r="J36" s="32">
        <v>510</v>
      </c>
      <c r="K36" s="18">
        <f t="shared" ref="K36:K52" si="16">IF(ISBLANK(J36),"",(J36-$J$8))</f>
        <v>162</v>
      </c>
      <c r="L36" s="19">
        <f t="shared" si="1"/>
        <v>-7.9999999999991189</v>
      </c>
      <c r="M36" s="19">
        <f t="shared" si="2"/>
        <v>-5.0000000000007816</v>
      </c>
      <c r="N36" s="19">
        <f t="shared" si="3"/>
        <v>-3.0000000000001137</v>
      </c>
      <c r="O36" s="19" t="str">
        <f t="shared" si="5"/>
        <v/>
      </c>
      <c r="P36" s="19" t="str">
        <f t="shared" si="6"/>
        <v/>
      </c>
      <c r="Q36" s="19" t="str">
        <f t="shared" si="7"/>
        <v/>
      </c>
      <c r="R36" s="19">
        <f t="shared" si="15"/>
        <v>-3.0000000000001137</v>
      </c>
      <c r="S36" s="27">
        <f t="shared" si="8"/>
        <v>-0.16666666666657429</v>
      </c>
      <c r="T36" s="28">
        <f t="shared" si="9"/>
        <v>0</v>
      </c>
      <c r="U36" s="28">
        <f t="shared" si="10"/>
        <v>0</v>
      </c>
      <c r="V36" s="28" t="str">
        <f t="shared" si="11"/>
        <v/>
      </c>
      <c r="W36" s="28" t="str">
        <f t="shared" si="12"/>
        <v/>
      </c>
      <c r="X36" s="29" t="str">
        <f t="shared" si="13"/>
        <v/>
      </c>
      <c r="Y36" s="24"/>
    </row>
    <row r="37" spans="2:25" ht="15" customHeight="1" x14ac:dyDescent="0.2">
      <c r="B37" s="31">
        <v>41697</v>
      </c>
      <c r="C37" s="25">
        <v>12.759</v>
      </c>
      <c r="D37" s="26">
        <v>7.4749999999999996</v>
      </c>
      <c r="E37" s="26">
        <v>8.1980000000000004</v>
      </c>
      <c r="F37" s="16"/>
      <c r="G37" s="16"/>
      <c r="H37" s="16"/>
      <c r="I37" s="17">
        <v>101.526</v>
      </c>
      <c r="J37" s="58">
        <v>547.5</v>
      </c>
      <c r="K37" s="18">
        <f t="shared" si="16"/>
        <v>199.5</v>
      </c>
      <c r="L37" s="19">
        <f t="shared" si="1"/>
        <v>-7.9999999999991189</v>
      </c>
      <c r="M37" s="19">
        <f t="shared" si="2"/>
        <v>-5.0000000000007816</v>
      </c>
      <c r="N37" s="19">
        <f t="shared" si="3"/>
        <v>-3.9999999999995595</v>
      </c>
      <c r="O37" s="19" t="str">
        <f t="shared" si="5"/>
        <v/>
      </c>
      <c r="P37" s="19" t="str">
        <f t="shared" si="6"/>
        <v/>
      </c>
      <c r="Q37" s="19" t="str">
        <f t="shared" si="7"/>
        <v/>
      </c>
      <c r="R37" s="19">
        <f t="shared" si="15"/>
        <v>-3.0000000000001137</v>
      </c>
      <c r="S37" s="27">
        <f t="shared" si="8"/>
        <v>0</v>
      </c>
      <c r="T37" s="28">
        <f t="shared" si="9"/>
        <v>0</v>
      </c>
      <c r="U37" s="28">
        <f t="shared" si="10"/>
        <v>-0.14285714285706369</v>
      </c>
      <c r="V37" s="28" t="str">
        <f t="shared" si="11"/>
        <v/>
      </c>
      <c r="W37" s="28" t="str">
        <f t="shared" si="12"/>
        <v/>
      </c>
      <c r="X37" s="29" t="str">
        <f t="shared" si="13"/>
        <v/>
      </c>
      <c r="Y37" s="24"/>
    </row>
    <row r="38" spans="2:25" ht="15" customHeight="1" x14ac:dyDescent="0.2">
      <c r="B38" s="31">
        <v>41723</v>
      </c>
      <c r="C38" s="25">
        <v>12.759</v>
      </c>
      <c r="D38" s="26">
        <v>7.476</v>
      </c>
      <c r="E38" s="26">
        <v>8.1980000000000004</v>
      </c>
      <c r="F38" s="16"/>
      <c r="G38" s="16"/>
      <c r="H38" s="16"/>
      <c r="I38" s="17">
        <v>101.526</v>
      </c>
      <c r="J38" s="32">
        <v>308</v>
      </c>
      <c r="K38" s="18">
        <f t="shared" si="16"/>
        <v>-40</v>
      </c>
      <c r="L38" s="19">
        <f t="shared" si="1"/>
        <v>-7.9999999999991189</v>
      </c>
      <c r="M38" s="19">
        <f t="shared" si="2"/>
        <v>-4.0000000000004476</v>
      </c>
      <c r="N38" s="19">
        <f t="shared" si="3"/>
        <v>-3.9999999999995595</v>
      </c>
      <c r="O38" s="19" t="str">
        <f t="shared" si="5"/>
        <v/>
      </c>
      <c r="P38" s="19" t="str">
        <f t="shared" si="6"/>
        <v/>
      </c>
      <c r="Q38" s="19" t="str">
        <f t="shared" si="7"/>
        <v/>
      </c>
      <c r="R38" s="19">
        <f t="shared" si="15"/>
        <v>-3.0000000000001137</v>
      </c>
      <c r="S38" s="27">
        <f t="shared" si="8"/>
        <v>0</v>
      </c>
      <c r="T38" s="28">
        <f t="shared" si="9"/>
        <v>3.8461538461551308E-2</v>
      </c>
      <c r="U38" s="28">
        <f t="shared" si="10"/>
        <v>0</v>
      </c>
      <c r="V38" s="28" t="str">
        <f t="shared" si="11"/>
        <v/>
      </c>
      <c r="W38" s="28" t="str">
        <f t="shared" si="12"/>
        <v/>
      </c>
      <c r="X38" s="29" t="str">
        <f t="shared" si="13"/>
        <v/>
      </c>
      <c r="Y38" s="24" t="s">
        <v>23</v>
      </c>
    </row>
    <row r="39" spans="2:25" ht="15" customHeight="1" x14ac:dyDescent="0.2">
      <c r="B39" s="31">
        <v>41725</v>
      </c>
      <c r="C39" s="25">
        <v>12.757</v>
      </c>
      <c r="D39" s="26">
        <v>7.4749999999999996</v>
      </c>
      <c r="E39" s="26">
        <v>8.1980000000000004</v>
      </c>
      <c r="F39" s="16"/>
      <c r="G39" s="16"/>
      <c r="H39" s="16"/>
      <c r="I39" s="17">
        <v>101.521</v>
      </c>
      <c r="J39" s="32">
        <v>327</v>
      </c>
      <c r="K39" s="18">
        <f t="shared" si="16"/>
        <v>-21</v>
      </c>
      <c r="L39" s="19">
        <f t="shared" si="1"/>
        <v>-9.9999999999997868</v>
      </c>
      <c r="M39" s="19">
        <f t="shared" si="2"/>
        <v>-5.0000000000007816</v>
      </c>
      <c r="N39" s="19">
        <f t="shared" si="3"/>
        <v>-3.9999999999995595</v>
      </c>
      <c r="O39" s="19" t="str">
        <f t="shared" si="5"/>
        <v/>
      </c>
      <c r="P39" s="19" t="str">
        <f t="shared" si="6"/>
        <v/>
      </c>
      <c r="Q39" s="19" t="str">
        <f t="shared" si="7"/>
        <v/>
      </c>
      <c r="R39" s="19">
        <f t="shared" si="15"/>
        <v>-7.9999999999955662</v>
      </c>
      <c r="S39" s="27">
        <f t="shared" si="8"/>
        <v>-1.000000000000334</v>
      </c>
      <c r="T39" s="28">
        <f t="shared" si="9"/>
        <v>-0.50000000000016698</v>
      </c>
      <c r="U39" s="28">
        <f t="shared" si="10"/>
        <v>0</v>
      </c>
      <c r="V39" s="28" t="str">
        <f t="shared" si="11"/>
        <v/>
      </c>
      <c r="W39" s="28" t="str">
        <f t="shared" si="12"/>
        <v/>
      </c>
      <c r="X39" s="29" t="str">
        <f t="shared" si="13"/>
        <v/>
      </c>
      <c r="Y39" s="24"/>
    </row>
    <row r="40" spans="2:25" ht="15" customHeight="1" x14ac:dyDescent="0.2">
      <c r="B40" s="31">
        <v>41726</v>
      </c>
      <c r="C40" s="25">
        <v>12.757</v>
      </c>
      <c r="D40" s="26">
        <v>7.4749999999999996</v>
      </c>
      <c r="E40" s="26">
        <v>8.1980000000000004</v>
      </c>
      <c r="F40" s="16"/>
      <c r="G40" s="16"/>
      <c r="H40" s="16"/>
      <c r="I40" s="17">
        <v>101.521</v>
      </c>
      <c r="J40" s="32">
        <v>340</v>
      </c>
      <c r="K40" s="18">
        <f t="shared" si="16"/>
        <v>-8</v>
      </c>
      <c r="L40" s="19">
        <f t="shared" si="1"/>
        <v>-9.9999999999997868</v>
      </c>
      <c r="M40" s="19">
        <f t="shared" si="2"/>
        <v>-5.0000000000007816</v>
      </c>
      <c r="N40" s="19">
        <f t="shared" si="3"/>
        <v>-3.9999999999995595</v>
      </c>
      <c r="O40" s="19" t="str">
        <f t="shared" si="5"/>
        <v/>
      </c>
      <c r="P40" s="19" t="str">
        <f t="shared" si="6"/>
        <v/>
      </c>
      <c r="Q40" s="19" t="str">
        <f t="shared" si="7"/>
        <v/>
      </c>
      <c r="R40" s="19">
        <f t="shared" si="15"/>
        <v>-7.9999999999955662</v>
      </c>
      <c r="S40" s="27">
        <f t="shared" si="8"/>
        <v>0</v>
      </c>
      <c r="T40" s="28">
        <f t="shared" si="9"/>
        <v>0</v>
      </c>
      <c r="U40" s="28">
        <f t="shared" si="10"/>
        <v>0</v>
      </c>
      <c r="V40" s="28" t="str">
        <f t="shared" si="11"/>
        <v/>
      </c>
      <c r="W40" s="28" t="str">
        <f t="shared" si="12"/>
        <v/>
      </c>
      <c r="X40" s="29" t="str">
        <f t="shared" si="13"/>
        <v/>
      </c>
      <c r="Y40" s="24"/>
    </row>
    <row r="41" spans="2:25" ht="15" customHeight="1" x14ac:dyDescent="0.2">
      <c r="B41" s="31">
        <v>41729</v>
      </c>
      <c r="C41" s="64">
        <v>12.747999999999999</v>
      </c>
      <c r="D41" s="65">
        <v>7.4720000000000004</v>
      </c>
      <c r="E41" s="65">
        <v>8.1969999999999992</v>
      </c>
      <c r="F41" s="16">
        <v>12.989000000000001</v>
      </c>
      <c r="G41" s="16">
        <v>10.045</v>
      </c>
      <c r="H41" s="16">
        <v>10.657999999999999</v>
      </c>
      <c r="I41" s="17">
        <v>101.518</v>
      </c>
      <c r="J41" s="32">
        <v>350</v>
      </c>
      <c r="K41" s="18">
        <f t="shared" si="16"/>
        <v>2</v>
      </c>
      <c r="L41" s="19">
        <f t="shared" si="1"/>
        <v>-19.000000000000128</v>
      </c>
      <c r="M41" s="19">
        <f t="shared" si="2"/>
        <v>-8.0000000000000071</v>
      </c>
      <c r="N41" s="19">
        <f t="shared" si="3"/>
        <v>-5.0000000000007816</v>
      </c>
      <c r="O41" s="19">
        <f>IF(ISBLANK(F41),"",((F41-F$41)*1000)+L$41)</f>
        <v>-19.000000000000128</v>
      </c>
      <c r="P41" s="19">
        <f>IF(ISBLANK(G41),"",((G41-G$41)*1000)+M$41)</f>
        <v>-8.0000000000000071</v>
      </c>
      <c r="Q41" s="19">
        <f>IF(ISBLANK(H41),"",((H41-H$41)*1000)+N$41)</f>
        <v>-5.0000000000007816</v>
      </c>
      <c r="R41" s="19">
        <f t="shared" si="15"/>
        <v>-10.99999999999568</v>
      </c>
      <c r="S41" s="27">
        <f t="shared" si="8"/>
        <v>-3.0000000000001137</v>
      </c>
      <c r="T41" s="28">
        <f t="shared" si="9"/>
        <v>-0.99999999999974187</v>
      </c>
      <c r="U41" s="28">
        <f t="shared" si="10"/>
        <v>-0.33333333333374071</v>
      </c>
      <c r="V41" s="28"/>
      <c r="W41" s="28"/>
      <c r="X41" s="29"/>
      <c r="Y41" s="24"/>
    </row>
    <row r="42" spans="2:25" ht="15" customHeight="1" x14ac:dyDescent="0.2">
      <c r="B42" s="31">
        <v>41730</v>
      </c>
      <c r="C42" s="25">
        <v>12.747999999999999</v>
      </c>
      <c r="D42" s="26">
        <v>7.4720000000000004</v>
      </c>
      <c r="E42" s="26">
        <v>8.1969999999999992</v>
      </c>
      <c r="F42" s="16">
        <v>12.989000000000001</v>
      </c>
      <c r="G42" s="16">
        <v>10.045</v>
      </c>
      <c r="H42" s="16">
        <v>10.657999999999999</v>
      </c>
      <c r="I42" s="17">
        <v>101.518</v>
      </c>
      <c r="J42" s="32">
        <v>364</v>
      </c>
      <c r="K42" s="18">
        <f t="shared" si="16"/>
        <v>16</v>
      </c>
      <c r="L42" s="19">
        <f t="shared" si="1"/>
        <v>-19.000000000000128</v>
      </c>
      <c r="M42" s="19">
        <f t="shared" si="2"/>
        <v>-8.0000000000000071</v>
      </c>
      <c r="N42" s="19">
        <f t="shared" si="3"/>
        <v>-5.0000000000007816</v>
      </c>
      <c r="O42" s="19">
        <f t="shared" ref="O42:O105" si="17">IF(ISBLANK(F42),"",((F42-F$41)*1000)+L$41)</f>
        <v>-19.000000000000128</v>
      </c>
      <c r="P42" s="19">
        <f t="shared" ref="P42:P105" si="18">IF(ISBLANK(G42),"",((G42-G$41)*1000)+M$41)</f>
        <v>-8.0000000000000071</v>
      </c>
      <c r="Q42" s="19">
        <f t="shared" ref="Q42:Q105" si="19">IF(ISBLANK(H42),"",((H42-H$41)*1000)+N$41)</f>
        <v>-5.0000000000007816</v>
      </c>
      <c r="R42" s="19">
        <f t="shared" si="15"/>
        <v>-10.99999999999568</v>
      </c>
      <c r="S42" s="27">
        <f t="shared" si="8"/>
        <v>0</v>
      </c>
      <c r="T42" s="28">
        <f t="shared" si="9"/>
        <v>0</v>
      </c>
      <c r="U42" s="28">
        <f t="shared" si="10"/>
        <v>0</v>
      </c>
      <c r="V42" s="28">
        <f t="shared" si="11"/>
        <v>0</v>
      </c>
      <c r="W42" s="28">
        <f t="shared" si="12"/>
        <v>0</v>
      </c>
      <c r="X42" s="29">
        <f t="shared" si="13"/>
        <v>0</v>
      </c>
      <c r="Y42" s="24"/>
    </row>
    <row r="43" spans="2:25" ht="15" customHeight="1" x14ac:dyDescent="0.2">
      <c r="B43" s="31">
        <v>41731</v>
      </c>
      <c r="C43" s="25"/>
      <c r="D43" s="26"/>
      <c r="E43" s="26"/>
      <c r="F43" s="16">
        <v>12.989000000000001</v>
      </c>
      <c r="G43" s="16">
        <v>10.045</v>
      </c>
      <c r="H43" s="16">
        <v>10.657999999999999</v>
      </c>
      <c r="I43" s="17">
        <v>101.518</v>
      </c>
      <c r="J43" s="32">
        <v>375</v>
      </c>
      <c r="K43" s="18">
        <f t="shared" si="16"/>
        <v>27</v>
      </c>
      <c r="L43" s="19" t="str">
        <f t="shared" si="1"/>
        <v/>
      </c>
      <c r="M43" s="19" t="str">
        <f t="shared" si="2"/>
        <v/>
      </c>
      <c r="N43" s="19" t="str">
        <f t="shared" si="3"/>
        <v/>
      </c>
      <c r="O43" s="19">
        <f t="shared" si="17"/>
        <v>-19.000000000000128</v>
      </c>
      <c r="P43" s="19">
        <f t="shared" si="18"/>
        <v>-8.0000000000000071</v>
      </c>
      <c r="Q43" s="19">
        <f t="shared" si="19"/>
        <v>-5.0000000000007816</v>
      </c>
      <c r="R43" s="19">
        <f t="shared" si="15"/>
        <v>-10.99999999999568</v>
      </c>
      <c r="S43" s="27" t="str">
        <f t="shared" si="8"/>
        <v/>
      </c>
      <c r="T43" s="28" t="str">
        <f t="shared" si="9"/>
        <v/>
      </c>
      <c r="U43" s="28" t="str">
        <f t="shared" si="10"/>
        <v/>
      </c>
      <c r="V43" s="28">
        <f t="shared" si="11"/>
        <v>0</v>
      </c>
      <c r="W43" s="28">
        <f t="shared" si="12"/>
        <v>0</v>
      </c>
      <c r="X43" s="29">
        <f t="shared" si="13"/>
        <v>0</v>
      </c>
      <c r="Y43" s="24"/>
    </row>
    <row r="44" spans="2:25" ht="15" customHeight="1" x14ac:dyDescent="0.2">
      <c r="B44" s="31">
        <v>41732</v>
      </c>
      <c r="C44" s="25"/>
      <c r="D44" s="26"/>
      <c r="E44" s="26"/>
      <c r="F44" s="16">
        <v>12.988</v>
      </c>
      <c r="G44" s="16">
        <v>10.045</v>
      </c>
      <c r="H44" s="16">
        <v>10.657</v>
      </c>
      <c r="I44" s="17">
        <v>101.518</v>
      </c>
      <c r="J44" s="32">
        <v>387</v>
      </c>
      <c r="K44" s="18">
        <f t="shared" si="16"/>
        <v>39</v>
      </c>
      <c r="L44" s="19" t="str">
        <f t="shared" si="1"/>
        <v/>
      </c>
      <c r="M44" s="19" t="str">
        <f t="shared" si="2"/>
        <v/>
      </c>
      <c r="N44" s="19" t="str">
        <f t="shared" si="3"/>
        <v/>
      </c>
      <c r="O44" s="19">
        <f t="shared" si="17"/>
        <v>-20.00000000000135</v>
      </c>
      <c r="P44" s="19">
        <f t="shared" si="18"/>
        <v>-8.0000000000000071</v>
      </c>
      <c r="Q44" s="19">
        <f t="shared" si="19"/>
        <v>-6.0000000000002274</v>
      </c>
      <c r="R44" s="19">
        <f t="shared" si="15"/>
        <v>-10.99999999999568</v>
      </c>
      <c r="S44" s="27" t="str">
        <f t="shared" si="8"/>
        <v/>
      </c>
      <c r="T44" s="28" t="str">
        <f t="shared" si="9"/>
        <v/>
      </c>
      <c r="U44" s="28" t="str">
        <f t="shared" si="10"/>
        <v/>
      </c>
      <c r="V44" s="28">
        <f t="shared" si="11"/>
        <v>-1.0000000000012221</v>
      </c>
      <c r="W44" s="28">
        <f t="shared" si="12"/>
        <v>0</v>
      </c>
      <c r="X44" s="29">
        <f t="shared" si="13"/>
        <v>-0.99999999999944578</v>
      </c>
      <c r="Y44" s="24"/>
    </row>
    <row r="45" spans="2:25" ht="15" customHeight="1" x14ac:dyDescent="0.2">
      <c r="B45" s="31">
        <v>41733</v>
      </c>
      <c r="C45" s="25"/>
      <c r="D45" s="26"/>
      <c r="E45" s="26"/>
      <c r="F45" s="16">
        <v>12.988</v>
      </c>
      <c r="G45" s="16">
        <v>10.045</v>
      </c>
      <c r="H45" s="16">
        <v>10.657</v>
      </c>
      <c r="I45" s="17">
        <v>101.518</v>
      </c>
      <c r="J45" s="32">
        <v>395</v>
      </c>
      <c r="K45" s="18">
        <f t="shared" si="16"/>
        <v>47</v>
      </c>
      <c r="L45" s="19" t="str">
        <f t="shared" si="1"/>
        <v/>
      </c>
      <c r="M45" s="19" t="str">
        <f t="shared" si="2"/>
        <v/>
      </c>
      <c r="N45" s="19" t="str">
        <f t="shared" si="3"/>
        <v/>
      </c>
      <c r="O45" s="19">
        <f t="shared" si="17"/>
        <v>-20.00000000000135</v>
      </c>
      <c r="P45" s="19">
        <f t="shared" si="18"/>
        <v>-8.0000000000000071</v>
      </c>
      <c r="Q45" s="19">
        <f t="shared" si="19"/>
        <v>-6.0000000000002274</v>
      </c>
      <c r="R45" s="19">
        <f t="shared" si="15"/>
        <v>-10.99999999999568</v>
      </c>
      <c r="S45" s="27" t="str">
        <f t="shared" si="8"/>
        <v/>
      </c>
      <c r="T45" s="28" t="str">
        <f t="shared" si="9"/>
        <v/>
      </c>
      <c r="U45" s="28" t="str">
        <f t="shared" si="10"/>
        <v/>
      </c>
      <c r="V45" s="28">
        <f t="shared" si="11"/>
        <v>0</v>
      </c>
      <c r="W45" s="28">
        <f t="shared" si="12"/>
        <v>0</v>
      </c>
      <c r="X45" s="29">
        <f t="shared" si="13"/>
        <v>0</v>
      </c>
      <c r="Y45" s="24"/>
    </row>
    <row r="46" spans="2:25" ht="15" customHeight="1" x14ac:dyDescent="0.2">
      <c r="B46" s="31">
        <v>41736</v>
      </c>
      <c r="C46" s="25"/>
      <c r="D46" s="26"/>
      <c r="E46" s="26"/>
      <c r="F46" s="16">
        <v>12.988</v>
      </c>
      <c r="G46" s="16">
        <v>10.045</v>
      </c>
      <c r="H46" s="16">
        <v>10.657</v>
      </c>
      <c r="I46" s="17">
        <v>101.518</v>
      </c>
      <c r="J46" s="32">
        <v>408</v>
      </c>
      <c r="K46" s="18">
        <f t="shared" si="16"/>
        <v>60</v>
      </c>
      <c r="L46" s="19" t="str">
        <f t="shared" si="1"/>
        <v/>
      </c>
      <c r="M46" s="19" t="str">
        <f t="shared" si="2"/>
        <v/>
      </c>
      <c r="N46" s="19" t="str">
        <f t="shared" si="3"/>
        <v/>
      </c>
      <c r="O46" s="19">
        <f t="shared" si="17"/>
        <v>-20.00000000000135</v>
      </c>
      <c r="P46" s="19">
        <f t="shared" si="18"/>
        <v>-8.0000000000000071</v>
      </c>
      <c r="Q46" s="19">
        <f t="shared" si="19"/>
        <v>-6.0000000000002274</v>
      </c>
      <c r="R46" s="19">
        <f t="shared" si="15"/>
        <v>-10.99999999999568</v>
      </c>
      <c r="S46" s="27" t="str">
        <f t="shared" si="8"/>
        <v/>
      </c>
      <c r="T46" s="28" t="str">
        <f t="shared" si="9"/>
        <v/>
      </c>
      <c r="U46" s="28" t="str">
        <f t="shared" si="10"/>
        <v/>
      </c>
      <c r="V46" s="28">
        <f t="shared" si="11"/>
        <v>0</v>
      </c>
      <c r="W46" s="28">
        <f t="shared" si="12"/>
        <v>0</v>
      </c>
      <c r="X46" s="29">
        <f t="shared" si="13"/>
        <v>0</v>
      </c>
      <c r="Y46" s="24"/>
    </row>
    <row r="47" spans="2:25" ht="15" customHeight="1" x14ac:dyDescent="0.2">
      <c r="B47" s="31">
        <v>41737</v>
      </c>
      <c r="C47" s="25"/>
      <c r="D47" s="26"/>
      <c r="E47" s="26"/>
      <c r="F47" s="16">
        <v>12.988</v>
      </c>
      <c r="G47" s="16">
        <v>10.045</v>
      </c>
      <c r="H47" s="16">
        <v>10.657999999999999</v>
      </c>
      <c r="I47" s="17">
        <v>101.518</v>
      </c>
      <c r="J47" s="32">
        <v>436</v>
      </c>
      <c r="K47" s="18">
        <f t="shared" si="16"/>
        <v>88</v>
      </c>
      <c r="L47" s="19" t="str">
        <f t="shared" si="1"/>
        <v/>
      </c>
      <c r="M47" s="19" t="str">
        <f t="shared" si="2"/>
        <v/>
      </c>
      <c r="N47" s="19" t="str">
        <f t="shared" si="3"/>
        <v/>
      </c>
      <c r="O47" s="19">
        <f t="shared" si="17"/>
        <v>-20.00000000000135</v>
      </c>
      <c r="P47" s="19">
        <f t="shared" si="18"/>
        <v>-8.0000000000000071</v>
      </c>
      <c r="Q47" s="19">
        <f t="shared" si="19"/>
        <v>-5.0000000000007816</v>
      </c>
      <c r="R47" s="19">
        <f t="shared" si="15"/>
        <v>-10.99999999999568</v>
      </c>
      <c r="S47" s="27" t="str">
        <f t="shared" si="8"/>
        <v/>
      </c>
      <c r="T47" s="28" t="str">
        <f t="shared" si="9"/>
        <v/>
      </c>
      <c r="U47" s="28" t="str">
        <f t="shared" si="10"/>
        <v/>
      </c>
      <c r="V47" s="28">
        <f t="shared" si="11"/>
        <v>0</v>
      </c>
      <c r="W47" s="28">
        <f t="shared" si="12"/>
        <v>0</v>
      </c>
      <c r="X47" s="29">
        <f t="shared" si="13"/>
        <v>0.99999999999944578</v>
      </c>
      <c r="Y47" s="24"/>
    </row>
    <row r="48" spans="2:25" ht="15" customHeight="1" x14ac:dyDescent="0.2">
      <c r="B48" s="31">
        <v>41738</v>
      </c>
      <c r="C48" s="25"/>
      <c r="D48" s="26"/>
      <c r="E48" s="26"/>
      <c r="F48" s="16">
        <v>12.988</v>
      </c>
      <c r="G48" s="16">
        <v>10.045</v>
      </c>
      <c r="H48" s="16">
        <v>10.657999999999999</v>
      </c>
      <c r="I48" s="17">
        <v>101.518</v>
      </c>
      <c r="J48" s="32">
        <v>450</v>
      </c>
      <c r="K48" s="18">
        <f t="shared" si="16"/>
        <v>102</v>
      </c>
      <c r="L48" s="19" t="str">
        <f t="shared" ref="L48:L79" si="20">IF(ISBLANK(C48),"",(C48-C$16)*1000)</f>
        <v/>
      </c>
      <c r="M48" s="19" t="str">
        <f t="shared" ref="M48:M79" si="21">IF(ISBLANK(D48),"",(D48-D$16)*1000)</f>
        <v/>
      </c>
      <c r="N48" s="19" t="str">
        <f t="shared" ref="N48:N79" si="22">IF(ISBLANK(E48),"",(E48-E$16)*1000)</f>
        <v/>
      </c>
      <c r="O48" s="19">
        <f t="shared" si="17"/>
        <v>-20.00000000000135</v>
      </c>
      <c r="P48" s="19">
        <f t="shared" si="18"/>
        <v>-8.0000000000000071</v>
      </c>
      <c r="Q48" s="19">
        <f t="shared" si="19"/>
        <v>-5.0000000000007816</v>
      </c>
      <c r="R48" s="19">
        <f t="shared" si="15"/>
        <v>-10.99999999999568</v>
      </c>
      <c r="S48" s="27" t="str">
        <f t="shared" si="8"/>
        <v/>
      </c>
      <c r="T48" s="28" t="str">
        <f t="shared" si="9"/>
        <v/>
      </c>
      <c r="U48" s="28" t="str">
        <f t="shared" si="10"/>
        <v/>
      </c>
      <c r="V48" s="28">
        <f t="shared" si="11"/>
        <v>0</v>
      </c>
      <c r="W48" s="28">
        <f t="shared" si="12"/>
        <v>0</v>
      </c>
      <c r="X48" s="29">
        <f t="shared" si="13"/>
        <v>0</v>
      </c>
      <c r="Y48" s="24"/>
    </row>
    <row r="49" spans="2:25" ht="15" customHeight="1" x14ac:dyDescent="0.2">
      <c r="B49" s="31">
        <v>41739</v>
      </c>
      <c r="C49" s="25"/>
      <c r="D49" s="26"/>
      <c r="E49" s="26"/>
      <c r="F49" s="16">
        <v>12.988</v>
      </c>
      <c r="G49" s="16">
        <v>10.045</v>
      </c>
      <c r="H49" s="16">
        <v>10.657999999999999</v>
      </c>
      <c r="I49" s="17">
        <v>101.518</v>
      </c>
      <c r="J49" s="32">
        <v>457</v>
      </c>
      <c r="K49" s="18">
        <f t="shared" si="16"/>
        <v>109</v>
      </c>
      <c r="L49" s="19" t="str">
        <f t="shared" si="20"/>
        <v/>
      </c>
      <c r="M49" s="19" t="str">
        <f t="shared" si="21"/>
        <v/>
      </c>
      <c r="N49" s="19" t="str">
        <f t="shared" si="22"/>
        <v/>
      </c>
      <c r="O49" s="19">
        <f t="shared" si="17"/>
        <v>-20.00000000000135</v>
      </c>
      <c r="P49" s="19">
        <f t="shared" si="18"/>
        <v>-8.0000000000000071</v>
      </c>
      <c r="Q49" s="19">
        <f t="shared" si="19"/>
        <v>-5.0000000000007816</v>
      </c>
      <c r="R49" s="19">
        <f t="shared" si="15"/>
        <v>-10.99999999999568</v>
      </c>
      <c r="S49" s="27" t="str">
        <f t="shared" ref="S49:S80" si="23">IF(C49="","",((C49-C48)*1000)/($B49-$B48))</f>
        <v/>
      </c>
      <c r="T49" s="28" t="str">
        <f t="shared" ref="T49:T80" si="24">IF(D49="","",((D49-D48)*1000)/($B49-$B48))</f>
        <v/>
      </c>
      <c r="U49" s="28" t="str">
        <f t="shared" ref="U49:U80" si="25">IF(E49="","",((E49-E48)*1000)/($B49-$B48))</f>
        <v/>
      </c>
      <c r="V49" s="28">
        <f t="shared" ref="V49:V80" si="26">IF(F49="","",((F49-F48)*1000)/($B49-$B48))</f>
        <v>0</v>
      </c>
      <c r="W49" s="28">
        <f t="shared" ref="W49:W80" si="27">IF(G49="","",((G49-G48)*1000)/($B49-$B48))</f>
        <v>0</v>
      </c>
      <c r="X49" s="29">
        <f t="shared" ref="X49:X80" si="28">IF(H49="","",((H49-H48)*1000)/($B49-$B48))</f>
        <v>0</v>
      </c>
      <c r="Y49" s="24"/>
    </row>
    <row r="50" spans="2:25" ht="15" customHeight="1" x14ac:dyDescent="0.2">
      <c r="B50" s="31">
        <v>41745</v>
      </c>
      <c r="C50" s="25"/>
      <c r="D50" s="26"/>
      <c r="E50" s="26"/>
      <c r="F50" s="16">
        <v>12.988</v>
      </c>
      <c r="G50" s="16">
        <v>10.045</v>
      </c>
      <c r="H50" s="16">
        <v>10.657999999999999</v>
      </c>
      <c r="I50" s="17">
        <v>101.518</v>
      </c>
      <c r="J50" s="32">
        <v>516</v>
      </c>
      <c r="K50" s="18">
        <f t="shared" si="16"/>
        <v>168</v>
      </c>
      <c r="L50" s="19" t="str">
        <f t="shared" si="20"/>
        <v/>
      </c>
      <c r="M50" s="19" t="str">
        <f t="shared" si="21"/>
        <v/>
      </c>
      <c r="N50" s="19" t="str">
        <f t="shared" si="22"/>
        <v/>
      </c>
      <c r="O50" s="19">
        <f t="shared" si="17"/>
        <v>-20.00000000000135</v>
      </c>
      <c r="P50" s="19">
        <f t="shared" si="18"/>
        <v>-8.0000000000000071</v>
      </c>
      <c r="Q50" s="19">
        <f t="shared" si="19"/>
        <v>-5.0000000000007816</v>
      </c>
      <c r="R50" s="19">
        <f t="shared" si="15"/>
        <v>-10.99999999999568</v>
      </c>
      <c r="S50" s="27" t="str">
        <f t="shared" si="23"/>
        <v/>
      </c>
      <c r="T50" s="28" t="str">
        <f t="shared" si="24"/>
        <v/>
      </c>
      <c r="U50" s="28" t="str">
        <f t="shared" si="25"/>
        <v/>
      </c>
      <c r="V50" s="28">
        <f t="shared" si="26"/>
        <v>0</v>
      </c>
      <c r="W50" s="28">
        <f t="shared" si="27"/>
        <v>0</v>
      </c>
      <c r="X50" s="29">
        <f t="shared" si="28"/>
        <v>0</v>
      </c>
      <c r="Y50" s="24"/>
    </row>
    <row r="51" spans="2:25" ht="15" customHeight="1" x14ac:dyDescent="0.2">
      <c r="B51" s="31">
        <v>41752</v>
      </c>
      <c r="C51" s="25"/>
      <c r="D51" s="26"/>
      <c r="E51" s="26"/>
      <c r="F51" s="16">
        <v>12.988</v>
      </c>
      <c r="G51" s="16">
        <v>10.045</v>
      </c>
      <c r="H51" s="16">
        <v>10.657999999999999</v>
      </c>
      <c r="I51" s="17">
        <v>101.518</v>
      </c>
      <c r="J51" s="32">
        <v>534.5</v>
      </c>
      <c r="K51" s="18">
        <f t="shared" si="16"/>
        <v>186.5</v>
      </c>
      <c r="L51" s="19" t="str">
        <f t="shared" si="20"/>
        <v/>
      </c>
      <c r="M51" s="19" t="str">
        <f t="shared" si="21"/>
        <v/>
      </c>
      <c r="N51" s="19" t="str">
        <f t="shared" si="22"/>
        <v/>
      </c>
      <c r="O51" s="19">
        <f t="shared" si="17"/>
        <v>-20.00000000000135</v>
      </c>
      <c r="P51" s="19">
        <f t="shared" si="18"/>
        <v>-8.0000000000000071</v>
      </c>
      <c r="Q51" s="19">
        <f t="shared" si="19"/>
        <v>-5.0000000000007816</v>
      </c>
      <c r="R51" s="19">
        <f t="shared" si="15"/>
        <v>-10.99999999999568</v>
      </c>
      <c r="S51" s="27" t="str">
        <f t="shared" si="23"/>
        <v/>
      </c>
      <c r="T51" s="28" t="str">
        <f t="shared" si="24"/>
        <v/>
      </c>
      <c r="U51" s="28" t="str">
        <f t="shared" si="25"/>
        <v/>
      </c>
      <c r="V51" s="28">
        <f t="shared" si="26"/>
        <v>0</v>
      </c>
      <c r="W51" s="28">
        <f t="shared" si="27"/>
        <v>0</v>
      </c>
      <c r="X51" s="29">
        <f t="shared" si="28"/>
        <v>0</v>
      </c>
      <c r="Y51" s="24" t="s">
        <v>35</v>
      </c>
    </row>
    <row r="52" spans="2:25" ht="15" customHeight="1" x14ac:dyDescent="0.2">
      <c r="B52" s="31">
        <v>41759</v>
      </c>
      <c r="C52" s="25"/>
      <c r="D52" s="26"/>
      <c r="E52" s="26"/>
      <c r="F52" s="16">
        <v>12.988</v>
      </c>
      <c r="G52" s="16">
        <v>10.045</v>
      </c>
      <c r="H52" s="16">
        <v>10.657999999999999</v>
      </c>
      <c r="I52" s="17">
        <v>101.518</v>
      </c>
      <c r="J52" s="32">
        <v>534.5</v>
      </c>
      <c r="K52" s="18">
        <f t="shared" si="16"/>
        <v>186.5</v>
      </c>
      <c r="L52" s="19" t="str">
        <f t="shared" si="20"/>
        <v/>
      </c>
      <c r="M52" s="19" t="str">
        <f t="shared" si="21"/>
        <v/>
      </c>
      <c r="N52" s="19" t="str">
        <f t="shared" si="22"/>
        <v/>
      </c>
      <c r="O52" s="19">
        <f t="shared" si="17"/>
        <v>-20.00000000000135</v>
      </c>
      <c r="P52" s="19">
        <f t="shared" si="18"/>
        <v>-8.0000000000000071</v>
      </c>
      <c r="Q52" s="19">
        <f t="shared" si="19"/>
        <v>-5.0000000000007816</v>
      </c>
      <c r="R52" s="19">
        <f t="shared" si="15"/>
        <v>-10.99999999999568</v>
      </c>
      <c r="S52" s="27" t="str">
        <f t="shared" si="23"/>
        <v/>
      </c>
      <c r="T52" s="28" t="str">
        <f t="shared" si="24"/>
        <v/>
      </c>
      <c r="U52" s="28" t="str">
        <f t="shared" si="25"/>
        <v/>
      </c>
      <c r="V52" s="28">
        <f t="shared" si="26"/>
        <v>0</v>
      </c>
      <c r="W52" s="28">
        <f t="shared" si="27"/>
        <v>0</v>
      </c>
      <c r="X52" s="29">
        <f t="shared" si="28"/>
        <v>0</v>
      </c>
      <c r="Y52" s="24"/>
    </row>
    <row r="53" spans="2:25" ht="15" customHeight="1" x14ac:dyDescent="0.2">
      <c r="B53" s="31">
        <v>41781</v>
      </c>
      <c r="C53" s="25"/>
      <c r="D53" s="26"/>
      <c r="E53" s="26"/>
      <c r="F53" s="16">
        <v>12.988</v>
      </c>
      <c r="G53" s="16">
        <v>10.045</v>
      </c>
      <c r="H53" s="16">
        <v>10.657999999999999</v>
      </c>
      <c r="I53" s="17">
        <v>101.518</v>
      </c>
      <c r="J53" s="58">
        <v>792</v>
      </c>
      <c r="K53" s="18">
        <f t="shared" ref="K53:K58" si="29">IF(ISBLANK(J53),"",(J53-$J$8))</f>
        <v>444</v>
      </c>
      <c r="L53" s="19" t="str">
        <f t="shared" si="20"/>
        <v/>
      </c>
      <c r="M53" s="19" t="str">
        <f t="shared" si="21"/>
        <v/>
      </c>
      <c r="N53" s="19" t="str">
        <f t="shared" si="22"/>
        <v/>
      </c>
      <c r="O53" s="19">
        <f t="shared" si="17"/>
        <v>-20.00000000000135</v>
      </c>
      <c r="P53" s="19">
        <f t="shared" si="18"/>
        <v>-8.0000000000000071</v>
      </c>
      <c r="Q53" s="19">
        <f t="shared" si="19"/>
        <v>-5.0000000000007816</v>
      </c>
      <c r="R53" s="19">
        <f t="shared" si="15"/>
        <v>-10.99999999999568</v>
      </c>
      <c r="S53" s="27" t="str">
        <f t="shared" si="23"/>
        <v/>
      </c>
      <c r="T53" s="28" t="str">
        <f t="shared" si="24"/>
        <v/>
      </c>
      <c r="U53" s="28" t="str">
        <f t="shared" si="25"/>
        <v/>
      </c>
      <c r="V53" s="28">
        <f t="shared" si="26"/>
        <v>0</v>
      </c>
      <c r="W53" s="28">
        <f t="shared" si="27"/>
        <v>0</v>
      </c>
      <c r="X53" s="29">
        <f t="shared" si="28"/>
        <v>0</v>
      </c>
      <c r="Y53" s="24"/>
    </row>
    <row r="54" spans="2:25" ht="15" customHeight="1" x14ac:dyDescent="0.2">
      <c r="B54" s="31">
        <v>41843</v>
      </c>
      <c r="C54" s="25"/>
      <c r="D54" s="26"/>
      <c r="E54" s="26"/>
      <c r="F54" s="16">
        <v>12.987</v>
      </c>
      <c r="G54" s="16">
        <v>10.044</v>
      </c>
      <c r="H54" s="16">
        <v>10.657999999999999</v>
      </c>
      <c r="I54" s="17">
        <v>101.517</v>
      </c>
      <c r="J54" s="58">
        <v>943</v>
      </c>
      <c r="K54" s="18">
        <f t="shared" si="29"/>
        <v>595</v>
      </c>
      <c r="L54" s="19" t="str">
        <f t="shared" si="20"/>
        <v/>
      </c>
      <c r="M54" s="19" t="str">
        <f t="shared" si="21"/>
        <v/>
      </c>
      <c r="N54" s="19" t="str">
        <f t="shared" si="22"/>
        <v/>
      </c>
      <c r="O54" s="19">
        <f t="shared" si="17"/>
        <v>-21.000000000000796</v>
      </c>
      <c r="P54" s="19">
        <f t="shared" si="18"/>
        <v>-8.9999999999994529</v>
      </c>
      <c r="Q54" s="19">
        <f t="shared" si="19"/>
        <v>-5.0000000000007816</v>
      </c>
      <c r="R54" s="19">
        <f t="shared" si="15"/>
        <v>-12.000000000000455</v>
      </c>
      <c r="S54" s="27" t="str">
        <f t="shared" si="23"/>
        <v/>
      </c>
      <c r="T54" s="28" t="str">
        <f t="shared" si="24"/>
        <v/>
      </c>
      <c r="U54" s="28" t="str">
        <f t="shared" si="25"/>
        <v/>
      </c>
      <c r="V54" s="28">
        <f t="shared" si="26"/>
        <v>-1.6129032258055578E-2</v>
      </c>
      <c r="W54" s="28">
        <f t="shared" si="27"/>
        <v>-1.6129032258055578E-2</v>
      </c>
      <c r="X54" s="29">
        <f t="shared" si="28"/>
        <v>0</v>
      </c>
      <c r="Y54" s="24"/>
    </row>
    <row r="55" spans="2:25" ht="15" customHeight="1" x14ac:dyDescent="0.2">
      <c r="B55" s="31">
        <v>41933</v>
      </c>
      <c r="C55" s="25">
        <v>12.744999999999999</v>
      </c>
      <c r="D55" s="26">
        <v>7.4710000000000001</v>
      </c>
      <c r="E55" s="26">
        <v>8.1940000000000008</v>
      </c>
      <c r="F55" s="16">
        <v>12.987</v>
      </c>
      <c r="G55" s="16">
        <v>10.044</v>
      </c>
      <c r="H55" s="16">
        <v>10.657</v>
      </c>
      <c r="I55" s="17">
        <v>101.517</v>
      </c>
      <c r="J55" s="58">
        <v>943</v>
      </c>
      <c r="K55" s="18">
        <f t="shared" si="29"/>
        <v>595</v>
      </c>
      <c r="L55" s="19">
        <f t="shared" si="20"/>
        <v>-22.000000000000242</v>
      </c>
      <c r="M55" s="19">
        <f t="shared" si="21"/>
        <v>-9.0000000000003411</v>
      </c>
      <c r="N55" s="19">
        <f t="shared" si="22"/>
        <v>-7.9999999999991189</v>
      </c>
      <c r="O55" s="19">
        <f t="shared" si="17"/>
        <v>-21.000000000000796</v>
      </c>
      <c r="P55" s="19">
        <f t="shared" si="18"/>
        <v>-8.9999999999994529</v>
      </c>
      <c r="Q55" s="19">
        <f t="shared" si="19"/>
        <v>-6.0000000000002274</v>
      </c>
      <c r="R55" s="19">
        <f t="shared" si="15"/>
        <v>-12.000000000000455</v>
      </c>
      <c r="S55" s="27"/>
      <c r="T55" s="28"/>
      <c r="U55" s="28"/>
      <c r="V55" s="28">
        <f t="shared" si="26"/>
        <v>0</v>
      </c>
      <c r="W55" s="28">
        <f t="shared" si="27"/>
        <v>0</v>
      </c>
      <c r="X55" s="29">
        <f t="shared" si="28"/>
        <v>-1.1111111111104953E-2</v>
      </c>
      <c r="Y55" s="24"/>
    </row>
    <row r="56" spans="2:25" ht="15" customHeight="1" x14ac:dyDescent="0.2">
      <c r="B56" s="31">
        <v>42025</v>
      </c>
      <c r="C56" s="25"/>
      <c r="D56" s="26"/>
      <c r="E56" s="26"/>
      <c r="F56" s="16">
        <v>12.988</v>
      </c>
      <c r="G56" s="16">
        <v>10.045</v>
      </c>
      <c r="H56" s="16">
        <v>10.657</v>
      </c>
      <c r="I56" s="17">
        <v>101.517</v>
      </c>
      <c r="J56" s="58">
        <v>943</v>
      </c>
      <c r="K56" s="18">
        <f t="shared" si="29"/>
        <v>595</v>
      </c>
      <c r="L56" s="19" t="str">
        <f t="shared" si="20"/>
        <v/>
      </c>
      <c r="M56" s="19" t="str">
        <f t="shared" si="21"/>
        <v/>
      </c>
      <c r="N56" s="19" t="str">
        <f t="shared" si="22"/>
        <v/>
      </c>
      <c r="O56" s="19">
        <f t="shared" si="17"/>
        <v>-20.00000000000135</v>
      </c>
      <c r="P56" s="19">
        <f t="shared" si="18"/>
        <v>-8.0000000000000071</v>
      </c>
      <c r="Q56" s="19">
        <f t="shared" si="19"/>
        <v>-6.0000000000002274</v>
      </c>
      <c r="R56" s="19">
        <f t="shared" si="15"/>
        <v>-12.000000000000455</v>
      </c>
      <c r="S56" s="27" t="str">
        <f t="shared" si="23"/>
        <v/>
      </c>
      <c r="T56" s="28" t="str">
        <f t="shared" si="24"/>
        <v/>
      </c>
      <c r="U56" s="28" t="str">
        <f t="shared" si="25"/>
        <v/>
      </c>
      <c r="V56" s="28">
        <f t="shared" si="26"/>
        <v>1.0869565217385279E-2</v>
      </c>
      <c r="W56" s="28">
        <f t="shared" si="27"/>
        <v>1.0869565217385279E-2</v>
      </c>
      <c r="X56" s="29">
        <f t="shared" si="28"/>
        <v>0</v>
      </c>
      <c r="Y56" s="24"/>
    </row>
    <row r="57" spans="2:25" ht="15" customHeight="1" x14ac:dyDescent="0.2">
      <c r="B57" s="31">
        <v>42109</v>
      </c>
      <c r="C57" s="25"/>
      <c r="D57" s="26"/>
      <c r="E57" s="26"/>
      <c r="F57" s="16">
        <v>12.987</v>
      </c>
      <c r="G57" s="16">
        <v>10.045</v>
      </c>
      <c r="H57" s="16">
        <v>10.657</v>
      </c>
      <c r="I57" s="17">
        <v>101.517</v>
      </c>
      <c r="J57" s="58">
        <v>943</v>
      </c>
      <c r="K57" s="18">
        <f t="shared" si="29"/>
        <v>595</v>
      </c>
      <c r="L57" s="19" t="str">
        <f t="shared" si="20"/>
        <v/>
      </c>
      <c r="M57" s="19" t="str">
        <f t="shared" si="21"/>
        <v/>
      </c>
      <c r="N57" s="19" t="str">
        <f t="shared" si="22"/>
        <v/>
      </c>
      <c r="O57" s="19">
        <f t="shared" si="17"/>
        <v>-21.000000000000796</v>
      </c>
      <c r="P57" s="19">
        <f t="shared" si="18"/>
        <v>-8.0000000000000071</v>
      </c>
      <c r="Q57" s="19">
        <f t="shared" si="19"/>
        <v>-6.0000000000002274</v>
      </c>
      <c r="R57" s="19">
        <f t="shared" si="15"/>
        <v>-12.000000000000455</v>
      </c>
      <c r="S57" s="27" t="str">
        <f t="shared" si="23"/>
        <v/>
      </c>
      <c r="T57" s="28" t="str">
        <f t="shared" si="24"/>
        <v/>
      </c>
      <c r="U57" s="28" t="str">
        <f t="shared" si="25"/>
        <v/>
      </c>
      <c r="V57" s="28">
        <f t="shared" si="26"/>
        <v>-1.1904761904755307E-2</v>
      </c>
      <c r="W57" s="28">
        <f t="shared" si="27"/>
        <v>0</v>
      </c>
      <c r="X57" s="29">
        <f t="shared" si="28"/>
        <v>0</v>
      </c>
      <c r="Y57" s="24"/>
    </row>
    <row r="58" spans="2:25" ht="15" customHeight="1" x14ac:dyDescent="0.2">
      <c r="B58" s="31">
        <v>42221</v>
      </c>
      <c r="C58" s="33"/>
      <c r="D58" s="16"/>
      <c r="E58" s="16"/>
      <c r="F58" s="16">
        <v>12.986000000000001</v>
      </c>
      <c r="G58" s="16">
        <v>10.045</v>
      </c>
      <c r="H58" s="16">
        <v>10.656000000000001</v>
      </c>
      <c r="I58" s="16">
        <v>101.517</v>
      </c>
      <c r="J58" s="32">
        <v>1253</v>
      </c>
      <c r="K58" s="18">
        <f t="shared" si="29"/>
        <v>905</v>
      </c>
      <c r="L58" s="19" t="str">
        <f t="shared" si="20"/>
        <v/>
      </c>
      <c r="M58" s="19" t="str">
        <f t="shared" si="21"/>
        <v/>
      </c>
      <c r="N58" s="19" t="str">
        <f t="shared" si="22"/>
        <v/>
      </c>
      <c r="O58" s="19">
        <f t="shared" si="17"/>
        <v>-22.000000000000242</v>
      </c>
      <c r="P58" s="19">
        <f t="shared" si="18"/>
        <v>-8.0000000000000071</v>
      </c>
      <c r="Q58" s="19">
        <f t="shared" si="19"/>
        <v>-6.9999999999996732</v>
      </c>
      <c r="R58" s="19">
        <f t="shared" si="15"/>
        <v>-12.000000000000455</v>
      </c>
      <c r="S58" s="27" t="str">
        <f t="shared" si="23"/>
        <v/>
      </c>
      <c r="T58" s="28" t="str">
        <f t="shared" si="24"/>
        <v/>
      </c>
      <c r="U58" s="28" t="str">
        <f t="shared" si="25"/>
        <v/>
      </c>
      <c r="V58" s="28">
        <f t="shared" si="26"/>
        <v>-8.9285714285664806E-3</v>
      </c>
      <c r="W58" s="28">
        <f t="shared" si="27"/>
        <v>0</v>
      </c>
      <c r="X58" s="29">
        <f t="shared" si="28"/>
        <v>-8.9285714285664806E-3</v>
      </c>
      <c r="Y58" s="24"/>
    </row>
    <row r="59" spans="2:25" ht="15" customHeight="1" x14ac:dyDescent="0.2">
      <c r="B59" s="31">
        <v>42317</v>
      </c>
      <c r="C59" s="33"/>
      <c r="D59" s="16"/>
      <c r="E59" s="16"/>
      <c r="F59" s="16">
        <v>12.986000000000001</v>
      </c>
      <c r="G59" s="16">
        <v>10.045</v>
      </c>
      <c r="H59" s="16">
        <v>10.656000000000001</v>
      </c>
      <c r="I59" s="16">
        <v>101.517</v>
      </c>
      <c r="J59" s="32">
        <v>2215</v>
      </c>
      <c r="K59" s="18">
        <f t="shared" ref="K59:K61" si="30">IF(ISBLANK(J59),"",(J59-$J$8))</f>
        <v>1867</v>
      </c>
      <c r="L59" s="19" t="str">
        <f t="shared" si="20"/>
        <v/>
      </c>
      <c r="M59" s="19" t="str">
        <f t="shared" si="21"/>
        <v/>
      </c>
      <c r="N59" s="19" t="str">
        <f t="shared" si="22"/>
        <v/>
      </c>
      <c r="O59" s="19">
        <f t="shared" si="17"/>
        <v>-22.000000000000242</v>
      </c>
      <c r="P59" s="19">
        <f t="shared" si="18"/>
        <v>-8.0000000000000071</v>
      </c>
      <c r="Q59" s="19">
        <f t="shared" si="19"/>
        <v>-6.9999999999996732</v>
      </c>
      <c r="R59" s="19">
        <f t="shared" si="15"/>
        <v>-12.000000000000455</v>
      </c>
      <c r="S59" s="27" t="str">
        <f t="shared" si="23"/>
        <v/>
      </c>
      <c r="T59" s="28" t="str">
        <f t="shared" si="24"/>
        <v/>
      </c>
      <c r="U59" s="28" t="str">
        <f t="shared" si="25"/>
        <v/>
      </c>
      <c r="V59" s="28">
        <f t="shared" si="26"/>
        <v>0</v>
      </c>
      <c r="W59" s="28">
        <f t="shared" si="27"/>
        <v>0</v>
      </c>
      <c r="X59" s="29">
        <f t="shared" si="28"/>
        <v>0</v>
      </c>
      <c r="Y59" s="24"/>
    </row>
    <row r="60" spans="2:25" ht="15" customHeight="1" x14ac:dyDescent="0.2">
      <c r="B60" s="31">
        <v>42404</v>
      </c>
      <c r="C60" s="25">
        <v>12.742000000000001</v>
      </c>
      <c r="D60" s="26">
        <v>7.4720000000000004</v>
      </c>
      <c r="E60" s="26">
        <v>8.1920000000000002</v>
      </c>
      <c r="F60" s="16">
        <v>12.986000000000001</v>
      </c>
      <c r="G60" s="16">
        <v>10.044</v>
      </c>
      <c r="H60" s="16">
        <v>10.654999999999999</v>
      </c>
      <c r="I60" s="16">
        <v>101.517</v>
      </c>
      <c r="J60" s="58">
        <v>2484</v>
      </c>
      <c r="K60" s="18">
        <f t="shared" si="30"/>
        <v>2136</v>
      </c>
      <c r="L60" s="19">
        <f t="shared" si="20"/>
        <v>-24.999999999998579</v>
      </c>
      <c r="M60" s="19">
        <f t="shared" si="21"/>
        <v>-8.0000000000000071</v>
      </c>
      <c r="N60" s="19">
        <f t="shared" si="22"/>
        <v>-9.9999999999997868</v>
      </c>
      <c r="O60" s="19">
        <f t="shared" si="17"/>
        <v>-22.000000000000242</v>
      </c>
      <c r="P60" s="19">
        <f t="shared" si="18"/>
        <v>-8.9999999999994529</v>
      </c>
      <c r="Q60" s="19">
        <f t="shared" si="19"/>
        <v>-8.0000000000008953</v>
      </c>
      <c r="R60" s="19">
        <f t="shared" si="15"/>
        <v>-12.000000000000455</v>
      </c>
      <c r="S60" s="27"/>
      <c r="T60" s="28"/>
      <c r="U60" s="28"/>
      <c r="V60" s="28">
        <f t="shared" si="26"/>
        <v>0</v>
      </c>
      <c r="W60" s="28">
        <f t="shared" si="27"/>
        <v>-1.1494252873556848E-2</v>
      </c>
      <c r="X60" s="29">
        <f t="shared" si="28"/>
        <v>-1.1494252873577266E-2</v>
      </c>
      <c r="Y60" s="24"/>
    </row>
    <row r="61" spans="2:25" ht="15" customHeight="1" x14ac:dyDescent="0.2">
      <c r="B61" s="31">
        <v>42529</v>
      </c>
      <c r="C61" s="25"/>
      <c r="D61" s="26"/>
      <c r="E61" s="26"/>
      <c r="F61" s="16">
        <v>12.984999999999999</v>
      </c>
      <c r="G61" s="16">
        <v>10.044</v>
      </c>
      <c r="H61" s="16">
        <v>10.654</v>
      </c>
      <c r="I61" s="16">
        <v>101.517</v>
      </c>
      <c r="J61" s="58">
        <v>2603</v>
      </c>
      <c r="K61" s="18">
        <f t="shared" si="30"/>
        <v>2255</v>
      </c>
      <c r="L61" s="19" t="str">
        <f t="shared" si="20"/>
        <v/>
      </c>
      <c r="M61" s="19" t="str">
        <f t="shared" si="21"/>
        <v/>
      </c>
      <c r="N61" s="19" t="str">
        <f t="shared" si="22"/>
        <v/>
      </c>
      <c r="O61" s="19">
        <f t="shared" si="17"/>
        <v>-23.000000000001464</v>
      </c>
      <c r="P61" s="19">
        <f t="shared" si="18"/>
        <v>-8.9999999999994529</v>
      </c>
      <c r="Q61" s="19">
        <f t="shared" si="19"/>
        <v>-9.0000000000003411</v>
      </c>
      <c r="R61" s="19">
        <f t="shared" si="15"/>
        <v>-12.000000000000455</v>
      </c>
      <c r="S61" s="27" t="str">
        <f t="shared" si="23"/>
        <v/>
      </c>
      <c r="T61" s="28" t="str">
        <f t="shared" si="24"/>
        <v/>
      </c>
      <c r="U61" s="28" t="str">
        <f t="shared" si="25"/>
        <v/>
      </c>
      <c r="V61" s="28">
        <f t="shared" si="26"/>
        <v>-8.0000000000097771E-3</v>
      </c>
      <c r="W61" s="28">
        <f t="shared" si="27"/>
        <v>0</v>
      </c>
      <c r="X61" s="29">
        <f t="shared" si="28"/>
        <v>-7.9999999999955662E-3</v>
      </c>
      <c r="Y61" s="24"/>
    </row>
    <row r="62" spans="2:25" ht="15" customHeight="1" x14ac:dyDescent="0.2">
      <c r="B62" s="31"/>
      <c r="C62" s="25"/>
      <c r="D62" s="26"/>
      <c r="E62" s="26"/>
      <c r="F62" s="16"/>
      <c r="G62" s="16"/>
      <c r="H62" s="16"/>
      <c r="I62" s="16"/>
      <c r="J62" s="58"/>
      <c r="K62" s="18"/>
      <c r="L62" s="19" t="str">
        <f t="shared" si="20"/>
        <v/>
      </c>
      <c r="M62" s="19" t="str">
        <f t="shared" si="21"/>
        <v/>
      </c>
      <c r="N62" s="19" t="str">
        <f t="shared" si="22"/>
        <v/>
      </c>
      <c r="O62" s="19" t="str">
        <f t="shared" si="17"/>
        <v/>
      </c>
      <c r="P62" s="19" t="str">
        <f t="shared" si="18"/>
        <v/>
      </c>
      <c r="Q62" s="19" t="str">
        <f t="shared" si="19"/>
        <v/>
      </c>
      <c r="R62" s="19" t="str">
        <f t="shared" si="15"/>
        <v/>
      </c>
      <c r="S62" s="27" t="str">
        <f t="shared" si="23"/>
        <v/>
      </c>
      <c r="T62" s="28" t="str">
        <f t="shared" si="24"/>
        <v/>
      </c>
      <c r="U62" s="28" t="str">
        <f t="shared" si="25"/>
        <v/>
      </c>
      <c r="V62" s="28" t="str">
        <f t="shared" si="26"/>
        <v/>
      </c>
      <c r="W62" s="28" t="str">
        <f t="shared" si="27"/>
        <v/>
      </c>
      <c r="X62" s="29" t="str">
        <f t="shared" si="28"/>
        <v/>
      </c>
      <c r="Y62" s="24"/>
    </row>
    <row r="63" spans="2:25" ht="15" customHeight="1" x14ac:dyDescent="0.2">
      <c r="B63" s="31"/>
      <c r="C63" s="25"/>
      <c r="D63" s="26"/>
      <c r="E63" s="26"/>
      <c r="F63" s="16"/>
      <c r="G63" s="16"/>
      <c r="H63" s="16"/>
      <c r="I63" s="16"/>
      <c r="J63" s="58"/>
      <c r="K63" s="18"/>
      <c r="L63" s="19" t="str">
        <f t="shared" si="20"/>
        <v/>
      </c>
      <c r="M63" s="19" t="str">
        <f t="shared" si="21"/>
        <v/>
      </c>
      <c r="N63" s="19" t="str">
        <f t="shared" si="22"/>
        <v/>
      </c>
      <c r="O63" s="19" t="str">
        <f t="shared" si="17"/>
        <v/>
      </c>
      <c r="P63" s="19" t="str">
        <f t="shared" si="18"/>
        <v/>
      </c>
      <c r="Q63" s="19" t="str">
        <f t="shared" si="19"/>
        <v/>
      </c>
      <c r="R63" s="19" t="str">
        <f t="shared" si="15"/>
        <v/>
      </c>
      <c r="S63" s="27" t="str">
        <f t="shared" si="23"/>
        <v/>
      </c>
      <c r="T63" s="28" t="str">
        <f t="shared" si="24"/>
        <v/>
      </c>
      <c r="U63" s="28" t="str">
        <f t="shared" si="25"/>
        <v/>
      </c>
      <c r="V63" s="28" t="str">
        <f t="shared" si="26"/>
        <v/>
      </c>
      <c r="W63" s="28" t="str">
        <f t="shared" si="27"/>
        <v/>
      </c>
      <c r="X63" s="29" t="str">
        <f t="shared" si="28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20"/>
        <v/>
      </c>
      <c r="M64" s="19" t="str">
        <f t="shared" si="21"/>
        <v/>
      </c>
      <c r="N64" s="19" t="str">
        <f t="shared" si="22"/>
        <v/>
      </c>
      <c r="O64" s="19" t="str">
        <f t="shared" si="17"/>
        <v/>
      </c>
      <c r="P64" s="19" t="str">
        <f t="shared" si="18"/>
        <v/>
      </c>
      <c r="Q64" s="19" t="str">
        <f t="shared" si="19"/>
        <v/>
      </c>
      <c r="R64" s="19" t="str">
        <f t="shared" si="15"/>
        <v/>
      </c>
      <c r="S64" s="27" t="str">
        <f t="shared" si="23"/>
        <v/>
      </c>
      <c r="T64" s="28" t="str">
        <f t="shared" si="24"/>
        <v/>
      </c>
      <c r="U64" s="28" t="str">
        <f t="shared" si="25"/>
        <v/>
      </c>
      <c r="V64" s="28" t="str">
        <f t="shared" si="26"/>
        <v/>
      </c>
      <c r="W64" s="28" t="str">
        <f t="shared" si="27"/>
        <v/>
      </c>
      <c r="X64" s="29" t="str">
        <f t="shared" si="28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20"/>
        <v/>
      </c>
      <c r="M65" s="19" t="str">
        <f t="shared" si="21"/>
        <v/>
      </c>
      <c r="N65" s="19" t="str">
        <f t="shared" si="22"/>
        <v/>
      </c>
      <c r="O65" s="19" t="str">
        <f t="shared" si="17"/>
        <v/>
      </c>
      <c r="P65" s="19" t="str">
        <f t="shared" si="18"/>
        <v/>
      </c>
      <c r="Q65" s="19" t="str">
        <f t="shared" si="19"/>
        <v/>
      </c>
      <c r="R65" s="19" t="str">
        <f t="shared" ref="R65:R96" si="31">IF(ISBLANK(I65),"",(I65-I$16)*1000)</f>
        <v/>
      </c>
      <c r="S65" s="27" t="str">
        <f t="shared" si="23"/>
        <v/>
      </c>
      <c r="T65" s="28" t="str">
        <f t="shared" si="24"/>
        <v/>
      </c>
      <c r="U65" s="28" t="str">
        <f t="shared" si="25"/>
        <v/>
      </c>
      <c r="V65" s="28" t="str">
        <f t="shared" si="26"/>
        <v/>
      </c>
      <c r="W65" s="28" t="str">
        <f t="shared" si="27"/>
        <v/>
      </c>
      <c r="X65" s="29" t="str">
        <f t="shared" si="28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20"/>
        <v/>
      </c>
      <c r="M66" s="19" t="str">
        <f t="shared" si="21"/>
        <v/>
      </c>
      <c r="N66" s="19" t="str">
        <f t="shared" si="22"/>
        <v/>
      </c>
      <c r="O66" s="19" t="str">
        <f t="shared" si="17"/>
        <v/>
      </c>
      <c r="P66" s="19" t="str">
        <f t="shared" si="18"/>
        <v/>
      </c>
      <c r="Q66" s="19" t="str">
        <f t="shared" si="19"/>
        <v/>
      </c>
      <c r="R66" s="19" t="str">
        <f t="shared" si="31"/>
        <v/>
      </c>
      <c r="S66" s="27" t="str">
        <f t="shared" si="23"/>
        <v/>
      </c>
      <c r="T66" s="28" t="str">
        <f t="shared" si="24"/>
        <v/>
      </c>
      <c r="U66" s="28" t="str">
        <f t="shared" si="25"/>
        <v/>
      </c>
      <c r="V66" s="28" t="str">
        <f t="shared" si="26"/>
        <v/>
      </c>
      <c r="W66" s="28" t="str">
        <f t="shared" si="27"/>
        <v/>
      </c>
      <c r="X66" s="29" t="str">
        <f t="shared" si="28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20"/>
        <v/>
      </c>
      <c r="M67" s="19" t="str">
        <f t="shared" si="21"/>
        <v/>
      </c>
      <c r="N67" s="19" t="str">
        <f t="shared" si="22"/>
        <v/>
      </c>
      <c r="O67" s="19" t="str">
        <f t="shared" si="17"/>
        <v/>
      </c>
      <c r="P67" s="19" t="str">
        <f t="shared" si="18"/>
        <v/>
      </c>
      <c r="Q67" s="19" t="str">
        <f t="shared" si="19"/>
        <v/>
      </c>
      <c r="R67" s="19" t="str">
        <f t="shared" si="31"/>
        <v/>
      </c>
      <c r="S67" s="27" t="str">
        <f t="shared" si="23"/>
        <v/>
      </c>
      <c r="T67" s="28" t="str">
        <f t="shared" si="24"/>
        <v/>
      </c>
      <c r="U67" s="28" t="str">
        <f t="shared" si="25"/>
        <v/>
      </c>
      <c r="V67" s="28" t="str">
        <f t="shared" si="26"/>
        <v/>
      </c>
      <c r="W67" s="28" t="str">
        <f t="shared" si="27"/>
        <v/>
      </c>
      <c r="X67" s="29" t="str">
        <f t="shared" si="28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20"/>
        <v/>
      </c>
      <c r="M68" s="19" t="str">
        <f t="shared" si="21"/>
        <v/>
      </c>
      <c r="N68" s="19" t="str">
        <f t="shared" si="22"/>
        <v/>
      </c>
      <c r="O68" s="19" t="str">
        <f t="shared" si="17"/>
        <v/>
      </c>
      <c r="P68" s="19" t="str">
        <f t="shared" si="18"/>
        <v/>
      </c>
      <c r="Q68" s="19" t="str">
        <f t="shared" si="19"/>
        <v/>
      </c>
      <c r="R68" s="19" t="str">
        <f t="shared" si="31"/>
        <v/>
      </c>
      <c r="S68" s="27" t="str">
        <f t="shared" si="23"/>
        <v/>
      </c>
      <c r="T68" s="28" t="str">
        <f t="shared" si="24"/>
        <v/>
      </c>
      <c r="U68" s="28" t="str">
        <f t="shared" si="25"/>
        <v/>
      </c>
      <c r="V68" s="28" t="str">
        <f t="shared" si="26"/>
        <v/>
      </c>
      <c r="W68" s="28" t="str">
        <f t="shared" si="27"/>
        <v/>
      </c>
      <c r="X68" s="29" t="str">
        <f t="shared" si="28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20"/>
        <v/>
      </c>
      <c r="M69" s="19" t="str">
        <f t="shared" si="21"/>
        <v/>
      </c>
      <c r="N69" s="19" t="str">
        <f t="shared" si="22"/>
        <v/>
      </c>
      <c r="O69" s="19" t="str">
        <f t="shared" si="17"/>
        <v/>
      </c>
      <c r="P69" s="19" t="str">
        <f t="shared" si="18"/>
        <v/>
      </c>
      <c r="Q69" s="19" t="str">
        <f t="shared" si="19"/>
        <v/>
      </c>
      <c r="R69" s="19" t="str">
        <f t="shared" si="31"/>
        <v/>
      </c>
      <c r="S69" s="27" t="str">
        <f t="shared" si="23"/>
        <v/>
      </c>
      <c r="T69" s="28" t="str">
        <f t="shared" si="24"/>
        <v/>
      </c>
      <c r="U69" s="28" t="str">
        <f t="shared" si="25"/>
        <v/>
      </c>
      <c r="V69" s="28" t="str">
        <f t="shared" si="26"/>
        <v/>
      </c>
      <c r="W69" s="28" t="str">
        <f t="shared" si="27"/>
        <v/>
      </c>
      <c r="X69" s="29" t="str">
        <f t="shared" si="28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20"/>
        <v/>
      </c>
      <c r="M70" s="19" t="str">
        <f t="shared" si="21"/>
        <v/>
      </c>
      <c r="N70" s="19" t="str">
        <f t="shared" si="22"/>
        <v/>
      </c>
      <c r="O70" s="19" t="str">
        <f t="shared" si="17"/>
        <v/>
      </c>
      <c r="P70" s="19" t="str">
        <f t="shared" si="18"/>
        <v/>
      </c>
      <c r="Q70" s="19" t="str">
        <f t="shared" si="19"/>
        <v/>
      </c>
      <c r="R70" s="19" t="str">
        <f t="shared" si="31"/>
        <v/>
      </c>
      <c r="S70" s="27" t="str">
        <f t="shared" si="23"/>
        <v/>
      </c>
      <c r="T70" s="28" t="str">
        <f t="shared" si="24"/>
        <v/>
      </c>
      <c r="U70" s="28" t="str">
        <f t="shared" si="25"/>
        <v/>
      </c>
      <c r="V70" s="28" t="str">
        <f t="shared" si="26"/>
        <v/>
      </c>
      <c r="W70" s="28" t="str">
        <f t="shared" si="27"/>
        <v/>
      </c>
      <c r="X70" s="29" t="str">
        <f t="shared" si="28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20"/>
        <v/>
      </c>
      <c r="M71" s="19" t="str">
        <f t="shared" si="21"/>
        <v/>
      </c>
      <c r="N71" s="19" t="str">
        <f t="shared" si="22"/>
        <v/>
      </c>
      <c r="O71" s="19" t="str">
        <f t="shared" si="17"/>
        <v/>
      </c>
      <c r="P71" s="19" t="str">
        <f t="shared" si="18"/>
        <v/>
      </c>
      <c r="Q71" s="19" t="str">
        <f t="shared" si="19"/>
        <v/>
      </c>
      <c r="R71" s="19" t="str">
        <f t="shared" si="31"/>
        <v/>
      </c>
      <c r="S71" s="27" t="str">
        <f t="shared" si="23"/>
        <v/>
      </c>
      <c r="T71" s="28" t="str">
        <f t="shared" si="24"/>
        <v/>
      </c>
      <c r="U71" s="28" t="str">
        <f t="shared" si="25"/>
        <v/>
      </c>
      <c r="V71" s="28" t="str">
        <f t="shared" si="26"/>
        <v/>
      </c>
      <c r="W71" s="28" t="str">
        <f t="shared" si="27"/>
        <v/>
      </c>
      <c r="X71" s="29" t="str">
        <f t="shared" si="28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20"/>
        <v/>
      </c>
      <c r="M72" s="19" t="str">
        <f t="shared" si="21"/>
        <v/>
      </c>
      <c r="N72" s="19" t="str">
        <f t="shared" si="22"/>
        <v/>
      </c>
      <c r="O72" s="19" t="str">
        <f t="shared" si="17"/>
        <v/>
      </c>
      <c r="P72" s="19" t="str">
        <f t="shared" si="18"/>
        <v/>
      </c>
      <c r="Q72" s="19" t="str">
        <f t="shared" si="19"/>
        <v/>
      </c>
      <c r="R72" s="19" t="str">
        <f t="shared" si="31"/>
        <v/>
      </c>
      <c r="S72" s="27" t="str">
        <f t="shared" si="23"/>
        <v/>
      </c>
      <c r="T72" s="28" t="str">
        <f t="shared" si="24"/>
        <v/>
      </c>
      <c r="U72" s="28" t="str">
        <f t="shared" si="25"/>
        <v/>
      </c>
      <c r="V72" s="28" t="str">
        <f t="shared" si="26"/>
        <v/>
      </c>
      <c r="W72" s="28" t="str">
        <f t="shared" si="27"/>
        <v/>
      </c>
      <c r="X72" s="29" t="str">
        <f t="shared" si="28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20"/>
        <v/>
      </c>
      <c r="M73" s="19" t="str">
        <f t="shared" si="21"/>
        <v/>
      </c>
      <c r="N73" s="19" t="str">
        <f t="shared" si="22"/>
        <v/>
      </c>
      <c r="O73" s="19" t="str">
        <f t="shared" si="17"/>
        <v/>
      </c>
      <c r="P73" s="19" t="str">
        <f t="shared" si="18"/>
        <v/>
      </c>
      <c r="Q73" s="19" t="str">
        <f t="shared" si="19"/>
        <v/>
      </c>
      <c r="R73" s="19" t="str">
        <f t="shared" si="31"/>
        <v/>
      </c>
      <c r="S73" s="27" t="str">
        <f t="shared" si="23"/>
        <v/>
      </c>
      <c r="T73" s="28" t="str">
        <f t="shared" si="24"/>
        <v/>
      </c>
      <c r="U73" s="28" t="str">
        <f t="shared" si="25"/>
        <v/>
      </c>
      <c r="V73" s="28" t="str">
        <f t="shared" si="26"/>
        <v/>
      </c>
      <c r="W73" s="28" t="str">
        <f t="shared" si="27"/>
        <v/>
      </c>
      <c r="X73" s="29" t="str">
        <f t="shared" si="28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20"/>
        <v/>
      </c>
      <c r="M74" s="19" t="str">
        <f t="shared" si="21"/>
        <v/>
      </c>
      <c r="N74" s="19" t="str">
        <f t="shared" si="22"/>
        <v/>
      </c>
      <c r="O74" s="19" t="str">
        <f t="shared" si="17"/>
        <v/>
      </c>
      <c r="P74" s="19" t="str">
        <f t="shared" si="18"/>
        <v/>
      </c>
      <c r="Q74" s="19" t="str">
        <f t="shared" si="19"/>
        <v/>
      </c>
      <c r="R74" s="19" t="str">
        <f t="shared" si="31"/>
        <v/>
      </c>
      <c r="S74" s="27" t="str">
        <f t="shared" si="23"/>
        <v/>
      </c>
      <c r="T74" s="28" t="str">
        <f t="shared" si="24"/>
        <v/>
      </c>
      <c r="U74" s="28" t="str">
        <f t="shared" si="25"/>
        <v/>
      </c>
      <c r="V74" s="28" t="str">
        <f t="shared" si="26"/>
        <v/>
      </c>
      <c r="W74" s="28" t="str">
        <f t="shared" si="27"/>
        <v/>
      </c>
      <c r="X74" s="29" t="str">
        <f t="shared" si="28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20"/>
        <v/>
      </c>
      <c r="M75" s="19" t="str">
        <f t="shared" si="21"/>
        <v/>
      </c>
      <c r="N75" s="19" t="str">
        <f t="shared" si="22"/>
        <v/>
      </c>
      <c r="O75" s="19" t="str">
        <f t="shared" si="17"/>
        <v/>
      </c>
      <c r="P75" s="19" t="str">
        <f t="shared" si="18"/>
        <v/>
      </c>
      <c r="Q75" s="19" t="str">
        <f t="shared" si="19"/>
        <v/>
      </c>
      <c r="R75" s="19" t="str">
        <f t="shared" si="31"/>
        <v/>
      </c>
      <c r="S75" s="27" t="str">
        <f t="shared" si="23"/>
        <v/>
      </c>
      <c r="T75" s="28" t="str">
        <f t="shared" si="24"/>
        <v/>
      </c>
      <c r="U75" s="28" t="str">
        <f t="shared" si="25"/>
        <v/>
      </c>
      <c r="V75" s="28" t="str">
        <f t="shared" si="26"/>
        <v/>
      </c>
      <c r="W75" s="28" t="str">
        <f t="shared" si="27"/>
        <v/>
      </c>
      <c r="X75" s="29" t="str">
        <f t="shared" si="28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20"/>
        <v/>
      </c>
      <c r="M76" s="19" t="str">
        <f t="shared" si="21"/>
        <v/>
      </c>
      <c r="N76" s="19" t="str">
        <f t="shared" si="22"/>
        <v/>
      </c>
      <c r="O76" s="19" t="str">
        <f t="shared" si="17"/>
        <v/>
      </c>
      <c r="P76" s="19" t="str">
        <f t="shared" si="18"/>
        <v/>
      </c>
      <c r="Q76" s="19" t="str">
        <f t="shared" si="19"/>
        <v/>
      </c>
      <c r="R76" s="19" t="str">
        <f t="shared" si="31"/>
        <v/>
      </c>
      <c r="S76" s="27" t="str">
        <f t="shared" si="23"/>
        <v/>
      </c>
      <c r="T76" s="28" t="str">
        <f t="shared" si="24"/>
        <v/>
      </c>
      <c r="U76" s="28" t="str">
        <f t="shared" si="25"/>
        <v/>
      </c>
      <c r="V76" s="28" t="str">
        <f t="shared" si="26"/>
        <v/>
      </c>
      <c r="W76" s="28" t="str">
        <f t="shared" si="27"/>
        <v/>
      </c>
      <c r="X76" s="29" t="str">
        <f t="shared" si="28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20"/>
        <v/>
      </c>
      <c r="M77" s="19" t="str">
        <f t="shared" si="21"/>
        <v/>
      </c>
      <c r="N77" s="19" t="str">
        <f t="shared" si="22"/>
        <v/>
      </c>
      <c r="O77" s="19" t="str">
        <f t="shared" si="17"/>
        <v/>
      </c>
      <c r="P77" s="19" t="str">
        <f t="shared" si="18"/>
        <v/>
      </c>
      <c r="Q77" s="19" t="str">
        <f t="shared" si="19"/>
        <v/>
      </c>
      <c r="R77" s="19" t="str">
        <f t="shared" si="31"/>
        <v/>
      </c>
      <c r="S77" s="27" t="str">
        <f t="shared" si="23"/>
        <v/>
      </c>
      <c r="T77" s="28" t="str">
        <f t="shared" si="24"/>
        <v/>
      </c>
      <c r="U77" s="28" t="str">
        <f t="shared" si="25"/>
        <v/>
      </c>
      <c r="V77" s="28" t="str">
        <f t="shared" si="26"/>
        <v/>
      </c>
      <c r="W77" s="28" t="str">
        <f t="shared" si="27"/>
        <v/>
      </c>
      <c r="X77" s="29" t="str">
        <f t="shared" si="28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20"/>
        <v/>
      </c>
      <c r="M78" s="19" t="str">
        <f t="shared" si="21"/>
        <v/>
      </c>
      <c r="N78" s="19" t="str">
        <f t="shared" si="22"/>
        <v/>
      </c>
      <c r="O78" s="19" t="str">
        <f t="shared" si="17"/>
        <v/>
      </c>
      <c r="P78" s="19" t="str">
        <f t="shared" si="18"/>
        <v/>
      </c>
      <c r="Q78" s="19" t="str">
        <f t="shared" si="19"/>
        <v/>
      </c>
      <c r="R78" s="19" t="str">
        <f t="shared" si="31"/>
        <v/>
      </c>
      <c r="S78" s="27" t="str">
        <f t="shared" si="23"/>
        <v/>
      </c>
      <c r="T78" s="28" t="str">
        <f t="shared" si="24"/>
        <v/>
      </c>
      <c r="U78" s="28" t="str">
        <f t="shared" si="25"/>
        <v/>
      </c>
      <c r="V78" s="28" t="str">
        <f t="shared" si="26"/>
        <v/>
      </c>
      <c r="W78" s="28" t="str">
        <f t="shared" si="27"/>
        <v/>
      </c>
      <c r="X78" s="29" t="str">
        <f t="shared" si="28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20"/>
        <v/>
      </c>
      <c r="M79" s="19" t="str">
        <f t="shared" si="21"/>
        <v/>
      </c>
      <c r="N79" s="19" t="str">
        <f t="shared" si="22"/>
        <v/>
      </c>
      <c r="O79" s="19" t="str">
        <f t="shared" si="17"/>
        <v/>
      </c>
      <c r="P79" s="19" t="str">
        <f t="shared" si="18"/>
        <v/>
      </c>
      <c r="Q79" s="19" t="str">
        <f t="shared" si="19"/>
        <v/>
      </c>
      <c r="R79" s="19" t="str">
        <f t="shared" si="31"/>
        <v/>
      </c>
      <c r="S79" s="27" t="str">
        <f t="shared" si="23"/>
        <v/>
      </c>
      <c r="T79" s="28" t="str">
        <f t="shared" si="24"/>
        <v/>
      </c>
      <c r="U79" s="28" t="str">
        <f t="shared" si="25"/>
        <v/>
      </c>
      <c r="V79" s="28" t="str">
        <f t="shared" si="26"/>
        <v/>
      </c>
      <c r="W79" s="28" t="str">
        <f t="shared" si="27"/>
        <v/>
      </c>
      <c r="X79" s="29" t="str">
        <f t="shared" si="28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ref="L80:L111" si="32">IF(ISBLANK(C80),"",(C80-C$16)*1000)</f>
        <v/>
      </c>
      <c r="M80" s="19" t="str">
        <f t="shared" ref="M80:M111" si="33">IF(ISBLANK(D80),"",(D80-D$16)*1000)</f>
        <v/>
      </c>
      <c r="N80" s="19" t="str">
        <f t="shared" ref="N80:N111" si="34">IF(ISBLANK(E80),"",(E80-E$16)*1000)</f>
        <v/>
      </c>
      <c r="O80" s="19" t="str">
        <f t="shared" si="17"/>
        <v/>
      </c>
      <c r="P80" s="19" t="str">
        <f t="shared" si="18"/>
        <v/>
      </c>
      <c r="Q80" s="19" t="str">
        <f t="shared" si="19"/>
        <v/>
      </c>
      <c r="R80" s="19" t="str">
        <f t="shared" si="31"/>
        <v/>
      </c>
      <c r="S80" s="27" t="str">
        <f t="shared" si="23"/>
        <v/>
      </c>
      <c r="T80" s="28" t="str">
        <f t="shared" si="24"/>
        <v/>
      </c>
      <c r="U80" s="28" t="str">
        <f t="shared" si="25"/>
        <v/>
      </c>
      <c r="V80" s="28" t="str">
        <f t="shared" si="26"/>
        <v/>
      </c>
      <c r="W80" s="28" t="str">
        <f t="shared" si="27"/>
        <v/>
      </c>
      <c r="X80" s="29" t="str">
        <f t="shared" si="28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2"/>
        <v/>
      </c>
      <c r="M81" s="19" t="str">
        <f t="shared" si="33"/>
        <v/>
      </c>
      <c r="N81" s="19" t="str">
        <f t="shared" si="34"/>
        <v/>
      </c>
      <c r="O81" s="19" t="str">
        <f t="shared" si="17"/>
        <v/>
      </c>
      <c r="P81" s="19" t="str">
        <f t="shared" si="18"/>
        <v/>
      </c>
      <c r="Q81" s="19" t="str">
        <f t="shared" si="19"/>
        <v/>
      </c>
      <c r="R81" s="19" t="str">
        <f t="shared" si="31"/>
        <v/>
      </c>
      <c r="S81" s="27" t="str">
        <f t="shared" ref="S81:S112" si="35">IF(C81="","",((C81-C80)*1000)/($B81-$B80))</f>
        <v/>
      </c>
      <c r="T81" s="28" t="str">
        <f t="shared" ref="T81:T112" si="36">IF(D81="","",((D81-D80)*1000)/($B81-$B80))</f>
        <v/>
      </c>
      <c r="U81" s="28" t="str">
        <f t="shared" ref="U81:U112" si="37">IF(E81="","",((E81-E80)*1000)/($B81-$B80))</f>
        <v/>
      </c>
      <c r="V81" s="28" t="str">
        <f t="shared" ref="V81:V112" si="38">IF(F81="","",((F81-F80)*1000)/($B81-$B80))</f>
        <v/>
      </c>
      <c r="W81" s="28" t="str">
        <f t="shared" ref="W81:W112" si="39">IF(G81="","",((G81-G80)*1000)/($B81-$B80))</f>
        <v/>
      </c>
      <c r="X81" s="29" t="str">
        <f t="shared" ref="X81:X112" si="40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2"/>
        <v/>
      </c>
      <c r="M82" s="19" t="str">
        <f t="shared" si="33"/>
        <v/>
      </c>
      <c r="N82" s="19" t="str">
        <f t="shared" si="34"/>
        <v/>
      </c>
      <c r="O82" s="19" t="str">
        <f t="shared" si="17"/>
        <v/>
      </c>
      <c r="P82" s="19" t="str">
        <f t="shared" si="18"/>
        <v/>
      </c>
      <c r="Q82" s="19" t="str">
        <f t="shared" si="19"/>
        <v/>
      </c>
      <c r="R82" s="19" t="str">
        <f t="shared" si="31"/>
        <v/>
      </c>
      <c r="S82" s="27" t="str">
        <f t="shared" si="35"/>
        <v/>
      </c>
      <c r="T82" s="28" t="str">
        <f t="shared" si="36"/>
        <v/>
      </c>
      <c r="U82" s="28" t="str">
        <f t="shared" si="37"/>
        <v/>
      </c>
      <c r="V82" s="28" t="str">
        <f t="shared" si="38"/>
        <v/>
      </c>
      <c r="W82" s="28" t="str">
        <f t="shared" si="39"/>
        <v/>
      </c>
      <c r="X82" s="29" t="str">
        <f t="shared" si="40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2"/>
        <v/>
      </c>
      <c r="M83" s="19" t="str">
        <f t="shared" si="33"/>
        <v/>
      </c>
      <c r="N83" s="19" t="str">
        <f t="shared" si="34"/>
        <v/>
      </c>
      <c r="O83" s="19" t="str">
        <f t="shared" si="17"/>
        <v/>
      </c>
      <c r="P83" s="19" t="str">
        <f t="shared" si="18"/>
        <v/>
      </c>
      <c r="Q83" s="19" t="str">
        <f t="shared" si="19"/>
        <v/>
      </c>
      <c r="R83" s="19" t="str">
        <f t="shared" si="31"/>
        <v/>
      </c>
      <c r="S83" s="27" t="str">
        <f t="shared" si="35"/>
        <v/>
      </c>
      <c r="T83" s="28" t="str">
        <f t="shared" si="36"/>
        <v/>
      </c>
      <c r="U83" s="28" t="str">
        <f t="shared" si="37"/>
        <v/>
      </c>
      <c r="V83" s="28" t="str">
        <f t="shared" si="38"/>
        <v/>
      </c>
      <c r="W83" s="28" t="str">
        <f t="shared" si="39"/>
        <v/>
      </c>
      <c r="X83" s="29" t="str">
        <f t="shared" si="40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2"/>
        <v/>
      </c>
      <c r="M84" s="19" t="str">
        <f t="shared" si="33"/>
        <v/>
      </c>
      <c r="N84" s="19" t="str">
        <f t="shared" si="34"/>
        <v/>
      </c>
      <c r="O84" s="19" t="str">
        <f t="shared" si="17"/>
        <v/>
      </c>
      <c r="P84" s="19" t="str">
        <f t="shared" si="18"/>
        <v/>
      </c>
      <c r="Q84" s="19" t="str">
        <f t="shared" si="19"/>
        <v/>
      </c>
      <c r="R84" s="19" t="str">
        <f t="shared" si="31"/>
        <v/>
      </c>
      <c r="S84" s="27" t="str">
        <f t="shared" si="35"/>
        <v/>
      </c>
      <c r="T84" s="28" t="str">
        <f t="shared" si="36"/>
        <v/>
      </c>
      <c r="U84" s="28" t="str">
        <f t="shared" si="37"/>
        <v/>
      </c>
      <c r="V84" s="28" t="str">
        <f t="shared" si="38"/>
        <v/>
      </c>
      <c r="W84" s="28" t="str">
        <f t="shared" si="39"/>
        <v/>
      </c>
      <c r="X84" s="29" t="str">
        <f t="shared" si="40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2"/>
        <v/>
      </c>
      <c r="M85" s="19" t="str">
        <f t="shared" si="33"/>
        <v/>
      </c>
      <c r="N85" s="19" t="str">
        <f t="shared" si="34"/>
        <v/>
      </c>
      <c r="O85" s="19" t="str">
        <f t="shared" si="17"/>
        <v/>
      </c>
      <c r="P85" s="19" t="str">
        <f t="shared" si="18"/>
        <v/>
      </c>
      <c r="Q85" s="19" t="str">
        <f t="shared" si="19"/>
        <v/>
      </c>
      <c r="R85" s="19" t="str">
        <f t="shared" si="31"/>
        <v/>
      </c>
      <c r="S85" s="27" t="str">
        <f t="shared" si="35"/>
        <v/>
      </c>
      <c r="T85" s="28" t="str">
        <f t="shared" si="36"/>
        <v/>
      </c>
      <c r="U85" s="28" t="str">
        <f t="shared" si="37"/>
        <v/>
      </c>
      <c r="V85" s="28" t="str">
        <f t="shared" si="38"/>
        <v/>
      </c>
      <c r="W85" s="28" t="str">
        <f t="shared" si="39"/>
        <v/>
      </c>
      <c r="X85" s="29" t="str">
        <f t="shared" si="40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2"/>
        <v/>
      </c>
      <c r="M86" s="19" t="str">
        <f t="shared" si="33"/>
        <v/>
      </c>
      <c r="N86" s="19" t="str">
        <f t="shared" si="34"/>
        <v/>
      </c>
      <c r="O86" s="19" t="str">
        <f t="shared" si="17"/>
        <v/>
      </c>
      <c r="P86" s="19" t="str">
        <f t="shared" si="18"/>
        <v/>
      </c>
      <c r="Q86" s="19" t="str">
        <f t="shared" si="19"/>
        <v/>
      </c>
      <c r="R86" s="19" t="str">
        <f t="shared" si="31"/>
        <v/>
      </c>
      <c r="S86" s="27" t="str">
        <f t="shared" si="35"/>
        <v/>
      </c>
      <c r="T86" s="28" t="str">
        <f t="shared" si="36"/>
        <v/>
      </c>
      <c r="U86" s="28" t="str">
        <f t="shared" si="37"/>
        <v/>
      </c>
      <c r="V86" s="28" t="str">
        <f t="shared" si="38"/>
        <v/>
      </c>
      <c r="W86" s="28" t="str">
        <f t="shared" si="39"/>
        <v/>
      </c>
      <c r="X86" s="29" t="str">
        <f t="shared" si="40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2"/>
        <v/>
      </c>
      <c r="M87" s="19" t="str">
        <f t="shared" si="33"/>
        <v/>
      </c>
      <c r="N87" s="19" t="str">
        <f t="shared" si="34"/>
        <v/>
      </c>
      <c r="O87" s="19" t="str">
        <f t="shared" si="17"/>
        <v/>
      </c>
      <c r="P87" s="19" t="str">
        <f t="shared" si="18"/>
        <v/>
      </c>
      <c r="Q87" s="19" t="str">
        <f t="shared" si="19"/>
        <v/>
      </c>
      <c r="R87" s="19" t="str">
        <f t="shared" si="31"/>
        <v/>
      </c>
      <c r="S87" s="27" t="str">
        <f t="shared" si="35"/>
        <v/>
      </c>
      <c r="T87" s="28" t="str">
        <f t="shared" si="36"/>
        <v/>
      </c>
      <c r="U87" s="28" t="str">
        <f t="shared" si="37"/>
        <v/>
      </c>
      <c r="V87" s="28" t="str">
        <f t="shared" si="38"/>
        <v/>
      </c>
      <c r="W87" s="28" t="str">
        <f t="shared" si="39"/>
        <v/>
      </c>
      <c r="X87" s="29" t="str">
        <f t="shared" si="40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2"/>
        <v/>
      </c>
      <c r="M88" s="19" t="str">
        <f t="shared" si="33"/>
        <v/>
      </c>
      <c r="N88" s="19" t="str">
        <f t="shared" si="34"/>
        <v/>
      </c>
      <c r="O88" s="19" t="str">
        <f t="shared" si="17"/>
        <v/>
      </c>
      <c r="P88" s="19" t="str">
        <f t="shared" si="18"/>
        <v/>
      </c>
      <c r="Q88" s="19" t="str">
        <f t="shared" si="19"/>
        <v/>
      </c>
      <c r="R88" s="19" t="str">
        <f t="shared" si="31"/>
        <v/>
      </c>
      <c r="S88" s="27" t="str">
        <f t="shared" si="35"/>
        <v/>
      </c>
      <c r="T88" s="28" t="str">
        <f t="shared" si="36"/>
        <v/>
      </c>
      <c r="U88" s="28" t="str">
        <f t="shared" si="37"/>
        <v/>
      </c>
      <c r="V88" s="28" t="str">
        <f t="shared" si="38"/>
        <v/>
      </c>
      <c r="W88" s="28" t="str">
        <f t="shared" si="39"/>
        <v/>
      </c>
      <c r="X88" s="29" t="str">
        <f t="shared" si="40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2"/>
        <v/>
      </c>
      <c r="M89" s="19" t="str">
        <f t="shared" si="33"/>
        <v/>
      </c>
      <c r="N89" s="19" t="str">
        <f t="shared" si="34"/>
        <v/>
      </c>
      <c r="O89" s="19" t="str">
        <f t="shared" si="17"/>
        <v/>
      </c>
      <c r="P89" s="19" t="str">
        <f t="shared" si="18"/>
        <v/>
      </c>
      <c r="Q89" s="19" t="str">
        <f t="shared" si="19"/>
        <v/>
      </c>
      <c r="R89" s="19" t="str">
        <f t="shared" si="31"/>
        <v/>
      </c>
      <c r="S89" s="27" t="str">
        <f t="shared" si="35"/>
        <v/>
      </c>
      <c r="T89" s="28" t="str">
        <f t="shared" si="36"/>
        <v/>
      </c>
      <c r="U89" s="28" t="str">
        <f t="shared" si="37"/>
        <v/>
      </c>
      <c r="V89" s="28" t="str">
        <f t="shared" si="38"/>
        <v/>
      </c>
      <c r="W89" s="28" t="str">
        <f t="shared" si="39"/>
        <v/>
      </c>
      <c r="X89" s="29" t="str">
        <f t="shared" si="40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2"/>
        <v/>
      </c>
      <c r="M90" s="19" t="str">
        <f t="shared" si="33"/>
        <v/>
      </c>
      <c r="N90" s="19" t="str">
        <f t="shared" si="34"/>
        <v/>
      </c>
      <c r="O90" s="19" t="str">
        <f t="shared" si="17"/>
        <v/>
      </c>
      <c r="P90" s="19" t="str">
        <f t="shared" si="18"/>
        <v/>
      </c>
      <c r="Q90" s="19" t="str">
        <f t="shared" si="19"/>
        <v/>
      </c>
      <c r="R90" s="19" t="str">
        <f t="shared" si="31"/>
        <v/>
      </c>
      <c r="S90" s="27" t="str">
        <f t="shared" si="35"/>
        <v/>
      </c>
      <c r="T90" s="28" t="str">
        <f t="shared" si="36"/>
        <v/>
      </c>
      <c r="U90" s="28" t="str">
        <f t="shared" si="37"/>
        <v/>
      </c>
      <c r="V90" s="28" t="str">
        <f t="shared" si="38"/>
        <v/>
      </c>
      <c r="W90" s="28" t="str">
        <f t="shared" si="39"/>
        <v/>
      </c>
      <c r="X90" s="29" t="str">
        <f t="shared" si="40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2"/>
        <v/>
      </c>
      <c r="M91" s="19" t="str">
        <f t="shared" si="33"/>
        <v/>
      </c>
      <c r="N91" s="19" t="str">
        <f t="shared" si="34"/>
        <v/>
      </c>
      <c r="O91" s="19" t="str">
        <f t="shared" si="17"/>
        <v/>
      </c>
      <c r="P91" s="19" t="str">
        <f t="shared" si="18"/>
        <v/>
      </c>
      <c r="Q91" s="19" t="str">
        <f t="shared" si="19"/>
        <v/>
      </c>
      <c r="R91" s="19" t="str">
        <f t="shared" si="31"/>
        <v/>
      </c>
      <c r="S91" s="27" t="str">
        <f t="shared" si="35"/>
        <v/>
      </c>
      <c r="T91" s="28" t="str">
        <f t="shared" si="36"/>
        <v/>
      </c>
      <c r="U91" s="28" t="str">
        <f t="shared" si="37"/>
        <v/>
      </c>
      <c r="V91" s="28" t="str">
        <f t="shared" si="38"/>
        <v/>
      </c>
      <c r="W91" s="28" t="str">
        <f t="shared" si="39"/>
        <v/>
      </c>
      <c r="X91" s="29" t="str">
        <f t="shared" si="40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2"/>
        <v/>
      </c>
      <c r="M92" s="19" t="str">
        <f t="shared" si="33"/>
        <v/>
      </c>
      <c r="N92" s="19" t="str">
        <f t="shared" si="34"/>
        <v/>
      </c>
      <c r="O92" s="19" t="str">
        <f t="shared" si="17"/>
        <v/>
      </c>
      <c r="P92" s="19" t="str">
        <f t="shared" si="18"/>
        <v/>
      </c>
      <c r="Q92" s="19" t="str">
        <f t="shared" si="19"/>
        <v/>
      </c>
      <c r="R92" s="19" t="str">
        <f t="shared" si="31"/>
        <v/>
      </c>
      <c r="S92" s="27" t="str">
        <f t="shared" si="35"/>
        <v/>
      </c>
      <c r="T92" s="28" t="str">
        <f t="shared" si="36"/>
        <v/>
      </c>
      <c r="U92" s="28" t="str">
        <f t="shared" si="37"/>
        <v/>
      </c>
      <c r="V92" s="28" t="str">
        <f t="shared" si="38"/>
        <v/>
      </c>
      <c r="W92" s="28" t="str">
        <f t="shared" si="39"/>
        <v/>
      </c>
      <c r="X92" s="29" t="str">
        <f t="shared" si="40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2"/>
        <v/>
      </c>
      <c r="M93" s="19" t="str">
        <f t="shared" si="33"/>
        <v/>
      </c>
      <c r="N93" s="19" t="str">
        <f t="shared" si="34"/>
        <v/>
      </c>
      <c r="O93" s="19" t="str">
        <f t="shared" si="17"/>
        <v/>
      </c>
      <c r="P93" s="19" t="str">
        <f t="shared" si="18"/>
        <v/>
      </c>
      <c r="Q93" s="19" t="str">
        <f t="shared" si="19"/>
        <v/>
      </c>
      <c r="R93" s="19" t="str">
        <f t="shared" si="31"/>
        <v/>
      </c>
      <c r="S93" s="27" t="str">
        <f t="shared" si="35"/>
        <v/>
      </c>
      <c r="T93" s="28" t="str">
        <f t="shared" si="36"/>
        <v/>
      </c>
      <c r="U93" s="28" t="str">
        <f t="shared" si="37"/>
        <v/>
      </c>
      <c r="V93" s="28" t="str">
        <f t="shared" si="38"/>
        <v/>
      </c>
      <c r="W93" s="28" t="str">
        <f t="shared" si="39"/>
        <v/>
      </c>
      <c r="X93" s="29" t="str">
        <f t="shared" si="40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2"/>
        <v/>
      </c>
      <c r="M94" s="19" t="str">
        <f t="shared" si="33"/>
        <v/>
      </c>
      <c r="N94" s="19" t="str">
        <f t="shared" si="34"/>
        <v/>
      </c>
      <c r="O94" s="19" t="str">
        <f t="shared" si="17"/>
        <v/>
      </c>
      <c r="P94" s="19" t="str">
        <f t="shared" si="18"/>
        <v/>
      </c>
      <c r="Q94" s="19" t="str">
        <f t="shared" si="19"/>
        <v/>
      </c>
      <c r="R94" s="19" t="str">
        <f t="shared" si="31"/>
        <v/>
      </c>
      <c r="S94" s="27" t="str">
        <f t="shared" si="35"/>
        <v/>
      </c>
      <c r="T94" s="28" t="str">
        <f t="shared" si="36"/>
        <v/>
      </c>
      <c r="U94" s="28" t="str">
        <f t="shared" si="37"/>
        <v/>
      </c>
      <c r="V94" s="28" t="str">
        <f t="shared" si="38"/>
        <v/>
      </c>
      <c r="W94" s="28" t="str">
        <f t="shared" si="39"/>
        <v/>
      </c>
      <c r="X94" s="29" t="str">
        <f t="shared" si="40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2"/>
        <v/>
      </c>
      <c r="M95" s="19" t="str">
        <f t="shared" si="33"/>
        <v/>
      </c>
      <c r="N95" s="19" t="str">
        <f t="shared" si="34"/>
        <v/>
      </c>
      <c r="O95" s="19" t="str">
        <f t="shared" si="17"/>
        <v/>
      </c>
      <c r="P95" s="19" t="str">
        <f t="shared" si="18"/>
        <v/>
      </c>
      <c r="Q95" s="19" t="str">
        <f t="shared" si="19"/>
        <v/>
      </c>
      <c r="R95" s="19" t="str">
        <f t="shared" si="31"/>
        <v/>
      </c>
      <c r="S95" s="27" t="str">
        <f t="shared" si="35"/>
        <v/>
      </c>
      <c r="T95" s="28" t="str">
        <f t="shared" si="36"/>
        <v/>
      </c>
      <c r="U95" s="28" t="str">
        <f t="shared" si="37"/>
        <v/>
      </c>
      <c r="V95" s="28" t="str">
        <f t="shared" si="38"/>
        <v/>
      </c>
      <c r="W95" s="28" t="str">
        <f t="shared" si="39"/>
        <v/>
      </c>
      <c r="X95" s="29" t="str">
        <f t="shared" si="40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2"/>
        <v/>
      </c>
      <c r="M96" s="19" t="str">
        <f t="shared" si="33"/>
        <v/>
      </c>
      <c r="N96" s="19" t="str">
        <f t="shared" si="34"/>
        <v/>
      </c>
      <c r="O96" s="19" t="str">
        <f t="shared" si="17"/>
        <v/>
      </c>
      <c r="P96" s="19" t="str">
        <f t="shared" si="18"/>
        <v/>
      </c>
      <c r="Q96" s="19" t="str">
        <f t="shared" si="19"/>
        <v/>
      </c>
      <c r="R96" s="19" t="str">
        <f t="shared" si="31"/>
        <v/>
      </c>
      <c r="S96" s="27" t="str">
        <f t="shared" si="35"/>
        <v/>
      </c>
      <c r="T96" s="28" t="str">
        <f t="shared" si="36"/>
        <v/>
      </c>
      <c r="U96" s="28" t="str">
        <f t="shared" si="37"/>
        <v/>
      </c>
      <c r="V96" s="28" t="str">
        <f t="shared" si="38"/>
        <v/>
      </c>
      <c r="W96" s="28" t="str">
        <f t="shared" si="39"/>
        <v/>
      </c>
      <c r="X96" s="29" t="str">
        <f t="shared" si="40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2"/>
        <v/>
      </c>
      <c r="M97" s="19" t="str">
        <f t="shared" si="33"/>
        <v/>
      </c>
      <c r="N97" s="19" t="str">
        <f t="shared" si="34"/>
        <v/>
      </c>
      <c r="O97" s="19" t="str">
        <f t="shared" si="17"/>
        <v/>
      </c>
      <c r="P97" s="19" t="str">
        <f t="shared" si="18"/>
        <v/>
      </c>
      <c r="Q97" s="19" t="str">
        <f t="shared" si="19"/>
        <v/>
      </c>
      <c r="R97" s="19" t="str">
        <f t="shared" ref="R97:R128" si="41">IF(ISBLANK(I97),"",(I97-I$16)*1000)</f>
        <v/>
      </c>
      <c r="S97" s="27" t="str">
        <f t="shared" si="35"/>
        <v/>
      </c>
      <c r="T97" s="28" t="str">
        <f t="shared" si="36"/>
        <v/>
      </c>
      <c r="U97" s="28" t="str">
        <f t="shared" si="37"/>
        <v/>
      </c>
      <c r="V97" s="28" t="str">
        <f t="shared" si="38"/>
        <v/>
      </c>
      <c r="W97" s="28" t="str">
        <f t="shared" si="39"/>
        <v/>
      </c>
      <c r="X97" s="29" t="str">
        <f t="shared" si="40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2"/>
        <v/>
      </c>
      <c r="M98" s="19" t="str">
        <f t="shared" si="33"/>
        <v/>
      </c>
      <c r="N98" s="19" t="str">
        <f t="shared" si="34"/>
        <v/>
      </c>
      <c r="O98" s="19" t="str">
        <f t="shared" si="17"/>
        <v/>
      </c>
      <c r="P98" s="19" t="str">
        <f t="shared" si="18"/>
        <v/>
      </c>
      <c r="Q98" s="19" t="str">
        <f t="shared" si="19"/>
        <v/>
      </c>
      <c r="R98" s="19" t="str">
        <f t="shared" si="41"/>
        <v/>
      </c>
      <c r="S98" s="27" t="str">
        <f t="shared" si="35"/>
        <v/>
      </c>
      <c r="T98" s="28" t="str">
        <f t="shared" si="36"/>
        <v/>
      </c>
      <c r="U98" s="28" t="str">
        <f t="shared" si="37"/>
        <v/>
      </c>
      <c r="V98" s="28" t="str">
        <f t="shared" si="38"/>
        <v/>
      </c>
      <c r="W98" s="28" t="str">
        <f t="shared" si="39"/>
        <v/>
      </c>
      <c r="X98" s="29" t="str">
        <f t="shared" si="40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2"/>
        <v/>
      </c>
      <c r="M99" s="19" t="str">
        <f t="shared" si="33"/>
        <v/>
      </c>
      <c r="N99" s="19" t="str">
        <f t="shared" si="34"/>
        <v/>
      </c>
      <c r="O99" s="19" t="str">
        <f t="shared" si="17"/>
        <v/>
      </c>
      <c r="P99" s="19" t="str">
        <f t="shared" si="18"/>
        <v/>
      </c>
      <c r="Q99" s="19" t="str">
        <f t="shared" si="19"/>
        <v/>
      </c>
      <c r="R99" s="19" t="str">
        <f t="shared" si="41"/>
        <v/>
      </c>
      <c r="S99" s="27" t="str">
        <f t="shared" si="35"/>
        <v/>
      </c>
      <c r="T99" s="28" t="str">
        <f t="shared" si="36"/>
        <v/>
      </c>
      <c r="U99" s="28" t="str">
        <f t="shared" si="37"/>
        <v/>
      </c>
      <c r="V99" s="28" t="str">
        <f t="shared" si="38"/>
        <v/>
      </c>
      <c r="W99" s="28" t="str">
        <f t="shared" si="39"/>
        <v/>
      </c>
      <c r="X99" s="29" t="str">
        <f t="shared" si="40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2"/>
        <v/>
      </c>
      <c r="M100" s="19" t="str">
        <f t="shared" si="33"/>
        <v/>
      </c>
      <c r="N100" s="19" t="str">
        <f t="shared" si="34"/>
        <v/>
      </c>
      <c r="O100" s="19" t="str">
        <f t="shared" si="17"/>
        <v/>
      </c>
      <c r="P100" s="19" t="str">
        <f t="shared" si="18"/>
        <v/>
      </c>
      <c r="Q100" s="19" t="str">
        <f t="shared" si="19"/>
        <v/>
      </c>
      <c r="R100" s="19" t="str">
        <f t="shared" si="41"/>
        <v/>
      </c>
      <c r="S100" s="27" t="str">
        <f t="shared" si="35"/>
        <v/>
      </c>
      <c r="T100" s="28" t="str">
        <f t="shared" si="36"/>
        <v/>
      </c>
      <c r="U100" s="28" t="str">
        <f t="shared" si="37"/>
        <v/>
      </c>
      <c r="V100" s="28" t="str">
        <f t="shared" si="38"/>
        <v/>
      </c>
      <c r="W100" s="28" t="str">
        <f t="shared" si="39"/>
        <v/>
      </c>
      <c r="X100" s="29" t="str">
        <f t="shared" si="40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2"/>
        <v/>
      </c>
      <c r="M101" s="19" t="str">
        <f t="shared" si="33"/>
        <v/>
      </c>
      <c r="N101" s="19" t="str">
        <f t="shared" si="34"/>
        <v/>
      </c>
      <c r="O101" s="19" t="str">
        <f t="shared" si="17"/>
        <v/>
      </c>
      <c r="P101" s="19" t="str">
        <f t="shared" si="18"/>
        <v/>
      </c>
      <c r="Q101" s="19" t="str">
        <f t="shared" si="19"/>
        <v/>
      </c>
      <c r="R101" s="19" t="str">
        <f t="shared" si="41"/>
        <v/>
      </c>
      <c r="S101" s="27" t="str">
        <f t="shared" si="35"/>
        <v/>
      </c>
      <c r="T101" s="28" t="str">
        <f t="shared" si="36"/>
        <v/>
      </c>
      <c r="U101" s="28" t="str">
        <f t="shared" si="37"/>
        <v/>
      </c>
      <c r="V101" s="28" t="str">
        <f t="shared" si="38"/>
        <v/>
      </c>
      <c r="W101" s="28" t="str">
        <f t="shared" si="39"/>
        <v/>
      </c>
      <c r="X101" s="29" t="str">
        <f t="shared" si="40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2"/>
        <v/>
      </c>
      <c r="M102" s="19" t="str">
        <f t="shared" si="33"/>
        <v/>
      </c>
      <c r="N102" s="19" t="str">
        <f t="shared" si="34"/>
        <v/>
      </c>
      <c r="O102" s="19" t="str">
        <f t="shared" si="17"/>
        <v/>
      </c>
      <c r="P102" s="19" t="str">
        <f t="shared" si="18"/>
        <v/>
      </c>
      <c r="Q102" s="19" t="str">
        <f t="shared" si="19"/>
        <v/>
      </c>
      <c r="R102" s="19" t="str">
        <f t="shared" si="41"/>
        <v/>
      </c>
      <c r="S102" s="27" t="str">
        <f t="shared" si="35"/>
        <v/>
      </c>
      <c r="T102" s="28" t="str">
        <f t="shared" si="36"/>
        <v/>
      </c>
      <c r="U102" s="28" t="str">
        <f t="shared" si="37"/>
        <v/>
      </c>
      <c r="V102" s="28" t="str">
        <f t="shared" si="38"/>
        <v/>
      </c>
      <c r="W102" s="28" t="str">
        <f t="shared" si="39"/>
        <v/>
      </c>
      <c r="X102" s="29" t="str">
        <f t="shared" si="40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2"/>
        <v/>
      </c>
      <c r="M103" s="19" t="str">
        <f t="shared" si="33"/>
        <v/>
      </c>
      <c r="N103" s="19" t="str">
        <f t="shared" si="34"/>
        <v/>
      </c>
      <c r="O103" s="19" t="str">
        <f t="shared" si="17"/>
        <v/>
      </c>
      <c r="P103" s="19" t="str">
        <f t="shared" si="18"/>
        <v/>
      </c>
      <c r="Q103" s="19" t="str">
        <f t="shared" si="19"/>
        <v/>
      </c>
      <c r="R103" s="19" t="str">
        <f t="shared" si="41"/>
        <v/>
      </c>
      <c r="S103" s="27" t="str">
        <f t="shared" si="35"/>
        <v/>
      </c>
      <c r="T103" s="28" t="str">
        <f t="shared" si="36"/>
        <v/>
      </c>
      <c r="U103" s="28" t="str">
        <f t="shared" si="37"/>
        <v/>
      </c>
      <c r="V103" s="28" t="str">
        <f t="shared" si="38"/>
        <v/>
      </c>
      <c r="W103" s="28" t="str">
        <f t="shared" si="39"/>
        <v/>
      </c>
      <c r="X103" s="29" t="str">
        <f t="shared" si="40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2"/>
        <v/>
      </c>
      <c r="M104" s="19" t="str">
        <f t="shared" si="33"/>
        <v/>
      </c>
      <c r="N104" s="19" t="str">
        <f t="shared" si="34"/>
        <v/>
      </c>
      <c r="O104" s="19" t="str">
        <f t="shared" si="17"/>
        <v/>
      </c>
      <c r="P104" s="19" t="str">
        <f t="shared" si="18"/>
        <v/>
      </c>
      <c r="Q104" s="19" t="str">
        <f t="shared" si="19"/>
        <v/>
      </c>
      <c r="R104" s="19" t="str">
        <f t="shared" si="41"/>
        <v/>
      </c>
      <c r="S104" s="27" t="str">
        <f t="shared" si="35"/>
        <v/>
      </c>
      <c r="T104" s="28" t="str">
        <f t="shared" si="36"/>
        <v/>
      </c>
      <c r="U104" s="28" t="str">
        <f t="shared" si="37"/>
        <v/>
      </c>
      <c r="V104" s="28" t="str">
        <f t="shared" si="38"/>
        <v/>
      </c>
      <c r="W104" s="28" t="str">
        <f t="shared" si="39"/>
        <v/>
      </c>
      <c r="X104" s="29" t="str">
        <f t="shared" si="40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2"/>
        <v/>
      </c>
      <c r="M105" s="19" t="str">
        <f t="shared" si="33"/>
        <v/>
      </c>
      <c r="N105" s="19" t="str">
        <f t="shared" si="34"/>
        <v/>
      </c>
      <c r="O105" s="19" t="str">
        <f t="shared" si="17"/>
        <v/>
      </c>
      <c r="P105" s="19" t="str">
        <f t="shared" si="18"/>
        <v/>
      </c>
      <c r="Q105" s="19" t="str">
        <f t="shared" si="19"/>
        <v/>
      </c>
      <c r="R105" s="19" t="str">
        <f t="shared" si="41"/>
        <v/>
      </c>
      <c r="S105" s="27" t="str">
        <f t="shared" si="35"/>
        <v/>
      </c>
      <c r="T105" s="28" t="str">
        <f t="shared" si="36"/>
        <v/>
      </c>
      <c r="U105" s="28" t="str">
        <f t="shared" si="37"/>
        <v/>
      </c>
      <c r="V105" s="28" t="str">
        <f t="shared" si="38"/>
        <v/>
      </c>
      <c r="W105" s="28" t="str">
        <f t="shared" si="39"/>
        <v/>
      </c>
      <c r="X105" s="29" t="str">
        <f t="shared" si="40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2"/>
        <v/>
      </c>
      <c r="M106" s="19" t="str">
        <f t="shared" si="33"/>
        <v/>
      </c>
      <c r="N106" s="19" t="str">
        <f t="shared" si="34"/>
        <v/>
      </c>
      <c r="O106" s="19" t="str">
        <f t="shared" ref="O106:O153" si="42">IF(ISBLANK(F106),"",((F106-F$41)*1000)+L$41)</f>
        <v/>
      </c>
      <c r="P106" s="19" t="str">
        <f t="shared" ref="P106:P153" si="43">IF(ISBLANK(G106),"",((G106-G$41)*1000)+M$41)</f>
        <v/>
      </c>
      <c r="Q106" s="19" t="str">
        <f t="shared" ref="Q106:Q153" si="44">IF(ISBLANK(H106),"",((H106-H$41)*1000)+N$41)</f>
        <v/>
      </c>
      <c r="R106" s="19" t="str">
        <f t="shared" si="41"/>
        <v/>
      </c>
      <c r="S106" s="27" t="str">
        <f t="shared" si="35"/>
        <v/>
      </c>
      <c r="T106" s="28" t="str">
        <f t="shared" si="36"/>
        <v/>
      </c>
      <c r="U106" s="28" t="str">
        <f t="shared" si="37"/>
        <v/>
      </c>
      <c r="V106" s="28" t="str">
        <f t="shared" si="38"/>
        <v/>
      </c>
      <c r="W106" s="28" t="str">
        <f t="shared" si="39"/>
        <v/>
      </c>
      <c r="X106" s="29" t="str">
        <f t="shared" si="40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2"/>
        <v/>
      </c>
      <c r="M107" s="19" t="str">
        <f t="shared" si="33"/>
        <v/>
      </c>
      <c r="N107" s="19" t="str">
        <f t="shared" si="34"/>
        <v/>
      </c>
      <c r="O107" s="19" t="str">
        <f t="shared" si="42"/>
        <v/>
      </c>
      <c r="P107" s="19" t="str">
        <f t="shared" si="43"/>
        <v/>
      </c>
      <c r="Q107" s="19" t="str">
        <f t="shared" si="44"/>
        <v/>
      </c>
      <c r="R107" s="19" t="str">
        <f t="shared" si="41"/>
        <v/>
      </c>
      <c r="S107" s="27" t="str">
        <f t="shared" si="35"/>
        <v/>
      </c>
      <c r="T107" s="28" t="str">
        <f t="shared" si="36"/>
        <v/>
      </c>
      <c r="U107" s="28" t="str">
        <f t="shared" si="37"/>
        <v/>
      </c>
      <c r="V107" s="28" t="str">
        <f t="shared" si="38"/>
        <v/>
      </c>
      <c r="W107" s="28" t="str">
        <f t="shared" si="39"/>
        <v/>
      </c>
      <c r="X107" s="29" t="str">
        <f t="shared" si="40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2"/>
        <v/>
      </c>
      <c r="M108" s="19" t="str">
        <f t="shared" si="33"/>
        <v/>
      </c>
      <c r="N108" s="19" t="str">
        <f t="shared" si="34"/>
        <v/>
      </c>
      <c r="O108" s="19" t="str">
        <f t="shared" si="42"/>
        <v/>
      </c>
      <c r="P108" s="19" t="str">
        <f t="shared" si="43"/>
        <v/>
      </c>
      <c r="Q108" s="19" t="str">
        <f t="shared" si="44"/>
        <v/>
      </c>
      <c r="R108" s="19" t="str">
        <f t="shared" si="41"/>
        <v/>
      </c>
      <c r="S108" s="27" t="str">
        <f t="shared" si="35"/>
        <v/>
      </c>
      <c r="T108" s="28" t="str">
        <f t="shared" si="36"/>
        <v/>
      </c>
      <c r="U108" s="28" t="str">
        <f t="shared" si="37"/>
        <v/>
      </c>
      <c r="V108" s="28" t="str">
        <f t="shared" si="38"/>
        <v/>
      </c>
      <c r="W108" s="28" t="str">
        <f t="shared" si="39"/>
        <v/>
      </c>
      <c r="X108" s="29" t="str">
        <f t="shared" si="40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2"/>
        <v/>
      </c>
      <c r="M109" s="19" t="str">
        <f t="shared" si="33"/>
        <v/>
      </c>
      <c r="N109" s="19" t="str">
        <f t="shared" si="34"/>
        <v/>
      </c>
      <c r="O109" s="19" t="str">
        <f t="shared" si="42"/>
        <v/>
      </c>
      <c r="P109" s="19" t="str">
        <f t="shared" si="43"/>
        <v/>
      </c>
      <c r="Q109" s="19" t="str">
        <f t="shared" si="44"/>
        <v/>
      </c>
      <c r="R109" s="19" t="str">
        <f t="shared" si="41"/>
        <v/>
      </c>
      <c r="S109" s="27" t="str">
        <f t="shared" si="35"/>
        <v/>
      </c>
      <c r="T109" s="28" t="str">
        <f t="shared" si="36"/>
        <v/>
      </c>
      <c r="U109" s="28" t="str">
        <f t="shared" si="37"/>
        <v/>
      </c>
      <c r="V109" s="28" t="str">
        <f t="shared" si="38"/>
        <v/>
      </c>
      <c r="W109" s="28" t="str">
        <f t="shared" si="39"/>
        <v/>
      </c>
      <c r="X109" s="29" t="str">
        <f t="shared" si="40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2"/>
        <v/>
      </c>
      <c r="M110" s="19" t="str">
        <f t="shared" si="33"/>
        <v/>
      </c>
      <c r="N110" s="19" t="str">
        <f t="shared" si="34"/>
        <v/>
      </c>
      <c r="O110" s="19" t="str">
        <f t="shared" si="42"/>
        <v/>
      </c>
      <c r="P110" s="19" t="str">
        <f t="shared" si="43"/>
        <v/>
      </c>
      <c r="Q110" s="19" t="str">
        <f t="shared" si="44"/>
        <v/>
      </c>
      <c r="R110" s="19" t="str">
        <f t="shared" si="41"/>
        <v/>
      </c>
      <c r="S110" s="27" t="str">
        <f t="shared" si="35"/>
        <v/>
      </c>
      <c r="T110" s="28" t="str">
        <f t="shared" si="36"/>
        <v/>
      </c>
      <c r="U110" s="28" t="str">
        <f t="shared" si="37"/>
        <v/>
      </c>
      <c r="V110" s="28" t="str">
        <f t="shared" si="38"/>
        <v/>
      </c>
      <c r="W110" s="28" t="str">
        <f t="shared" si="39"/>
        <v/>
      </c>
      <c r="X110" s="29" t="str">
        <f t="shared" si="40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2"/>
        <v/>
      </c>
      <c r="M111" s="19" t="str">
        <f t="shared" si="33"/>
        <v/>
      </c>
      <c r="N111" s="19" t="str">
        <f t="shared" si="34"/>
        <v/>
      </c>
      <c r="O111" s="19" t="str">
        <f t="shared" si="42"/>
        <v/>
      </c>
      <c r="P111" s="19" t="str">
        <f t="shared" si="43"/>
        <v/>
      </c>
      <c r="Q111" s="19" t="str">
        <f t="shared" si="44"/>
        <v/>
      </c>
      <c r="R111" s="19" t="str">
        <f t="shared" si="41"/>
        <v/>
      </c>
      <c r="S111" s="27" t="str">
        <f t="shared" si="35"/>
        <v/>
      </c>
      <c r="T111" s="28" t="str">
        <f t="shared" si="36"/>
        <v/>
      </c>
      <c r="U111" s="28" t="str">
        <f t="shared" si="37"/>
        <v/>
      </c>
      <c r="V111" s="28" t="str">
        <f t="shared" si="38"/>
        <v/>
      </c>
      <c r="W111" s="28" t="str">
        <f t="shared" si="39"/>
        <v/>
      </c>
      <c r="X111" s="29" t="str">
        <f t="shared" si="40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ref="L112:L143" si="45">IF(ISBLANK(C112),"",(C112-C$16)*1000)</f>
        <v/>
      </c>
      <c r="M112" s="19" t="str">
        <f t="shared" ref="M112:M143" si="46">IF(ISBLANK(D112),"",(D112-D$16)*1000)</f>
        <v/>
      </c>
      <c r="N112" s="19" t="str">
        <f t="shared" ref="N112:N143" si="47">IF(ISBLANK(E112),"",(E112-E$16)*1000)</f>
        <v/>
      </c>
      <c r="O112" s="19" t="str">
        <f t="shared" si="42"/>
        <v/>
      </c>
      <c r="P112" s="19" t="str">
        <f t="shared" si="43"/>
        <v/>
      </c>
      <c r="Q112" s="19" t="str">
        <f t="shared" si="44"/>
        <v/>
      </c>
      <c r="R112" s="19" t="str">
        <f t="shared" si="41"/>
        <v/>
      </c>
      <c r="S112" s="27" t="str">
        <f t="shared" si="35"/>
        <v/>
      </c>
      <c r="T112" s="28" t="str">
        <f t="shared" si="36"/>
        <v/>
      </c>
      <c r="U112" s="28" t="str">
        <f t="shared" si="37"/>
        <v/>
      </c>
      <c r="V112" s="28" t="str">
        <f t="shared" si="38"/>
        <v/>
      </c>
      <c r="W112" s="28" t="str">
        <f t="shared" si="39"/>
        <v/>
      </c>
      <c r="X112" s="29" t="str">
        <f t="shared" si="40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45"/>
        <v/>
      </c>
      <c r="M113" s="19" t="str">
        <f t="shared" si="46"/>
        <v/>
      </c>
      <c r="N113" s="19" t="str">
        <f t="shared" si="47"/>
        <v/>
      </c>
      <c r="O113" s="19" t="str">
        <f t="shared" si="42"/>
        <v/>
      </c>
      <c r="P113" s="19" t="str">
        <f t="shared" si="43"/>
        <v/>
      </c>
      <c r="Q113" s="19" t="str">
        <f t="shared" si="44"/>
        <v/>
      </c>
      <c r="R113" s="19" t="str">
        <f t="shared" si="41"/>
        <v/>
      </c>
      <c r="S113" s="27" t="str">
        <f t="shared" ref="S113:S144" si="48">IF(C113="","",((C113-C112)*1000)/($B113-$B112))</f>
        <v/>
      </c>
      <c r="T113" s="28" t="str">
        <f t="shared" ref="T113:T144" si="49">IF(D113="","",((D113-D112)*1000)/($B113-$B112))</f>
        <v/>
      </c>
      <c r="U113" s="28" t="str">
        <f t="shared" ref="U113:U144" si="50">IF(E113="","",((E113-E112)*1000)/($B113-$B112))</f>
        <v/>
      </c>
      <c r="V113" s="28" t="str">
        <f t="shared" ref="V113:V144" si="51">IF(F113="","",((F113-F112)*1000)/($B113-$B112))</f>
        <v/>
      </c>
      <c r="W113" s="28" t="str">
        <f t="shared" ref="W113:W144" si="52">IF(G113="","",((G113-G112)*1000)/($B113-$B112))</f>
        <v/>
      </c>
      <c r="X113" s="29" t="str">
        <f t="shared" ref="X113:X144" si="53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45"/>
        <v/>
      </c>
      <c r="M114" s="19" t="str">
        <f t="shared" si="46"/>
        <v/>
      </c>
      <c r="N114" s="19" t="str">
        <f t="shared" si="47"/>
        <v/>
      </c>
      <c r="O114" s="19" t="str">
        <f t="shared" si="42"/>
        <v/>
      </c>
      <c r="P114" s="19" t="str">
        <f t="shared" si="43"/>
        <v/>
      </c>
      <c r="Q114" s="19" t="str">
        <f t="shared" si="44"/>
        <v/>
      </c>
      <c r="R114" s="19" t="str">
        <f t="shared" si="41"/>
        <v/>
      </c>
      <c r="S114" s="27" t="str">
        <f t="shared" si="48"/>
        <v/>
      </c>
      <c r="T114" s="28" t="str">
        <f t="shared" si="49"/>
        <v/>
      </c>
      <c r="U114" s="28" t="str">
        <f t="shared" si="50"/>
        <v/>
      </c>
      <c r="V114" s="28" t="str">
        <f t="shared" si="51"/>
        <v/>
      </c>
      <c r="W114" s="28" t="str">
        <f t="shared" si="52"/>
        <v/>
      </c>
      <c r="X114" s="29" t="str">
        <f t="shared" si="53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45"/>
        <v/>
      </c>
      <c r="M115" s="19" t="str">
        <f t="shared" si="46"/>
        <v/>
      </c>
      <c r="N115" s="19" t="str">
        <f t="shared" si="47"/>
        <v/>
      </c>
      <c r="O115" s="19" t="str">
        <f t="shared" si="42"/>
        <v/>
      </c>
      <c r="P115" s="19" t="str">
        <f t="shared" si="43"/>
        <v/>
      </c>
      <c r="Q115" s="19" t="str">
        <f t="shared" si="44"/>
        <v/>
      </c>
      <c r="R115" s="19" t="str">
        <f t="shared" si="41"/>
        <v/>
      </c>
      <c r="S115" s="27" t="str">
        <f t="shared" si="48"/>
        <v/>
      </c>
      <c r="T115" s="28" t="str">
        <f t="shared" si="49"/>
        <v/>
      </c>
      <c r="U115" s="28" t="str">
        <f t="shared" si="50"/>
        <v/>
      </c>
      <c r="V115" s="28" t="str">
        <f t="shared" si="51"/>
        <v/>
      </c>
      <c r="W115" s="28" t="str">
        <f t="shared" si="52"/>
        <v/>
      </c>
      <c r="X115" s="29" t="str">
        <f t="shared" si="53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45"/>
        <v/>
      </c>
      <c r="M116" s="19" t="str">
        <f t="shared" si="46"/>
        <v/>
      </c>
      <c r="N116" s="19" t="str">
        <f t="shared" si="47"/>
        <v/>
      </c>
      <c r="O116" s="19" t="str">
        <f t="shared" si="42"/>
        <v/>
      </c>
      <c r="P116" s="19" t="str">
        <f t="shared" si="43"/>
        <v/>
      </c>
      <c r="Q116" s="19" t="str">
        <f t="shared" si="44"/>
        <v/>
      </c>
      <c r="R116" s="19" t="str">
        <f t="shared" si="41"/>
        <v/>
      </c>
      <c r="S116" s="27" t="str">
        <f t="shared" si="48"/>
        <v/>
      </c>
      <c r="T116" s="28" t="str">
        <f t="shared" si="49"/>
        <v/>
      </c>
      <c r="U116" s="28" t="str">
        <f t="shared" si="50"/>
        <v/>
      </c>
      <c r="V116" s="28" t="str">
        <f t="shared" si="51"/>
        <v/>
      </c>
      <c r="W116" s="28" t="str">
        <f t="shared" si="52"/>
        <v/>
      </c>
      <c r="X116" s="29" t="str">
        <f t="shared" si="53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45"/>
        <v/>
      </c>
      <c r="M117" s="19" t="str">
        <f t="shared" si="46"/>
        <v/>
      </c>
      <c r="N117" s="19" t="str">
        <f t="shared" si="47"/>
        <v/>
      </c>
      <c r="O117" s="19" t="str">
        <f t="shared" si="42"/>
        <v/>
      </c>
      <c r="P117" s="19" t="str">
        <f t="shared" si="43"/>
        <v/>
      </c>
      <c r="Q117" s="19" t="str">
        <f t="shared" si="44"/>
        <v/>
      </c>
      <c r="R117" s="19" t="str">
        <f t="shared" si="41"/>
        <v/>
      </c>
      <c r="S117" s="27" t="str">
        <f t="shared" si="48"/>
        <v/>
      </c>
      <c r="T117" s="28" t="str">
        <f t="shared" si="49"/>
        <v/>
      </c>
      <c r="U117" s="28" t="str">
        <f t="shared" si="50"/>
        <v/>
      </c>
      <c r="V117" s="28" t="str">
        <f t="shared" si="51"/>
        <v/>
      </c>
      <c r="W117" s="28" t="str">
        <f t="shared" si="52"/>
        <v/>
      </c>
      <c r="X117" s="29" t="str">
        <f t="shared" si="53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45"/>
        <v/>
      </c>
      <c r="M118" s="19" t="str">
        <f t="shared" si="46"/>
        <v/>
      </c>
      <c r="N118" s="19" t="str">
        <f t="shared" si="47"/>
        <v/>
      </c>
      <c r="O118" s="19" t="str">
        <f t="shared" si="42"/>
        <v/>
      </c>
      <c r="P118" s="19" t="str">
        <f t="shared" si="43"/>
        <v/>
      </c>
      <c r="Q118" s="19" t="str">
        <f t="shared" si="44"/>
        <v/>
      </c>
      <c r="R118" s="19" t="str">
        <f t="shared" si="41"/>
        <v/>
      </c>
      <c r="S118" s="27" t="str">
        <f t="shared" si="48"/>
        <v/>
      </c>
      <c r="T118" s="28" t="str">
        <f t="shared" si="49"/>
        <v/>
      </c>
      <c r="U118" s="28" t="str">
        <f t="shared" si="50"/>
        <v/>
      </c>
      <c r="V118" s="28" t="str">
        <f t="shared" si="51"/>
        <v/>
      </c>
      <c r="W118" s="28" t="str">
        <f t="shared" si="52"/>
        <v/>
      </c>
      <c r="X118" s="29" t="str">
        <f t="shared" si="53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45"/>
        <v/>
      </c>
      <c r="M119" s="19" t="str">
        <f t="shared" si="46"/>
        <v/>
      </c>
      <c r="N119" s="19" t="str">
        <f t="shared" si="47"/>
        <v/>
      </c>
      <c r="O119" s="19" t="str">
        <f t="shared" si="42"/>
        <v/>
      </c>
      <c r="P119" s="19" t="str">
        <f t="shared" si="43"/>
        <v/>
      </c>
      <c r="Q119" s="19" t="str">
        <f t="shared" si="44"/>
        <v/>
      </c>
      <c r="R119" s="19" t="str">
        <f t="shared" si="41"/>
        <v/>
      </c>
      <c r="S119" s="27" t="str">
        <f t="shared" si="48"/>
        <v/>
      </c>
      <c r="T119" s="28" t="str">
        <f t="shared" si="49"/>
        <v/>
      </c>
      <c r="U119" s="28" t="str">
        <f t="shared" si="50"/>
        <v/>
      </c>
      <c r="V119" s="28" t="str">
        <f t="shared" si="51"/>
        <v/>
      </c>
      <c r="W119" s="28" t="str">
        <f t="shared" si="52"/>
        <v/>
      </c>
      <c r="X119" s="29" t="str">
        <f t="shared" si="53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45"/>
        <v/>
      </c>
      <c r="M120" s="19" t="str">
        <f t="shared" si="46"/>
        <v/>
      </c>
      <c r="N120" s="19" t="str">
        <f t="shared" si="47"/>
        <v/>
      </c>
      <c r="O120" s="19" t="str">
        <f t="shared" si="42"/>
        <v/>
      </c>
      <c r="P120" s="19" t="str">
        <f t="shared" si="43"/>
        <v/>
      </c>
      <c r="Q120" s="19" t="str">
        <f t="shared" si="44"/>
        <v/>
      </c>
      <c r="R120" s="19" t="str">
        <f t="shared" si="41"/>
        <v/>
      </c>
      <c r="S120" s="27" t="str">
        <f t="shared" si="48"/>
        <v/>
      </c>
      <c r="T120" s="28" t="str">
        <f t="shared" si="49"/>
        <v/>
      </c>
      <c r="U120" s="28" t="str">
        <f t="shared" si="50"/>
        <v/>
      </c>
      <c r="V120" s="28" t="str">
        <f t="shared" si="51"/>
        <v/>
      </c>
      <c r="W120" s="28" t="str">
        <f t="shared" si="52"/>
        <v/>
      </c>
      <c r="X120" s="29" t="str">
        <f t="shared" si="53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45"/>
        <v/>
      </c>
      <c r="M121" s="19" t="str">
        <f t="shared" si="46"/>
        <v/>
      </c>
      <c r="N121" s="19" t="str">
        <f t="shared" si="47"/>
        <v/>
      </c>
      <c r="O121" s="19" t="str">
        <f t="shared" si="42"/>
        <v/>
      </c>
      <c r="P121" s="19" t="str">
        <f t="shared" si="43"/>
        <v/>
      </c>
      <c r="Q121" s="19" t="str">
        <f t="shared" si="44"/>
        <v/>
      </c>
      <c r="R121" s="19" t="str">
        <f t="shared" si="41"/>
        <v/>
      </c>
      <c r="S121" s="27" t="str">
        <f t="shared" si="48"/>
        <v/>
      </c>
      <c r="T121" s="28" t="str">
        <f t="shared" si="49"/>
        <v/>
      </c>
      <c r="U121" s="28" t="str">
        <f t="shared" si="50"/>
        <v/>
      </c>
      <c r="V121" s="28" t="str">
        <f t="shared" si="51"/>
        <v/>
      </c>
      <c r="W121" s="28" t="str">
        <f t="shared" si="52"/>
        <v/>
      </c>
      <c r="X121" s="29" t="str">
        <f t="shared" si="53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45"/>
        <v/>
      </c>
      <c r="M122" s="19" t="str">
        <f t="shared" si="46"/>
        <v/>
      </c>
      <c r="N122" s="19" t="str">
        <f t="shared" si="47"/>
        <v/>
      </c>
      <c r="O122" s="19" t="str">
        <f t="shared" si="42"/>
        <v/>
      </c>
      <c r="P122" s="19" t="str">
        <f t="shared" si="43"/>
        <v/>
      </c>
      <c r="Q122" s="19" t="str">
        <f t="shared" si="44"/>
        <v/>
      </c>
      <c r="R122" s="19" t="str">
        <f t="shared" si="41"/>
        <v/>
      </c>
      <c r="S122" s="27" t="str">
        <f t="shared" si="48"/>
        <v/>
      </c>
      <c r="T122" s="28" t="str">
        <f t="shared" si="49"/>
        <v/>
      </c>
      <c r="U122" s="28" t="str">
        <f t="shared" si="50"/>
        <v/>
      </c>
      <c r="V122" s="28" t="str">
        <f t="shared" si="51"/>
        <v/>
      </c>
      <c r="W122" s="28" t="str">
        <f t="shared" si="52"/>
        <v/>
      </c>
      <c r="X122" s="29" t="str">
        <f t="shared" si="53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45"/>
        <v/>
      </c>
      <c r="M123" s="19" t="str">
        <f t="shared" si="46"/>
        <v/>
      </c>
      <c r="N123" s="19" t="str">
        <f t="shared" si="47"/>
        <v/>
      </c>
      <c r="O123" s="19" t="str">
        <f t="shared" si="42"/>
        <v/>
      </c>
      <c r="P123" s="19" t="str">
        <f t="shared" si="43"/>
        <v/>
      </c>
      <c r="Q123" s="19" t="str">
        <f t="shared" si="44"/>
        <v/>
      </c>
      <c r="R123" s="19" t="str">
        <f t="shared" si="41"/>
        <v/>
      </c>
      <c r="S123" s="27" t="str">
        <f t="shared" si="48"/>
        <v/>
      </c>
      <c r="T123" s="28" t="str">
        <f t="shared" si="49"/>
        <v/>
      </c>
      <c r="U123" s="28" t="str">
        <f t="shared" si="50"/>
        <v/>
      </c>
      <c r="V123" s="28" t="str">
        <f t="shared" si="51"/>
        <v/>
      </c>
      <c r="W123" s="28" t="str">
        <f t="shared" si="52"/>
        <v/>
      </c>
      <c r="X123" s="29" t="str">
        <f t="shared" si="53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45"/>
        <v/>
      </c>
      <c r="M124" s="19" t="str">
        <f t="shared" si="46"/>
        <v/>
      </c>
      <c r="N124" s="19" t="str">
        <f t="shared" si="47"/>
        <v/>
      </c>
      <c r="O124" s="19" t="str">
        <f t="shared" si="42"/>
        <v/>
      </c>
      <c r="P124" s="19" t="str">
        <f t="shared" si="43"/>
        <v/>
      </c>
      <c r="Q124" s="19" t="str">
        <f t="shared" si="44"/>
        <v/>
      </c>
      <c r="R124" s="19" t="str">
        <f t="shared" si="41"/>
        <v/>
      </c>
      <c r="S124" s="27" t="str">
        <f t="shared" si="48"/>
        <v/>
      </c>
      <c r="T124" s="28" t="str">
        <f t="shared" si="49"/>
        <v/>
      </c>
      <c r="U124" s="28" t="str">
        <f t="shared" si="50"/>
        <v/>
      </c>
      <c r="V124" s="28" t="str">
        <f t="shared" si="51"/>
        <v/>
      </c>
      <c r="W124" s="28" t="str">
        <f t="shared" si="52"/>
        <v/>
      </c>
      <c r="X124" s="29" t="str">
        <f t="shared" si="53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45"/>
        <v/>
      </c>
      <c r="M125" s="19" t="str">
        <f t="shared" si="46"/>
        <v/>
      </c>
      <c r="N125" s="19" t="str">
        <f t="shared" si="47"/>
        <v/>
      </c>
      <c r="O125" s="19" t="str">
        <f t="shared" si="42"/>
        <v/>
      </c>
      <c r="P125" s="19" t="str">
        <f t="shared" si="43"/>
        <v/>
      </c>
      <c r="Q125" s="19" t="str">
        <f t="shared" si="44"/>
        <v/>
      </c>
      <c r="R125" s="19" t="str">
        <f t="shared" si="41"/>
        <v/>
      </c>
      <c r="S125" s="27" t="str">
        <f t="shared" si="48"/>
        <v/>
      </c>
      <c r="T125" s="28" t="str">
        <f t="shared" si="49"/>
        <v/>
      </c>
      <c r="U125" s="28" t="str">
        <f t="shared" si="50"/>
        <v/>
      </c>
      <c r="V125" s="28" t="str">
        <f t="shared" si="51"/>
        <v/>
      </c>
      <c r="W125" s="28" t="str">
        <f t="shared" si="52"/>
        <v/>
      </c>
      <c r="X125" s="29" t="str">
        <f t="shared" si="53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45"/>
        <v/>
      </c>
      <c r="M126" s="19" t="str">
        <f t="shared" si="46"/>
        <v/>
      </c>
      <c r="N126" s="19" t="str">
        <f t="shared" si="47"/>
        <v/>
      </c>
      <c r="O126" s="19" t="str">
        <f t="shared" si="42"/>
        <v/>
      </c>
      <c r="P126" s="19" t="str">
        <f t="shared" si="43"/>
        <v/>
      </c>
      <c r="Q126" s="19" t="str">
        <f t="shared" si="44"/>
        <v/>
      </c>
      <c r="R126" s="19" t="str">
        <f t="shared" si="41"/>
        <v/>
      </c>
      <c r="S126" s="27" t="str">
        <f t="shared" si="48"/>
        <v/>
      </c>
      <c r="T126" s="28" t="str">
        <f t="shared" si="49"/>
        <v/>
      </c>
      <c r="U126" s="28" t="str">
        <f t="shared" si="50"/>
        <v/>
      </c>
      <c r="V126" s="28" t="str">
        <f t="shared" si="51"/>
        <v/>
      </c>
      <c r="W126" s="28" t="str">
        <f t="shared" si="52"/>
        <v/>
      </c>
      <c r="X126" s="29" t="str">
        <f t="shared" si="53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45"/>
        <v/>
      </c>
      <c r="M127" s="19" t="str">
        <f t="shared" si="46"/>
        <v/>
      </c>
      <c r="N127" s="19" t="str">
        <f t="shared" si="47"/>
        <v/>
      </c>
      <c r="O127" s="19" t="str">
        <f t="shared" si="42"/>
        <v/>
      </c>
      <c r="P127" s="19" t="str">
        <f t="shared" si="43"/>
        <v/>
      </c>
      <c r="Q127" s="19" t="str">
        <f t="shared" si="44"/>
        <v/>
      </c>
      <c r="R127" s="19" t="str">
        <f t="shared" si="41"/>
        <v/>
      </c>
      <c r="S127" s="27" t="str">
        <f t="shared" si="48"/>
        <v/>
      </c>
      <c r="T127" s="28" t="str">
        <f t="shared" si="49"/>
        <v/>
      </c>
      <c r="U127" s="28" t="str">
        <f t="shared" si="50"/>
        <v/>
      </c>
      <c r="V127" s="28" t="str">
        <f t="shared" si="51"/>
        <v/>
      </c>
      <c r="W127" s="28" t="str">
        <f t="shared" si="52"/>
        <v/>
      </c>
      <c r="X127" s="29" t="str">
        <f t="shared" si="53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45"/>
        <v/>
      </c>
      <c r="M128" s="19" t="str">
        <f t="shared" si="46"/>
        <v/>
      </c>
      <c r="N128" s="19" t="str">
        <f t="shared" si="47"/>
        <v/>
      </c>
      <c r="O128" s="19" t="str">
        <f t="shared" si="42"/>
        <v/>
      </c>
      <c r="P128" s="19" t="str">
        <f t="shared" si="43"/>
        <v/>
      </c>
      <c r="Q128" s="19" t="str">
        <f t="shared" si="44"/>
        <v/>
      </c>
      <c r="R128" s="19" t="str">
        <f t="shared" si="41"/>
        <v/>
      </c>
      <c r="S128" s="27" t="str">
        <f t="shared" si="48"/>
        <v/>
      </c>
      <c r="T128" s="28" t="str">
        <f t="shared" si="49"/>
        <v/>
      </c>
      <c r="U128" s="28" t="str">
        <f t="shared" si="50"/>
        <v/>
      </c>
      <c r="V128" s="28" t="str">
        <f t="shared" si="51"/>
        <v/>
      </c>
      <c r="W128" s="28" t="str">
        <f t="shared" si="52"/>
        <v/>
      </c>
      <c r="X128" s="29" t="str">
        <f t="shared" si="53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45"/>
        <v/>
      </c>
      <c r="M129" s="19" t="str">
        <f t="shared" si="46"/>
        <v/>
      </c>
      <c r="N129" s="19" t="str">
        <f t="shared" si="47"/>
        <v/>
      </c>
      <c r="O129" s="19" t="str">
        <f t="shared" si="42"/>
        <v/>
      </c>
      <c r="P129" s="19" t="str">
        <f t="shared" si="43"/>
        <v/>
      </c>
      <c r="Q129" s="19" t="str">
        <f t="shared" si="44"/>
        <v/>
      </c>
      <c r="R129" s="19" t="str">
        <f t="shared" ref="R129:R153" si="54">IF(ISBLANK(I129),"",(I129-I$16)*1000)</f>
        <v/>
      </c>
      <c r="S129" s="27" t="str">
        <f t="shared" si="48"/>
        <v/>
      </c>
      <c r="T129" s="28" t="str">
        <f t="shared" si="49"/>
        <v/>
      </c>
      <c r="U129" s="28" t="str">
        <f t="shared" si="50"/>
        <v/>
      </c>
      <c r="V129" s="28" t="str">
        <f t="shared" si="51"/>
        <v/>
      </c>
      <c r="W129" s="28" t="str">
        <f t="shared" si="52"/>
        <v/>
      </c>
      <c r="X129" s="29" t="str">
        <f t="shared" si="53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45"/>
        <v/>
      </c>
      <c r="M130" s="19" t="str">
        <f t="shared" si="46"/>
        <v/>
      </c>
      <c r="N130" s="19" t="str">
        <f t="shared" si="47"/>
        <v/>
      </c>
      <c r="O130" s="19" t="str">
        <f t="shared" si="42"/>
        <v/>
      </c>
      <c r="P130" s="19" t="str">
        <f t="shared" si="43"/>
        <v/>
      </c>
      <c r="Q130" s="19" t="str">
        <f t="shared" si="44"/>
        <v/>
      </c>
      <c r="R130" s="19" t="str">
        <f t="shared" si="54"/>
        <v/>
      </c>
      <c r="S130" s="27" t="str">
        <f t="shared" si="48"/>
        <v/>
      </c>
      <c r="T130" s="28" t="str">
        <f t="shared" si="49"/>
        <v/>
      </c>
      <c r="U130" s="28" t="str">
        <f t="shared" si="50"/>
        <v/>
      </c>
      <c r="V130" s="28" t="str">
        <f t="shared" si="51"/>
        <v/>
      </c>
      <c r="W130" s="28" t="str">
        <f t="shared" si="52"/>
        <v/>
      </c>
      <c r="X130" s="29" t="str">
        <f t="shared" si="53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45"/>
        <v/>
      </c>
      <c r="M131" s="19" t="str">
        <f t="shared" si="46"/>
        <v/>
      </c>
      <c r="N131" s="19" t="str">
        <f t="shared" si="47"/>
        <v/>
      </c>
      <c r="O131" s="19" t="str">
        <f t="shared" si="42"/>
        <v/>
      </c>
      <c r="P131" s="19" t="str">
        <f t="shared" si="43"/>
        <v/>
      </c>
      <c r="Q131" s="19" t="str">
        <f t="shared" si="44"/>
        <v/>
      </c>
      <c r="R131" s="19" t="str">
        <f t="shared" si="54"/>
        <v/>
      </c>
      <c r="S131" s="27" t="str">
        <f t="shared" si="48"/>
        <v/>
      </c>
      <c r="T131" s="28" t="str">
        <f t="shared" si="49"/>
        <v/>
      </c>
      <c r="U131" s="28" t="str">
        <f t="shared" si="50"/>
        <v/>
      </c>
      <c r="V131" s="28" t="str">
        <f t="shared" si="51"/>
        <v/>
      </c>
      <c r="W131" s="28" t="str">
        <f t="shared" si="52"/>
        <v/>
      </c>
      <c r="X131" s="29" t="str">
        <f t="shared" si="53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45"/>
        <v/>
      </c>
      <c r="M132" s="19" t="str">
        <f t="shared" si="46"/>
        <v/>
      </c>
      <c r="N132" s="19" t="str">
        <f t="shared" si="47"/>
        <v/>
      </c>
      <c r="O132" s="19" t="str">
        <f t="shared" si="42"/>
        <v/>
      </c>
      <c r="P132" s="19" t="str">
        <f t="shared" si="43"/>
        <v/>
      </c>
      <c r="Q132" s="19" t="str">
        <f t="shared" si="44"/>
        <v/>
      </c>
      <c r="R132" s="19" t="str">
        <f t="shared" si="54"/>
        <v/>
      </c>
      <c r="S132" s="27" t="str">
        <f t="shared" si="48"/>
        <v/>
      </c>
      <c r="T132" s="28" t="str">
        <f t="shared" si="49"/>
        <v/>
      </c>
      <c r="U132" s="28" t="str">
        <f t="shared" si="50"/>
        <v/>
      </c>
      <c r="V132" s="28" t="str">
        <f t="shared" si="51"/>
        <v/>
      </c>
      <c r="W132" s="28" t="str">
        <f t="shared" si="52"/>
        <v/>
      </c>
      <c r="X132" s="29" t="str">
        <f t="shared" si="53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45"/>
        <v/>
      </c>
      <c r="M133" s="19" t="str">
        <f t="shared" si="46"/>
        <v/>
      </c>
      <c r="N133" s="19" t="str">
        <f t="shared" si="47"/>
        <v/>
      </c>
      <c r="O133" s="19" t="str">
        <f t="shared" si="42"/>
        <v/>
      </c>
      <c r="P133" s="19" t="str">
        <f t="shared" si="43"/>
        <v/>
      </c>
      <c r="Q133" s="19" t="str">
        <f t="shared" si="44"/>
        <v/>
      </c>
      <c r="R133" s="19" t="str">
        <f t="shared" si="54"/>
        <v/>
      </c>
      <c r="S133" s="27" t="str">
        <f t="shared" si="48"/>
        <v/>
      </c>
      <c r="T133" s="28" t="str">
        <f t="shared" si="49"/>
        <v/>
      </c>
      <c r="U133" s="28" t="str">
        <f t="shared" si="50"/>
        <v/>
      </c>
      <c r="V133" s="28" t="str">
        <f t="shared" si="51"/>
        <v/>
      </c>
      <c r="W133" s="28" t="str">
        <f t="shared" si="52"/>
        <v/>
      </c>
      <c r="X133" s="29" t="str">
        <f t="shared" si="53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45"/>
        <v/>
      </c>
      <c r="M134" s="19" t="str">
        <f t="shared" si="46"/>
        <v/>
      </c>
      <c r="N134" s="19" t="str">
        <f t="shared" si="47"/>
        <v/>
      </c>
      <c r="O134" s="19" t="str">
        <f t="shared" si="42"/>
        <v/>
      </c>
      <c r="P134" s="19" t="str">
        <f t="shared" si="43"/>
        <v/>
      </c>
      <c r="Q134" s="19" t="str">
        <f t="shared" si="44"/>
        <v/>
      </c>
      <c r="R134" s="19" t="str">
        <f t="shared" si="54"/>
        <v/>
      </c>
      <c r="S134" s="27" t="str">
        <f t="shared" si="48"/>
        <v/>
      </c>
      <c r="T134" s="28" t="str">
        <f t="shared" si="49"/>
        <v/>
      </c>
      <c r="U134" s="28" t="str">
        <f t="shared" si="50"/>
        <v/>
      </c>
      <c r="V134" s="28" t="str">
        <f t="shared" si="51"/>
        <v/>
      </c>
      <c r="W134" s="28" t="str">
        <f t="shared" si="52"/>
        <v/>
      </c>
      <c r="X134" s="29" t="str">
        <f t="shared" si="53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45"/>
        <v/>
      </c>
      <c r="M135" s="19" t="str">
        <f t="shared" si="46"/>
        <v/>
      </c>
      <c r="N135" s="19" t="str">
        <f t="shared" si="47"/>
        <v/>
      </c>
      <c r="O135" s="19" t="str">
        <f t="shared" si="42"/>
        <v/>
      </c>
      <c r="P135" s="19" t="str">
        <f t="shared" si="43"/>
        <v/>
      </c>
      <c r="Q135" s="19" t="str">
        <f t="shared" si="44"/>
        <v/>
      </c>
      <c r="R135" s="19" t="str">
        <f t="shared" si="54"/>
        <v/>
      </c>
      <c r="S135" s="27" t="str">
        <f t="shared" si="48"/>
        <v/>
      </c>
      <c r="T135" s="28" t="str">
        <f t="shared" si="49"/>
        <v/>
      </c>
      <c r="U135" s="28" t="str">
        <f t="shared" si="50"/>
        <v/>
      </c>
      <c r="V135" s="28" t="str">
        <f t="shared" si="51"/>
        <v/>
      </c>
      <c r="W135" s="28" t="str">
        <f t="shared" si="52"/>
        <v/>
      </c>
      <c r="X135" s="29" t="str">
        <f t="shared" si="53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45"/>
        <v/>
      </c>
      <c r="M136" s="19" t="str">
        <f t="shared" si="46"/>
        <v/>
      </c>
      <c r="N136" s="19" t="str">
        <f t="shared" si="47"/>
        <v/>
      </c>
      <c r="O136" s="19" t="str">
        <f t="shared" si="42"/>
        <v/>
      </c>
      <c r="P136" s="19" t="str">
        <f t="shared" si="43"/>
        <v/>
      </c>
      <c r="Q136" s="19" t="str">
        <f t="shared" si="44"/>
        <v/>
      </c>
      <c r="R136" s="19" t="str">
        <f t="shared" si="54"/>
        <v/>
      </c>
      <c r="S136" s="27" t="str">
        <f t="shared" si="48"/>
        <v/>
      </c>
      <c r="T136" s="28" t="str">
        <f t="shared" si="49"/>
        <v/>
      </c>
      <c r="U136" s="28" t="str">
        <f t="shared" si="50"/>
        <v/>
      </c>
      <c r="V136" s="28" t="str">
        <f t="shared" si="51"/>
        <v/>
      </c>
      <c r="W136" s="28" t="str">
        <f t="shared" si="52"/>
        <v/>
      </c>
      <c r="X136" s="29" t="str">
        <f t="shared" si="53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45"/>
        <v/>
      </c>
      <c r="M137" s="19" t="str">
        <f t="shared" si="46"/>
        <v/>
      </c>
      <c r="N137" s="19" t="str">
        <f t="shared" si="47"/>
        <v/>
      </c>
      <c r="O137" s="19" t="str">
        <f t="shared" si="42"/>
        <v/>
      </c>
      <c r="P137" s="19" t="str">
        <f t="shared" si="43"/>
        <v/>
      </c>
      <c r="Q137" s="19" t="str">
        <f t="shared" si="44"/>
        <v/>
      </c>
      <c r="R137" s="19" t="str">
        <f t="shared" si="54"/>
        <v/>
      </c>
      <c r="S137" s="27" t="str">
        <f t="shared" si="48"/>
        <v/>
      </c>
      <c r="T137" s="28" t="str">
        <f t="shared" si="49"/>
        <v/>
      </c>
      <c r="U137" s="28" t="str">
        <f t="shared" si="50"/>
        <v/>
      </c>
      <c r="V137" s="28" t="str">
        <f t="shared" si="51"/>
        <v/>
      </c>
      <c r="W137" s="28" t="str">
        <f t="shared" si="52"/>
        <v/>
      </c>
      <c r="X137" s="29" t="str">
        <f t="shared" si="53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45"/>
        <v/>
      </c>
      <c r="M138" s="19" t="str">
        <f t="shared" si="46"/>
        <v/>
      </c>
      <c r="N138" s="19" t="str">
        <f t="shared" si="47"/>
        <v/>
      </c>
      <c r="O138" s="19" t="str">
        <f t="shared" si="42"/>
        <v/>
      </c>
      <c r="P138" s="19" t="str">
        <f t="shared" si="43"/>
        <v/>
      </c>
      <c r="Q138" s="19" t="str">
        <f t="shared" si="44"/>
        <v/>
      </c>
      <c r="R138" s="19" t="str">
        <f t="shared" si="54"/>
        <v/>
      </c>
      <c r="S138" s="27" t="str">
        <f t="shared" si="48"/>
        <v/>
      </c>
      <c r="T138" s="28" t="str">
        <f t="shared" si="49"/>
        <v/>
      </c>
      <c r="U138" s="28" t="str">
        <f t="shared" si="50"/>
        <v/>
      </c>
      <c r="V138" s="28" t="str">
        <f t="shared" si="51"/>
        <v/>
      </c>
      <c r="W138" s="28" t="str">
        <f t="shared" si="52"/>
        <v/>
      </c>
      <c r="X138" s="29" t="str">
        <f t="shared" si="53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45"/>
        <v/>
      </c>
      <c r="M139" s="19" t="str">
        <f t="shared" si="46"/>
        <v/>
      </c>
      <c r="N139" s="19" t="str">
        <f t="shared" si="47"/>
        <v/>
      </c>
      <c r="O139" s="19" t="str">
        <f t="shared" si="42"/>
        <v/>
      </c>
      <c r="P139" s="19" t="str">
        <f t="shared" si="43"/>
        <v/>
      </c>
      <c r="Q139" s="19" t="str">
        <f t="shared" si="44"/>
        <v/>
      </c>
      <c r="R139" s="19" t="str">
        <f t="shared" si="54"/>
        <v/>
      </c>
      <c r="S139" s="27" t="str">
        <f t="shared" si="48"/>
        <v/>
      </c>
      <c r="T139" s="28" t="str">
        <f t="shared" si="49"/>
        <v/>
      </c>
      <c r="U139" s="28" t="str">
        <f t="shared" si="50"/>
        <v/>
      </c>
      <c r="V139" s="28" t="str">
        <f t="shared" si="51"/>
        <v/>
      </c>
      <c r="W139" s="28" t="str">
        <f t="shared" si="52"/>
        <v/>
      </c>
      <c r="X139" s="29" t="str">
        <f t="shared" si="53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45"/>
        <v/>
      </c>
      <c r="M140" s="19" t="str">
        <f t="shared" si="46"/>
        <v/>
      </c>
      <c r="N140" s="19" t="str">
        <f t="shared" si="47"/>
        <v/>
      </c>
      <c r="O140" s="19" t="str">
        <f t="shared" si="42"/>
        <v/>
      </c>
      <c r="P140" s="19" t="str">
        <f t="shared" si="43"/>
        <v/>
      </c>
      <c r="Q140" s="19" t="str">
        <f t="shared" si="44"/>
        <v/>
      </c>
      <c r="R140" s="19" t="str">
        <f t="shared" si="54"/>
        <v/>
      </c>
      <c r="S140" s="27" t="str">
        <f t="shared" si="48"/>
        <v/>
      </c>
      <c r="T140" s="28" t="str">
        <f t="shared" si="49"/>
        <v/>
      </c>
      <c r="U140" s="28" t="str">
        <f t="shared" si="50"/>
        <v/>
      </c>
      <c r="V140" s="28" t="str">
        <f t="shared" si="51"/>
        <v/>
      </c>
      <c r="W140" s="28" t="str">
        <f t="shared" si="52"/>
        <v/>
      </c>
      <c r="X140" s="29" t="str">
        <f t="shared" si="53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45"/>
        <v/>
      </c>
      <c r="M141" s="19" t="str">
        <f t="shared" si="46"/>
        <v/>
      </c>
      <c r="N141" s="19" t="str">
        <f t="shared" si="47"/>
        <v/>
      </c>
      <c r="O141" s="19" t="str">
        <f t="shared" si="42"/>
        <v/>
      </c>
      <c r="P141" s="19" t="str">
        <f t="shared" si="43"/>
        <v/>
      </c>
      <c r="Q141" s="19" t="str">
        <f t="shared" si="44"/>
        <v/>
      </c>
      <c r="R141" s="19" t="str">
        <f t="shared" si="54"/>
        <v/>
      </c>
      <c r="S141" s="27" t="str">
        <f t="shared" si="48"/>
        <v/>
      </c>
      <c r="T141" s="28" t="str">
        <f t="shared" si="49"/>
        <v/>
      </c>
      <c r="U141" s="28" t="str">
        <f t="shared" si="50"/>
        <v/>
      </c>
      <c r="V141" s="28" t="str">
        <f t="shared" si="51"/>
        <v/>
      </c>
      <c r="W141" s="28" t="str">
        <f t="shared" si="52"/>
        <v/>
      </c>
      <c r="X141" s="29" t="str">
        <f t="shared" si="53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45"/>
        <v/>
      </c>
      <c r="M142" s="19" t="str">
        <f t="shared" si="46"/>
        <v/>
      </c>
      <c r="N142" s="19" t="str">
        <f t="shared" si="47"/>
        <v/>
      </c>
      <c r="O142" s="19" t="str">
        <f t="shared" si="42"/>
        <v/>
      </c>
      <c r="P142" s="19" t="str">
        <f t="shared" si="43"/>
        <v/>
      </c>
      <c r="Q142" s="19" t="str">
        <f t="shared" si="44"/>
        <v/>
      </c>
      <c r="R142" s="19" t="str">
        <f t="shared" si="54"/>
        <v/>
      </c>
      <c r="S142" s="27" t="str">
        <f t="shared" si="48"/>
        <v/>
      </c>
      <c r="T142" s="28" t="str">
        <f t="shared" si="49"/>
        <v/>
      </c>
      <c r="U142" s="28" t="str">
        <f t="shared" si="50"/>
        <v/>
      </c>
      <c r="V142" s="28" t="str">
        <f t="shared" si="51"/>
        <v/>
      </c>
      <c r="W142" s="28" t="str">
        <f t="shared" si="52"/>
        <v/>
      </c>
      <c r="X142" s="29" t="str">
        <f t="shared" si="53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45"/>
        <v/>
      </c>
      <c r="M143" s="19" t="str">
        <f t="shared" si="46"/>
        <v/>
      </c>
      <c r="N143" s="19" t="str">
        <f t="shared" si="47"/>
        <v/>
      </c>
      <c r="O143" s="19" t="str">
        <f t="shared" si="42"/>
        <v/>
      </c>
      <c r="P143" s="19" t="str">
        <f t="shared" si="43"/>
        <v/>
      </c>
      <c r="Q143" s="19" t="str">
        <f t="shared" si="44"/>
        <v/>
      </c>
      <c r="R143" s="19" t="str">
        <f t="shared" si="54"/>
        <v/>
      </c>
      <c r="S143" s="27" t="str">
        <f t="shared" si="48"/>
        <v/>
      </c>
      <c r="T143" s="28" t="str">
        <f t="shared" si="49"/>
        <v/>
      </c>
      <c r="U143" s="28" t="str">
        <f t="shared" si="50"/>
        <v/>
      </c>
      <c r="V143" s="28" t="str">
        <f t="shared" si="51"/>
        <v/>
      </c>
      <c r="W143" s="28" t="str">
        <f t="shared" si="52"/>
        <v/>
      </c>
      <c r="X143" s="29" t="str">
        <f t="shared" si="53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ref="L144:L153" si="55">IF(ISBLANK(C144),"",(C144-C$16)*1000)</f>
        <v/>
      </c>
      <c r="M144" s="19" t="str">
        <f t="shared" ref="M144:M153" si="56">IF(ISBLANK(D144),"",(D144-D$16)*1000)</f>
        <v/>
      </c>
      <c r="N144" s="19" t="str">
        <f t="shared" ref="N144:N153" si="57">IF(ISBLANK(E144),"",(E144-E$16)*1000)</f>
        <v/>
      </c>
      <c r="O144" s="19" t="str">
        <f t="shared" si="42"/>
        <v/>
      </c>
      <c r="P144" s="19" t="str">
        <f t="shared" si="43"/>
        <v/>
      </c>
      <c r="Q144" s="19" t="str">
        <f t="shared" si="44"/>
        <v/>
      </c>
      <c r="R144" s="19" t="str">
        <f t="shared" si="54"/>
        <v/>
      </c>
      <c r="S144" s="27" t="str">
        <f t="shared" si="48"/>
        <v/>
      </c>
      <c r="T144" s="28" t="str">
        <f t="shared" si="49"/>
        <v/>
      </c>
      <c r="U144" s="28" t="str">
        <f t="shared" si="50"/>
        <v/>
      </c>
      <c r="V144" s="28" t="str">
        <f t="shared" si="51"/>
        <v/>
      </c>
      <c r="W144" s="28" t="str">
        <f t="shared" si="52"/>
        <v/>
      </c>
      <c r="X144" s="29" t="str">
        <f t="shared" si="53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5"/>
        <v/>
      </c>
      <c r="M145" s="19" t="str">
        <f t="shared" si="56"/>
        <v/>
      </c>
      <c r="N145" s="19" t="str">
        <f t="shared" si="57"/>
        <v/>
      </c>
      <c r="O145" s="19" t="str">
        <f t="shared" si="42"/>
        <v/>
      </c>
      <c r="P145" s="19" t="str">
        <f t="shared" si="43"/>
        <v/>
      </c>
      <c r="Q145" s="19" t="str">
        <f t="shared" si="44"/>
        <v/>
      </c>
      <c r="R145" s="19" t="str">
        <f t="shared" si="54"/>
        <v/>
      </c>
      <c r="S145" s="27" t="str">
        <f t="shared" ref="S145:S153" si="58">IF(C145="","",((C145-C144)*1000)/($B145-$B144))</f>
        <v/>
      </c>
      <c r="T145" s="28" t="str">
        <f t="shared" ref="T145:T153" si="59">IF(D145="","",((D145-D144)*1000)/($B145-$B144))</f>
        <v/>
      </c>
      <c r="U145" s="28" t="str">
        <f t="shared" ref="U145:U153" si="60">IF(E145="","",((E145-E144)*1000)/($B145-$B144))</f>
        <v/>
      </c>
      <c r="V145" s="28" t="str">
        <f t="shared" ref="V145:V153" si="61">IF(F145="","",((F145-F144)*1000)/($B145-$B144))</f>
        <v/>
      </c>
      <c r="W145" s="28" t="str">
        <f t="shared" ref="W145:W153" si="62">IF(G145="","",((G145-G144)*1000)/($B145-$B144))</f>
        <v/>
      </c>
      <c r="X145" s="29" t="str">
        <f t="shared" ref="X145:X153" si="63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5"/>
        <v/>
      </c>
      <c r="M146" s="19" t="str">
        <f t="shared" si="56"/>
        <v/>
      </c>
      <c r="N146" s="19" t="str">
        <f t="shared" si="57"/>
        <v/>
      </c>
      <c r="O146" s="19" t="str">
        <f t="shared" si="42"/>
        <v/>
      </c>
      <c r="P146" s="19" t="str">
        <f t="shared" si="43"/>
        <v/>
      </c>
      <c r="Q146" s="19" t="str">
        <f t="shared" si="44"/>
        <v/>
      </c>
      <c r="R146" s="19" t="str">
        <f t="shared" si="54"/>
        <v/>
      </c>
      <c r="S146" s="27" t="str">
        <f t="shared" si="58"/>
        <v/>
      </c>
      <c r="T146" s="28" t="str">
        <f t="shared" si="59"/>
        <v/>
      </c>
      <c r="U146" s="28" t="str">
        <f t="shared" si="60"/>
        <v/>
      </c>
      <c r="V146" s="28" t="str">
        <f t="shared" si="61"/>
        <v/>
      </c>
      <c r="W146" s="28" t="str">
        <f t="shared" si="62"/>
        <v/>
      </c>
      <c r="X146" s="29" t="str">
        <f t="shared" si="63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5"/>
        <v/>
      </c>
      <c r="M147" s="19" t="str">
        <f t="shared" si="56"/>
        <v/>
      </c>
      <c r="N147" s="19" t="str">
        <f t="shared" si="57"/>
        <v/>
      </c>
      <c r="O147" s="19" t="str">
        <f t="shared" si="42"/>
        <v/>
      </c>
      <c r="P147" s="19" t="str">
        <f t="shared" si="43"/>
        <v/>
      </c>
      <c r="Q147" s="19" t="str">
        <f t="shared" si="44"/>
        <v/>
      </c>
      <c r="R147" s="19" t="str">
        <f t="shared" si="54"/>
        <v/>
      </c>
      <c r="S147" s="27" t="str">
        <f t="shared" si="58"/>
        <v/>
      </c>
      <c r="T147" s="28" t="str">
        <f t="shared" si="59"/>
        <v/>
      </c>
      <c r="U147" s="28" t="str">
        <f t="shared" si="60"/>
        <v/>
      </c>
      <c r="V147" s="28" t="str">
        <f t="shared" si="61"/>
        <v/>
      </c>
      <c r="W147" s="28" t="str">
        <f t="shared" si="62"/>
        <v/>
      </c>
      <c r="X147" s="29" t="str">
        <f t="shared" si="63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5"/>
        <v/>
      </c>
      <c r="M148" s="19" t="str">
        <f t="shared" si="56"/>
        <v/>
      </c>
      <c r="N148" s="19" t="str">
        <f t="shared" si="57"/>
        <v/>
      </c>
      <c r="O148" s="19" t="str">
        <f t="shared" si="42"/>
        <v/>
      </c>
      <c r="P148" s="19" t="str">
        <f t="shared" si="43"/>
        <v/>
      </c>
      <c r="Q148" s="19" t="str">
        <f t="shared" si="44"/>
        <v/>
      </c>
      <c r="R148" s="19" t="str">
        <f t="shared" si="54"/>
        <v/>
      </c>
      <c r="S148" s="27" t="str">
        <f t="shared" si="58"/>
        <v/>
      </c>
      <c r="T148" s="28" t="str">
        <f t="shared" si="59"/>
        <v/>
      </c>
      <c r="U148" s="28" t="str">
        <f t="shared" si="60"/>
        <v/>
      </c>
      <c r="V148" s="28" t="str">
        <f t="shared" si="61"/>
        <v/>
      </c>
      <c r="W148" s="28" t="str">
        <f t="shared" si="62"/>
        <v/>
      </c>
      <c r="X148" s="29" t="str">
        <f t="shared" si="63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5"/>
        <v/>
      </c>
      <c r="M149" s="19" t="str">
        <f t="shared" si="56"/>
        <v/>
      </c>
      <c r="N149" s="19" t="str">
        <f t="shared" si="57"/>
        <v/>
      </c>
      <c r="O149" s="19" t="str">
        <f t="shared" si="42"/>
        <v/>
      </c>
      <c r="P149" s="19" t="str">
        <f t="shared" si="43"/>
        <v/>
      </c>
      <c r="Q149" s="19" t="str">
        <f t="shared" si="44"/>
        <v/>
      </c>
      <c r="R149" s="19" t="str">
        <f t="shared" si="54"/>
        <v/>
      </c>
      <c r="S149" s="27" t="str">
        <f t="shared" si="58"/>
        <v/>
      </c>
      <c r="T149" s="28" t="str">
        <f t="shared" si="59"/>
        <v/>
      </c>
      <c r="U149" s="28" t="str">
        <f t="shared" si="60"/>
        <v/>
      </c>
      <c r="V149" s="28" t="str">
        <f t="shared" si="61"/>
        <v/>
      </c>
      <c r="W149" s="28" t="str">
        <f t="shared" si="62"/>
        <v/>
      </c>
      <c r="X149" s="29" t="str">
        <f t="shared" si="63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5"/>
        <v/>
      </c>
      <c r="M150" s="19" t="str">
        <f t="shared" si="56"/>
        <v/>
      </c>
      <c r="N150" s="19" t="str">
        <f t="shared" si="57"/>
        <v/>
      </c>
      <c r="O150" s="19" t="str">
        <f t="shared" si="42"/>
        <v/>
      </c>
      <c r="P150" s="19" t="str">
        <f t="shared" si="43"/>
        <v/>
      </c>
      <c r="Q150" s="19" t="str">
        <f t="shared" si="44"/>
        <v/>
      </c>
      <c r="R150" s="19" t="str">
        <f t="shared" si="54"/>
        <v/>
      </c>
      <c r="S150" s="27" t="str">
        <f t="shared" si="58"/>
        <v/>
      </c>
      <c r="T150" s="28" t="str">
        <f t="shared" si="59"/>
        <v/>
      </c>
      <c r="U150" s="28" t="str">
        <f t="shared" si="60"/>
        <v/>
      </c>
      <c r="V150" s="28" t="str">
        <f t="shared" si="61"/>
        <v/>
      </c>
      <c r="W150" s="28" t="str">
        <f t="shared" si="62"/>
        <v/>
      </c>
      <c r="X150" s="29" t="str">
        <f t="shared" si="63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5"/>
        <v/>
      </c>
      <c r="M151" s="19" t="str">
        <f t="shared" si="56"/>
        <v/>
      </c>
      <c r="N151" s="19" t="str">
        <f t="shared" si="57"/>
        <v/>
      </c>
      <c r="O151" s="19" t="str">
        <f t="shared" si="42"/>
        <v/>
      </c>
      <c r="P151" s="19" t="str">
        <f t="shared" si="43"/>
        <v/>
      </c>
      <c r="Q151" s="19" t="str">
        <f t="shared" si="44"/>
        <v/>
      </c>
      <c r="R151" s="19" t="str">
        <f t="shared" si="54"/>
        <v/>
      </c>
      <c r="S151" s="27" t="str">
        <f t="shared" si="58"/>
        <v/>
      </c>
      <c r="T151" s="28" t="str">
        <f t="shared" si="59"/>
        <v/>
      </c>
      <c r="U151" s="28" t="str">
        <f t="shared" si="60"/>
        <v/>
      </c>
      <c r="V151" s="28" t="str">
        <f t="shared" si="61"/>
        <v/>
      </c>
      <c r="W151" s="28" t="str">
        <f t="shared" si="62"/>
        <v/>
      </c>
      <c r="X151" s="29" t="str">
        <f t="shared" si="63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5"/>
        <v/>
      </c>
      <c r="M152" s="19" t="str">
        <f t="shared" si="56"/>
        <v/>
      </c>
      <c r="N152" s="19" t="str">
        <f t="shared" si="57"/>
        <v/>
      </c>
      <c r="O152" s="19" t="str">
        <f t="shared" si="42"/>
        <v/>
      </c>
      <c r="P152" s="19" t="str">
        <f t="shared" si="43"/>
        <v/>
      </c>
      <c r="Q152" s="19" t="str">
        <f t="shared" si="44"/>
        <v/>
      </c>
      <c r="R152" s="19" t="str">
        <f t="shared" si="54"/>
        <v/>
      </c>
      <c r="S152" s="27" t="str">
        <f t="shared" si="58"/>
        <v/>
      </c>
      <c r="T152" s="28" t="str">
        <f t="shared" si="59"/>
        <v/>
      </c>
      <c r="U152" s="28" t="str">
        <f t="shared" si="60"/>
        <v/>
      </c>
      <c r="V152" s="28" t="str">
        <f t="shared" si="61"/>
        <v/>
      </c>
      <c r="W152" s="28" t="str">
        <f t="shared" si="62"/>
        <v/>
      </c>
      <c r="X152" s="29" t="str">
        <f t="shared" si="63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5"/>
        <v/>
      </c>
      <c r="M153" s="19" t="str">
        <f t="shared" si="56"/>
        <v/>
      </c>
      <c r="N153" s="19" t="str">
        <f t="shared" si="57"/>
        <v/>
      </c>
      <c r="O153" s="19" t="str">
        <f t="shared" si="42"/>
        <v/>
      </c>
      <c r="P153" s="19" t="str">
        <f t="shared" si="43"/>
        <v/>
      </c>
      <c r="Q153" s="19" t="str">
        <f t="shared" si="44"/>
        <v/>
      </c>
      <c r="R153" s="19" t="str">
        <f t="shared" si="54"/>
        <v/>
      </c>
      <c r="S153" s="27" t="str">
        <f t="shared" si="58"/>
        <v/>
      </c>
      <c r="T153" s="28" t="str">
        <f t="shared" si="59"/>
        <v/>
      </c>
      <c r="U153" s="28" t="str">
        <f t="shared" si="60"/>
        <v/>
      </c>
      <c r="V153" s="28" t="str">
        <f t="shared" si="61"/>
        <v/>
      </c>
      <c r="W153" s="28" t="str">
        <f t="shared" si="62"/>
        <v/>
      </c>
      <c r="X153" s="29" t="str">
        <f t="shared" si="63"/>
        <v/>
      </c>
      <c r="Y153" s="24"/>
    </row>
  </sheetData>
  <sheetProtection selectLockedCells="1"/>
  <mergeCells count="38">
    <mergeCell ref="R7:V7"/>
    <mergeCell ref="W7:Y7"/>
    <mergeCell ref="Y13:Y15"/>
    <mergeCell ref="C14:E14"/>
    <mergeCell ref="F14:H14"/>
    <mergeCell ref="I14:I15"/>
    <mergeCell ref="J14:K14"/>
    <mergeCell ref="L13:R14"/>
    <mergeCell ref="S13:X14"/>
    <mergeCell ref="B13:B15"/>
    <mergeCell ref="R5:V5"/>
    <mergeCell ref="W5:Y5"/>
    <mergeCell ref="E6:I6"/>
    <mergeCell ref="J6:Q6"/>
    <mergeCell ref="R6:V6"/>
    <mergeCell ref="W6:Y6"/>
    <mergeCell ref="B10:J12"/>
    <mergeCell ref="K10:S12"/>
    <mergeCell ref="C13:K13"/>
    <mergeCell ref="T10:Y12"/>
    <mergeCell ref="B5:D8"/>
    <mergeCell ref="E5:I5"/>
    <mergeCell ref="J5:Q5"/>
    <mergeCell ref="E7:I7"/>
    <mergeCell ref="J7:Q7"/>
    <mergeCell ref="AA9:AI9"/>
    <mergeCell ref="E8:I8"/>
    <mergeCell ref="J8:Q8"/>
    <mergeCell ref="R8:V8"/>
    <mergeCell ref="W8:Y8"/>
    <mergeCell ref="B9:O9"/>
    <mergeCell ref="P9:Y9"/>
    <mergeCell ref="A1:J1"/>
    <mergeCell ref="E2:Q2"/>
    <mergeCell ref="R2:X4"/>
    <mergeCell ref="Y2:Y4"/>
    <mergeCell ref="E3:Q3"/>
    <mergeCell ref="E4:Q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4">
    <tabColor theme="3" tint="0.79998168889431442"/>
    <pageSetUpPr fitToPage="1"/>
  </sheetPr>
  <dimension ref="A1:AI153"/>
  <sheetViews>
    <sheetView showGridLines="0" zoomScale="75" zoomScaleNormal="75" zoomScaleSheetLayoutView="40" zoomScalePageLayoutView="40" workbookViewId="0">
      <pane ySplit="8" topLeftCell="A43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TZ-12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38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41657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>
        <v>43</v>
      </c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41659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>
        <v>46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120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378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13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6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6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27"/>
      <c r="C12" s="128"/>
      <c r="D12" s="128"/>
      <c r="E12" s="128"/>
      <c r="F12" s="128"/>
      <c r="G12" s="128"/>
      <c r="H12" s="128"/>
      <c r="I12" s="128"/>
      <c r="J12" s="129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43">
        <v>41660</v>
      </c>
      <c r="C16" s="14">
        <v>12.648999999999999</v>
      </c>
      <c r="D16" s="15">
        <v>7.3090000000000002</v>
      </c>
      <c r="E16" s="15">
        <v>8.2889999999999997</v>
      </c>
      <c r="F16" s="42"/>
      <c r="G16" s="42"/>
      <c r="H16" s="42"/>
      <c r="I16" s="41">
        <v>101.494</v>
      </c>
      <c r="J16" s="40">
        <v>387</v>
      </c>
      <c r="K16" s="51">
        <f t="shared" ref="K16:K29" si="0">IF(ISBLANK(J16),"",(J16-$J$8))</f>
        <v>9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41661</v>
      </c>
      <c r="C17" s="25">
        <v>12.648</v>
      </c>
      <c r="D17" s="26">
        <v>7.3079999999999998</v>
      </c>
      <c r="E17" s="26">
        <v>8.2889999999999997</v>
      </c>
      <c r="F17" s="16"/>
      <c r="G17" s="16"/>
      <c r="H17" s="16"/>
      <c r="I17" s="17">
        <v>101.494</v>
      </c>
      <c r="J17" s="32">
        <v>388.5</v>
      </c>
      <c r="K17" s="18">
        <f t="shared" si="0"/>
        <v>10.5</v>
      </c>
      <c r="L17" s="19">
        <f t="shared" ref="L17:R62" si="2">IF(ISBLANK(C17),"",(C17-C$16)*1000)</f>
        <v>-0.99999999999944578</v>
      </c>
      <c r="M17" s="19">
        <f t="shared" si="2"/>
        <v>-1.000000000000334</v>
      </c>
      <c r="N17" s="19">
        <f t="shared" si="2"/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0</v>
      </c>
      <c r="S17" s="27">
        <f t="shared" ref="S17:X32" si="3">IF(C17="","",((C17-C16)*1000)/($B17-$B16))</f>
        <v>-0.99999999999944578</v>
      </c>
      <c r="T17" s="28">
        <f t="shared" si="3"/>
        <v>-1.000000000000334</v>
      </c>
      <c r="U17" s="28">
        <f t="shared" si="3"/>
        <v>0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41662</v>
      </c>
      <c r="C18" s="25">
        <v>12.646000000000001</v>
      </c>
      <c r="D18" s="26">
        <v>7.3070000000000004</v>
      </c>
      <c r="E18" s="26">
        <v>8.2889999999999997</v>
      </c>
      <c r="F18" s="16"/>
      <c r="G18" s="16"/>
      <c r="H18" s="16"/>
      <c r="I18" s="17">
        <v>101.494</v>
      </c>
      <c r="J18" s="32">
        <v>392</v>
      </c>
      <c r="K18" s="18">
        <f t="shared" si="0"/>
        <v>14</v>
      </c>
      <c r="L18" s="19">
        <f t="shared" si="2"/>
        <v>-2.9999999999983373</v>
      </c>
      <c r="M18" s="19">
        <f t="shared" si="2"/>
        <v>-1.9999999999997797</v>
      </c>
      <c r="N18" s="19">
        <f t="shared" si="2"/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0</v>
      </c>
      <c r="S18" s="27">
        <f t="shared" si="3"/>
        <v>-1.9999999999988916</v>
      </c>
      <c r="T18" s="28">
        <f t="shared" si="3"/>
        <v>-0.99999999999944578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41663</v>
      </c>
      <c r="C19" s="25">
        <v>12.646000000000001</v>
      </c>
      <c r="D19" s="26">
        <v>7.3070000000000004</v>
      </c>
      <c r="E19" s="26">
        <v>8.2889999999999997</v>
      </c>
      <c r="F19" s="16"/>
      <c r="G19" s="16"/>
      <c r="H19" s="16"/>
      <c r="I19" s="17">
        <v>101.494</v>
      </c>
      <c r="J19" s="32">
        <v>393.5</v>
      </c>
      <c r="K19" s="18">
        <f t="shared" si="0"/>
        <v>15.5</v>
      </c>
      <c r="L19" s="19">
        <f t="shared" si="2"/>
        <v>-2.9999999999983373</v>
      </c>
      <c r="M19" s="19">
        <f t="shared" si="2"/>
        <v>-1.9999999999997797</v>
      </c>
      <c r="N19" s="19">
        <f t="shared" si="2"/>
        <v>0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0</v>
      </c>
      <c r="S19" s="27">
        <f t="shared" si="3"/>
        <v>0</v>
      </c>
      <c r="T19" s="28">
        <f t="shared" si="3"/>
        <v>0</v>
      </c>
      <c r="U19" s="28">
        <f t="shared" si="3"/>
        <v>0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41666</v>
      </c>
      <c r="C20" s="25">
        <v>12.646000000000001</v>
      </c>
      <c r="D20" s="26">
        <v>7.3070000000000004</v>
      </c>
      <c r="E20" s="26">
        <v>8.2880000000000003</v>
      </c>
      <c r="F20" s="16"/>
      <c r="G20" s="16"/>
      <c r="H20" s="16"/>
      <c r="I20" s="17">
        <v>101.49299999999999</v>
      </c>
      <c r="J20" s="32">
        <v>396.5</v>
      </c>
      <c r="K20" s="18">
        <f t="shared" si="0"/>
        <v>18.5</v>
      </c>
      <c r="L20" s="19">
        <f t="shared" si="2"/>
        <v>-2.9999999999983373</v>
      </c>
      <c r="M20" s="19">
        <f t="shared" si="2"/>
        <v>-1.9999999999997797</v>
      </c>
      <c r="N20" s="19">
        <f t="shared" si="2"/>
        <v>-0.99999999999944578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-1.0000000000047748</v>
      </c>
      <c r="S20" s="27">
        <f t="shared" si="3"/>
        <v>0</v>
      </c>
      <c r="T20" s="28">
        <f t="shared" si="3"/>
        <v>0</v>
      </c>
      <c r="U20" s="28">
        <f t="shared" si="3"/>
        <v>-0.33333333333314857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41667</v>
      </c>
      <c r="C21" s="25">
        <v>12.646000000000001</v>
      </c>
      <c r="D21" s="26">
        <v>7.3070000000000004</v>
      </c>
      <c r="E21" s="26">
        <v>8.2870000000000008</v>
      </c>
      <c r="F21" s="16"/>
      <c r="G21" s="16"/>
      <c r="H21" s="16"/>
      <c r="I21" s="17">
        <v>101.492</v>
      </c>
      <c r="J21" s="32">
        <v>398.5</v>
      </c>
      <c r="K21" s="18">
        <f t="shared" si="0"/>
        <v>20.5</v>
      </c>
      <c r="L21" s="19">
        <f t="shared" si="2"/>
        <v>-2.9999999999983373</v>
      </c>
      <c r="M21" s="19">
        <f t="shared" si="2"/>
        <v>-1.9999999999997797</v>
      </c>
      <c r="N21" s="19">
        <f t="shared" si="2"/>
        <v>-1.9999999999988916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-1.9999999999953388</v>
      </c>
      <c r="S21" s="27">
        <f t="shared" si="3"/>
        <v>0</v>
      </c>
      <c r="T21" s="28">
        <f t="shared" si="3"/>
        <v>0</v>
      </c>
      <c r="U21" s="28">
        <f t="shared" si="3"/>
        <v>-0.99999999999944578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41668</v>
      </c>
      <c r="C22" s="25">
        <v>12.646000000000001</v>
      </c>
      <c r="D22" s="26">
        <v>7.3070000000000004</v>
      </c>
      <c r="E22" s="26">
        <v>8.2870000000000008</v>
      </c>
      <c r="F22" s="16"/>
      <c r="G22" s="16"/>
      <c r="H22" s="16"/>
      <c r="I22" s="17">
        <v>101.492</v>
      </c>
      <c r="J22" s="32">
        <v>402</v>
      </c>
      <c r="K22" s="18">
        <f t="shared" si="0"/>
        <v>24</v>
      </c>
      <c r="L22" s="19">
        <f t="shared" si="2"/>
        <v>-2.9999999999983373</v>
      </c>
      <c r="M22" s="19">
        <f t="shared" si="2"/>
        <v>-1.9999999999997797</v>
      </c>
      <c r="N22" s="19">
        <f t="shared" si="2"/>
        <v>-1.9999999999988916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-1.9999999999953388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41669</v>
      </c>
      <c r="C23" s="25">
        <v>12.646000000000001</v>
      </c>
      <c r="D23" s="26">
        <v>7.3070000000000004</v>
      </c>
      <c r="E23" s="26">
        <v>8.2870000000000008</v>
      </c>
      <c r="F23" s="16"/>
      <c r="G23" s="16"/>
      <c r="H23" s="16"/>
      <c r="I23" s="17">
        <v>101.492</v>
      </c>
      <c r="J23" s="32">
        <v>411</v>
      </c>
      <c r="K23" s="18">
        <f t="shared" si="0"/>
        <v>33</v>
      </c>
      <c r="L23" s="19">
        <f t="shared" si="2"/>
        <v>-2.9999999999983373</v>
      </c>
      <c r="M23" s="19">
        <f t="shared" si="2"/>
        <v>-1.9999999999997797</v>
      </c>
      <c r="N23" s="19">
        <f t="shared" si="2"/>
        <v>-1.9999999999988916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-1.9999999999953388</v>
      </c>
      <c r="S23" s="27">
        <f t="shared" si="3"/>
        <v>0</v>
      </c>
      <c r="T23" s="28">
        <f t="shared" si="3"/>
        <v>0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41670</v>
      </c>
      <c r="C24" s="25">
        <v>12.646000000000001</v>
      </c>
      <c r="D24" s="26">
        <v>7.3070000000000004</v>
      </c>
      <c r="E24" s="26">
        <v>8.2880000000000003</v>
      </c>
      <c r="F24" s="16"/>
      <c r="G24" s="16"/>
      <c r="H24" s="16"/>
      <c r="I24" s="17">
        <v>101.492</v>
      </c>
      <c r="J24" s="32">
        <v>418.5</v>
      </c>
      <c r="K24" s="18">
        <f t="shared" si="0"/>
        <v>40.5</v>
      </c>
      <c r="L24" s="19">
        <f t="shared" si="2"/>
        <v>-2.9999999999983373</v>
      </c>
      <c r="M24" s="19">
        <f t="shared" si="2"/>
        <v>-1.9999999999997797</v>
      </c>
      <c r="N24" s="19">
        <f t="shared" si="2"/>
        <v>-0.99999999999944578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-1.9999999999953388</v>
      </c>
      <c r="S24" s="27">
        <f t="shared" si="3"/>
        <v>0</v>
      </c>
      <c r="T24" s="28">
        <f t="shared" si="3"/>
        <v>0</v>
      </c>
      <c r="U24" s="28">
        <f t="shared" si="3"/>
        <v>0.99999999999944578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41673</v>
      </c>
      <c r="C25" s="25">
        <v>12.646000000000001</v>
      </c>
      <c r="D25" s="26">
        <v>7.3070000000000004</v>
      </c>
      <c r="E25" s="26">
        <v>8.2880000000000003</v>
      </c>
      <c r="F25" s="16"/>
      <c r="G25" s="16"/>
      <c r="H25" s="16"/>
      <c r="I25" s="17">
        <v>101.492</v>
      </c>
      <c r="J25" s="32">
        <v>430</v>
      </c>
      <c r="K25" s="18">
        <f t="shared" si="0"/>
        <v>52</v>
      </c>
      <c r="L25" s="19">
        <f t="shared" si="2"/>
        <v>-2.9999999999983373</v>
      </c>
      <c r="M25" s="19">
        <f t="shared" si="2"/>
        <v>-1.9999999999997797</v>
      </c>
      <c r="N25" s="19">
        <f t="shared" si="2"/>
        <v>-0.99999999999944578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-1.9999999999953388</v>
      </c>
      <c r="S25" s="27">
        <f t="shared" si="3"/>
        <v>0</v>
      </c>
      <c r="T25" s="28">
        <f t="shared" si="3"/>
        <v>0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41674</v>
      </c>
      <c r="C26" s="25">
        <v>12.647</v>
      </c>
      <c r="D26" s="26">
        <v>7.3070000000000004</v>
      </c>
      <c r="E26" s="26">
        <v>8.2870000000000008</v>
      </c>
      <c r="F26" s="16"/>
      <c r="G26" s="16"/>
      <c r="H26" s="16"/>
      <c r="I26" s="17">
        <v>101.491</v>
      </c>
      <c r="J26" s="32">
        <v>438</v>
      </c>
      <c r="K26" s="18">
        <f t="shared" si="0"/>
        <v>60</v>
      </c>
      <c r="L26" s="19">
        <f t="shared" si="2"/>
        <v>-1.9999999999988916</v>
      </c>
      <c r="M26" s="19">
        <f t="shared" si="2"/>
        <v>-1.9999999999997797</v>
      </c>
      <c r="N26" s="19">
        <f t="shared" si="2"/>
        <v>-1.9999999999988916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-3.0000000000001137</v>
      </c>
      <c r="S26" s="27">
        <f t="shared" si="3"/>
        <v>0.99999999999944578</v>
      </c>
      <c r="T26" s="28">
        <f t="shared" si="3"/>
        <v>0</v>
      </c>
      <c r="U26" s="28">
        <f t="shared" si="3"/>
        <v>-0.99999999999944578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41675</v>
      </c>
      <c r="C27" s="25">
        <v>12.647</v>
      </c>
      <c r="D27" s="26">
        <v>7.306</v>
      </c>
      <c r="E27" s="26">
        <v>8.2870000000000008</v>
      </c>
      <c r="F27" s="16"/>
      <c r="G27" s="16"/>
      <c r="H27" s="16"/>
      <c r="I27" s="17">
        <v>101.49</v>
      </c>
      <c r="J27" s="32">
        <v>446</v>
      </c>
      <c r="K27" s="18">
        <f t="shared" si="0"/>
        <v>68</v>
      </c>
      <c r="L27" s="19">
        <f t="shared" si="2"/>
        <v>-1.9999999999988916</v>
      </c>
      <c r="M27" s="19">
        <f t="shared" si="2"/>
        <v>-3.0000000000001137</v>
      </c>
      <c r="N27" s="19">
        <f t="shared" si="2"/>
        <v>-1.9999999999988916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-4.0000000000048885</v>
      </c>
      <c r="S27" s="27">
        <f t="shared" si="3"/>
        <v>0</v>
      </c>
      <c r="T27" s="28">
        <f t="shared" si="3"/>
        <v>-1.000000000000334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41676</v>
      </c>
      <c r="C28" s="25">
        <v>12.647</v>
      </c>
      <c r="D28" s="26">
        <v>7.306</v>
      </c>
      <c r="E28" s="26">
        <v>8.2870000000000008</v>
      </c>
      <c r="F28" s="16"/>
      <c r="G28" s="16"/>
      <c r="H28" s="16"/>
      <c r="I28" s="17">
        <v>101.49</v>
      </c>
      <c r="J28" s="32">
        <v>453</v>
      </c>
      <c r="K28" s="18">
        <f t="shared" si="0"/>
        <v>75</v>
      </c>
      <c r="L28" s="19">
        <f t="shared" si="2"/>
        <v>-1.9999999999988916</v>
      </c>
      <c r="M28" s="19">
        <f t="shared" si="2"/>
        <v>-3.0000000000001137</v>
      </c>
      <c r="N28" s="19">
        <f t="shared" si="2"/>
        <v>-1.9999999999988916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-4.0000000000048885</v>
      </c>
      <c r="S28" s="27">
        <f t="shared" si="3"/>
        <v>0</v>
      </c>
      <c r="T28" s="28">
        <f t="shared" si="3"/>
        <v>0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41684</v>
      </c>
      <c r="C29" s="25">
        <v>12.647</v>
      </c>
      <c r="D29" s="26">
        <v>7.306</v>
      </c>
      <c r="E29" s="26">
        <v>8.2870000000000008</v>
      </c>
      <c r="F29" s="16"/>
      <c r="G29" s="16"/>
      <c r="H29" s="16"/>
      <c r="I29" s="17">
        <v>101.49</v>
      </c>
      <c r="J29" s="32">
        <v>477</v>
      </c>
      <c r="K29" s="18">
        <f t="shared" si="0"/>
        <v>99</v>
      </c>
      <c r="L29" s="19">
        <f t="shared" si="2"/>
        <v>-1.9999999999988916</v>
      </c>
      <c r="M29" s="19">
        <f t="shared" si="2"/>
        <v>-3.0000000000001137</v>
      </c>
      <c r="N29" s="19">
        <f t="shared" si="2"/>
        <v>-1.9999999999988916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-4.0000000000048885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41690</v>
      </c>
      <c r="C30" s="25">
        <v>12.647</v>
      </c>
      <c r="D30" s="26">
        <v>7.3049999999999997</v>
      </c>
      <c r="E30" s="26">
        <v>8.2870000000000008</v>
      </c>
      <c r="F30" s="16"/>
      <c r="G30" s="16"/>
      <c r="H30" s="16"/>
      <c r="I30" s="17">
        <v>101.49</v>
      </c>
      <c r="J30" s="32">
        <v>510</v>
      </c>
      <c r="K30" s="18">
        <f t="shared" ref="K30:K42" si="4">IF(ISBLANK(J30),"",(J30-$J$8))</f>
        <v>132</v>
      </c>
      <c r="L30" s="19">
        <f t="shared" si="2"/>
        <v>-1.9999999999988916</v>
      </c>
      <c r="M30" s="19">
        <f t="shared" si="2"/>
        <v>-4.0000000000004476</v>
      </c>
      <c r="N30" s="19">
        <f t="shared" si="2"/>
        <v>-1.9999999999988916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-4.0000000000048885</v>
      </c>
      <c r="S30" s="27">
        <f t="shared" si="3"/>
        <v>0</v>
      </c>
      <c r="T30" s="28">
        <f t="shared" si="3"/>
        <v>-0.16666666666672234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41697</v>
      </c>
      <c r="C31" s="25">
        <v>12.647</v>
      </c>
      <c r="D31" s="26">
        <v>7.306</v>
      </c>
      <c r="E31" s="26">
        <v>8.2870000000000008</v>
      </c>
      <c r="F31" s="16"/>
      <c r="G31" s="16"/>
      <c r="H31" s="16"/>
      <c r="I31" s="17">
        <v>101.49</v>
      </c>
      <c r="J31" s="58">
        <v>547.5</v>
      </c>
      <c r="K31" s="18">
        <f t="shared" si="4"/>
        <v>169.5</v>
      </c>
      <c r="L31" s="19">
        <f t="shared" si="2"/>
        <v>-1.9999999999988916</v>
      </c>
      <c r="M31" s="19">
        <f t="shared" si="2"/>
        <v>-3.0000000000001137</v>
      </c>
      <c r="N31" s="19">
        <f t="shared" si="2"/>
        <v>-1.9999999999988916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-4.0000000000048885</v>
      </c>
      <c r="S31" s="27">
        <f t="shared" si="3"/>
        <v>0</v>
      </c>
      <c r="T31" s="28">
        <f t="shared" si="3"/>
        <v>0.14285714285719056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41723</v>
      </c>
      <c r="C32" s="25">
        <v>12.645</v>
      </c>
      <c r="D32" s="26">
        <v>7.3049999999999997</v>
      </c>
      <c r="E32" s="26">
        <v>8.2859999999999996</v>
      </c>
      <c r="F32" s="16"/>
      <c r="G32" s="16"/>
      <c r="H32" s="16"/>
      <c r="I32" s="17">
        <v>101.49</v>
      </c>
      <c r="J32" s="32">
        <v>308</v>
      </c>
      <c r="K32" s="18">
        <f t="shared" si="4"/>
        <v>-70</v>
      </c>
      <c r="L32" s="19">
        <f t="shared" si="2"/>
        <v>-3.9999999999995595</v>
      </c>
      <c r="M32" s="19">
        <f t="shared" si="2"/>
        <v>-4.0000000000004476</v>
      </c>
      <c r="N32" s="19">
        <f t="shared" si="2"/>
        <v>-3.0000000000001137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1"/>
        <v>-4.0000000000048885</v>
      </c>
      <c r="S32" s="27">
        <f t="shared" si="3"/>
        <v>-7.6923076923102615E-2</v>
      </c>
      <c r="T32" s="28">
        <f t="shared" si="3"/>
        <v>-3.8461538461551308E-2</v>
      </c>
      <c r="U32" s="28">
        <f t="shared" si="3"/>
        <v>-3.8461538461585468E-2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 t="s">
        <v>23</v>
      </c>
    </row>
    <row r="33" spans="2:25" ht="15" customHeight="1" x14ac:dyDescent="0.2">
      <c r="B33" s="31">
        <v>41731</v>
      </c>
      <c r="C33" s="33">
        <v>12.638999999999999</v>
      </c>
      <c r="D33" s="26">
        <v>7.3049999999999997</v>
      </c>
      <c r="E33" s="16">
        <v>8.2840000000000007</v>
      </c>
      <c r="F33" s="16"/>
      <c r="G33" s="16"/>
      <c r="H33" s="16"/>
      <c r="I33" s="16">
        <v>101.479</v>
      </c>
      <c r="J33" s="32">
        <v>375</v>
      </c>
      <c r="K33" s="18">
        <f t="shared" si="4"/>
        <v>-3</v>
      </c>
      <c r="L33" s="19">
        <f t="shared" si="2"/>
        <v>-9.9999999999997868</v>
      </c>
      <c r="M33" s="19">
        <f t="shared" si="2"/>
        <v>-4.0000000000004476</v>
      </c>
      <c r="N33" s="19">
        <f t="shared" si="2"/>
        <v>-4.9999999999990052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2"/>
        <v>-15.000000000000568</v>
      </c>
      <c r="S33" s="27">
        <f t="shared" ref="S33:X48" si="5">IF(C33="","",((C33-C32)*1000)/($B33-$B32))</f>
        <v>-0.75000000000002842</v>
      </c>
      <c r="T33" s="28">
        <f t="shared" si="5"/>
        <v>0</v>
      </c>
      <c r="U33" s="28">
        <f t="shared" si="5"/>
        <v>-0.24999999999986144</v>
      </c>
      <c r="V33" s="28" t="str">
        <f t="shared" si="5"/>
        <v/>
      </c>
      <c r="W33" s="28" t="str">
        <f t="shared" si="5"/>
        <v/>
      </c>
      <c r="X33" s="29" t="str">
        <f t="shared" si="5"/>
        <v/>
      </c>
      <c r="Y33" s="24"/>
    </row>
    <row r="34" spans="2:25" ht="15" customHeight="1" x14ac:dyDescent="0.2">
      <c r="B34" s="31">
        <v>41732</v>
      </c>
      <c r="C34" s="33">
        <v>12.638999999999999</v>
      </c>
      <c r="D34" s="26">
        <v>7.3049999999999997</v>
      </c>
      <c r="E34" s="16">
        <v>8.282</v>
      </c>
      <c r="F34" s="16">
        <v>13.115</v>
      </c>
      <c r="G34" s="16">
        <v>9.7240000000000002</v>
      </c>
      <c r="H34" s="16">
        <v>10.491</v>
      </c>
      <c r="I34" s="16">
        <v>101.479</v>
      </c>
      <c r="J34" s="32">
        <v>387</v>
      </c>
      <c r="K34" s="18">
        <f t="shared" si="4"/>
        <v>9</v>
      </c>
      <c r="L34" s="19">
        <f t="shared" si="2"/>
        <v>-9.9999999999997868</v>
      </c>
      <c r="M34" s="19">
        <f t="shared" si="2"/>
        <v>-4.0000000000004476</v>
      </c>
      <c r="N34" s="19">
        <f t="shared" si="2"/>
        <v>-6.9999999999996732</v>
      </c>
      <c r="O34" s="19">
        <f>IF(ISBLANK(F34),"",((F34-F$34)*1000)+L$34)</f>
        <v>-9.9999999999997868</v>
      </c>
      <c r="P34" s="19">
        <f>IF(ISBLANK(G34),"",((G34-G$34)*1000)+M$34)</f>
        <v>-4.0000000000004476</v>
      </c>
      <c r="Q34" s="19">
        <f>IF(ISBLANK(H34),"",((H34-H$34)*1000)+N$34)</f>
        <v>-6.9999999999996732</v>
      </c>
      <c r="R34" s="19">
        <f t="shared" si="2"/>
        <v>-15.000000000000568</v>
      </c>
      <c r="S34" s="27">
        <f t="shared" si="5"/>
        <v>0</v>
      </c>
      <c r="T34" s="28">
        <f t="shared" si="5"/>
        <v>0</v>
      </c>
      <c r="U34" s="28">
        <f t="shared" si="5"/>
        <v>-2.0000000000006679</v>
      </c>
      <c r="V34" s="28"/>
      <c r="W34" s="28"/>
      <c r="X34" s="29"/>
      <c r="Y34" s="24"/>
    </row>
    <row r="35" spans="2:25" ht="15" customHeight="1" x14ac:dyDescent="0.2">
      <c r="B35" s="31">
        <v>41733</v>
      </c>
      <c r="C35" s="33">
        <v>12.638999999999999</v>
      </c>
      <c r="D35" s="26">
        <v>7.3040000000000003</v>
      </c>
      <c r="E35" s="16">
        <v>8.282</v>
      </c>
      <c r="F35" s="16">
        <v>13.113</v>
      </c>
      <c r="G35" s="16">
        <v>9.7240000000000002</v>
      </c>
      <c r="H35" s="16">
        <v>10.491</v>
      </c>
      <c r="I35" s="16">
        <v>101.479</v>
      </c>
      <c r="J35" s="32">
        <v>395</v>
      </c>
      <c r="K35" s="18">
        <f t="shared" si="4"/>
        <v>17</v>
      </c>
      <c r="L35" s="19">
        <f t="shared" si="2"/>
        <v>-9.9999999999997868</v>
      </c>
      <c r="M35" s="19">
        <f t="shared" si="2"/>
        <v>-4.9999999999998934</v>
      </c>
      <c r="N35" s="19">
        <f t="shared" si="2"/>
        <v>-6.9999999999996732</v>
      </c>
      <c r="O35" s="19">
        <f t="shared" ref="O35:O98" si="6">IF(ISBLANK(F35),"",((F35-F$34)*1000)+L$34)</f>
        <v>-12.000000000000455</v>
      </c>
      <c r="P35" s="19">
        <f t="shared" ref="P35:P98" si="7">IF(ISBLANK(G35),"",((G35-G$34)*1000)+M$34)</f>
        <v>-4.0000000000004476</v>
      </c>
      <c r="Q35" s="19">
        <f t="shared" ref="Q35:Q98" si="8">IF(ISBLANK(H35),"",((H35-H$34)*1000)+N$34)</f>
        <v>-6.9999999999996732</v>
      </c>
      <c r="R35" s="19">
        <f t="shared" si="2"/>
        <v>-15.000000000000568</v>
      </c>
      <c r="S35" s="27">
        <f t="shared" si="5"/>
        <v>0</v>
      </c>
      <c r="T35" s="28">
        <f t="shared" si="5"/>
        <v>-0.99999999999944578</v>
      </c>
      <c r="U35" s="28">
        <f t="shared" si="5"/>
        <v>0</v>
      </c>
      <c r="V35" s="28">
        <f t="shared" si="5"/>
        <v>-2.0000000000006679</v>
      </c>
      <c r="W35" s="28">
        <f t="shared" si="5"/>
        <v>0</v>
      </c>
      <c r="X35" s="29">
        <f t="shared" si="5"/>
        <v>0</v>
      </c>
      <c r="Y35" s="24"/>
    </row>
    <row r="36" spans="2:25" ht="15" customHeight="1" x14ac:dyDescent="0.2">
      <c r="B36" s="31">
        <v>41736</v>
      </c>
      <c r="C36" s="33">
        <v>12.638</v>
      </c>
      <c r="D36" s="26">
        <v>7.3029999999999999</v>
      </c>
      <c r="E36" s="16">
        <v>8.282</v>
      </c>
      <c r="F36" s="16">
        <v>13.113</v>
      </c>
      <c r="G36" s="16">
        <v>9.7240000000000002</v>
      </c>
      <c r="H36" s="16">
        <v>10.491</v>
      </c>
      <c r="I36" s="16">
        <v>101.479</v>
      </c>
      <c r="J36" s="32">
        <v>408</v>
      </c>
      <c r="K36" s="18">
        <f t="shared" si="4"/>
        <v>30</v>
      </c>
      <c r="L36" s="19">
        <f t="shared" si="2"/>
        <v>-10.999999999999233</v>
      </c>
      <c r="M36" s="19">
        <f t="shared" si="2"/>
        <v>-6.0000000000002274</v>
      </c>
      <c r="N36" s="19">
        <f t="shared" si="2"/>
        <v>-6.9999999999996732</v>
      </c>
      <c r="O36" s="19">
        <f t="shared" si="6"/>
        <v>-12.000000000000455</v>
      </c>
      <c r="P36" s="19">
        <f t="shared" si="7"/>
        <v>-4.0000000000004476</v>
      </c>
      <c r="Q36" s="19">
        <f t="shared" si="8"/>
        <v>-6.9999999999996732</v>
      </c>
      <c r="R36" s="19">
        <f t="shared" si="2"/>
        <v>-15.000000000000568</v>
      </c>
      <c r="S36" s="27">
        <f t="shared" si="5"/>
        <v>-0.33333333333314857</v>
      </c>
      <c r="T36" s="28">
        <f t="shared" si="5"/>
        <v>-0.33333333333344467</v>
      </c>
      <c r="U36" s="28">
        <f t="shared" si="5"/>
        <v>0</v>
      </c>
      <c r="V36" s="28">
        <f t="shared" si="5"/>
        <v>0</v>
      </c>
      <c r="W36" s="28">
        <f t="shared" si="5"/>
        <v>0</v>
      </c>
      <c r="X36" s="29">
        <f t="shared" si="5"/>
        <v>0</v>
      </c>
      <c r="Y36" s="24"/>
    </row>
    <row r="37" spans="2:25" ht="15" customHeight="1" x14ac:dyDescent="0.2">
      <c r="B37" s="31">
        <v>41737</v>
      </c>
      <c r="C37" s="33"/>
      <c r="D37" s="26"/>
      <c r="E37" s="16"/>
      <c r="F37" s="16">
        <v>13.113</v>
      </c>
      <c r="G37" s="16">
        <v>9.7240000000000002</v>
      </c>
      <c r="H37" s="16">
        <v>10.491</v>
      </c>
      <c r="I37" s="16">
        <v>101.47799999999999</v>
      </c>
      <c r="J37" s="32">
        <v>436</v>
      </c>
      <c r="K37" s="18">
        <f t="shared" si="4"/>
        <v>58</v>
      </c>
      <c r="L37" s="19" t="str">
        <f t="shared" si="2"/>
        <v/>
      </c>
      <c r="M37" s="19" t="str">
        <f t="shared" si="2"/>
        <v/>
      </c>
      <c r="N37" s="19" t="str">
        <f t="shared" si="2"/>
        <v/>
      </c>
      <c r="O37" s="19">
        <f t="shared" si="6"/>
        <v>-12.000000000000455</v>
      </c>
      <c r="P37" s="19">
        <f t="shared" si="7"/>
        <v>-4.0000000000004476</v>
      </c>
      <c r="Q37" s="19">
        <f t="shared" si="8"/>
        <v>-6.9999999999996732</v>
      </c>
      <c r="R37" s="19">
        <f t="shared" si="2"/>
        <v>-16.000000000005343</v>
      </c>
      <c r="S37" s="27" t="str">
        <f t="shared" si="5"/>
        <v/>
      </c>
      <c r="T37" s="28" t="str">
        <f t="shared" si="5"/>
        <v/>
      </c>
      <c r="U37" s="28" t="str">
        <f t="shared" si="5"/>
        <v/>
      </c>
      <c r="V37" s="28">
        <f t="shared" si="5"/>
        <v>0</v>
      </c>
      <c r="W37" s="28">
        <f t="shared" si="5"/>
        <v>0</v>
      </c>
      <c r="X37" s="29">
        <f t="shared" si="5"/>
        <v>0</v>
      </c>
      <c r="Y37" s="24"/>
    </row>
    <row r="38" spans="2:25" ht="15" customHeight="1" x14ac:dyDescent="0.2">
      <c r="B38" s="31">
        <v>41738</v>
      </c>
      <c r="C38" s="33"/>
      <c r="D38" s="26"/>
      <c r="E38" s="16"/>
      <c r="F38" s="16">
        <v>13.112</v>
      </c>
      <c r="G38" s="16">
        <v>9.7240000000000002</v>
      </c>
      <c r="H38" s="16">
        <v>10.491</v>
      </c>
      <c r="I38" s="16">
        <v>101.47799999999999</v>
      </c>
      <c r="J38" s="32">
        <v>450</v>
      </c>
      <c r="K38" s="18">
        <f t="shared" si="4"/>
        <v>72</v>
      </c>
      <c r="L38" s="19" t="str">
        <f t="shared" si="2"/>
        <v/>
      </c>
      <c r="M38" s="19" t="str">
        <f t="shared" si="2"/>
        <v/>
      </c>
      <c r="N38" s="19" t="str">
        <f t="shared" si="2"/>
        <v/>
      </c>
      <c r="O38" s="19">
        <f t="shared" si="6"/>
        <v>-12.999999999999901</v>
      </c>
      <c r="P38" s="19">
        <f t="shared" si="7"/>
        <v>-4.0000000000004476</v>
      </c>
      <c r="Q38" s="19">
        <f t="shared" si="8"/>
        <v>-6.9999999999996732</v>
      </c>
      <c r="R38" s="19">
        <f t="shared" si="2"/>
        <v>-16.000000000005343</v>
      </c>
      <c r="S38" s="27" t="str">
        <f t="shared" si="5"/>
        <v/>
      </c>
      <c r="T38" s="28" t="str">
        <f t="shared" si="5"/>
        <v/>
      </c>
      <c r="U38" s="28" t="str">
        <f t="shared" si="5"/>
        <v/>
      </c>
      <c r="V38" s="28">
        <f t="shared" si="5"/>
        <v>-0.99999999999944578</v>
      </c>
      <c r="W38" s="28">
        <f t="shared" si="5"/>
        <v>0</v>
      </c>
      <c r="X38" s="29">
        <f t="shared" si="5"/>
        <v>0</v>
      </c>
      <c r="Y38" s="24"/>
    </row>
    <row r="39" spans="2:25" ht="15" customHeight="1" x14ac:dyDescent="0.2">
      <c r="B39" s="31">
        <v>41739</v>
      </c>
      <c r="C39" s="33"/>
      <c r="D39" s="26"/>
      <c r="E39" s="16"/>
      <c r="F39" s="16">
        <v>13.112</v>
      </c>
      <c r="G39" s="16">
        <v>9.7240000000000002</v>
      </c>
      <c r="H39" s="16">
        <v>10.491</v>
      </c>
      <c r="I39" s="16">
        <v>101.47799999999999</v>
      </c>
      <c r="J39" s="32">
        <v>457</v>
      </c>
      <c r="K39" s="18">
        <f t="shared" si="4"/>
        <v>79</v>
      </c>
      <c r="L39" s="19" t="str">
        <f t="shared" si="2"/>
        <v/>
      </c>
      <c r="M39" s="19" t="str">
        <f t="shared" si="2"/>
        <v/>
      </c>
      <c r="N39" s="19" t="str">
        <f t="shared" si="2"/>
        <v/>
      </c>
      <c r="O39" s="19">
        <f t="shared" si="6"/>
        <v>-12.999999999999901</v>
      </c>
      <c r="P39" s="19">
        <f t="shared" si="7"/>
        <v>-4.0000000000004476</v>
      </c>
      <c r="Q39" s="19">
        <f t="shared" si="8"/>
        <v>-6.9999999999996732</v>
      </c>
      <c r="R39" s="19">
        <f t="shared" si="2"/>
        <v>-16.000000000005343</v>
      </c>
      <c r="S39" s="27" t="str">
        <f t="shared" si="5"/>
        <v/>
      </c>
      <c r="T39" s="28" t="str">
        <f t="shared" si="5"/>
        <v/>
      </c>
      <c r="U39" s="28" t="str">
        <f t="shared" si="5"/>
        <v/>
      </c>
      <c r="V39" s="28">
        <f t="shared" si="5"/>
        <v>0</v>
      </c>
      <c r="W39" s="28">
        <f t="shared" si="5"/>
        <v>0</v>
      </c>
      <c r="X39" s="29">
        <f t="shared" si="5"/>
        <v>0</v>
      </c>
      <c r="Y39" s="24"/>
    </row>
    <row r="40" spans="2:25" ht="15" customHeight="1" x14ac:dyDescent="0.2">
      <c r="B40" s="31">
        <v>41745</v>
      </c>
      <c r="C40" s="33"/>
      <c r="D40" s="26"/>
      <c r="E40" s="16"/>
      <c r="F40" s="16">
        <v>13.112</v>
      </c>
      <c r="G40" s="16">
        <v>9.7240000000000002</v>
      </c>
      <c r="H40" s="16">
        <v>10.49</v>
      </c>
      <c r="I40" s="16">
        <v>101.479</v>
      </c>
      <c r="J40" s="32">
        <v>516</v>
      </c>
      <c r="K40" s="18">
        <f t="shared" si="4"/>
        <v>138</v>
      </c>
      <c r="L40" s="19" t="str">
        <f t="shared" si="2"/>
        <v/>
      </c>
      <c r="M40" s="19" t="str">
        <f t="shared" si="2"/>
        <v/>
      </c>
      <c r="N40" s="19" t="str">
        <f t="shared" si="2"/>
        <v/>
      </c>
      <c r="O40" s="19">
        <f t="shared" si="6"/>
        <v>-12.999999999999901</v>
      </c>
      <c r="P40" s="19">
        <f t="shared" si="7"/>
        <v>-4.0000000000004476</v>
      </c>
      <c r="Q40" s="19">
        <f t="shared" si="8"/>
        <v>-7.9999999999991189</v>
      </c>
      <c r="R40" s="19">
        <f t="shared" si="2"/>
        <v>-15.000000000000568</v>
      </c>
      <c r="S40" s="27" t="str">
        <f t="shared" si="5"/>
        <v/>
      </c>
      <c r="T40" s="28" t="str">
        <f t="shared" si="5"/>
        <v/>
      </c>
      <c r="U40" s="28" t="str">
        <f t="shared" si="5"/>
        <v/>
      </c>
      <c r="V40" s="28">
        <f t="shared" si="5"/>
        <v>0</v>
      </c>
      <c r="W40" s="28">
        <f t="shared" si="5"/>
        <v>0</v>
      </c>
      <c r="X40" s="29">
        <f t="shared" si="5"/>
        <v>-0.16666666666657429</v>
      </c>
      <c r="Y40" s="24"/>
    </row>
    <row r="41" spans="2:25" ht="15" customHeight="1" x14ac:dyDescent="0.2">
      <c r="B41" s="31">
        <v>41752</v>
      </c>
      <c r="C41" s="33"/>
      <c r="D41" s="26"/>
      <c r="E41" s="16"/>
      <c r="F41" s="16">
        <v>13.112</v>
      </c>
      <c r="G41" s="16">
        <v>9.7240000000000002</v>
      </c>
      <c r="H41" s="16">
        <v>10.49</v>
      </c>
      <c r="I41" s="16">
        <v>101.479</v>
      </c>
      <c r="J41" s="32">
        <v>534.5</v>
      </c>
      <c r="K41" s="18">
        <f t="shared" si="4"/>
        <v>156.5</v>
      </c>
      <c r="L41" s="19" t="str">
        <f t="shared" si="2"/>
        <v/>
      </c>
      <c r="M41" s="19" t="str">
        <f t="shared" si="2"/>
        <v/>
      </c>
      <c r="N41" s="19" t="str">
        <f t="shared" si="2"/>
        <v/>
      </c>
      <c r="O41" s="19">
        <f t="shared" si="6"/>
        <v>-12.999999999999901</v>
      </c>
      <c r="P41" s="19">
        <f t="shared" si="7"/>
        <v>-4.0000000000004476</v>
      </c>
      <c r="Q41" s="19">
        <f t="shared" si="8"/>
        <v>-7.9999999999991189</v>
      </c>
      <c r="R41" s="19">
        <f t="shared" si="2"/>
        <v>-15.000000000000568</v>
      </c>
      <c r="S41" s="27" t="str">
        <f t="shared" si="5"/>
        <v/>
      </c>
      <c r="T41" s="28" t="str">
        <f t="shared" si="5"/>
        <v/>
      </c>
      <c r="U41" s="28" t="str">
        <f t="shared" si="5"/>
        <v/>
      </c>
      <c r="V41" s="28">
        <f t="shared" si="5"/>
        <v>0</v>
      </c>
      <c r="W41" s="28">
        <f t="shared" si="5"/>
        <v>0</v>
      </c>
      <c r="X41" s="29">
        <f t="shared" si="5"/>
        <v>0</v>
      </c>
      <c r="Y41" s="24" t="s">
        <v>35</v>
      </c>
    </row>
    <row r="42" spans="2:25" ht="15" customHeight="1" x14ac:dyDescent="0.2">
      <c r="B42" s="31">
        <v>41759</v>
      </c>
      <c r="C42" s="33"/>
      <c r="D42" s="26"/>
      <c r="E42" s="16"/>
      <c r="F42" s="16">
        <v>13.112</v>
      </c>
      <c r="G42" s="16">
        <v>9.7240000000000002</v>
      </c>
      <c r="H42" s="16">
        <v>10.489000000000001</v>
      </c>
      <c r="I42" s="16">
        <v>101.479</v>
      </c>
      <c r="J42" s="32">
        <v>534.5</v>
      </c>
      <c r="K42" s="18">
        <f t="shared" si="4"/>
        <v>156.5</v>
      </c>
      <c r="L42" s="19" t="str">
        <f t="shared" si="2"/>
        <v/>
      </c>
      <c r="M42" s="19" t="str">
        <f t="shared" si="2"/>
        <v/>
      </c>
      <c r="N42" s="19" t="str">
        <f t="shared" si="2"/>
        <v/>
      </c>
      <c r="O42" s="19">
        <f t="shared" si="6"/>
        <v>-12.999999999999901</v>
      </c>
      <c r="P42" s="19">
        <f t="shared" si="7"/>
        <v>-4.0000000000004476</v>
      </c>
      <c r="Q42" s="19">
        <f t="shared" si="8"/>
        <v>-8.9999999999985647</v>
      </c>
      <c r="R42" s="19">
        <f t="shared" si="2"/>
        <v>-15.000000000000568</v>
      </c>
      <c r="S42" s="27" t="str">
        <f t="shared" si="5"/>
        <v/>
      </c>
      <c r="T42" s="28" t="str">
        <f t="shared" si="5"/>
        <v/>
      </c>
      <c r="U42" s="28" t="str">
        <f t="shared" si="5"/>
        <v/>
      </c>
      <c r="V42" s="28">
        <f t="shared" si="5"/>
        <v>0</v>
      </c>
      <c r="W42" s="28">
        <f t="shared" si="5"/>
        <v>0</v>
      </c>
      <c r="X42" s="29">
        <f t="shared" si="5"/>
        <v>-0.14285714285706369</v>
      </c>
      <c r="Y42" s="24"/>
    </row>
    <row r="43" spans="2:25" ht="15" customHeight="1" x14ac:dyDescent="0.2">
      <c r="B43" s="31">
        <v>41781</v>
      </c>
      <c r="C43" s="33"/>
      <c r="D43" s="26"/>
      <c r="E43" s="16"/>
      <c r="F43" s="16">
        <v>13.112</v>
      </c>
      <c r="G43" s="16">
        <v>9.7249999999999996</v>
      </c>
      <c r="H43" s="16">
        <v>10.49</v>
      </c>
      <c r="I43" s="16">
        <v>101.479</v>
      </c>
      <c r="J43" s="58">
        <v>792</v>
      </c>
      <c r="K43" s="18">
        <f t="shared" ref="K43:K48" si="9">IF(ISBLANK(J43),"",(J43-$J$8))</f>
        <v>414</v>
      </c>
      <c r="L43" s="19" t="str">
        <f t="shared" si="2"/>
        <v/>
      </c>
      <c r="M43" s="19" t="str">
        <f t="shared" si="2"/>
        <v/>
      </c>
      <c r="N43" s="19" t="str">
        <f t="shared" si="2"/>
        <v/>
      </c>
      <c r="O43" s="19">
        <f t="shared" si="6"/>
        <v>-12.999999999999901</v>
      </c>
      <c r="P43" s="19">
        <f t="shared" si="7"/>
        <v>-3.0000000000010019</v>
      </c>
      <c r="Q43" s="19">
        <f t="shared" si="8"/>
        <v>-7.9999999999991189</v>
      </c>
      <c r="R43" s="19">
        <f t="shared" si="2"/>
        <v>-15.000000000000568</v>
      </c>
      <c r="S43" s="27" t="str">
        <f t="shared" si="5"/>
        <v/>
      </c>
      <c r="T43" s="28" t="str">
        <f t="shared" si="5"/>
        <v/>
      </c>
      <c r="U43" s="28" t="str">
        <f t="shared" si="5"/>
        <v/>
      </c>
      <c r="V43" s="28">
        <f t="shared" si="5"/>
        <v>0</v>
      </c>
      <c r="W43" s="28">
        <f>IF(G43="","",((G43-G42)*1000)/($B43-$B42))</f>
        <v>4.5454545454520261E-2</v>
      </c>
      <c r="X43" s="29">
        <f t="shared" si="5"/>
        <v>4.5454545454520261E-2</v>
      </c>
      <c r="Y43" s="24"/>
    </row>
    <row r="44" spans="2:25" ht="15" customHeight="1" x14ac:dyDescent="0.2">
      <c r="B44" s="31">
        <v>41843</v>
      </c>
      <c r="C44" s="33"/>
      <c r="D44" s="26"/>
      <c r="E44" s="16"/>
      <c r="F44" s="16">
        <v>13.112</v>
      </c>
      <c r="G44" s="16">
        <v>9.7249999999999996</v>
      </c>
      <c r="H44" s="16">
        <v>10.49</v>
      </c>
      <c r="I44" s="16">
        <v>101.479</v>
      </c>
      <c r="J44" s="58">
        <v>943</v>
      </c>
      <c r="K44" s="18">
        <f t="shared" si="9"/>
        <v>565</v>
      </c>
      <c r="L44" s="19" t="str">
        <f t="shared" si="2"/>
        <v/>
      </c>
      <c r="M44" s="19" t="str">
        <f t="shared" si="2"/>
        <v/>
      </c>
      <c r="N44" s="19" t="str">
        <f t="shared" si="2"/>
        <v/>
      </c>
      <c r="O44" s="19">
        <f t="shared" si="6"/>
        <v>-12.999999999999901</v>
      </c>
      <c r="P44" s="19">
        <f t="shared" si="7"/>
        <v>-3.0000000000010019</v>
      </c>
      <c r="Q44" s="19">
        <f t="shared" si="8"/>
        <v>-7.9999999999991189</v>
      </c>
      <c r="R44" s="19">
        <f t="shared" si="2"/>
        <v>-15.000000000000568</v>
      </c>
      <c r="S44" s="27" t="str">
        <f t="shared" si="5"/>
        <v/>
      </c>
      <c r="T44" s="28" t="str">
        <f t="shared" si="5"/>
        <v/>
      </c>
      <c r="U44" s="28" t="str">
        <f t="shared" si="5"/>
        <v/>
      </c>
      <c r="V44" s="28">
        <f t="shared" si="5"/>
        <v>0</v>
      </c>
      <c r="W44" s="28">
        <f t="shared" si="5"/>
        <v>0</v>
      </c>
      <c r="X44" s="29">
        <f t="shared" si="5"/>
        <v>0</v>
      </c>
      <c r="Y44" s="24"/>
    </row>
    <row r="45" spans="2:25" ht="15" customHeight="1" x14ac:dyDescent="0.2">
      <c r="B45" s="31">
        <v>41933</v>
      </c>
      <c r="C45" s="33">
        <v>12.635</v>
      </c>
      <c r="D45" s="26">
        <v>7.3010000000000002</v>
      </c>
      <c r="E45" s="16">
        <v>8.2810000000000006</v>
      </c>
      <c r="F45" s="16">
        <v>13.111000000000001</v>
      </c>
      <c r="G45" s="16">
        <v>9.7249999999999996</v>
      </c>
      <c r="H45" s="16">
        <v>10.491</v>
      </c>
      <c r="I45" s="16">
        <v>101.48</v>
      </c>
      <c r="J45" s="58">
        <v>943</v>
      </c>
      <c r="K45" s="18">
        <f t="shared" si="9"/>
        <v>565</v>
      </c>
      <c r="L45" s="19">
        <f t="shared" si="2"/>
        <v>-13.999999999999346</v>
      </c>
      <c r="M45" s="19">
        <f t="shared" si="2"/>
        <v>-8.0000000000000071</v>
      </c>
      <c r="N45" s="19">
        <f t="shared" si="2"/>
        <v>-7.9999999999991189</v>
      </c>
      <c r="O45" s="19">
        <f t="shared" si="6"/>
        <v>-13.999999999999346</v>
      </c>
      <c r="P45" s="19">
        <f t="shared" si="7"/>
        <v>-3.0000000000010019</v>
      </c>
      <c r="Q45" s="19">
        <f t="shared" si="8"/>
        <v>-6.9999999999996732</v>
      </c>
      <c r="R45" s="19">
        <f t="shared" si="2"/>
        <v>-13.999999999995794</v>
      </c>
      <c r="S45" s="27"/>
      <c r="T45" s="28"/>
      <c r="U45" s="28"/>
      <c r="V45" s="28">
        <f t="shared" si="5"/>
        <v>-1.1111111111104953E-2</v>
      </c>
      <c r="W45" s="28">
        <f t="shared" si="5"/>
        <v>0</v>
      </c>
      <c r="X45" s="29">
        <f t="shared" si="5"/>
        <v>1.1111111111104953E-2</v>
      </c>
      <c r="Y45" s="24"/>
    </row>
    <row r="46" spans="2:25" ht="15" customHeight="1" x14ac:dyDescent="0.2">
      <c r="B46" s="31">
        <v>42025</v>
      </c>
      <c r="C46" s="33"/>
      <c r="D46" s="26"/>
      <c r="E46" s="16"/>
      <c r="F46" s="16">
        <v>13.111000000000001</v>
      </c>
      <c r="G46" s="16">
        <v>9.7249999999999996</v>
      </c>
      <c r="H46" s="16">
        <v>10.492000000000001</v>
      </c>
      <c r="I46" s="16">
        <v>101.48</v>
      </c>
      <c r="J46" s="58">
        <v>943</v>
      </c>
      <c r="K46" s="18">
        <f t="shared" si="9"/>
        <v>565</v>
      </c>
      <c r="L46" s="19" t="str">
        <f t="shared" si="2"/>
        <v/>
      </c>
      <c r="M46" s="19" t="str">
        <f t="shared" si="2"/>
        <v/>
      </c>
      <c r="N46" s="19" t="str">
        <f t="shared" si="2"/>
        <v/>
      </c>
      <c r="O46" s="19">
        <f t="shared" si="6"/>
        <v>-13.999999999999346</v>
      </c>
      <c r="P46" s="19">
        <f t="shared" si="7"/>
        <v>-3.0000000000010019</v>
      </c>
      <c r="Q46" s="19">
        <f t="shared" si="8"/>
        <v>-5.999999999998451</v>
      </c>
      <c r="R46" s="19">
        <f t="shared" si="2"/>
        <v>-13.999999999995794</v>
      </c>
      <c r="S46" s="27" t="str">
        <f t="shared" si="5"/>
        <v/>
      </c>
      <c r="T46" s="28" t="str">
        <f t="shared" si="5"/>
        <v/>
      </c>
      <c r="U46" s="28" t="str">
        <f t="shared" si="5"/>
        <v/>
      </c>
      <c r="V46" s="28">
        <f t="shared" si="5"/>
        <v>0</v>
      </c>
      <c r="W46" s="28">
        <f t="shared" si="5"/>
        <v>0</v>
      </c>
      <c r="X46" s="29">
        <f t="shared" si="5"/>
        <v>1.0869565217404589E-2</v>
      </c>
      <c r="Y46" s="24"/>
    </row>
    <row r="47" spans="2:25" ht="15" customHeight="1" x14ac:dyDescent="0.2">
      <c r="B47" s="31">
        <v>42109</v>
      </c>
      <c r="C47" s="25"/>
      <c r="D47" s="26"/>
      <c r="E47" s="26"/>
      <c r="F47" s="16">
        <v>13.11</v>
      </c>
      <c r="G47" s="16">
        <v>9.7260000000000009</v>
      </c>
      <c r="H47" s="16">
        <v>10.493</v>
      </c>
      <c r="I47" s="16">
        <v>101.48099999999999</v>
      </c>
      <c r="J47" s="58">
        <v>943</v>
      </c>
      <c r="K47" s="18">
        <f t="shared" si="9"/>
        <v>565</v>
      </c>
      <c r="L47" s="19" t="str">
        <f t="shared" si="2"/>
        <v/>
      </c>
      <c r="M47" s="19" t="str">
        <f t="shared" si="2"/>
        <v/>
      </c>
      <c r="N47" s="19" t="str">
        <f t="shared" si="2"/>
        <v/>
      </c>
      <c r="O47" s="19">
        <f t="shared" si="6"/>
        <v>-15.000000000000568</v>
      </c>
      <c r="P47" s="19">
        <f t="shared" si="7"/>
        <v>-1.9999999999997797</v>
      </c>
      <c r="Q47" s="19">
        <f t="shared" si="8"/>
        <v>-4.9999999999990052</v>
      </c>
      <c r="R47" s="19">
        <f t="shared" si="2"/>
        <v>-13.00000000000523</v>
      </c>
      <c r="S47" s="27" t="str">
        <f t="shared" si="5"/>
        <v/>
      </c>
      <c r="T47" s="28" t="str">
        <f t="shared" si="5"/>
        <v/>
      </c>
      <c r="U47" s="28" t="str">
        <f t="shared" si="5"/>
        <v/>
      </c>
      <c r="V47" s="28">
        <f t="shared" si="5"/>
        <v>-1.1904761904776453E-2</v>
      </c>
      <c r="W47" s="28">
        <f t="shared" si="5"/>
        <v>1.1904761904776453E-2</v>
      </c>
      <c r="X47" s="29">
        <f t="shared" si="5"/>
        <v>1.1904761904755307E-2</v>
      </c>
      <c r="Y47" s="24"/>
    </row>
    <row r="48" spans="2:25" ht="15" customHeight="1" x14ac:dyDescent="0.2">
      <c r="B48" s="31">
        <v>42221</v>
      </c>
      <c r="C48" s="33"/>
      <c r="D48" s="16"/>
      <c r="E48" s="16"/>
      <c r="F48" s="16">
        <v>13.111000000000001</v>
      </c>
      <c r="G48" s="16">
        <v>9.7260000000000009</v>
      </c>
      <c r="H48" s="16">
        <v>10.493</v>
      </c>
      <c r="I48" s="16">
        <v>101.48099999999999</v>
      </c>
      <c r="J48" s="32">
        <v>1253</v>
      </c>
      <c r="K48" s="18">
        <f t="shared" si="9"/>
        <v>875</v>
      </c>
      <c r="L48" s="19" t="str">
        <f t="shared" si="2"/>
        <v/>
      </c>
      <c r="M48" s="19" t="str">
        <f t="shared" si="2"/>
        <v/>
      </c>
      <c r="N48" s="19" t="str">
        <f t="shared" si="2"/>
        <v/>
      </c>
      <c r="O48" s="19">
        <f t="shared" si="6"/>
        <v>-13.999999999999346</v>
      </c>
      <c r="P48" s="19">
        <f t="shared" si="7"/>
        <v>-1.9999999999997797</v>
      </c>
      <c r="Q48" s="19">
        <f t="shared" si="8"/>
        <v>-4.9999999999990052</v>
      </c>
      <c r="R48" s="19">
        <f t="shared" si="2"/>
        <v>-13.00000000000523</v>
      </c>
      <c r="S48" s="27" t="str">
        <f t="shared" si="5"/>
        <v/>
      </c>
      <c r="T48" s="28" t="str">
        <f t="shared" si="5"/>
        <v/>
      </c>
      <c r="U48" s="28" t="str">
        <f t="shared" si="5"/>
        <v/>
      </c>
      <c r="V48" s="28">
        <f t="shared" si="5"/>
        <v>8.9285714285823412E-3</v>
      </c>
      <c r="W48" s="28">
        <f t="shared" si="5"/>
        <v>0</v>
      </c>
      <c r="X48" s="29">
        <f t="shared" si="5"/>
        <v>0</v>
      </c>
      <c r="Y48" s="24"/>
    </row>
    <row r="49" spans="2:25" ht="15" customHeight="1" x14ac:dyDescent="0.2">
      <c r="B49" s="31">
        <v>42318</v>
      </c>
      <c r="C49" s="33"/>
      <c r="D49" s="16"/>
      <c r="E49" s="16"/>
      <c r="F49" s="16">
        <v>13.109</v>
      </c>
      <c r="G49" s="16">
        <v>9.7260000000000009</v>
      </c>
      <c r="H49" s="16">
        <v>10.492000000000001</v>
      </c>
      <c r="I49" s="16">
        <v>101.48099999999999</v>
      </c>
      <c r="J49" s="32">
        <v>2220</v>
      </c>
      <c r="K49" s="18">
        <f t="shared" ref="K49:K51" si="10">IF(ISBLANK(J49),"",(J49-$J$8))</f>
        <v>1842</v>
      </c>
      <c r="L49" s="19" t="str">
        <f t="shared" si="2"/>
        <v/>
      </c>
      <c r="M49" s="19" t="str">
        <f t="shared" si="2"/>
        <v/>
      </c>
      <c r="N49" s="19" t="str">
        <f t="shared" si="2"/>
        <v/>
      </c>
      <c r="O49" s="19">
        <f t="shared" si="6"/>
        <v>-16.000000000000014</v>
      </c>
      <c r="P49" s="19">
        <f t="shared" si="7"/>
        <v>-1.9999999999997797</v>
      </c>
      <c r="Q49" s="19">
        <f t="shared" si="8"/>
        <v>-5.999999999998451</v>
      </c>
      <c r="R49" s="19">
        <f t="shared" si="2"/>
        <v>-13.00000000000523</v>
      </c>
      <c r="S49" s="27" t="str">
        <f t="shared" ref="S49:X64" si="11">IF(C49="","",((C49-C48)*1000)/($B49-$B48))</f>
        <v/>
      </c>
      <c r="T49" s="28" t="str">
        <f t="shared" si="11"/>
        <v/>
      </c>
      <c r="U49" s="28" t="str">
        <f t="shared" si="11"/>
        <v/>
      </c>
      <c r="V49" s="28">
        <f t="shared" si="11"/>
        <v>-2.0618556701037814E-2</v>
      </c>
      <c r="W49" s="28">
        <f t="shared" si="11"/>
        <v>0</v>
      </c>
      <c r="X49" s="29">
        <f t="shared" si="11"/>
        <v>-1.030927835050975E-2</v>
      </c>
      <c r="Y49" s="24"/>
    </row>
    <row r="50" spans="2:25" ht="15" customHeight="1" x14ac:dyDescent="0.2">
      <c r="B50" s="31">
        <v>42404</v>
      </c>
      <c r="C50" s="33">
        <v>12.634</v>
      </c>
      <c r="D50" s="26">
        <v>7.3</v>
      </c>
      <c r="E50" s="16">
        <v>8.2799999999999994</v>
      </c>
      <c r="F50" s="16">
        <v>13.108000000000001</v>
      </c>
      <c r="G50" s="16">
        <v>9.7270000000000003</v>
      </c>
      <c r="H50" s="16">
        <v>10.492000000000001</v>
      </c>
      <c r="I50" s="16">
        <v>101.48099999999999</v>
      </c>
      <c r="J50" s="58">
        <v>2484</v>
      </c>
      <c r="K50" s="18">
        <f t="shared" si="10"/>
        <v>2106</v>
      </c>
      <c r="L50" s="19">
        <f t="shared" si="2"/>
        <v>-14.999999999998792</v>
      </c>
      <c r="M50" s="19">
        <f t="shared" si="2"/>
        <v>-9.0000000000003411</v>
      </c>
      <c r="N50" s="19">
        <f t="shared" si="2"/>
        <v>-9.0000000000003411</v>
      </c>
      <c r="O50" s="19">
        <f t="shared" si="6"/>
        <v>-16.99999999999946</v>
      </c>
      <c r="P50" s="19">
        <f t="shared" si="7"/>
        <v>-1.000000000000334</v>
      </c>
      <c r="Q50" s="19">
        <f t="shared" si="8"/>
        <v>-5.999999999998451</v>
      </c>
      <c r="R50" s="19">
        <f t="shared" si="2"/>
        <v>-13.00000000000523</v>
      </c>
      <c r="S50" s="27"/>
      <c r="T50" s="28"/>
      <c r="U50" s="28"/>
      <c r="V50" s="28">
        <f t="shared" si="11"/>
        <v>-1.1627906976737741E-2</v>
      </c>
      <c r="W50" s="28">
        <f t="shared" si="11"/>
        <v>1.1627906976737741E-2</v>
      </c>
      <c r="X50" s="29">
        <f t="shared" si="11"/>
        <v>0</v>
      </c>
      <c r="Y50" s="24"/>
    </row>
    <row r="51" spans="2:25" ht="15" customHeight="1" x14ac:dyDescent="0.2">
      <c r="B51" s="31">
        <v>42529</v>
      </c>
      <c r="C51" s="33"/>
      <c r="D51" s="26"/>
      <c r="E51" s="16"/>
      <c r="F51" s="16">
        <v>13.109</v>
      </c>
      <c r="G51" s="16">
        <v>9.7270000000000003</v>
      </c>
      <c r="H51" s="16">
        <v>10.492000000000001</v>
      </c>
      <c r="I51" s="16">
        <v>101.48099999999999</v>
      </c>
      <c r="J51" s="58">
        <v>2603</v>
      </c>
      <c r="K51" s="18">
        <f t="shared" si="10"/>
        <v>2225</v>
      </c>
      <c r="L51" s="19" t="str">
        <f t="shared" si="2"/>
        <v/>
      </c>
      <c r="M51" s="19" t="str">
        <f t="shared" si="2"/>
        <v/>
      </c>
      <c r="N51" s="19" t="str">
        <f t="shared" si="2"/>
        <v/>
      </c>
      <c r="O51" s="19">
        <f t="shared" si="6"/>
        <v>-16.000000000000014</v>
      </c>
      <c r="P51" s="19">
        <f t="shared" si="7"/>
        <v>-1.000000000000334</v>
      </c>
      <c r="Q51" s="19">
        <f t="shared" si="8"/>
        <v>-5.999999999998451</v>
      </c>
      <c r="R51" s="19">
        <f t="shared" si="2"/>
        <v>-13.00000000000523</v>
      </c>
      <c r="S51" s="27" t="str">
        <f t="shared" si="11"/>
        <v/>
      </c>
      <c r="T51" s="28" t="str">
        <f t="shared" si="11"/>
        <v/>
      </c>
      <c r="U51" s="28" t="str">
        <f t="shared" si="11"/>
        <v/>
      </c>
      <c r="V51" s="28">
        <f t="shared" si="11"/>
        <v>7.9999999999955662E-3</v>
      </c>
      <c r="W51" s="28">
        <f t="shared" si="11"/>
        <v>0</v>
      </c>
      <c r="X51" s="29">
        <f t="shared" si="11"/>
        <v>0</v>
      </c>
      <c r="Y51" s="24"/>
    </row>
    <row r="52" spans="2:25" ht="15" customHeight="1" x14ac:dyDescent="0.2">
      <c r="B52" s="31"/>
      <c r="C52" s="33"/>
      <c r="D52" s="26"/>
      <c r="E52" s="16"/>
      <c r="F52" s="16"/>
      <c r="G52" s="16"/>
      <c r="H52" s="16"/>
      <c r="I52" s="16"/>
      <c r="J52" s="58"/>
      <c r="K52" s="18"/>
      <c r="L52" s="19" t="str">
        <f t="shared" si="2"/>
        <v/>
      </c>
      <c r="M52" s="19" t="str">
        <f t="shared" si="2"/>
        <v/>
      </c>
      <c r="N52" s="19" t="str">
        <f t="shared" si="2"/>
        <v/>
      </c>
      <c r="O52" s="19" t="str">
        <f t="shared" si="6"/>
        <v/>
      </c>
      <c r="P52" s="19" t="str">
        <f t="shared" si="7"/>
        <v/>
      </c>
      <c r="Q52" s="19" t="str">
        <f t="shared" si="8"/>
        <v/>
      </c>
      <c r="R52" s="19" t="str">
        <f t="shared" si="2"/>
        <v/>
      </c>
      <c r="S52" s="27" t="str">
        <f t="shared" si="11"/>
        <v/>
      </c>
      <c r="T52" s="28" t="str">
        <f t="shared" si="11"/>
        <v/>
      </c>
      <c r="U52" s="28" t="str">
        <f t="shared" si="11"/>
        <v/>
      </c>
      <c r="V52" s="28" t="str">
        <f t="shared" si="11"/>
        <v/>
      </c>
      <c r="W52" s="28" t="str">
        <f t="shared" si="11"/>
        <v/>
      </c>
      <c r="X52" s="29" t="str">
        <f t="shared" si="11"/>
        <v/>
      </c>
      <c r="Y52" s="24"/>
    </row>
    <row r="53" spans="2:25" ht="15" customHeight="1" x14ac:dyDescent="0.2">
      <c r="B53" s="31"/>
      <c r="C53" s="33"/>
      <c r="D53" s="26"/>
      <c r="E53" s="16"/>
      <c r="F53" s="16"/>
      <c r="G53" s="16"/>
      <c r="H53" s="16"/>
      <c r="I53" s="16"/>
      <c r="J53" s="58"/>
      <c r="K53" s="18"/>
      <c r="L53" s="19" t="str">
        <f t="shared" si="2"/>
        <v/>
      </c>
      <c r="M53" s="19" t="str">
        <f t="shared" si="2"/>
        <v/>
      </c>
      <c r="N53" s="19" t="str">
        <f t="shared" si="2"/>
        <v/>
      </c>
      <c r="O53" s="19" t="str">
        <f t="shared" si="6"/>
        <v/>
      </c>
      <c r="P53" s="19" t="str">
        <f t="shared" si="7"/>
        <v/>
      </c>
      <c r="Q53" s="19" t="str">
        <f t="shared" si="8"/>
        <v/>
      </c>
      <c r="R53" s="19" t="str">
        <f t="shared" si="2"/>
        <v/>
      </c>
      <c r="S53" s="27" t="str">
        <f t="shared" si="11"/>
        <v/>
      </c>
      <c r="T53" s="28" t="str">
        <f t="shared" si="11"/>
        <v/>
      </c>
      <c r="U53" s="28" t="str">
        <f t="shared" si="11"/>
        <v/>
      </c>
      <c r="V53" s="28" t="str">
        <f t="shared" si="11"/>
        <v/>
      </c>
      <c r="W53" s="28" t="str">
        <f t="shared" si="11"/>
        <v/>
      </c>
      <c r="X53" s="29" t="str">
        <f t="shared" si="11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2"/>
        <v/>
      </c>
      <c r="M54" s="19" t="str">
        <f t="shared" si="2"/>
        <v/>
      </c>
      <c r="N54" s="19" t="str">
        <f t="shared" si="2"/>
        <v/>
      </c>
      <c r="O54" s="19" t="str">
        <f t="shared" si="6"/>
        <v/>
      </c>
      <c r="P54" s="19" t="str">
        <f t="shared" si="7"/>
        <v/>
      </c>
      <c r="Q54" s="19" t="str">
        <f t="shared" si="8"/>
        <v/>
      </c>
      <c r="R54" s="19" t="str">
        <f t="shared" si="2"/>
        <v/>
      </c>
      <c r="S54" s="27" t="str">
        <f t="shared" si="11"/>
        <v/>
      </c>
      <c r="T54" s="28" t="str">
        <f t="shared" si="11"/>
        <v/>
      </c>
      <c r="U54" s="28" t="str">
        <f t="shared" si="11"/>
        <v/>
      </c>
      <c r="V54" s="28" t="str">
        <f t="shared" si="11"/>
        <v/>
      </c>
      <c r="W54" s="28" t="str">
        <f t="shared" si="11"/>
        <v/>
      </c>
      <c r="X54" s="29" t="str">
        <f t="shared" si="11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2"/>
        <v/>
      </c>
      <c r="M55" s="19" t="str">
        <f t="shared" si="2"/>
        <v/>
      </c>
      <c r="N55" s="19" t="str">
        <f t="shared" si="2"/>
        <v/>
      </c>
      <c r="O55" s="19" t="str">
        <f t="shared" si="6"/>
        <v/>
      </c>
      <c r="P55" s="19" t="str">
        <f t="shared" si="7"/>
        <v/>
      </c>
      <c r="Q55" s="19" t="str">
        <f t="shared" si="8"/>
        <v/>
      </c>
      <c r="R55" s="19" t="str">
        <f t="shared" si="2"/>
        <v/>
      </c>
      <c r="S55" s="27" t="str">
        <f t="shared" si="11"/>
        <v/>
      </c>
      <c r="T55" s="28" t="str">
        <f t="shared" si="11"/>
        <v/>
      </c>
      <c r="U55" s="28" t="str">
        <f t="shared" si="11"/>
        <v/>
      </c>
      <c r="V55" s="28" t="str">
        <f t="shared" si="11"/>
        <v/>
      </c>
      <c r="W55" s="28" t="str">
        <f t="shared" si="11"/>
        <v/>
      </c>
      <c r="X55" s="29" t="str">
        <f t="shared" si="11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2"/>
        <v/>
      </c>
      <c r="M56" s="19" t="str">
        <f t="shared" si="2"/>
        <v/>
      </c>
      <c r="N56" s="19" t="str">
        <f t="shared" si="2"/>
        <v/>
      </c>
      <c r="O56" s="19" t="str">
        <f t="shared" si="6"/>
        <v/>
      </c>
      <c r="P56" s="19" t="str">
        <f t="shared" si="7"/>
        <v/>
      </c>
      <c r="Q56" s="19" t="str">
        <f t="shared" si="8"/>
        <v/>
      </c>
      <c r="R56" s="19" t="str">
        <f t="shared" si="2"/>
        <v/>
      </c>
      <c r="S56" s="27" t="str">
        <f t="shared" si="11"/>
        <v/>
      </c>
      <c r="T56" s="28" t="str">
        <f t="shared" si="11"/>
        <v/>
      </c>
      <c r="U56" s="28" t="str">
        <f t="shared" si="11"/>
        <v/>
      </c>
      <c r="V56" s="28" t="str">
        <f t="shared" si="11"/>
        <v/>
      </c>
      <c r="W56" s="28" t="str">
        <f t="shared" si="11"/>
        <v/>
      </c>
      <c r="X56" s="29" t="str">
        <f t="shared" si="11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2"/>
        <v/>
      </c>
      <c r="M57" s="19" t="str">
        <f t="shared" si="2"/>
        <v/>
      </c>
      <c r="N57" s="19" t="str">
        <f t="shared" si="2"/>
        <v/>
      </c>
      <c r="O57" s="19" t="str">
        <f t="shared" si="6"/>
        <v/>
      </c>
      <c r="P57" s="19" t="str">
        <f t="shared" si="7"/>
        <v/>
      </c>
      <c r="Q57" s="19" t="str">
        <f t="shared" si="8"/>
        <v/>
      </c>
      <c r="R57" s="19" t="str">
        <f t="shared" si="2"/>
        <v/>
      </c>
      <c r="S57" s="27" t="str">
        <f t="shared" si="11"/>
        <v/>
      </c>
      <c r="T57" s="28" t="str">
        <f t="shared" si="11"/>
        <v/>
      </c>
      <c r="U57" s="28" t="str">
        <f t="shared" si="11"/>
        <v/>
      </c>
      <c r="V57" s="28" t="str">
        <f t="shared" si="11"/>
        <v/>
      </c>
      <c r="W57" s="28" t="str">
        <f t="shared" si="11"/>
        <v/>
      </c>
      <c r="X57" s="29" t="str">
        <f t="shared" si="11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2"/>
        <v/>
      </c>
      <c r="M58" s="19" t="str">
        <f t="shared" si="2"/>
        <v/>
      </c>
      <c r="N58" s="19" t="str">
        <f t="shared" si="2"/>
        <v/>
      </c>
      <c r="O58" s="19" t="str">
        <f t="shared" si="6"/>
        <v/>
      </c>
      <c r="P58" s="19" t="str">
        <f t="shared" si="7"/>
        <v/>
      </c>
      <c r="Q58" s="19" t="str">
        <f t="shared" si="8"/>
        <v/>
      </c>
      <c r="R58" s="19" t="str">
        <f t="shared" si="2"/>
        <v/>
      </c>
      <c r="S58" s="27" t="str">
        <f t="shared" si="11"/>
        <v/>
      </c>
      <c r="T58" s="28" t="str">
        <f t="shared" si="11"/>
        <v/>
      </c>
      <c r="U58" s="28" t="str">
        <f t="shared" si="11"/>
        <v/>
      </c>
      <c r="V58" s="28" t="str">
        <f t="shared" si="11"/>
        <v/>
      </c>
      <c r="W58" s="28" t="str">
        <f t="shared" si="11"/>
        <v/>
      </c>
      <c r="X58" s="29" t="str">
        <f t="shared" si="11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2"/>
        <v/>
      </c>
      <c r="M59" s="19" t="str">
        <f t="shared" si="2"/>
        <v/>
      </c>
      <c r="N59" s="19" t="str">
        <f t="shared" si="2"/>
        <v/>
      </c>
      <c r="O59" s="19" t="str">
        <f t="shared" si="6"/>
        <v/>
      </c>
      <c r="P59" s="19" t="str">
        <f t="shared" si="7"/>
        <v/>
      </c>
      <c r="Q59" s="19" t="str">
        <f t="shared" si="8"/>
        <v/>
      </c>
      <c r="R59" s="19" t="str">
        <f t="shared" si="2"/>
        <v/>
      </c>
      <c r="S59" s="27" t="str">
        <f t="shared" si="11"/>
        <v/>
      </c>
      <c r="T59" s="28" t="str">
        <f t="shared" si="11"/>
        <v/>
      </c>
      <c r="U59" s="28" t="str">
        <f t="shared" si="11"/>
        <v/>
      </c>
      <c r="V59" s="28" t="str">
        <f t="shared" si="11"/>
        <v/>
      </c>
      <c r="W59" s="28" t="str">
        <f t="shared" si="11"/>
        <v/>
      </c>
      <c r="X59" s="29" t="str">
        <f t="shared" si="11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2"/>
        <v/>
      </c>
      <c r="M60" s="19" t="str">
        <f t="shared" si="2"/>
        <v/>
      </c>
      <c r="N60" s="19" t="str">
        <f t="shared" si="2"/>
        <v/>
      </c>
      <c r="O60" s="19" t="str">
        <f t="shared" si="6"/>
        <v/>
      </c>
      <c r="P60" s="19" t="str">
        <f t="shared" si="7"/>
        <v/>
      </c>
      <c r="Q60" s="19" t="str">
        <f t="shared" si="8"/>
        <v/>
      </c>
      <c r="R60" s="19" t="str">
        <f t="shared" si="2"/>
        <v/>
      </c>
      <c r="S60" s="27" t="str">
        <f t="shared" si="11"/>
        <v/>
      </c>
      <c r="T60" s="28" t="str">
        <f t="shared" si="11"/>
        <v/>
      </c>
      <c r="U60" s="28" t="str">
        <f t="shared" si="11"/>
        <v/>
      </c>
      <c r="V60" s="28" t="str">
        <f t="shared" si="11"/>
        <v/>
      </c>
      <c r="W60" s="28" t="str">
        <f t="shared" si="11"/>
        <v/>
      </c>
      <c r="X60" s="29" t="str">
        <f t="shared" si="11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2"/>
        <v/>
      </c>
      <c r="M61" s="19" t="str">
        <f t="shared" si="2"/>
        <v/>
      </c>
      <c r="N61" s="19" t="str">
        <f t="shared" si="2"/>
        <v/>
      </c>
      <c r="O61" s="19" t="str">
        <f t="shared" si="6"/>
        <v/>
      </c>
      <c r="P61" s="19" t="str">
        <f t="shared" si="7"/>
        <v/>
      </c>
      <c r="Q61" s="19" t="str">
        <f t="shared" si="8"/>
        <v/>
      </c>
      <c r="R61" s="19" t="str">
        <f t="shared" si="2"/>
        <v/>
      </c>
      <c r="S61" s="27" t="str">
        <f t="shared" si="11"/>
        <v/>
      </c>
      <c r="T61" s="28" t="str">
        <f t="shared" si="11"/>
        <v/>
      </c>
      <c r="U61" s="28" t="str">
        <f t="shared" si="11"/>
        <v/>
      </c>
      <c r="V61" s="28" t="str">
        <f t="shared" si="11"/>
        <v/>
      </c>
      <c r="W61" s="28" t="str">
        <f t="shared" si="11"/>
        <v/>
      </c>
      <c r="X61" s="29" t="str">
        <f t="shared" si="11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2"/>
        <v/>
      </c>
      <c r="M62" s="19" t="str">
        <f t="shared" si="2"/>
        <v/>
      </c>
      <c r="N62" s="19" t="str">
        <f t="shared" si="2"/>
        <v/>
      </c>
      <c r="O62" s="19" t="str">
        <f t="shared" si="6"/>
        <v/>
      </c>
      <c r="P62" s="19" t="str">
        <f t="shared" si="7"/>
        <v/>
      </c>
      <c r="Q62" s="19" t="str">
        <f t="shared" si="8"/>
        <v/>
      </c>
      <c r="R62" s="19" t="str">
        <f t="shared" ref="R62:R93" si="12">IF(ISBLANK(I62),"",(I62-I$16)*1000)</f>
        <v/>
      </c>
      <c r="S62" s="27" t="str">
        <f t="shared" si="11"/>
        <v/>
      </c>
      <c r="T62" s="28" t="str">
        <f t="shared" si="11"/>
        <v/>
      </c>
      <c r="U62" s="28" t="str">
        <f t="shared" si="11"/>
        <v/>
      </c>
      <c r="V62" s="28" t="str">
        <f t="shared" si="11"/>
        <v/>
      </c>
      <c r="W62" s="28" t="str">
        <f t="shared" si="11"/>
        <v/>
      </c>
      <c r="X62" s="29" t="str">
        <f t="shared" si="11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L94" si="13">IF(ISBLANK(C63),"",(C63-C$16)*1000)</f>
        <v/>
      </c>
      <c r="M63" s="19" t="str">
        <f t="shared" ref="M63:M94" si="14">IF(ISBLANK(D63),"",(D63-D$16)*1000)</f>
        <v/>
      </c>
      <c r="N63" s="19" t="str">
        <f t="shared" ref="N63:N94" si="15">IF(ISBLANK(E63),"",(E63-E$16)*1000)</f>
        <v/>
      </c>
      <c r="O63" s="19" t="str">
        <f t="shared" si="6"/>
        <v/>
      </c>
      <c r="P63" s="19" t="str">
        <f t="shared" si="7"/>
        <v/>
      </c>
      <c r="Q63" s="19" t="str">
        <f t="shared" si="8"/>
        <v/>
      </c>
      <c r="R63" s="19" t="str">
        <f t="shared" si="12"/>
        <v/>
      </c>
      <c r="S63" s="27" t="str">
        <f t="shared" si="11"/>
        <v/>
      </c>
      <c r="T63" s="28" t="str">
        <f t="shared" si="11"/>
        <v/>
      </c>
      <c r="U63" s="28" t="str">
        <f t="shared" si="11"/>
        <v/>
      </c>
      <c r="V63" s="28" t="str">
        <f t="shared" si="11"/>
        <v/>
      </c>
      <c r="W63" s="28" t="str">
        <f t="shared" si="11"/>
        <v/>
      </c>
      <c r="X63" s="29" t="str">
        <f t="shared" si="11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3"/>
        <v/>
      </c>
      <c r="M64" s="19" t="str">
        <f t="shared" si="14"/>
        <v/>
      </c>
      <c r="N64" s="19" t="str">
        <f t="shared" si="15"/>
        <v/>
      </c>
      <c r="O64" s="19" t="str">
        <f t="shared" si="6"/>
        <v/>
      </c>
      <c r="P64" s="19" t="str">
        <f t="shared" si="7"/>
        <v/>
      </c>
      <c r="Q64" s="19" t="str">
        <f t="shared" si="8"/>
        <v/>
      </c>
      <c r="R64" s="19" t="str">
        <f t="shared" si="12"/>
        <v/>
      </c>
      <c r="S64" s="27" t="str">
        <f t="shared" si="11"/>
        <v/>
      </c>
      <c r="T64" s="28" t="str">
        <f t="shared" si="11"/>
        <v/>
      </c>
      <c r="U64" s="28" t="str">
        <f t="shared" si="11"/>
        <v/>
      </c>
      <c r="V64" s="28" t="str">
        <f t="shared" si="11"/>
        <v/>
      </c>
      <c r="W64" s="28" t="str">
        <f t="shared" si="11"/>
        <v/>
      </c>
      <c r="X64" s="29" t="str">
        <f t="shared" si="11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3"/>
        <v/>
      </c>
      <c r="M65" s="19" t="str">
        <f t="shared" si="14"/>
        <v/>
      </c>
      <c r="N65" s="19" t="str">
        <f t="shared" si="15"/>
        <v/>
      </c>
      <c r="O65" s="19" t="str">
        <f t="shared" si="6"/>
        <v/>
      </c>
      <c r="P65" s="19" t="str">
        <f t="shared" si="7"/>
        <v/>
      </c>
      <c r="Q65" s="19" t="str">
        <f t="shared" si="8"/>
        <v/>
      </c>
      <c r="R65" s="19" t="str">
        <f t="shared" si="12"/>
        <v/>
      </c>
      <c r="S65" s="27" t="str">
        <f t="shared" ref="S65:X80" si="16">IF(C65="","",((C65-C64)*1000)/($B65-$B64))</f>
        <v/>
      </c>
      <c r="T65" s="28" t="str">
        <f t="shared" si="16"/>
        <v/>
      </c>
      <c r="U65" s="28" t="str">
        <f t="shared" si="16"/>
        <v/>
      </c>
      <c r="V65" s="28" t="str">
        <f t="shared" si="16"/>
        <v/>
      </c>
      <c r="W65" s="28" t="str">
        <f t="shared" si="16"/>
        <v/>
      </c>
      <c r="X65" s="29" t="str">
        <f t="shared" si="16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3"/>
        <v/>
      </c>
      <c r="M66" s="19" t="str">
        <f t="shared" si="14"/>
        <v/>
      </c>
      <c r="N66" s="19" t="str">
        <f t="shared" si="15"/>
        <v/>
      </c>
      <c r="O66" s="19" t="str">
        <f t="shared" si="6"/>
        <v/>
      </c>
      <c r="P66" s="19" t="str">
        <f t="shared" si="7"/>
        <v/>
      </c>
      <c r="Q66" s="19" t="str">
        <f t="shared" si="8"/>
        <v/>
      </c>
      <c r="R66" s="19" t="str">
        <f t="shared" si="12"/>
        <v/>
      </c>
      <c r="S66" s="27" t="str">
        <f t="shared" si="16"/>
        <v/>
      </c>
      <c r="T66" s="28" t="str">
        <f t="shared" si="16"/>
        <v/>
      </c>
      <c r="U66" s="28" t="str">
        <f t="shared" si="16"/>
        <v/>
      </c>
      <c r="V66" s="28" t="str">
        <f t="shared" si="16"/>
        <v/>
      </c>
      <c r="W66" s="28" t="str">
        <f t="shared" si="16"/>
        <v/>
      </c>
      <c r="X66" s="29" t="str">
        <f t="shared" si="16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3"/>
        <v/>
      </c>
      <c r="M67" s="19" t="str">
        <f t="shared" si="14"/>
        <v/>
      </c>
      <c r="N67" s="19" t="str">
        <f t="shared" si="15"/>
        <v/>
      </c>
      <c r="O67" s="19" t="str">
        <f t="shared" si="6"/>
        <v/>
      </c>
      <c r="P67" s="19" t="str">
        <f t="shared" si="7"/>
        <v/>
      </c>
      <c r="Q67" s="19" t="str">
        <f t="shared" si="8"/>
        <v/>
      </c>
      <c r="R67" s="19" t="str">
        <f t="shared" si="12"/>
        <v/>
      </c>
      <c r="S67" s="27" t="str">
        <f t="shared" si="16"/>
        <v/>
      </c>
      <c r="T67" s="28" t="str">
        <f t="shared" si="16"/>
        <v/>
      </c>
      <c r="U67" s="28" t="str">
        <f t="shared" si="16"/>
        <v/>
      </c>
      <c r="V67" s="28" t="str">
        <f t="shared" si="16"/>
        <v/>
      </c>
      <c r="W67" s="28" t="str">
        <f t="shared" si="16"/>
        <v/>
      </c>
      <c r="X67" s="29" t="str">
        <f t="shared" si="16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3"/>
        <v/>
      </c>
      <c r="M68" s="19" t="str">
        <f t="shared" si="14"/>
        <v/>
      </c>
      <c r="N68" s="19" t="str">
        <f t="shared" si="15"/>
        <v/>
      </c>
      <c r="O68" s="19" t="str">
        <f t="shared" si="6"/>
        <v/>
      </c>
      <c r="P68" s="19" t="str">
        <f t="shared" si="7"/>
        <v/>
      </c>
      <c r="Q68" s="19" t="str">
        <f t="shared" si="8"/>
        <v/>
      </c>
      <c r="R68" s="19" t="str">
        <f t="shared" si="12"/>
        <v/>
      </c>
      <c r="S68" s="27" t="str">
        <f t="shared" si="16"/>
        <v/>
      </c>
      <c r="T68" s="28" t="str">
        <f t="shared" si="16"/>
        <v/>
      </c>
      <c r="U68" s="28" t="str">
        <f t="shared" si="16"/>
        <v/>
      </c>
      <c r="V68" s="28" t="str">
        <f t="shared" si="16"/>
        <v/>
      </c>
      <c r="W68" s="28" t="str">
        <f t="shared" si="16"/>
        <v/>
      </c>
      <c r="X68" s="29" t="str">
        <f t="shared" si="16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3"/>
        <v/>
      </c>
      <c r="M69" s="19" t="str">
        <f t="shared" si="14"/>
        <v/>
      </c>
      <c r="N69" s="19" t="str">
        <f t="shared" si="15"/>
        <v/>
      </c>
      <c r="O69" s="19" t="str">
        <f t="shared" si="6"/>
        <v/>
      </c>
      <c r="P69" s="19" t="str">
        <f t="shared" si="7"/>
        <v/>
      </c>
      <c r="Q69" s="19" t="str">
        <f t="shared" si="8"/>
        <v/>
      </c>
      <c r="R69" s="19" t="str">
        <f t="shared" si="12"/>
        <v/>
      </c>
      <c r="S69" s="27" t="str">
        <f t="shared" si="16"/>
        <v/>
      </c>
      <c r="T69" s="28" t="str">
        <f t="shared" si="16"/>
        <v/>
      </c>
      <c r="U69" s="28" t="str">
        <f t="shared" si="16"/>
        <v/>
      </c>
      <c r="V69" s="28" t="str">
        <f t="shared" si="16"/>
        <v/>
      </c>
      <c r="W69" s="28" t="str">
        <f t="shared" si="16"/>
        <v/>
      </c>
      <c r="X69" s="29" t="str">
        <f t="shared" si="16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3"/>
        <v/>
      </c>
      <c r="M70" s="19" t="str">
        <f t="shared" si="14"/>
        <v/>
      </c>
      <c r="N70" s="19" t="str">
        <f t="shared" si="15"/>
        <v/>
      </c>
      <c r="O70" s="19" t="str">
        <f t="shared" si="6"/>
        <v/>
      </c>
      <c r="P70" s="19" t="str">
        <f t="shared" si="7"/>
        <v/>
      </c>
      <c r="Q70" s="19" t="str">
        <f t="shared" si="8"/>
        <v/>
      </c>
      <c r="R70" s="19" t="str">
        <f t="shared" si="12"/>
        <v/>
      </c>
      <c r="S70" s="27" t="str">
        <f t="shared" si="16"/>
        <v/>
      </c>
      <c r="T70" s="28" t="str">
        <f t="shared" si="16"/>
        <v/>
      </c>
      <c r="U70" s="28" t="str">
        <f t="shared" si="16"/>
        <v/>
      </c>
      <c r="V70" s="28" t="str">
        <f t="shared" si="16"/>
        <v/>
      </c>
      <c r="W70" s="28" t="str">
        <f t="shared" si="16"/>
        <v/>
      </c>
      <c r="X70" s="29" t="str">
        <f t="shared" si="16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3"/>
        <v/>
      </c>
      <c r="M71" s="19" t="str">
        <f t="shared" si="14"/>
        <v/>
      </c>
      <c r="N71" s="19" t="str">
        <f t="shared" si="15"/>
        <v/>
      </c>
      <c r="O71" s="19" t="str">
        <f t="shared" si="6"/>
        <v/>
      </c>
      <c r="P71" s="19" t="str">
        <f t="shared" si="7"/>
        <v/>
      </c>
      <c r="Q71" s="19" t="str">
        <f t="shared" si="8"/>
        <v/>
      </c>
      <c r="R71" s="19" t="str">
        <f t="shared" si="12"/>
        <v/>
      </c>
      <c r="S71" s="27" t="str">
        <f t="shared" si="16"/>
        <v/>
      </c>
      <c r="T71" s="28" t="str">
        <f t="shared" si="16"/>
        <v/>
      </c>
      <c r="U71" s="28" t="str">
        <f t="shared" si="16"/>
        <v/>
      </c>
      <c r="V71" s="28" t="str">
        <f t="shared" si="16"/>
        <v/>
      </c>
      <c r="W71" s="28" t="str">
        <f t="shared" si="16"/>
        <v/>
      </c>
      <c r="X71" s="29" t="str">
        <f t="shared" si="16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3"/>
        <v/>
      </c>
      <c r="M72" s="19" t="str">
        <f t="shared" si="14"/>
        <v/>
      </c>
      <c r="N72" s="19" t="str">
        <f t="shared" si="15"/>
        <v/>
      </c>
      <c r="O72" s="19" t="str">
        <f t="shared" si="6"/>
        <v/>
      </c>
      <c r="P72" s="19" t="str">
        <f t="shared" si="7"/>
        <v/>
      </c>
      <c r="Q72" s="19" t="str">
        <f t="shared" si="8"/>
        <v/>
      </c>
      <c r="R72" s="19" t="str">
        <f t="shared" si="12"/>
        <v/>
      </c>
      <c r="S72" s="27" t="str">
        <f t="shared" si="16"/>
        <v/>
      </c>
      <c r="T72" s="28" t="str">
        <f t="shared" si="16"/>
        <v/>
      </c>
      <c r="U72" s="28" t="str">
        <f t="shared" si="16"/>
        <v/>
      </c>
      <c r="V72" s="28" t="str">
        <f t="shared" si="16"/>
        <v/>
      </c>
      <c r="W72" s="28" t="str">
        <f t="shared" si="16"/>
        <v/>
      </c>
      <c r="X72" s="29" t="str">
        <f t="shared" si="16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3"/>
        <v/>
      </c>
      <c r="M73" s="19" t="str">
        <f t="shared" si="14"/>
        <v/>
      </c>
      <c r="N73" s="19" t="str">
        <f t="shared" si="15"/>
        <v/>
      </c>
      <c r="O73" s="19" t="str">
        <f t="shared" si="6"/>
        <v/>
      </c>
      <c r="P73" s="19" t="str">
        <f t="shared" si="7"/>
        <v/>
      </c>
      <c r="Q73" s="19" t="str">
        <f t="shared" si="8"/>
        <v/>
      </c>
      <c r="R73" s="19" t="str">
        <f t="shared" si="12"/>
        <v/>
      </c>
      <c r="S73" s="27" t="str">
        <f t="shared" si="16"/>
        <v/>
      </c>
      <c r="T73" s="28" t="str">
        <f t="shared" si="16"/>
        <v/>
      </c>
      <c r="U73" s="28" t="str">
        <f t="shared" si="16"/>
        <v/>
      </c>
      <c r="V73" s="28" t="str">
        <f t="shared" si="16"/>
        <v/>
      </c>
      <c r="W73" s="28" t="str">
        <f t="shared" si="16"/>
        <v/>
      </c>
      <c r="X73" s="29" t="str">
        <f t="shared" si="16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3"/>
        <v/>
      </c>
      <c r="M74" s="19" t="str">
        <f t="shared" si="14"/>
        <v/>
      </c>
      <c r="N74" s="19" t="str">
        <f t="shared" si="15"/>
        <v/>
      </c>
      <c r="O74" s="19" t="str">
        <f t="shared" si="6"/>
        <v/>
      </c>
      <c r="P74" s="19" t="str">
        <f t="shared" si="7"/>
        <v/>
      </c>
      <c r="Q74" s="19" t="str">
        <f t="shared" si="8"/>
        <v/>
      </c>
      <c r="R74" s="19" t="str">
        <f t="shared" si="12"/>
        <v/>
      </c>
      <c r="S74" s="27" t="str">
        <f t="shared" si="16"/>
        <v/>
      </c>
      <c r="T74" s="28" t="str">
        <f t="shared" si="16"/>
        <v/>
      </c>
      <c r="U74" s="28" t="str">
        <f t="shared" si="16"/>
        <v/>
      </c>
      <c r="V74" s="28" t="str">
        <f t="shared" si="16"/>
        <v/>
      </c>
      <c r="W74" s="28" t="str">
        <f t="shared" si="16"/>
        <v/>
      </c>
      <c r="X74" s="29" t="str">
        <f t="shared" si="16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3"/>
        <v/>
      </c>
      <c r="M75" s="19" t="str">
        <f t="shared" si="14"/>
        <v/>
      </c>
      <c r="N75" s="19" t="str">
        <f t="shared" si="15"/>
        <v/>
      </c>
      <c r="O75" s="19" t="str">
        <f t="shared" si="6"/>
        <v/>
      </c>
      <c r="P75" s="19" t="str">
        <f t="shared" si="7"/>
        <v/>
      </c>
      <c r="Q75" s="19" t="str">
        <f t="shared" si="8"/>
        <v/>
      </c>
      <c r="R75" s="19" t="str">
        <f t="shared" si="12"/>
        <v/>
      </c>
      <c r="S75" s="27" t="str">
        <f t="shared" si="16"/>
        <v/>
      </c>
      <c r="T75" s="28" t="str">
        <f t="shared" si="16"/>
        <v/>
      </c>
      <c r="U75" s="28" t="str">
        <f t="shared" si="16"/>
        <v/>
      </c>
      <c r="V75" s="28" t="str">
        <f t="shared" si="16"/>
        <v/>
      </c>
      <c r="W75" s="28" t="str">
        <f t="shared" si="16"/>
        <v/>
      </c>
      <c r="X75" s="29" t="str">
        <f t="shared" si="16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3"/>
        <v/>
      </c>
      <c r="M76" s="19" t="str">
        <f t="shared" si="14"/>
        <v/>
      </c>
      <c r="N76" s="19" t="str">
        <f t="shared" si="15"/>
        <v/>
      </c>
      <c r="O76" s="19" t="str">
        <f t="shared" si="6"/>
        <v/>
      </c>
      <c r="P76" s="19" t="str">
        <f t="shared" si="7"/>
        <v/>
      </c>
      <c r="Q76" s="19" t="str">
        <f t="shared" si="8"/>
        <v/>
      </c>
      <c r="R76" s="19" t="str">
        <f t="shared" si="12"/>
        <v/>
      </c>
      <c r="S76" s="27" t="str">
        <f t="shared" si="16"/>
        <v/>
      </c>
      <c r="T76" s="28" t="str">
        <f t="shared" si="16"/>
        <v/>
      </c>
      <c r="U76" s="28" t="str">
        <f t="shared" si="16"/>
        <v/>
      </c>
      <c r="V76" s="28" t="str">
        <f t="shared" si="16"/>
        <v/>
      </c>
      <c r="W76" s="28" t="str">
        <f t="shared" si="16"/>
        <v/>
      </c>
      <c r="X76" s="29" t="str">
        <f t="shared" si="16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3"/>
        <v/>
      </c>
      <c r="M77" s="19" t="str">
        <f t="shared" si="14"/>
        <v/>
      </c>
      <c r="N77" s="19" t="str">
        <f t="shared" si="15"/>
        <v/>
      </c>
      <c r="O77" s="19" t="str">
        <f t="shared" si="6"/>
        <v/>
      </c>
      <c r="P77" s="19" t="str">
        <f t="shared" si="7"/>
        <v/>
      </c>
      <c r="Q77" s="19" t="str">
        <f t="shared" si="8"/>
        <v/>
      </c>
      <c r="R77" s="19" t="str">
        <f t="shared" si="12"/>
        <v/>
      </c>
      <c r="S77" s="27" t="str">
        <f t="shared" si="16"/>
        <v/>
      </c>
      <c r="T77" s="28" t="str">
        <f t="shared" si="16"/>
        <v/>
      </c>
      <c r="U77" s="28" t="str">
        <f t="shared" si="16"/>
        <v/>
      </c>
      <c r="V77" s="28" t="str">
        <f t="shared" si="16"/>
        <v/>
      </c>
      <c r="W77" s="28" t="str">
        <f t="shared" si="16"/>
        <v/>
      </c>
      <c r="X77" s="29" t="str">
        <f t="shared" si="16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3"/>
        <v/>
      </c>
      <c r="M78" s="19" t="str">
        <f t="shared" si="14"/>
        <v/>
      </c>
      <c r="N78" s="19" t="str">
        <f t="shared" si="15"/>
        <v/>
      </c>
      <c r="O78" s="19" t="str">
        <f t="shared" si="6"/>
        <v/>
      </c>
      <c r="P78" s="19" t="str">
        <f t="shared" si="7"/>
        <v/>
      </c>
      <c r="Q78" s="19" t="str">
        <f t="shared" si="8"/>
        <v/>
      </c>
      <c r="R78" s="19" t="str">
        <f t="shared" si="12"/>
        <v/>
      </c>
      <c r="S78" s="27" t="str">
        <f t="shared" si="16"/>
        <v/>
      </c>
      <c r="T78" s="28" t="str">
        <f t="shared" si="16"/>
        <v/>
      </c>
      <c r="U78" s="28" t="str">
        <f t="shared" si="16"/>
        <v/>
      </c>
      <c r="V78" s="28" t="str">
        <f t="shared" si="16"/>
        <v/>
      </c>
      <c r="W78" s="28" t="str">
        <f t="shared" si="16"/>
        <v/>
      </c>
      <c r="X78" s="29" t="str">
        <f t="shared" si="16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3"/>
        <v/>
      </c>
      <c r="M79" s="19" t="str">
        <f t="shared" si="14"/>
        <v/>
      </c>
      <c r="N79" s="19" t="str">
        <f t="shared" si="15"/>
        <v/>
      </c>
      <c r="O79" s="19" t="str">
        <f t="shared" si="6"/>
        <v/>
      </c>
      <c r="P79" s="19" t="str">
        <f t="shared" si="7"/>
        <v/>
      </c>
      <c r="Q79" s="19" t="str">
        <f t="shared" si="8"/>
        <v/>
      </c>
      <c r="R79" s="19" t="str">
        <f t="shared" si="12"/>
        <v/>
      </c>
      <c r="S79" s="27" t="str">
        <f t="shared" si="16"/>
        <v/>
      </c>
      <c r="T79" s="28" t="str">
        <f t="shared" si="16"/>
        <v/>
      </c>
      <c r="U79" s="28" t="str">
        <f t="shared" si="16"/>
        <v/>
      </c>
      <c r="V79" s="28" t="str">
        <f t="shared" si="16"/>
        <v/>
      </c>
      <c r="W79" s="28" t="str">
        <f t="shared" si="16"/>
        <v/>
      </c>
      <c r="X79" s="29" t="str">
        <f t="shared" si="16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3"/>
        <v/>
      </c>
      <c r="M80" s="19" t="str">
        <f t="shared" si="14"/>
        <v/>
      </c>
      <c r="N80" s="19" t="str">
        <f t="shared" si="15"/>
        <v/>
      </c>
      <c r="O80" s="19" t="str">
        <f t="shared" si="6"/>
        <v/>
      </c>
      <c r="P80" s="19" t="str">
        <f t="shared" si="7"/>
        <v/>
      </c>
      <c r="Q80" s="19" t="str">
        <f t="shared" si="8"/>
        <v/>
      </c>
      <c r="R80" s="19" t="str">
        <f t="shared" si="12"/>
        <v/>
      </c>
      <c r="S80" s="27" t="str">
        <f t="shared" si="16"/>
        <v/>
      </c>
      <c r="T80" s="28" t="str">
        <f t="shared" si="16"/>
        <v/>
      </c>
      <c r="U80" s="28" t="str">
        <f t="shared" si="16"/>
        <v/>
      </c>
      <c r="V80" s="28" t="str">
        <f t="shared" si="16"/>
        <v/>
      </c>
      <c r="W80" s="28" t="str">
        <f t="shared" si="16"/>
        <v/>
      </c>
      <c r="X80" s="29" t="str">
        <f t="shared" si="16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3"/>
        <v/>
      </c>
      <c r="M81" s="19" t="str">
        <f t="shared" si="14"/>
        <v/>
      </c>
      <c r="N81" s="19" t="str">
        <f t="shared" si="15"/>
        <v/>
      </c>
      <c r="O81" s="19" t="str">
        <f t="shared" si="6"/>
        <v/>
      </c>
      <c r="P81" s="19" t="str">
        <f t="shared" si="7"/>
        <v/>
      </c>
      <c r="Q81" s="19" t="str">
        <f t="shared" si="8"/>
        <v/>
      </c>
      <c r="R81" s="19" t="str">
        <f t="shared" si="12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3"/>
        <v/>
      </c>
      <c r="M82" s="19" t="str">
        <f t="shared" si="14"/>
        <v/>
      </c>
      <c r="N82" s="19" t="str">
        <f t="shared" si="15"/>
        <v/>
      </c>
      <c r="O82" s="19" t="str">
        <f t="shared" si="6"/>
        <v/>
      </c>
      <c r="P82" s="19" t="str">
        <f t="shared" si="7"/>
        <v/>
      </c>
      <c r="Q82" s="19" t="str">
        <f t="shared" si="8"/>
        <v/>
      </c>
      <c r="R82" s="19" t="str">
        <f t="shared" si="12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3"/>
        <v/>
      </c>
      <c r="M83" s="19" t="str">
        <f t="shared" si="14"/>
        <v/>
      </c>
      <c r="N83" s="19" t="str">
        <f t="shared" si="15"/>
        <v/>
      </c>
      <c r="O83" s="19" t="str">
        <f t="shared" si="6"/>
        <v/>
      </c>
      <c r="P83" s="19" t="str">
        <f t="shared" si="7"/>
        <v/>
      </c>
      <c r="Q83" s="19" t="str">
        <f t="shared" si="8"/>
        <v/>
      </c>
      <c r="R83" s="19" t="str">
        <f t="shared" si="12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3"/>
        <v/>
      </c>
      <c r="M84" s="19" t="str">
        <f t="shared" si="14"/>
        <v/>
      </c>
      <c r="N84" s="19" t="str">
        <f t="shared" si="15"/>
        <v/>
      </c>
      <c r="O84" s="19" t="str">
        <f t="shared" si="6"/>
        <v/>
      </c>
      <c r="P84" s="19" t="str">
        <f t="shared" si="7"/>
        <v/>
      </c>
      <c r="Q84" s="19" t="str">
        <f t="shared" si="8"/>
        <v/>
      </c>
      <c r="R84" s="19" t="str">
        <f t="shared" si="12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3"/>
        <v/>
      </c>
      <c r="M85" s="19" t="str">
        <f t="shared" si="14"/>
        <v/>
      </c>
      <c r="N85" s="19" t="str">
        <f t="shared" si="15"/>
        <v/>
      </c>
      <c r="O85" s="19" t="str">
        <f t="shared" si="6"/>
        <v/>
      </c>
      <c r="P85" s="19" t="str">
        <f t="shared" si="7"/>
        <v/>
      </c>
      <c r="Q85" s="19" t="str">
        <f t="shared" si="8"/>
        <v/>
      </c>
      <c r="R85" s="19" t="str">
        <f t="shared" si="12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3"/>
        <v/>
      </c>
      <c r="M86" s="19" t="str">
        <f t="shared" si="14"/>
        <v/>
      </c>
      <c r="N86" s="19" t="str">
        <f t="shared" si="15"/>
        <v/>
      </c>
      <c r="O86" s="19" t="str">
        <f t="shared" si="6"/>
        <v/>
      </c>
      <c r="P86" s="19" t="str">
        <f t="shared" si="7"/>
        <v/>
      </c>
      <c r="Q86" s="19" t="str">
        <f t="shared" si="8"/>
        <v/>
      </c>
      <c r="R86" s="19" t="str">
        <f t="shared" si="12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3"/>
        <v/>
      </c>
      <c r="M87" s="19" t="str">
        <f t="shared" si="14"/>
        <v/>
      </c>
      <c r="N87" s="19" t="str">
        <f t="shared" si="15"/>
        <v/>
      </c>
      <c r="O87" s="19" t="str">
        <f t="shared" si="6"/>
        <v/>
      </c>
      <c r="P87" s="19" t="str">
        <f t="shared" si="7"/>
        <v/>
      </c>
      <c r="Q87" s="19" t="str">
        <f t="shared" si="8"/>
        <v/>
      </c>
      <c r="R87" s="19" t="str">
        <f t="shared" si="12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3"/>
        <v/>
      </c>
      <c r="M88" s="19" t="str">
        <f t="shared" si="14"/>
        <v/>
      </c>
      <c r="N88" s="19" t="str">
        <f t="shared" si="15"/>
        <v/>
      </c>
      <c r="O88" s="19" t="str">
        <f t="shared" si="6"/>
        <v/>
      </c>
      <c r="P88" s="19" t="str">
        <f t="shared" si="7"/>
        <v/>
      </c>
      <c r="Q88" s="19" t="str">
        <f t="shared" si="8"/>
        <v/>
      </c>
      <c r="R88" s="19" t="str">
        <f t="shared" si="12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3"/>
        <v/>
      </c>
      <c r="M89" s="19" t="str">
        <f t="shared" si="14"/>
        <v/>
      </c>
      <c r="N89" s="19" t="str">
        <f t="shared" si="15"/>
        <v/>
      </c>
      <c r="O89" s="19" t="str">
        <f t="shared" si="6"/>
        <v/>
      </c>
      <c r="P89" s="19" t="str">
        <f t="shared" si="7"/>
        <v/>
      </c>
      <c r="Q89" s="19" t="str">
        <f t="shared" si="8"/>
        <v/>
      </c>
      <c r="R89" s="19" t="str">
        <f t="shared" si="12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3"/>
        <v/>
      </c>
      <c r="M90" s="19" t="str">
        <f t="shared" si="14"/>
        <v/>
      </c>
      <c r="N90" s="19" t="str">
        <f t="shared" si="15"/>
        <v/>
      </c>
      <c r="O90" s="19" t="str">
        <f t="shared" si="6"/>
        <v/>
      </c>
      <c r="P90" s="19" t="str">
        <f t="shared" si="7"/>
        <v/>
      </c>
      <c r="Q90" s="19" t="str">
        <f t="shared" si="8"/>
        <v/>
      </c>
      <c r="R90" s="19" t="str">
        <f t="shared" si="12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3"/>
        <v/>
      </c>
      <c r="M91" s="19" t="str">
        <f t="shared" si="14"/>
        <v/>
      </c>
      <c r="N91" s="19" t="str">
        <f t="shared" si="15"/>
        <v/>
      </c>
      <c r="O91" s="19" t="str">
        <f t="shared" si="6"/>
        <v/>
      </c>
      <c r="P91" s="19" t="str">
        <f t="shared" si="7"/>
        <v/>
      </c>
      <c r="Q91" s="19" t="str">
        <f t="shared" si="8"/>
        <v/>
      </c>
      <c r="R91" s="19" t="str">
        <f t="shared" si="12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3"/>
        <v/>
      </c>
      <c r="M92" s="19" t="str">
        <f t="shared" si="14"/>
        <v/>
      </c>
      <c r="N92" s="19" t="str">
        <f t="shared" si="15"/>
        <v/>
      </c>
      <c r="O92" s="19" t="str">
        <f t="shared" si="6"/>
        <v/>
      </c>
      <c r="P92" s="19" t="str">
        <f t="shared" si="7"/>
        <v/>
      </c>
      <c r="Q92" s="19" t="str">
        <f t="shared" si="8"/>
        <v/>
      </c>
      <c r="R92" s="19" t="str">
        <f t="shared" si="12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3"/>
        <v/>
      </c>
      <c r="M93" s="19" t="str">
        <f t="shared" si="14"/>
        <v/>
      </c>
      <c r="N93" s="19" t="str">
        <f t="shared" si="15"/>
        <v/>
      </c>
      <c r="O93" s="19" t="str">
        <f t="shared" si="6"/>
        <v/>
      </c>
      <c r="P93" s="19" t="str">
        <f t="shared" si="7"/>
        <v/>
      </c>
      <c r="Q93" s="19" t="str">
        <f t="shared" si="8"/>
        <v/>
      </c>
      <c r="R93" s="19" t="str">
        <f t="shared" si="12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3"/>
        <v/>
      </c>
      <c r="M94" s="19" t="str">
        <f t="shared" si="14"/>
        <v/>
      </c>
      <c r="N94" s="19" t="str">
        <f t="shared" si="15"/>
        <v/>
      </c>
      <c r="O94" s="19" t="str">
        <f t="shared" si="6"/>
        <v/>
      </c>
      <c r="P94" s="19" t="str">
        <f t="shared" si="7"/>
        <v/>
      </c>
      <c r="Q94" s="19" t="str">
        <f t="shared" si="8"/>
        <v/>
      </c>
      <c r="R94" s="19" t="str">
        <f t="shared" ref="R94:R116" si="18">IF(ISBLANK(I94),"",(I94-I$16)*1000)</f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6" si="19">IF(ISBLANK(C95),"",(C95-C$16)*1000)</f>
        <v/>
      </c>
      <c r="M95" s="19" t="str">
        <f t="shared" ref="M95:M116" si="20">IF(ISBLANK(D95),"",(D95-D$16)*1000)</f>
        <v/>
      </c>
      <c r="N95" s="19" t="str">
        <f t="shared" ref="N95:N116" si="21">IF(ISBLANK(E95),"",(E95-E$16)*1000)</f>
        <v/>
      </c>
      <c r="O95" s="19" t="str">
        <f t="shared" si="6"/>
        <v/>
      </c>
      <c r="P95" s="19" t="str">
        <f t="shared" si="7"/>
        <v/>
      </c>
      <c r="Q95" s="19" t="str">
        <f t="shared" si="8"/>
        <v/>
      </c>
      <c r="R95" s="19" t="str">
        <f t="shared" si="18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9"/>
        <v/>
      </c>
      <c r="M96" s="19" t="str">
        <f t="shared" si="20"/>
        <v/>
      </c>
      <c r="N96" s="19" t="str">
        <f t="shared" si="21"/>
        <v/>
      </c>
      <c r="O96" s="19" t="str">
        <f t="shared" si="6"/>
        <v/>
      </c>
      <c r="P96" s="19" t="str">
        <f t="shared" si="7"/>
        <v/>
      </c>
      <c r="Q96" s="19" t="str">
        <f t="shared" si="8"/>
        <v/>
      </c>
      <c r="R96" s="19" t="str">
        <f t="shared" si="18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9"/>
        <v/>
      </c>
      <c r="M97" s="19" t="str">
        <f t="shared" si="20"/>
        <v/>
      </c>
      <c r="N97" s="19" t="str">
        <f t="shared" si="21"/>
        <v/>
      </c>
      <c r="O97" s="19" t="str">
        <f t="shared" si="6"/>
        <v/>
      </c>
      <c r="P97" s="19" t="str">
        <f t="shared" si="7"/>
        <v/>
      </c>
      <c r="Q97" s="19" t="str">
        <f t="shared" si="8"/>
        <v/>
      </c>
      <c r="R97" s="19" t="str">
        <f t="shared" si="18"/>
        <v/>
      </c>
      <c r="S97" s="27" t="str">
        <f t="shared" ref="S97:X112" si="22">IF(C97="","",((C97-C96)*1000)/($B97-$B96))</f>
        <v/>
      </c>
      <c r="T97" s="28" t="str">
        <f t="shared" si="22"/>
        <v/>
      </c>
      <c r="U97" s="28" t="str">
        <f t="shared" si="22"/>
        <v/>
      </c>
      <c r="V97" s="28" t="str">
        <f t="shared" si="22"/>
        <v/>
      </c>
      <c r="W97" s="28" t="str">
        <f t="shared" si="22"/>
        <v/>
      </c>
      <c r="X97" s="29" t="str">
        <f t="shared" si="22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9"/>
        <v/>
      </c>
      <c r="M98" s="19" t="str">
        <f t="shared" si="20"/>
        <v/>
      </c>
      <c r="N98" s="19" t="str">
        <f t="shared" si="21"/>
        <v/>
      </c>
      <c r="O98" s="19" t="str">
        <f t="shared" si="6"/>
        <v/>
      </c>
      <c r="P98" s="19" t="str">
        <f t="shared" si="7"/>
        <v/>
      </c>
      <c r="Q98" s="19" t="str">
        <f t="shared" si="8"/>
        <v/>
      </c>
      <c r="R98" s="19" t="str">
        <f t="shared" si="18"/>
        <v/>
      </c>
      <c r="S98" s="27" t="str">
        <f t="shared" si="22"/>
        <v/>
      </c>
      <c r="T98" s="28" t="str">
        <f t="shared" si="22"/>
        <v/>
      </c>
      <c r="U98" s="28" t="str">
        <f t="shared" si="22"/>
        <v/>
      </c>
      <c r="V98" s="28" t="str">
        <f t="shared" si="22"/>
        <v/>
      </c>
      <c r="W98" s="28" t="str">
        <f t="shared" si="22"/>
        <v/>
      </c>
      <c r="X98" s="29" t="str">
        <f t="shared" si="22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9"/>
        <v/>
      </c>
      <c r="M99" s="19" t="str">
        <f t="shared" si="20"/>
        <v/>
      </c>
      <c r="N99" s="19" t="str">
        <f t="shared" si="21"/>
        <v/>
      </c>
      <c r="O99" s="19" t="str">
        <f t="shared" ref="O99:O153" si="23">IF(ISBLANK(F99),"",((F99-F$34)*1000)+L$34)</f>
        <v/>
      </c>
      <c r="P99" s="19" t="str">
        <f t="shared" ref="P99:P153" si="24">IF(ISBLANK(G99),"",((G99-G$34)*1000)+M$34)</f>
        <v/>
      </c>
      <c r="Q99" s="19" t="str">
        <f t="shared" ref="Q99:Q153" si="25">IF(ISBLANK(H99),"",((H99-H$34)*1000)+N$34)</f>
        <v/>
      </c>
      <c r="R99" s="19" t="str">
        <f t="shared" si="18"/>
        <v/>
      </c>
      <c r="S99" s="27" t="str">
        <f t="shared" si="22"/>
        <v/>
      </c>
      <c r="T99" s="28" t="str">
        <f t="shared" si="22"/>
        <v/>
      </c>
      <c r="U99" s="28" t="str">
        <f t="shared" si="22"/>
        <v/>
      </c>
      <c r="V99" s="28" t="str">
        <f t="shared" si="22"/>
        <v/>
      </c>
      <c r="W99" s="28" t="str">
        <f t="shared" si="22"/>
        <v/>
      </c>
      <c r="X99" s="29" t="str">
        <f t="shared" si="22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9"/>
        <v/>
      </c>
      <c r="M100" s="19" t="str">
        <f t="shared" si="20"/>
        <v/>
      </c>
      <c r="N100" s="19" t="str">
        <f t="shared" si="21"/>
        <v/>
      </c>
      <c r="O100" s="19" t="str">
        <f t="shared" si="23"/>
        <v/>
      </c>
      <c r="P100" s="19" t="str">
        <f t="shared" si="24"/>
        <v/>
      </c>
      <c r="Q100" s="19" t="str">
        <f t="shared" si="25"/>
        <v/>
      </c>
      <c r="R100" s="19" t="str">
        <f t="shared" si="18"/>
        <v/>
      </c>
      <c r="S100" s="27" t="str">
        <f t="shared" si="22"/>
        <v/>
      </c>
      <c r="T100" s="28" t="str">
        <f t="shared" si="22"/>
        <v/>
      </c>
      <c r="U100" s="28" t="str">
        <f t="shared" si="22"/>
        <v/>
      </c>
      <c r="V100" s="28" t="str">
        <f t="shared" si="22"/>
        <v/>
      </c>
      <c r="W100" s="28" t="str">
        <f t="shared" si="22"/>
        <v/>
      </c>
      <c r="X100" s="29" t="str">
        <f t="shared" si="22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9"/>
        <v/>
      </c>
      <c r="M101" s="19" t="str">
        <f t="shared" si="20"/>
        <v/>
      </c>
      <c r="N101" s="19" t="str">
        <f t="shared" si="21"/>
        <v/>
      </c>
      <c r="O101" s="19" t="str">
        <f t="shared" si="23"/>
        <v/>
      </c>
      <c r="P101" s="19" t="str">
        <f t="shared" si="24"/>
        <v/>
      </c>
      <c r="Q101" s="19" t="str">
        <f t="shared" si="25"/>
        <v/>
      </c>
      <c r="R101" s="19" t="str">
        <f t="shared" si="18"/>
        <v/>
      </c>
      <c r="S101" s="27" t="str">
        <f t="shared" si="22"/>
        <v/>
      </c>
      <c r="T101" s="28" t="str">
        <f t="shared" si="22"/>
        <v/>
      </c>
      <c r="U101" s="28" t="str">
        <f t="shared" si="22"/>
        <v/>
      </c>
      <c r="V101" s="28" t="str">
        <f t="shared" si="22"/>
        <v/>
      </c>
      <c r="W101" s="28" t="str">
        <f t="shared" si="22"/>
        <v/>
      </c>
      <c r="X101" s="29" t="str">
        <f t="shared" si="22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9"/>
        <v/>
      </c>
      <c r="M102" s="19" t="str">
        <f t="shared" si="20"/>
        <v/>
      </c>
      <c r="N102" s="19" t="str">
        <f t="shared" si="21"/>
        <v/>
      </c>
      <c r="O102" s="19" t="str">
        <f t="shared" si="23"/>
        <v/>
      </c>
      <c r="P102" s="19" t="str">
        <f t="shared" si="24"/>
        <v/>
      </c>
      <c r="Q102" s="19" t="str">
        <f t="shared" si="25"/>
        <v/>
      </c>
      <c r="R102" s="19" t="str">
        <f t="shared" si="18"/>
        <v/>
      </c>
      <c r="S102" s="27" t="str">
        <f t="shared" si="22"/>
        <v/>
      </c>
      <c r="T102" s="28" t="str">
        <f t="shared" si="22"/>
        <v/>
      </c>
      <c r="U102" s="28" t="str">
        <f t="shared" si="22"/>
        <v/>
      </c>
      <c r="V102" s="28" t="str">
        <f t="shared" si="22"/>
        <v/>
      </c>
      <c r="W102" s="28" t="str">
        <f t="shared" si="22"/>
        <v/>
      </c>
      <c r="X102" s="29" t="str">
        <f t="shared" si="22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9"/>
        <v/>
      </c>
      <c r="M103" s="19" t="str">
        <f t="shared" si="20"/>
        <v/>
      </c>
      <c r="N103" s="19" t="str">
        <f t="shared" si="21"/>
        <v/>
      </c>
      <c r="O103" s="19" t="str">
        <f t="shared" si="23"/>
        <v/>
      </c>
      <c r="P103" s="19" t="str">
        <f t="shared" si="24"/>
        <v/>
      </c>
      <c r="Q103" s="19" t="str">
        <f t="shared" si="25"/>
        <v/>
      </c>
      <c r="R103" s="19" t="str">
        <f t="shared" si="18"/>
        <v/>
      </c>
      <c r="S103" s="27" t="str">
        <f t="shared" si="22"/>
        <v/>
      </c>
      <c r="T103" s="28" t="str">
        <f t="shared" si="22"/>
        <v/>
      </c>
      <c r="U103" s="28" t="str">
        <f t="shared" si="22"/>
        <v/>
      </c>
      <c r="V103" s="28" t="str">
        <f t="shared" si="22"/>
        <v/>
      </c>
      <c r="W103" s="28" t="str">
        <f t="shared" si="22"/>
        <v/>
      </c>
      <c r="X103" s="29" t="str">
        <f t="shared" si="22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9"/>
        <v/>
      </c>
      <c r="M104" s="19" t="str">
        <f t="shared" si="20"/>
        <v/>
      </c>
      <c r="N104" s="19" t="str">
        <f t="shared" si="21"/>
        <v/>
      </c>
      <c r="O104" s="19" t="str">
        <f t="shared" si="23"/>
        <v/>
      </c>
      <c r="P104" s="19" t="str">
        <f t="shared" si="24"/>
        <v/>
      </c>
      <c r="Q104" s="19" t="str">
        <f t="shared" si="25"/>
        <v/>
      </c>
      <c r="R104" s="19" t="str">
        <f t="shared" si="18"/>
        <v/>
      </c>
      <c r="S104" s="27" t="str">
        <f t="shared" si="22"/>
        <v/>
      </c>
      <c r="T104" s="28" t="str">
        <f t="shared" si="22"/>
        <v/>
      </c>
      <c r="U104" s="28" t="str">
        <f t="shared" si="22"/>
        <v/>
      </c>
      <c r="V104" s="28" t="str">
        <f t="shared" si="22"/>
        <v/>
      </c>
      <c r="W104" s="28" t="str">
        <f t="shared" si="22"/>
        <v/>
      </c>
      <c r="X104" s="29" t="str">
        <f t="shared" si="22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9"/>
        <v/>
      </c>
      <c r="M105" s="19" t="str">
        <f t="shared" si="20"/>
        <v/>
      </c>
      <c r="N105" s="19" t="str">
        <f t="shared" si="21"/>
        <v/>
      </c>
      <c r="O105" s="19" t="str">
        <f t="shared" si="23"/>
        <v/>
      </c>
      <c r="P105" s="19" t="str">
        <f t="shared" si="24"/>
        <v/>
      </c>
      <c r="Q105" s="19" t="str">
        <f t="shared" si="25"/>
        <v/>
      </c>
      <c r="R105" s="19" t="str">
        <f t="shared" si="18"/>
        <v/>
      </c>
      <c r="S105" s="27" t="str">
        <f t="shared" si="22"/>
        <v/>
      </c>
      <c r="T105" s="28" t="str">
        <f t="shared" si="22"/>
        <v/>
      </c>
      <c r="U105" s="28" t="str">
        <f t="shared" si="22"/>
        <v/>
      </c>
      <c r="V105" s="28" t="str">
        <f t="shared" si="22"/>
        <v/>
      </c>
      <c r="W105" s="28" t="str">
        <f t="shared" si="22"/>
        <v/>
      </c>
      <c r="X105" s="29" t="str">
        <f t="shared" si="22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9"/>
        <v/>
      </c>
      <c r="M106" s="19" t="str">
        <f t="shared" si="20"/>
        <v/>
      </c>
      <c r="N106" s="19" t="str">
        <f t="shared" si="21"/>
        <v/>
      </c>
      <c r="O106" s="19" t="str">
        <f t="shared" si="23"/>
        <v/>
      </c>
      <c r="P106" s="19" t="str">
        <f t="shared" si="24"/>
        <v/>
      </c>
      <c r="Q106" s="19" t="str">
        <f t="shared" si="25"/>
        <v/>
      </c>
      <c r="R106" s="19" t="str">
        <f t="shared" si="18"/>
        <v/>
      </c>
      <c r="S106" s="27" t="str">
        <f t="shared" si="22"/>
        <v/>
      </c>
      <c r="T106" s="28" t="str">
        <f t="shared" si="22"/>
        <v/>
      </c>
      <c r="U106" s="28" t="str">
        <f t="shared" si="22"/>
        <v/>
      </c>
      <c r="V106" s="28" t="str">
        <f t="shared" si="22"/>
        <v/>
      </c>
      <c r="W106" s="28" t="str">
        <f t="shared" si="22"/>
        <v/>
      </c>
      <c r="X106" s="29" t="str">
        <f t="shared" si="22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9"/>
        <v/>
      </c>
      <c r="M107" s="19" t="str">
        <f t="shared" si="20"/>
        <v/>
      </c>
      <c r="N107" s="19" t="str">
        <f t="shared" si="21"/>
        <v/>
      </c>
      <c r="O107" s="19" t="str">
        <f t="shared" si="23"/>
        <v/>
      </c>
      <c r="P107" s="19" t="str">
        <f t="shared" si="24"/>
        <v/>
      </c>
      <c r="Q107" s="19" t="str">
        <f t="shared" si="25"/>
        <v/>
      </c>
      <c r="R107" s="19" t="str">
        <f t="shared" si="18"/>
        <v/>
      </c>
      <c r="S107" s="27" t="str">
        <f t="shared" si="22"/>
        <v/>
      </c>
      <c r="T107" s="28" t="str">
        <f t="shared" si="22"/>
        <v/>
      </c>
      <c r="U107" s="28" t="str">
        <f t="shared" si="22"/>
        <v/>
      </c>
      <c r="V107" s="28" t="str">
        <f t="shared" si="22"/>
        <v/>
      </c>
      <c r="W107" s="28" t="str">
        <f t="shared" si="22"/>
        <v/>
      </c>
      <c r="X107" s="29" t="str">
        <f t="shared" si="22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9"/>
        <v/>
      </c>
      <c r="M108" s="19" t="str">
        <f t="shared" si="20"/>
        <v/>
      </c>
      <c r="N108" s="19" t="str">
        <f t="shared" si="21"/>
        <v/>
      </c>
      <c r="O108" s="19" t="str">
        <f t="shared" si="23"/>
        <v/>
      </c>
      <c r="P108" s="19" t="str">
        <f t="shared" si="24"/>
        <v/>
      </c>
      <c r="Q108" s="19" t="str">
        <f t="shared" si="25"/>
        <v/>
      </c>
      <c r="R108" s="19" t="str">
        <f t="shared" si="18"/>
        <v/>
      </c>
      <c r="S108" s="27" t="str">
        <f t="shared" si="22"/>
        <v/>
      </c>
      <c r="T108" s="28" t="str">
        <f t="shared" si="22"/>
        <v/>
      </c>
      <c r="U108" s="28" t="str">
        <f t="shared" si="22"/>
        <v/>
      </c>
      <c r="V108" s="28" t="str">
        <f t="shared" si="22"/>
        <v/>
      </c>
      <c r="W108" s="28" t="str">
        <f t="shared" si="22"/>
        <v/>
      </c>
      <c r="X108" s="29" t="str">
        <f t="shared" si="22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9"/>
        <v/>
      </c>
      <c r="M109" s="19" t="str">
        <f t="shared" si="20"/>
        <v/>
      </c>
      <c r="N109" s="19" t="str">
        <f t="shared" si="21"/>
        <v/>
      </c>
      <c r="O109" s="19" t="str">
        <f t="shared" si="23"/>
        <v/>
      </c>
      <c r="P109" s="19" t="str">
        <f t="shared" si="24"/>
        <v/>
      </c>
      <c r="Q109" s="19" t="str">
        <f t="shared" si="25"/>
        <v/>
      </c>
      <c r="R109" s="19" t="str">
        <f t="shared" si="18"/>
        <v/>
      </c>
      <c r="S109" s="27" t="str">
        <f t="shared" si="22"/>
        <v/>
      </c>
      <c r="T109" s="28" t="str">
        <f t="shared" si="22"/>
        <v/>
      </c>
      <c r="U109" s="28" t="str">
        <f t="shared" si="22"/>
        <v/>
      </c>
      <c r="V109" s="28" t="str">
        <f t="shared" si="22"/>
        <v/>
      </c>
      <c r="W109" s="28" t="str">
        <f t="shared" si="22"/>
        <v/>
      </c>
      <c r="X109" s="29" t="str">
        <f t="shared" si="22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9"/>
        <v/>
      </c>
      <c r="M110" s="19" t="str">
        <f t="shared" si="20"/>
        <v/>
      </c>
      <c r="N110" s="19" t="str">
        <f t="shared" si="21"/>
        <v/>
      </c>
      <c r="O110" s="19" t="str">
        <f t="shared" si="23"/>
        <v/>
      </c>
      <c r="P110" s="19" t="str">
        <f t="shared" si="24"/>
        <v/>
      </c>
      <c r="Q110" s="19" t="str">
        <f t="shared" si="25"/>
        <v/>
      </c>
      <c r="R110" s="19" t="str">
        <f t="shared" si="18"/>
        <v/>
      </c>
      <c r="S110" s="27" t="str">
        <f t="shared" si="22"/>
        <v/>
      </c>
      <c r="T110" s="28" t="str">
        <f t="shared" si="22"/>
        <v/>
      </c>
      <c r="U110" s="28" t="str">
        <f t="shared" si="22"/>
        <v/>
      </c>
      <c r="V110" s="28" t="str">
        <f t="shared" si="22"/>
        <v/>
      </c>
      <c r="W110" s="28" t="str">
        <f t="shared" si="22"/>
        <v/>
      </c>
      <c r="X110" s="29" t="str">
        <f t="shared" si="22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9"/>
        <v/>
      </c>
      <c r="M111" s="19" t="str">
        <f t="shared" si="20"/>
        <v/>
      </c>
      <c r="N111" s="19" t="str">
        <f t="shared" si="21"/>
        <v/>
      </c>
      <c r="O111" s="19" t="str">
        <f t="shared" si="23"/>
        <v/>
      </c>
      <c r="P111" s="19" t="str">
        <f t="shared" si="24"/>
        <v/>
      </c>
      <c r="Q111" s="19" t="str">
        <f t="shared" si="25"/>
        <v/>
      </c>
      <c r="R111" s="19" t="str">
        <f t="shared" si="18"/>
        <v/>
      </c>
      <c r="S111" s="27" t="str">
        <f t="shared" si="22"/>
        <v/>
      </c>
      <c r="T111" s="28" t="str">
        <f t="shared" si="22"/>
        <v/>
      </c>
      <c r="U111" s="28" t="str">
        <f t="shared" si="22"/>
        <v/>
      </c>
      <c r="V111" s="28" t="str">
        <f t="shared" si="22"/>
        <v/>
      </c>
      <c r="W111" s="28" t="str">
        <f t="shared" si="22"/>
        <v/>
      </c>
      <c r="X111" s="29" t="str">
        <f t="shared" si="22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9"/>
        <v/>
      </c>
      <c r="M112" s="19" t="str">
        <f t="shared" si="20"/>
        <v/>
      </c>
      <c r="N112" s="19" t="str">
        <f t="shared" si="21"/>
        <v/>
      </c>
      <c r="O112" s="19" t="str">
        <f t="shared" si="23"/>
        <v/>
      </c>
      <c r="P112" s="19" t="str">
        <f t="shared" si="24"/>
        <v/>
      </c>
      <c r="Q112" s="19" t="str">
        <f t="shared" si="25"/>
        <v/>
      </c>
      <c r="R112" s="19" t="str">
        <f t="shared" si="18"/>
        <v/>
      </c>
      <c r="S112" s="27" t="str">
        <f t="shared" si="22"/>
        <v/>
      </c>
      <c r="T112" s="28" t="str">
        <f t="shared" si="22"/>
        <v/>
      </c>
      <c r="U112" s="28" t="str">
        <f t="shared" si="22"/>
        <v/>
      </c>
      <c r="V112" s="28" t="str">
        <f t="shared" si="22"/>
        <v/>
      </c>
      <c r="W112" s="28" t="str">
        <f t="shared" si="22"/>
        <v/>
      </c>
      <c r="X112" s="29" t="str">
        <f t="shared" si="22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9"/>
        <v/>
      </c>
      <c r="M113" s="19" t="str">
        <f t="shared" si="20"/>
        <v/>
      </c>
      <c r="N113" s="19" t="str">
        <f t="shared" si="21"/>
        <v/>
      </c>
      <c r="O113" s="19" t="str">
        <f t="shared" si="23"/>
        <v/>
      </c>
      <c r="P113" s="19" t="str">
        <f t="shared" si="24"/>
        <v/>
      </c>
      <c r="Q113" s="19" t="str">
        <f t="shared" si="25"/>
        <v/>
      </c>
      <c r="R113" s="19" t="str">
        <f t="shared" si="18"/>
        <v/>
      </c>
      <c r="S113" s="27" t="str">
        <f t="shared" ref="S113:X128" si="26">IF(C113="","",((C113-C112)*1000)/($B113-$B112))</f>
        <v/>
      </c>
      <c r="T113" s="28" t="str">
        <f t="shared" si="26"/>
        <v/>
      </c>
      <c r="U113" s="28" t="str">
        <f t="shared" si="26"/>
        <v/>
      </c>
      <c r="V113" s="28" t="str">
        <f t="shared" si="26"/>
        <v/>
      </c>
      <c r="W113" s="28" t="str">
        <f t="shared" si="26"/>
        <v/>
      </c>
      <c r="X113" s="29" t="str">
        <f t="shared" si="26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9"/>
        <v/>
      </c>
      <c r="M114" s="19" t="str">
        <f t="shared" si="20"/>
        <v/>
      </c>
      <c r="N114" s="19" t="str">
        <f t="shared" si="21"/>
        <v/>
      </c>
      <c r="O114" s="19" t="str">
        <f t="shared" si="23"/>
        <v/>
      </c>
      <c r="P114" s="19" t="str">
        <f t="shared" si="24"/>
        <v/>
      </c>
      <c r="Q114" s="19" t="str">
        <f t="shared" si="25"/>
        <v/>
      </c>
      <c r="R114" s="19" t="str">
        <f t="shared" si="18"/>
        <v/>
      </c>
      <c r="S114" s="27" t="str">
        <f t="shared" si="26"/>
        <v/>
      </c>
      <c r="T114" s="28" t="str">
        <f t="shared" si="26"/>
        <v/>
      </c>
      <c r="U114" s="28" t="str">
        <f t="shared" si="26"/>
        <v/>
      </c>
      <c r="V114" s="28" t="str">
        <f t="shared" si="26"/>
        <v/>
      </c>
      <c r="W114" s="28" t="str">
        <f t="shared" si="26"/>
        <v/>
      </c>
      <c r="X114" s="29" t="str">
        <f t="shared" si="26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9"/>
        <v/>
      </c>
      <c r="M115" s="19" t="str">
        <f t="shared" si="20"/>
        <v/>
      </c>
      <c r="N115" s="19" t="str">
        <f t="shared" si="21"/>
        <v/>
      </c>
      <c r="O115" s="19" t="str">
        <f t="shared" si="23"/>
        <v/>
      </c>
      <c r="P115" s="19" t="str">
        <f t="shared" si="24"/>
        <v/>
      </c>
      <c r="Q115" s="19" t="str">
        <f t="shared" si="25"/>
        <v/>
      </c>
      <c r="R115" s="19" t="str">
        <f t="shared" si="18"/>
        <v/>
      </c>
      <c r="S115" s="27" t="str">
        <f t="shared" si="26"/>
        <v/>
      </c>
      <c r="T115" s="28" t="str">
        <f t="shared" si="26"/>
        <v/>
      </c>
      <c r="U115" s="28" t="str">
        <f t="shared" si="26"/>
        <v/>
      </c>
      <c r="V115" s="28" t="str">
        <f t="shared" si="26"/>
        <v/>
      </c>
      <c r="W115" s="28" t="str">
        <f t="shared" si="26"/>
        <v/>
      </c>
      <c r="X115" s="29" t="str">
        <f t="shared" si="26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9"/>
        <v/>
      </c>
      <c r="M116" s="19" t="str">
        <f t="shared" si="20"/>
        <v/>
      </c>
      <c r="N116" s="19" t="str">
        <f t="shared" si="21"/>
        <v/>
      </c>
      <c r="O116" s="19" t="str">
        <f t="shared" si="23"/>
        <v/>
      </c>
      <c r="P116" s="19" t="str">
        <f t="shared" si="24"/>
        <v/>
      </c>
      <c r="Q116" s="19" t="str">
        <f t="shared" si="25"/>
        <v/>
      </c>
      <c r="R116" s="19" t="str">
        <f t="shared" si="18"/>
        <v/>
      </c>
      <c r="S116" s="27" t="str">
        <f t="shared" si="26"/>
        <v/>
      </c>
      <c r="T116" s="28" t="str">
        <f t="shared" si="26"/>
        <v/>
      </c>
      <c r="U116" s="28" t="str">
        <f t="shared" si="26"/>
        <v/>
      </c>
      <c r="V116" s="28" t="str">
        <f t="shared" si="26"/>
        <v/>
      </c>
      <c r="W116" s="28" t="str">
        <f t="shared" si="26"/>
        <v/>
      </c>
      <c r="X116" s="29" t="str">
        <f t="shared" si="26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>IF(ISBLANK(C117),"",(C117-C$16)*1000)</f>
        <v/>
      </c>
      <c r="M117" s="19" t="str">
        <f t="shared" ref="M117:R153" si="27">IF(ISBLANK(D117),"",(D117-D$16)*1000)</f>
        <v/>
      </c>
      <c r="N117" s="19" t="str">
        <f t="shared" si="27"/>
        <v/>
      </c>
      <c r="O117" s="19" t="str">
        <f t="shared" si="23"/>
        <v/>
      </c>
      <c r="P117" s="19" t="str">
        <f t="shared" si="24"/>
        <v/>
      </c>
      <c r="Q117" s="19" t="str">
        <f t="shared" si="25"/>
        <v/>
      </c>
      <c r="R117" s="19" t="str">
        <f t="shared" si="27"/>
        <v/>
      </c>
      <c r="S117" s="27" t="str">
        <f t="shared" si="26"/>
        <v/>
      </c>
      <c r="T117" s="28" t="str">
        <f t="shared" si="26"/>
        <v/>
      </c>
      <c r="U117" s="28" t="str">
        <f t="shared" si="26"/>
        <v/>
      </c>
      <c r="V117" s="28" t="str">
        <f t="shared" si="26"/>
        <v/>
      </c>
      <c r="W117" s="28" t="str">
        <f t="shared" si="26"/>
        <v/>
      </c>
      <c r="X117" s="29" t="str">
        <f t="shared" si="26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8">IF(ISBLANK(C118),"",(C118-C$16)*1000)</f>
        <v/>
      </c>
      <c r="M118" s="19" t="str">
        <f t="shared" si="27"/>
        <v/>
      </c>
      <c r="N118" s="19" t="str">
        <f t="shared" si="27"/>
        <v/>
      </c>
      <c r="O118" s="19" t="str">
        <f t="shared" si="23"/>
        <v/>
      </c>
      <c r="P118" s="19" t="str">
        <f t="shared" si="24"/>
        <v/>
      </c>
      <c r="Q118" s="19" t="str">
        <f t="shared" si="25"/>
        <v/>
      </c>
      <c r="R118" s="19" t="str">
        <f t="shared" si="27"/>
        <v/>
      </c>
      <c r="S118" s="27" t="str">
        <f t="shared" si="26"/>
        <v/>
      </c>
      <c r="T118" s="28" t="str">
        <f t="shared" si="26"/>
        <v/>
      </c>
      <c r="U118" s="28" t="str">
        <f t="shared" si="26"/>
        <v/>
      </c>
      <c r="V118" s="28" t="str">
        <f t="shared" si="26"/>
        <v/>
      </c>
      <c r="W118" s="28" t="str">
        <f t="shared" si="26"/>
        <v/>
      </c>
      <c r="X118" s="29" t="str">
        <f t="shared" si="26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8"/>
        <v/>
      </c>
      <c r="M119" s="19" t="str">
        <f t="shared" si="27"/>
        <v/>
      </c>
      <c r="N119" s="19" t="str">
        <f t="shared" si="27"/>
        <v/>
      </c>
      <c r="O119" s="19" t="str">
        <f t="shared" si="23"/>
        <v/>
      </c>
      <c r="P119" s="19" t="str">
        <f t="shared" si="24"/>
        <v/>
      </c>
      <c r="Q119" s="19" t="str">
        <f t="shared" si="25"/>
        <v/>
      </c>
      <c r="R119" s="19" t="str">
        <f t="shared" si="27"/>
        <v/>
      </c>
      <c r="S119" s="27" t="str">
        <f t="shared" si="26"/>
        <v/>
      </c>
      <c r="T119" s="28" t="str">
        <f t="shared" si="26"/>
        <v/>
      </c>
      <c r="U119" s="28" t="str">
        <f t="shared" si="26"/>
        <v/>
      </c>
      <c r="V119" s="28" t="str">
        <f t="shared" si="26"/>
        <v/>
      </c>
      <c r="W119" s="28" t="str">
        <f t="shared" si="26"/>
        <v/>
      </c>
      <c r="X119" s="29" t="str">
        <f t="shared" si="26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8"/>
        <v/>
      </c>
      <c r="M120" s="19" t="str">
        <f t="shared" si="27"/>
        <v/>
      </c>
      <c r="N120" s="19" t="str">
        <f t="shared" si="27"/>
        <v/>
      </c>
      <c r="O120" s="19" t="str">
        <f t="shared" si="23"/>
        <v/>
      </c>
      <c r="P120" s="19" t="str">
        <f t="shared" si="24"/>
        <v/>
      </c>
      <c r="Q120" s="19" t="str">
        <f t="shared" si="25"/>
        <v/>
      </c>
      <c r="R120" s="19" t="str">
        <f t="shared" si="27"/>
        <v/>
      </c>
      <c r="S120" s="27" t="str">
        <f t="shared" si="26"/>
        <v/>
      </c>
      <c r="T120" s="28" t="str">
        <f t="shared" si="26"/>
        <v/>
      </c>
      <c r="U120" s="28" t="str">
        <f t="shared" si="26"/>
        <v/>
      </c>
      <c r="V120" s="28" t="str">
        <f t="shared" si="26"/>
        <v/>
      </c>
      <c r="W120" s="28" t="str">
        <f t="shared" si="26"/>
        <v/>
      </c>
      <c r="X120" s="29" t="str">
        <f t="shared" si="26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8"/>
        <v/>
      </c>
      <c r="M121" s="19" t="str">
        <f t="shared" si="27"/>
        <v/>
      </c>
      <c r="N121" s="19" t="str">
        <f t="shared" si="27"/>
        <v/>
      </c>
      <c r="O121" s="19" t="str">
        <f t="shared" si="23"/>
        <v/>
      </c>
      <c r="P121" s="19" t="str">
        <f t="shared" si="24"/>
        <v/>
      </c>
      <c r="Q121" s="19" t="str">
        <f t="shared" si="25"/>
        <v/>
      </c>
      <c r="R121" s="19" t="str">
        <f t="shared" si="27"/>
        <v/>
      </c>
      <c r="S121" s="27" t="str">
        <f t="shared" si="26"/>
        <v/>
      </c>
      <c r="T121" s="28" t="str">
        <f t="shared" si="26"/>
        <v/>
      </c>
      <c r="U121" s="28" t="str">
        <f t="shared" si="26"/>
        <v/>
      </c>
      <c r="V121" s="28" t="str">
        <f t="shared" si="26"/>
        <v/>
      </c>
      <c r="W121" s="28" t="str">
        <f t="shared" si="26"/>
        <v/>
      </c>
      <c r="X121" s="29" t="str">
        <f t="shared" si="26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8"/>
        <v/>
      </c>
      <c r="M122" s="19" t="str">
        <f t="shared" si="27"/>
        <v/>
      </c>
      <c r="N122" s="19" t="str">
        <f t="shared" si="27"/>
        <v/>
      </c>
      <c r="O122" s="19" t="str">
        <f t="shared" si="23"/>
        <v/>
      </c>
      <c r="P122" s="19" t="str">
        <f t="shared" si="24"/>
        <v/>
      </c>
      <c r="Q122" s="19" t="str">
        <f t="shared" si="25"/>
        <v/>
      </c>
      <c r="R122" s="19" t="str">
        <f t="shared" si="27"/>
        <v/>
      </c>
      <c r="S122" s="27" t="str">
        <f t="shared" si="26"/>
        <v/>
      </c>
      <c r="T122" s="28" t="str">
        <f t="shared" si="26"/>
        <v/>
      </c>
      <c r="U122" s="28" t="str">
        <f t="shared" si="26"/>
        <v/>
      </c>
      <c r="V122" s="28" t="str">
        <f t="shared" si="26"/>
        <v/>
      </c>
      <c r="W122" s="28" t="str">
        <f t="shared" si="26"/>
        <v/>
      </c>
      <c r="X122" s="29" t="str">
        <f t="shared" si="26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8"/>
        <v/>
      </c>
      <c r="M123" s="19" t="str">
        <f t="shared" si="27"/>
        <v/>
      </c>
      <c r="N123" s="19" t="str">
        <f t="shared" si="27"/>
        <v/>
      </c>
      <c r="O123" s="19" t="str">
        <f t="shared" si="23"/>
        <v/>
      </c>
      <c r="P123" s="19" t="str">
        <f t="shared" si="24"/>
        <v/>
      </c>
      <c r="Q123" s="19" t="str">
        <f t="shared" si="25"/>
        <v/>
      </c>
      <c r="R123" s="19" t="str">
        <f t="shared" si="27"/>
        <v/>
      </c>
      <c r="S123" s="27" t="str">
        <f t="shared" si="26"/>
        <v/>
      </c>
      <c r="T123" s="28" t="str">
        <f t="shared" si="26"/>
        <v/>
      </c>
      <c r="U123" s="28" t="str">
        <f t="shared" si="26"/>
        <v/>
      </c>
      <c r="V123" s="28" t="str">
        <f t="shared" si="26"/>
        <v/>
      </c>
      <c r="W123" s="28" t="str">
        <f t="shared" si="26"/>
        <v/>
      </c>
      <c r="X123" s="29" t="str">
        <f t="shared" si="26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8"/>
        <v/>
      </c>
      <c r="M124" s="19" t="str">
        <f t="shared" si="27"/>
        <v/>
      </c>
      <c r="N124" s="19" t="str">
        <f t="shared" si="27"/>
        <v/>
      </c>
      <c r="O124" s="19" t="str">
        <f t="shared" si="23"/>
        <v/>
      </c>
      <c r="P124" s="19" t="str">
        <f t="shared" si="24"/>
        <v/>
      </c>
      <c r="Q124" s="19" t="str">
        <f t="shared" si="25"/>
        <v/>
      </c>
      <c r="R124" s="19" t="str">
        <f t="shared" si="27"/>
        <v/>
      </c>
      <c r="S124" s="27" t="str">
        <f t="shared" si="26"/>
        <v/>
      </c>
      <c r="T124" s="28" t="str">
        <f t="shared" si="26"/>
        <v/>
      </c>
      <c r="U124" s="28" t="str">
        <f t="shared" si="26"/>
        <v/>
      </c>
      <c r="V124" s="28" t="str">
        <f t="shared" si="26"/>
        <v/>
      </c>
      <c r="W124" s="28" t="str">
        <f t="shared" si="26"/>
        <v/>
      </c>
      <c r="X124" s="29" t="str">
        <f t="shared" si="26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8"/>
        <v/>
      </c>
      <c r="M125" s="19" t="str">
        <f t="shared" si="27"/>
        <v/>
      </c>
      <c r="N125" s="19" t="str">
        <f t="shared" si="27"/>
        <v/>
      </c>
      <c r="O125" s="19" t="str">
        <f t="shared" si="23"/>
        <v/>
      </c>
      <c r="P125" s="19" t="str">
        <f t="shared" si="24"/>
        <v/>
      </c>
      <c r="Q125" s="19" t="str">
        <f t="shared" si="25"/>
        <v/>
      </c>
      <c r="R125" s="19" t="str">
        <f t="shared" si="27"/>
        <v/>
      </c>
      <c r="S125" s="27" t="str">
        <f t="shared" si="26"/>
        <v/>
      </c>
      <c r="T125" s="28" t="str">
        <f t="shared" si="26"/>
        <v/>
      </c>
      <c r="U125" s="28" t="str">
        <f t="shared" si="26"/>
        <v/>
      </c>
      <c r="V125" s="28" t="str">
        <f t="shared" si="26"/>
        <v/>
      </c>
      <c r="W125" s="28" t="str">
        <f t="shared" si="26"/>
        <v/>
      </c>
      <c r="X125" s="29" t="str">
        <f t="shared" si="26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8"/>
        <v/>
      </c>
      <c r="M126" s="19" t="str">
        <f t="shared" si="27"/>
        <v/>
      </c>
      <c r="N126" s="19" t="str">
        <f t="shared" si="27"/>
        <v/>
      </c>
      <c r="O126" s="19" t="str">
        <f t="shared" si="23"/>
        <v/>
      </c>
      <c r="P126" s="19" t="str">
        <f t="shared" si="24"/>
        <v/>
      </c>
      <c r="Q126" s="19" t="str">
        <f t="shared" si="25"/>
        <v/>
      </c>
      <c r="R126" s="19" t="str">
        <f t="shared" si="27"/>
        <v/>
      </c>
      <c r="S126" s="27" t="str">
        <f t="shared" si="26"/>
        <v/>
      </c>
      <c r="T126" s="28" t="str">
        <f t="shared" si="26"/>
        <v/>
      </c>
      <c r="U126" s="28" t="str">
        <f t="shared" si="26"/>
        <v/>
      </c>
      <c r="V126" s="28" t="str">
        <f t="shared" si="26"/>
        <v/>
      </c>
      <c r="W126" s="28" t="str">
        <f t="shared" si="26"/>
        <v/>
      </c>
      <c r="X126" s="29" t="str">
        <f t="shared" si="26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8"/>
        <v/>
      </c>
      <c r="M127" s="19" t="str">
        <f t="shared" si="27"/>
        <v/>
      </c>
      <c r="N127" s="19" t="str">
        <f t="shared" si="27"/>
        <v/>
      </c>
      <c r="O127" s="19" t="str">
        <f t="shared" si="23"/>
        <v/>
      </c>
      <c r="P127" s="19" t="str">
        <f t="shared" si="24"/>
        <v/>
      </c>
      <c r="Q127" s="19" t="str">
        <f t="shared" si="25"/>
        <v/>
      </c>
      <c r="R127" s="19" t="str">
        <f t="shared" si="27"/>
        <v/>
      </c>
      <c r="S127" s="27" t="str">
        <f t="shared" si="26"/>
        <v/>
      </c>
      <c r="T127" s="28" t="str">
        <f t="shared" si="26"/>
        <v/>
      </c>
      <c r="U127" s="28" t="str">
        <f t="shared" si="26"/>
        <v/>
      </c>
      <c r="V127" s="28" t="str">
        <f t="shared" si="26"/>
        <v/>
      </c>
      <c r="W127" s="28" t="str">
        <f t="shared" si="26"/>
        <v/>
      </c>
      <c r="X127" s="29" t="str">
        <f t="shared" si="26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8"/>
        <v/>
      </c>
      <c r="M128" s="19" t="str">
        <f t="shared" si="27"/>
        <v/>
      </c>
      <c r="N128" s="19" t="str">
        <f t="shared" si="27"/>
        <v/>
      </c>
      <c r="O128" s="19" t="str">
        <f t="shared" si="23"/>
        <v/>
      </c>
      <c r="P128" s="19" t="str">
        <f t="shared" si="24"/>
        <v/>
      </c>
      <c r="Q128" s="19" t="str">
        <f t="shared" si="25"/>
        <v/>
      </c>
      <c r="R128" s="19" t="str">
        <f t="shared" si="27"/>
        <v/>
      </c>
      <c r="S128" s="27" t="str">
        <f t="shared" si="26"/>
        <v/>
      </c>
      <c r="T128" s="28" t="str">
        <f t="shared" si="26"/>
        <v/>
      </c>
      <c r="U128" s="28" t="str">
        <f t="shared" si="26"/>
        <v/>
      </c>
      <c r="V128" s="28" t="str">
        <f t="shared" si="26"/>
        <v/>
      </c>
      <c r="W128" s="28" t="str">
        <f t="shared" si="26"/>
        <v/>
      </c>
      <c r="X128" s="29" t="str">
        <f t="shared" si="26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8"/>
        <v/>
      </c>
      <c r="M129" s="19" t="str">
        <f t="shared" si="27"/>
        <v/>
      </c>
      <c r="N129" s="19" t="str">
        <f t="shared" si="27"/>
        <v/>
      </c>
      <c r="O129" s="19" t="str">
        <f t="shared" si="23"/>
        <v/>
      </c>
      <c r="P129" s="19" t="str">
        <f t="shared" si="24"/>
        <v/>
      </c>
      <c r="Q129" s="19" t="str">
        <f t="shared" si="25"/>
        <v/>
      </c>
      <c r="R129" s="19" t="str">
        <f t="shared" si="27"/>
        <v/>
      </c>
      <c r="S129" s="27" t="str">
        <f t="shared" ref="S129:X144" si="29">IF(C129="","",((C129-C128)*1000)/($B129-$B128))</f>
        <v/>
      </c>
      <c r="T129" s="28" t="str">
        <f t="shared" si="29"/>
        <v/>
      </c>
      <c r="U129" s="28" t="str">
        <f t="shared" si="29"/>
        <v/>
      </c>
      <c r="V129" s="28" t="str">
        <f t="shared" si="29"/>
        <v/>
      </c>
      <c r="W129" s="28" t="str">
        <f t="shared" si="29"/>
        <v/>
      </c>
      <c r="X129" s="29" t="str">
        <f t="shared" si="29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8"/>
        <v/>
      </c>
      <c r="M130" s="19" t="str">
        <f t="shared" si="27"/>
        <v/>
      </c>
      <c r="N130" s="19" t="str">
        <f t="shared" si="27"/>
        <v/>
      </c>
      <c r="O130" s="19" t="str">
        <f t="shared" si="23"/>
        <v/>
      </c>
      <c r="P130" s="19" t="str">
        <f t="shared" si="24"/>
        <v/>
      </c>
      <c r="Q130" s="19" t="str">
        <f t="shared" si="25"/>
        <v/>
      </c>
      <c r="R130" s="19" t="str">
        <f t="shared" si="27"/>
        <v/>
      </c>
      <c r="S130" s="27" t="str">
        <f t="shared" si="29"/>
        <v/>
      </c>
      <c r="T130" s="28" t="str">
        <f t="shared" si="29"/>
        <v/>
      </c>
      <c r="U130" s="28" t="str">
        <f t="shared" si="29"/>
        <v/>
      </c>
      <c r="V130" s="28" t="str">
        <f t="shared" si="29"/>
        <v/>
      </c>
      <c r="W130" s="28" t="str">
        <f t="shared" si="29"/>
        <v/>
      </c>
      <c r="X130" s="29" t="str">
        <f t="shared" si="29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8"/>
        <v/>
      </c>
      <c r="M131" s="19" t="str">
        <f t="shared" si="27"/>
        <v/>
      </c>
      <c r="N131" s="19" t="str">
        <f t="shared" si="27"/>
        <v/>
      </c>
      <c r="O131" s="19" t="str">
        <f t="shared" si="23"/>
        <v/>
      </c>
      <c r="P131" s="19" t="str">
        <f t="shared" si="24"/>
        <v/>
      </c>
      <c r="Q131" s="19" t="str">
        <f t="shared" si="25"/>
        <v/>
      </c>
      <c r="R131" s="19" t="str">
        <f t="shared" si="27"/>
        <v/>
      </c>
      <c r="S131" s="27" t="str">
        <f t="shared" si="29"/>
        <v/>
      </c>
      <c r="T131" s="28" t="str">
        <f t="shared" si="29"/>
        <v/>
      </c>
      <c r="U131" s="28" t="str">
        <f t="shared" si="29"/>
        <v/>
      </c>
      <c r="V131" s="28" t="str">
        <f t="shared" si="29"/>
        <v/>
      </c>
      <c r="W131" s="28" t="str">
        <f t="shared" si="29"/>
        <v/>
      </c>
      <c r="X131" s="29" t="str">
        <f t="shared" si="29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8"/>
        <v/>
      </c>
      <c r="M132" s="19" t="str">
        <f t="shared" si="27"/>
        <v/>
      </c>
      <c r="N132" s="19" t="str">
        <f t="shared" si="27"/>
        <v/>
      </c>
      <c r="O132" s="19" t="str">
        <f t="shared" si="23"/>
        <v/>
      </c>
      <c r="P132" s="19" t="str">
        <f t="shared" si="24"/>
        <v/>
      </c>
      <c r="Q132" s="19" t="str">
        <f t="shared" si="25"/>
        <v/>
      </c>
      <c r="R132" s="19" t="str">
        <f t="shared" si="27"/>
        <v/>
      </c>
      <c r="S132" s="27" t="str">
        <f t="shared" si="29"/>
        <v/>
      </c>
      <c r="T132" s="28" t="str">
        <f t="shared" si="29"/>
        <v/>
      </c>
      <c r="U132" s="28" t="str">
        <f t="shared" si="29"/>
        <v/>
      </c>
      <c r="V132" s="28" t="str">
        <f t="shared" si="29"/>
        <v/>
      </c>
      <c r="W132" s="28" t="str">
        <f t="shared" si="29"/>
        <v/>
      </c>
      <c r="X132" s="29" t="str">
        <f t="shared" si="29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8"/>
        <v/>
      </c>
      <c r="M133" s="19" t="str">
        <f t="shared" si="27"/>
        <v/>
      </c>
      <c r="N133" s="19" t="str">
        <f t="shared" si="27"/>
        <v/>
      </c>
      <c r="O133" s="19" t="str">
        <f t="shared" si="23"/>
        <v/>
      </c>
      <c r="P133" s="19" t="str">
        <f t="shared" si="24"/>
        <v/>
      </c>
      <c r="Q133" s="19" t="str">
        <f t="shared" si="25"/>
        <v/>
      </c>
      <c r="R133" s="19" t="str">
        <f t="shared" si="27"/>
        <v/>
      </c>
      <c r="S133" s="27" t="str">
        <f t="shared" si="29"/>
        <v/>
      </c>
      <c r="T133" s="28" t="str">
        <f t="shared" si="29"/>
        <v/>
      </c>
      <c r="U133" s="28" t="str">
        <f t="shared" si="29"/>
        <v/>
      </c>
      <c r="V133" s="28" t="str">
        <f t="shared" si="29"/>
        <v/>
      </c>
      <c r="W133" s="28" t="str">
        <f t="shared" si="29"/>
        <v/>
      </c>
      <c r="X133" s="29" t="str">
        <f t="shared" si="29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8"/>
        <v/>
      </c>
      <c r="M134" s="19" t="str">
        <f t="shared" si="27"/>
        <v/>
      </c>
      <c r="N134" s="19" t="str">
        <f t="shared" si="27"/>
        <v/>
      </c>
      <c r="O134" s="19" t="str">
        <f t="shared" si="23"/>
        <v/>
      </c>
      <c r="P134" s="19" t="str">
        <f t="shared" si="24"/>
        <v/>
      </c>
      <c r="Q134" s="19" t="str">
        <f t="shared" si="25"/>
        <v/>
      </c>
      <c r="R134" s="19" t="str">
        <f t="shared" si="27"/>
        <v/>
      </c>
      <c r="S134" s="27" t="str">
        <f t="shared" si="29"/>
        <v/>
      </c>
      <c r="T134" s="28" t="str">
        <f t="shared" si="29"/>
        <v/>
      </c>
      <c r="U134" s="28" t="str">
        <f t="shared" si="29"/>
        <v/>
      </c>
      <c r="V134" s="28" t="str">
        <f t="shared" si="29"/>
        <v/>
      </c>
      <c r="W134" s="28" t="str">
        <f t="shared" si="29"/>
        <v/>
      </c>
      <c r="X134" s="29" t="str">
        <f t="shared" si="29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8"/>
        <v/>
      </c>
      <c r="M135" s="19" t="str">
        <f t="shared" si="27"/>
        <v/>
      </c>
      <c r="N135" s="19" t="str">
        <f t="shared" si="27"/>
        <v/>
      </c>
      <c r="O135" s="19" t="str">
        <f t="shared" si="23"/>
        <v/>
      </c>
      <c r="P135" s="19" t="str">
        <f t="shared" si="24"/>
        <v/>
      </c>
      <c r="Q135" s="19" t="str">
        <f t="shared" si="25"/>
        <v/>
      </c>
      <c r="R135" s="19" t="str">
        <f t="shared" si="27"/>
        <v/>
      </c>
      <c r="S135" s="27" t="str">
        <f t="shared" si="29"/>
        <v/>
      </c>
      <c r="T135" s="28" t="str">
        <f t="shared" si="29"/>
        <v/>
      </c>
      <c r="U135" s="28" t="str">
        <f t="shared" si="29"/>
        <v/>
      </c>
      <c r="V135" s="28" t="str">
        <f t="shared" si="29"/>
        <v/>
      </c>
      <c r="W135" s="28" t="str">
        <f t="shared" si="29"/>
        <v/>
      </c>
      <c r="X135" s="29" t="str">
        <f t="shared" si="29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8"/>
        <v/>
      </c>
      <c r="M136" s="19" t="str">
        <f t="shared" si="27"/>
        <v/>
      </c>
      <c r="N136" s="19" t="str">
        <f t="shared" si="27"/>
        <v/>
      </c>
      <c r="O136" s="19" t="str">
        <f t="shared" si="23"/>
        <v/>
      </c>
      <c r="P136" s="19" t="str">
        <f t="shared" si="24"/>
        <v/>
      </c>
      <c r="Q136" s="19" t="str">
        <f t="shared" si="25"/>
        <v/>
      </c>
      <c r="R136" s="19" t="str">
        <f t="shared" si="27"/>
        <v/>
      </c>
      <c r="S136" s="27" t="str">
        <f t="shared" si="29"/>
        <v/>
      </c>
      <c r="T136" s="28" t="str">
        <f t="shared" si="29"/>
        <v/>
      </c>
      <c r="U136" s="28" t="str">
        <f t="shared" si="29"/>
        <v/>
      </c>
      <c r="V136" s="28" t="str">
        <f t="shared" si="29"/>
        <v/>
      </c>
      <c r="W136" s="28" t="str">
        <f t="shared" si="29"/>
        <v/>
      </c>
      <c r="X136" s="29" t="str">
        <f t="shared" si="29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8"/>
        <v/>
      </c>
      <c r="M137" s="19" t="str">
        <f t="shared" si="27"/>
        <v/>
      </c>
      <c r="N137" s="19" t="str">
        <f t="shared" si="27"/>
        <v/>
      </c>
      <c r="O137" s="19" t="str">
        <f t="shared" si="23"/>
        <v/>
      </c>
      <c r="P137" s="19" t="str">
        <f t="shared" si="24"/>
        <v/>
      </c>
      <c r="Q137" s="19" t="str">
        <f t="shared" si="25"/>
        <v/>
      </c>
      <c r="R137" s="19" t="str">
        <f t="shared" si="27"/>
        <v/>
      </c>
      <c r="S137" s="27" t="str">
        <f t="shared" si="29"/>
        <v/>
      </c>
      <c r="T137" s="28" t="str">
        <f t="shared" si="29"/>
        <v/>
      </c>
      <c r="U137" s="28" t="str">
        <f t="shared" si="29"/>
        <v/>
      </c>
      <c r="V137" s="28" t="str">
        <f t="shared" si="29"/>
        <v/>
      </c>
      <c r="W137" s="28" t="str">
        <f t="shared" si="29"/>
        <v/>
      </c>
      <c r="X137" s="29" t="str">
        <f t="shared" si="29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8"/>
        <v/>
      </c>
      <c r="M138" s="19" t="str">
        <f t="shared" si="27"/>
        <v/>
      </c>
      <c r="N138" s="19" t="str">
        <f t="shared" si="27"/>
        <v/>
      </c>
      <c r="O138" s="19" t="str">
        <f t="shared" si="23"/>
        <v/>
      </c>
      <c r="P138" s="19" t="str">
        <f t="shared" si="24"/>
        <v/>
      </c>
      <c r="Q138" s="19" t="str">
        <f t="shared" si="25"/>
        <v/>
      </c>
      <c r="R138" s="19" t="str">
        <f t="shared" si="27"/>
        <v/>
      </c>
      <c r="S138" s="27" t="str">
        <f t="shared" si="29"/>
        <v/>
      </c>
      <c r="T138" s="28" t="str">
        <f t="shared" si="29"/>
        <v/>
      </c>
      <c r="U138" s="28" t="str">
        <f t="shared" si="29"/>
        <v/>
      </c>
      <c r="V138" s="28" t="str">
        <f t="shared" si="29"/>
        <v/>
      </c>
      <c r="W138" s="28" t="str">
        <f t="shared" si="29"/>
        <v/>
      </c>
      <c r="X138" s="29" t="str">
        <f t="shared" si="29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8"/>
        <v/>
      </c>
      <c r="M139" s="19" t="str">
        <f t="shared" si="27"/>
        <v/>
      </c>
      <c r="N139" s="19" t="str">
        <f t="shared" si="27"/>
        <v/>
      </c>
      <c r="O139" s="19" t="str">
        <f t="shared" si="23"/>
        <v/>
      </c>
      <c r="P139" s="19" t="str">
        <f t="shared" si="24"/>
        <v/>
      </c>
      <c r="Q139" s="19" t="str">
        <f t="shared" si="25"/>
        <v/>
      </c>
      <c r="R139" s="19" t="str">
        <f t="shared" si="27"/>
        <v/>
      </c>
      <c r="S139" s="27" t="str">
        <f t="shared" si="29"/>
        <v/>
      </c>
      <c r="T139" s="28" t="str">
        <f t="shared" si="29"/>
        <v/>
      </c>
      <c r="U139" s="28" t="str">
        <f t="shared" si="29"/>
        <v/>
      </c>
      <c r="V139" s="28" t="str">
        <f t="shared" si="29"/>
        <v/>
      </c>
      <c r="W139" s="28" t="str">
        <f t="shared" si="29"/>
        <v/>
      </c>
      <c r="X139" s="29" t="str">
        <f t="shared" si="29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8"/>
        <v/>
      </c>
      <c r="M140" s="19" t="str">
        <f t="shared" si="27"/>
        <v/>
      </c>
      <c r="N140" s="19" t="str">
        <f t="shared" si="27"/>
        <v/>
      </c>
      <c r="O140" s="19" t="str">
        <f t="shared" si="23"/>
        <v/>
      </c>
      <c r="P140" s="19" t="str">
        <f t="shared" si="24"/>
        <v/>
      </c>
      <c r="Q140" s="19" t="str">
        <f t="shared" si="25"/>
        <v/>
      </c>
      <c r="R140" s="19" t="str">
        <f t="shared" si="27"/>
        <v/>
      </c>
      <c r="S140" s="27" t="str">
        <f t="shared" si="29"/>
        <v/>
      </c>
      <c r="T140" s="28" t="str">
        <f t="shared" si="29"/>
        <v/>
      </c>
      <c r="U140" s="28" t="str">
        <f t="shared" si="29"/>
        <v/>
      </c>
      <c r="V140" s="28" t="str">
        <f t="shared" si="29"/>
        <v/>
      </c>
      <c r="W140" s="28" t="str">
        <f t="shared" si="29"/>
        <v/>
      </c>
      <c r="X140" s="29" t="str">
        <f t="shared" si="29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8"/>
        <v/>
      </c>
      <c r="M141" s="19" t="str">
        <f t="shared" si="27"/>
        <v/>
      </c>
      <c r="N141" s="19" t="str">
        <f t="shared" si="27"/>
        <v/>
      </c>
      <c r="O141" s="19" t="str">
        <f t="shared" si="23"/>
        <v/>
      </c>
      <c r="P141" s="19" t="str">
        <f t="shared" si="24"/>
        <v/>
      </c>
      <c r="Q141" s="19" t="str">
        <f t="shared" si="25"/>
        <v/>
      </c>
      <c r="R141" s="19" t="str">
        <f t="shared" si="27"/>
        <v/>
      </c>
      <c r="S141" s="27" t="str">
        <f t="shared" si="29"/>
        <v/>
      </c>
      <c r="T141" s="28" t="str">
        <f t="shared" si="29"/>
        <v/>
      </c>
      <c r="U141" s="28" t="str">
        <f t="shared" si="29"/>
        <v/>
      </c>
      <c r="V141" s="28" t="str">
        <f t="shared" si="29"/>
        <v/>
      </c>
      <c r="W141" s="28" t="str">
        <f t="shared" si="29"/>
        <v/>
      </c>
      <c r="X141" s="29" t="str">
        <f t="shared" si="29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8"/>
        <v/>
      </c>
      <c r="M142" s="19" t="str">
        <f t="shared" si="27"/>
        <v/>
      </c>
      <c r="N142" s="19" t="str">
        <f t="shared" si="27"/>
        <v/>
      </c>
      <c r="O142" s="19" t="str">
        <f t="shared" si="23"/>
        <v/>
      </c>
      <c r="P142" s="19" t="str">
        <f t="shared" si="24"/>
        <v/>
      </c>
      <c r="Q142" s="19" t="str">
        <f t="shared" si="25"/>
        <v/>
      </c>
      <c r="R142" s="19" t="str">
        <f t="shared" si="27"/>
        <v/>
      </c>
      <c r="S142" s="27" t="str">
        <f t="shared" si="29"/>
        <v/>
      </c>
      <c r="T142" s="28" t="str">
        <f t="shared" si="29"/>
        <v/>
      </c>
      <c r="U142" s="28" t="str">
        <f t="shared" si="29"/>
        <v/>
      </c>
      <c r="V142" s="28" t="str">
        <f t="shared" si="29"/>
        <v/>
      </c>
      <c r="W142" s="28" t="str">
        <f t="shared" si="29"/>
        <v/>
      </c>
      <c r="X142" s="29" t="str">
        <f t="shared" si="29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8"/>
        <v/>
      </c>
      <c r="M143" s="19" t="str">
        <f t="shared" si="27"/>
        <v/>
      </c>
      <c r="N143" s="19" t="str">
        <f t="shared" si="27"/>
        <v/>
      </c>
      <c r="O143" s="19" t="str">
        <f t="shared" si="23"/>
        <v/>
      </c>
      <c r="P143" s="19" t="str">
        <f t="shared" si="24"/>
        <v/>
      </c>
      <c r="Q143" s="19" t="str">
        <f t="shared" si="25"/>
        <v/>
      </c>
      <c r="R143" s="19" t="str">
        <f t="shared" si="27"/>
        <v/>
      </c>
      <c r="S143" s="27" t="str">
        <f t="shared" si="29"/>
        <v/>
      </c>
      <c r="T143" s="28" t="str">
        <f t="shared" si="29"/>
        <v/>
      </c>
      <c r="U143" s="28" t="str">
        <f t="shared" si="29"/>
        <v/>
      </c>
      <c r="V143" s="28" t="str">
        <f t="shared" si="29"/>
        <v/>
      </c>
      <c r="W143" s="28" t="str">
        <f t="shared" si="29"/>
        <v/>
      </c>
      <c r="X143" s="29" t="str">
        <f t="shared" si="29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8"/>
        <v/>
      </c>
      <c r="M144" s="19" t="str">
        <f t="shared" si="27"/>
        <v/>
      </c>
      <c r="N144" s="19" t="str">
        <f t="shared" si="27"/>
        <v/>
      </c>
      <c r="O144" s="19" t="str">
        <f t="shared" si="23"/>
        <v/>
      </c>
      <c r="P144" s="19" t="str">
        <f t="shared" si="24"/>
        <v/>
      </c>
      <c r="Q144" s="19" t="str">
        <f t="shared" si="25"/>
        <v/>
      </c>
      <c r="R144" s="19" t="str">
        <f t="shared" si="27"/>
        <v/>
      </c>
      <c r="S144" s="27" t="str">
        <f t="shared" si="29"/>
        <v/>
      </c>
      <c r="T144" s="28" t="str">
        <f t="shared" si="29"/>
        <v/>
      </c>
      <c r="U144" s="28" t="str">
        <f t="shared" si="29"/>
        <v/>
      </c>
      <c r="V144" s="28" t="str">
        <f t="shared" si="29"/>
        <v/>
      </c>
      <c r="W144" s="28" t="str">
        <f t="shared" si="29"/>
        <v/>
      </c>
      <c r="X144" s="29" t="str">
        <f t="shared" si="29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8"/>
        <v/>
      </c>
      <c r="M145" s="19" t="str">
        <f t="shared" si="27"/>
        <v/>
      </c>
      <c r="N145" s="19" t="str">
        <f t="shared" si="27"/>
        <v/>
      </c>
      <c r="O145" s="19" t="str">
        <f t="shared" si="23"/>
        <v/>
      </c>
      <c r="P145" s="19" t="str">
        <f t="shared" si="24"/>
        <v/>
      </c>
      <c r="Q145" s="19" t="str">
        <f t="shared" si="25"/>
        <v/>
      </c>
      <c r="R145" s="19" t="str">
        <f t="shared" si="27"/>
        <v/>
      </c>
      <c r="S145" s="27" t="str">
        <f t="shared" ref="S145:X153" si="30">IF(C145="","",((C145-C144)*1000)/($B145-$B144))</f>
        <v/>
      </c>
      <c r="T145" s="28" t="str">
        <f t="shared" si="30"/>
        <v/>
      </c>
      <c r="U145" s="28" t="str">
        <f t="shared" si="30"/>
        <v/>
      </c>
      <c r="V145" s="28" t="str">
        <f t="shared" si="30"/>
        <v/>
      </c>
      <c r="W145" s="28" t="str">
        <f t="shared" si="30"/>
        <v/>
      </c>
      <c r="X145" s="29" t="str">
        <f t="shared" si="30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8"/>
        <v/>
      </c>
      <c r="M146" s="19" t="str">
        <f t="shared" si="27"/>
        <v/>
      </c>
      <c r="N146" s="19" t="str">
        <f t="shared" si="27"/>
        <v/>
      </c>
      <c r="O146" s="19" t="str">
        <f t="shared" si="23"/>
        <v/>
      </c>
      <c r="P146" s="19" t="str">
        <f t="shared" si="24"/>
        <v/>
      </c>
      <c r="Q146" s="19" t="str">
        <f t="shared" si="25"/>
        <v/>
      </c>
      <c r="R146" s="19" t="str">
        <f t="shared" si="27"/>
        <v/>
      </c>
      <c r="S146" s="27" t="str">
        <f t="shared" si="30"/>
        <v/>
      </c>
      <c r="T146" s="28" t="str">
        <f t="shared" si="30"/>
        <v/>
      </c>
      <c r="U146" s="28" t="str">
        <f t="shared" si="30"/>
        <v/>
      </c>
      <c r="V146" s="28" t="str">
        <f t="shared" si="30"/>
        <v/>
      </c>
      <c r="W146" s="28" t="str">
        <f t="shared" si="30"/>
        <v/>
      </c>
      <c r="X146" s="29" t="str">
        <f t="shared" si="30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8"/>
        <v/>
      </c>
      <c r="M147" s="19" t="str">
        <f t="shared" si="27"/>
        <v/>
      </c>
      <c r="N147" s="19" t="str">
        <f t="shared" si="27"/>
        <v/>
      </c>
      <c r="O147" s="19" t="str">
        <f t="shared" si="23"/>
        <v/>
      </c>
      <c r="P147" s="19" t="str">
        <f t="shared" si="24"/>
        <v/>
      </c>
      <c r="Q147" s="19" t="str">
        <f t="shared" si="25"/>
        <v/>
      </c>
      <c r="R147" s="19" t="str">
        <f t="shared" si="27"/>
        <v/>
      </c>
      <c r="S147" s="27" t="str">
        <f t="shared" si="30"/>
        <v/>
      </c>
      <c r="T147" s="28" t="str">
        <f t="shared" si="30"/>
        <v/>
      </c>
      <c r="U147" s="28" t="str">
        <f t="shared" si="30"/>
        <v/>
      </c>
      <c r="V147" s="28" t="str">
        <f t="shared" si="30"/>
        <v/>
      </c>
      <c r="W147" s="28" t="str">
        <f t="shared" si="30"/>
        <v/>
      </c>
      <c r="X147" s="29" t="str">
        <f t="shared" si="30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8"/>
        <v/>
      </c>
      <c r="M148" s="19" t="str">
        <f t="shared" si="27"/>
        <v/>
      </c>
      <c r="N148" s="19" t="str">
        <f t="shared" si="27"/>
        <v/>
      </c>
      <c r="O148" s="19" t="str">
        <f t="shared" si="23"/>
        <v/>
      </c>
      <c r="P148" s="19" t="str">
        <f t="shared" si="24"/>
        <v/>
      </c>
      <c r="Q148" s="19" t="str">
        <f t="shared" si="25"/>
        <v/>
      </c>
      <c r="R148" s="19" t="str">
        <f t="shared" si="27"/>
        <v/>
      </c>
      <c r="S148" s="27" t="str">
        <f t="shared" si="30"/>
        <v/>
      </c>
      <c r="T148" s="28" t="str">
        <f t="shared" si="30"/>
        <v/>
      </c>
      <c r="U148" s="28" t="str">
        <f t="shared" si="30"/>
        <v/>
      </c>
      <c r="V148" s="28" t="str">
        <f t="shared" si="30"/>
        <v/>
      </c>
      <c r="W148" s="28" t="str">
        <f t="shared" si="30"/>
        <v/>
      </c>
      <c r="X148" s="29" t="str">
        <f t="shared" si="30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8"/>
        <v/>
      </c>
      <c r="M149" s="19" t="str">
        <f t="shared" si="27"/>
        <v/>
      </c>
      <c r="N149" s="19" t="str">
        <f t="shared" si="27"/>
        <v/>
      </c>
      <c r="O149" s="19" t="str">
        <f t="shared" si="23"/>
        <v/>
      </c>
      <c r="P149" s="19" t="str">
        <f t="shared" si="24"/>
        <v/>
      </c>
      <c r="Q149" s="19" t="str">
        <f t="shared" si="25"/>
        <v/>
      </c>
      <c r="R149" s="19" t="str">
        <f t="shared" si="27"/>
        <v/>
      </c>
      <c r="S149" s="27" t="str">
        <f t="shared" si="30"/>
        <v/>
      </c>
      <c r="T149" s="28" t="str">
        <f t="shared" si="30"/>
        <v/>
      </c>
      <c r="U149" s="28" t="str">
        <f t="shared" si="30"/>
        <v/>
      </c>
      <c r="V149" s="28" t="str">
        <f t="shared" si="30"/>
        <v/>
      </c>
      <c r="W149" s="28" t="str">
        <f t="shared" si="30"/>
        <v/>
      </c>
      <c r="X149" s="29" t="str">
        <f t="shared" si="30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8"/>
        <v/>
      </c>
      <c r="M150" s="19" t="str">
        <f t="shared" si="27"/>
        <v/>
      </c>
      <c r="N150" s="19" t="str">
        <f t="shared" si="27"/>
        <v/>
      </c>
      <c r="O150" s="19" t="str">
        <f t="shared" si="23"/>
        <v/>
      </c>
      <c r="P150" s="19" t="str">
        <f t="shared" si="24"/>
        <v/>
      </c>
      <c r="Q150" s="19" t="str">
        <f t="shared" si="25"/>
        <v/>
      </c>
      <c r="R150" s="19" t="str">
        <f t="shared" si="27"/>
        <v/>
      </c>
      <c r="S150" s="27" t="str">
        <f t="shared" si="30"/>
        <v/>
      </c>
      <c r="T150" s="28" t="str">
        <f t="shared" si="30"/>
        <v/>
      </c>
      <c r="U150" s="28" t="str">
        <f t="shared" si="30"/>
        <v/>
      </c>
      <c r="V150" s="28" t="str">
        <f t="shared" si="30"/>
        <v/>
      </c>
      <c r="W150" s="28" t="str">
        <f t="shared" si="30"/>
        <v/>
      </c>
      <c r="X150" s="29" t="str">
        <f t="shared" si="30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8"/>
        <v/>
      </c>
      <c r="M151" s="19" t="str">
        <f t="shared" si="27"/>
        <v/>
      </c>
      <c r="N151" s="19" t="str">
        <f t="shared" si="27"/>
        <v/>
      </c>
      <c r="O151" s="19" t="str">
        <f t="shared" si="23"/>
        <v/>
      </c>
      <c r="P151" s="19" t="str">
        <f t="shared" si="24"/>
        <v/>
      </c>
      <c r="Q151" s="19" t="str">
        <f t="shared" si="25"/>
        <v/>
      </c>
      <c r="R151" s="19" t="str">
        <f t="shared" si="27"/>
        <v/>
      </c>
      <c r="S151" s="27" t="str">
        <f t="shared" si="30"/>
        <v/>
      </c>
      <c r="T151" s="28" t="str">
        <f t="shared" si="30"/>
        <v/>
      </c>
      <c r="U151" s="28" t="str">
        <f t="shared" si="30"/>
        <v/>
      </c>
      <c r="V151" s="28" t="str">
        <f t="shared" si="30"/>
        <v/>
      </c>
      <c r="W151" s="28" t="str">
        <f t="shared" si="30"/>
        <v/>
      </c>
      <c r="X151" s="29" t="str">
        <f t="shared" si="30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8"/>
        <v/>
      </c>
      <c r="M152" s="19" t="str">
        <f t="shared" si="27"/>
        <v/>
      </c>
      <c r="N152" s="19" t="str">
        <f t="shared" si="27"/>
        <v/>
      </c>
      <c r="O152" s="19" t="str">
        <f t="shared" si="23"/>
        <v/>
      </c>
      <c r="P152" s="19" t="str">
        <f t="shared" si="24"/>
        <v/>
      </c>
      <c r="Q152" s="19" t="str">
        <f t="shared" si="25"/>
        <v/>
      </c>
      <c r="R152" s="19" t="str">
        <f t="shared" si="27"/>
        <v/>
      </c>
      <c r="S152" s="27" t="str">
        <f t="shared" si="30"/>
        <v/>
      </c>
      <c r="T152" s="28" t="str">
        <f t="shared" si="30"/>
        <v/>
      </c>
      <c r="U152" s="28" t="str">
        <f t="shared" si="30"/>
        <v/>
      </c>
      <c r="V152" s="28" t="str">
        <f t="shared" si="30"/>
        <v/>
      </c>
      <c r="W152" s="28" t="str">
        <f t="shared" si="30"/>
        <v/>
      </c>
      <c r="X152" s="29" t="str">
        <f t="shared" si="30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8"/>
        <v/>
      </c>
      <c r="M153" s="19" t="str">
        <f t="shared" si="27"/>
        <v/>
      </c>
      <c r="N153" s="19" t="str">
        <f t="shared" si="27"/>
        <v/>
      </c>
      <c r="O153" s="19" t="str">
        <f t="shared" si="23"/>
        <v/>
      </c>
      <c r="P153" s="19" t="str">
        <f t="shared" si="24"/>
        <v/>
      </c>
      <c r="Q153" s="19" t="str">
        <f t="shared" si="25"/>
        <v/>
      </c>
      <c r="R153" s="19" t="str">
        <f t="shared" si="27"/>
        <v/>
      </c>
      <c r="S153" s="27" t="str">
        <f t="shared" si="30"/>
        <v/>
      </c>
      <c r="T153" s="28" t="str">
        <f t="shared" si="30"/>
        <v/>
      </c>
      <c r="U153" s="28" t="str">
        <f t="shared" si="30"/>
        <v/>
      </c>
      <c r="V153" s="28" t="str">
        <f t="shared" si="30"/>
        <v/>
      </c>
      <c r="W153" s="28" t="str">
        <f t="shared" si="30"/>
        <v/>
      </c>
      <c r="X153" s="29" t="str">
        <f t="shared" si="30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0:J12"/>
    <mergeCell ref="K10:S12"/>
    <mergeCell ref="T10:Y12"/>
    <mergeCell ref="B9:O9"/>
    <mergeCell ref="P9:Y9"/>
    <mergeCell ref="R5:V5"/>
    <mergeCell ref="E7:I7"/>
    <mergeCell ref="J7:Q7"/>
    <mergeCell ref="AA9:AI9"/>
    <mergeCell ref="R7:V7"/>
    <mergeCell ref="W7:Y7"/>
    <mergeCell ref="E6:I6"/>
    <mergeCell ref="J6:Q6"/>
    <mergeCell ref="R6:V6"/>
    <mergeCell ref="W6:Y6"/>
    <mergeCell ref="R8:V8"/>
    <mergeCell ref="J14:K14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B5:D8"/>
    <mergeCell ref="E5:I5"/>
    <mergeCell ref="W5:Y5"/>
    <mergeCell ref="J5:Q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6">
    <pageSetUpPr fitToPage="1"/>
  </sheetPr>
  <dimension ref="A1:AI153"/>
  <sheetViews>
    <sheetView showGridLines="0" zoomScale="75" zoomScaleNormal="75" zoomScaleSheetLayoutView="40" zoomScalePageLayoutView="40" workbookViewId="0">
      <pane ySplit="8" topLeftCell="A54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TZ-14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39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41670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 t="s">
        <v>40</v>
      </c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41671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>
        <v>49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155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413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41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6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6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27"/>
      <c r="C12" s="128"/>
      <c r="D12" s="128"/>
      <c r="E12" s="128"/>
      <c r="F12" s="128"/>
      <c r="G12" s="128"/>
      <c r="H12" s="128"/>
      <c r="I12" s="128"/>
      <c r="J12" s="129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4">
        <v>41673</v>
      </c>
      <c r="C16" s="35">
        <v>12.986000000000001</v>
      </c>
      <c r="D16" s="36">
        <v>8.1379999999999999</v>
      </c>
      <c r="E16" s="36">
        <v>8.1859999999999999</v>
      </c>
      <c r="F16" s="37"/>
      <c r="G16" s="37"/>
      <c r="H16" s="37"/>
      <c r="I16" s="38">
        <v>102.462</v>
      </c>
      <c r="J16" s="39">
        <v>430</v>
      </c>
      <c r="K16" s="53">
        <f t="shared" ref="K16:K22" si="0">IF(ISBLANK(J16),"",(J16-$J$8))</f>
        <v>17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41674</v>
      </c>
      <c r="C17" s="25">
        <v>12.981999999999999</v>
      </c>
      <c r="D17" s="26">
        <v>8.1370000000000005</v>
      </c>
      <c r="E17" s="26">
        <v>8.1829999999999998</v>
      </c>
      <c r="F17" s="16"/>
      <c r="G17" s="16"/>
      <c r="H17" s="16"/>
      <c r="I17" s="17">
        <v>102.46</v>
      </c>
      <c r="J17" s="32">
        <v>438</v>
      </c>
      <c r="K17" s="18">
        <f t="shared" si="0"/>
        <v>25</v>
      </c>
      <c r="L17" s="19">
        <f t="shared" ref="L17:R62" si="2">IF(ISBLANK(C17),"",(C17-C$16)*1000)</f>
        <v>-4.0000000000013358</v>
      </c>
      <c r="M17" s="19">
        <f t="shared" si="2"/>
        <v>-0.99999999999944578</v>
      </c>
      <c r="N17" s="19">
        <f t="shared" si="2"/>
        <v>-3.0000000000001137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-2.0000000000095497</v>
      </c>
      <c r="S17" s="27">
        <f t="shared" ref="S17:X32" si="3">IF(C17="","",((C17-C16)*1000)/($B17-$B16))</f>
        <v>-4.0000000000013358</v>
      </c>
      <c r="T17" s="28">
        <f t="shared" si="3"/>
        <v>-0.99999999999944578</v>
      </c>
      <c r="U17" s="28">
        <f t="shared" si="3"/>
        <v>-3.0000000000001137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41675</v>
      </c>
      <c r="C18" s="25">
        <v>12.983000000000001</v>
      </c>
      <c r="D18" s="26">
        <v>8.1370000000000005</v>
      </c>
      <c r="E18" s="26">
        <v>8.1829999999999998</v>
      </c>
      <c r="F18" s="16"/>
      <c r="G18" s="16"/>
      <c r="H18" s="16"/>
      <c r="I18" s="17">
        <v>102.46</v>
      </c>
      <c r="J18" s="32">
        <v>446</v>
      </c>
      <c r="K18" s="18">
        <f t="shared" si="0"/>
        <v>33</v>
      </c>
      <c r="L18" s="19">
        <f t="shared" si="2"/>
        <v>-3.0000000000001137</v>
      </c>
      <c r="M18" s="19">
        <f t="shared" si="2"/>
        <v>-0.99999999999944578</v>
      </c>
      <c r="N18" s="19">
        <f t="shared" si="2"/>
        <v>-3.0000000000001137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-2.0000000000095497</v>
      </c>
      <c r="S18" s="27">
        <f t="shared" si="3"/>
        <v>1.0000000000012221</v>
      </c>
      <c r="T18" s="28">
        <f t="shared" si="3"/>
        <v>0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41676</v>
      </c>
      <c r="C19" s="25">
        <v>12.984</v>
      </c>
      <c r="D19" s="26">
        <v>8.1379999999999999</v>
      </c>
      <c r="E19" s="26">
        <v>8.1839999999999993</v>
      </c>
      <c r="F19" s="16"/>
      <c r="G19" s="16"/>
      <c r="H19" s="16"/>
      <c r="I19" s="17">
        <v>102.46</v>
      </c>
      <c r="J19" s="32">
        <v>453</v>
      </c>
      <c r="K19" s="18">
        <f t="shared" si="0"/>
        <v>40</v>
      </c>
      <c r="L19" s="19">
        <f t="shared" si="2"/>
        <v>-2.0000000000006679</v>
      </c>
      <c r="M19" s="19">
        <f t="shared" si="2"/>
        <v>0</v>
      </c>
      <c r="N19" s="19">
        <f t="shared" si="2"/>
        <v>-2.0000000000006679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-2.0000000000095497</v>
      </c>
      <c r="S19" s="27">
        <f t="shared" si="3"/>
        <v>0.99999999999944578</v>
      </c>
      <c r="T19" s="28">
        <f t="shared" si="3"/>
        <v>0.99999999999944578</v>
      </c>
      <c r="U19" s="28">
        <f t="shared" si="3"/>
        <v>0.99999999999944578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41677</v>
      </c>
      <c r="C20" s="25">
        <v>12.984</v>
      </c>
      <c r="D20" s="26">
        <v>8.1370000000000005</v>
      </c>
      <c r="E20" s="26">
        <v>8.1839999999999993</v>
      </c>
      <c r="F20" s="16"/>
      <c r="G20" s="16"/>
      <c r="H20" s="16"/>
      <c r="I20" s="17">
        <v>102.46</v>
      </c>
      <c r="J20" s="32">
        <v>456</v>
      </c>
      <c r="K20" s="18">
        <f t="shared" si="0"/>
        <v>43</v>
      </c>
      <c r="L20" s="19">
        <f t="shared" si="2"/>
        <v>-2.0000000000006679</v>
      </c>
      <c r="M20" s="19">
        <f t="shared" si="2"/>
        <v>-0.99999999999944578</v>
      </c>
      <c r="N20" s="19">
        <f t="shared" si="2"/>
        <v>-2.0000000000006679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-2.0000000000095497</v>
      </c>
      <c r="S20" s="27">
        <f t="shared" si="3"/>
        <v>0</v>
      </c>
      <c r="T20" s="28">
        <f t="shared" si="3"/>
        <v>-0.99999999999944578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41680</v>
      </c>
      <c r="C21" s="25">
        <v>12.984999999999999</v>
      </c>
      <c r="D21" s="26">
        <v>8.1370000000000005</v>
      </c>
      <c r="E21" s="26">
        <v>8.1839999999999993</v>
      </c>
      <c r="F21" s="16"/>
      <c r="G21" s="16"/>
      <c r="H21" s="16"/>
      <c r="I21" s="17">
        <v>102.459</v>
      </c>
      <c r="J21" s="32">
        <v>460</v>
      </c>
      <c r="K21" s="18">
        <f t="shared" si="0"/>
        <v>47</v>
      </c>
      <c r="L21" s="19">
        <f t="shared" si="2"/>
        <v>-1.0000000000012221</v>
      </c>
      <c r="M21" s="19">
        <f t="shared" si="2"/>
        <v>-0.99999999999944578</v>
      </c>
      <c r="N21" s="19">
        <f t="shared" si="2"/>
        <v>-2.0000000000006679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-3.0000000000001137</v>
      </c>
      <c r="S21" s="27">
        <f t="shared" si="3"/>
        <v>0.33333333333314857</v>
      </c>
      <c r="T21" s="28">
        <f t="shared" si="3"/>
        <v>0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41681</v>
      </c>
      <c r="C22" s="25">
        <v>12.984999999999999</v>
      </c>
      <c r="D22" s="26">
        <v>8.1370000000000005</v>
      </c>
      <c r="E22" s="26">
        <v>8.1839999999999993</v>
      </c>
      <c r="F22" s="16"/>
      <c r="G22" s="16"/>
      <c r="H22" s="16"/>
      <c r="I22" s="17">
        <v>102.459</v>
      </c>
      <c r="J22" s="32">
        <v>464.5</v>
      </c>
      <c r="K22" s="18">
        <f t="shared" si="0"/>
        <v>51.5</v>
      </c>
      <c r="L22" s="19">
        <f t="shared" si="2"/>
        <v>-1.0000000000012221</v>
      </c>
      <c r="M22" s="19">
        <f t="shared" si="2"/>
        <v>-0.99999999999944578</v>
      </c>
      <c r="N22" s="19">
        <f t="shared" si="2"/>
        <v>-2.0000000000006679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-3.0000000000001137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41682</v>
      </c>
      <c r="C23" s="25">
        <v>12.984999999999999</v>
      </c>
      <c r="D23" s="26">
        <v>8.1359999999999992</v>
      </c>
      <c r="E23" s="26">
        <v>8.1839999999999993</v>
      </c>
      <c r="F23" s="16"/>
      <c r="G23" s="16"/>
      <c r="H23" s="16"/>
      <c r="I23" s="17">
        <v>102.458</v>
      </c>
      <c r="J23" s="32">
        <v>469</v>
      </c>
      <c r="K23" s="18">
        <f t="shared" ref="K23:K31" si="4">IF(ISBLANK(J23),"",(J23-$J$8))</f>
        <v>56</v>
      </c>
      <c r="L23" s="19">
        <f t="shared" si="2"/>
        <v>-1.0000000000012221</v>
      </c>
      <c r="M23" s="19">
        <f t="shared" si="2"/>
        <v>-2.0000000000006679</v>
      </c>
      <c r="N23" s="19">
        <f t="shared" si="2"/>
        <v>-2.0000000000006679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-4.0000000000048885</v>
      </c>
      <c r="S23" s="27">
        <f t="shared" si="3"/>
        <v>0</v>
      </c>
      <c r="T23" s="28">
        <f t="shared" si="3"/>
        <v>-1.0000000000012221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41683</v>
      </c>
      <c r="C24" s="25">
        <v>12.984999999999999</v>
      </c>
      <c r="D24" s="26">
        <v>8.1359999999999992</v>
      </c>
      <c r="E24" s="26">
        <v>8.1839999999999993</v>
      </c>
      <c r="F24" s="16"/>
      <c r="G24" s="16"/>
      <c r="H24" s="16"/>
      <c r="I24" s="17">
        <v>102.458</v>
      </c>
      <c r="J24" s="32">
        <v>472</v>
      </c>
      <c r="K24" s="18">
        <f t="shared" si="4"/>
        <v>59</v>
      </c>
      <c r="L24" s="19">
        <f t="shared" si="2"/>
        <v>-1.0000000000012221</v>
      </c>
      <c r="M24" s="19">
        <f t="shared" si="2"/>
        <v>-2.0000000000006679</v>
      </c>
      <c r="N24" s="19">
        <f t="shared" si="2"/>
        <v>-2.0000000000006679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-4.0000000000048885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41684</v>
      </c>
      <c r="C25" s="25">
        <v>12.984999999999999</v>
      </c>
      <c r="D25" s="26">
        <v>8.1349999999999998</v>
      </c>
      <c r="E25" s="26">
        <v>8.1839999999999993</v>
      </c>
      <c r="F25" s="16"/>
      <c r="G25" s="16"/>
      <c r="H25" s="16"/>
      <c r="I25" s="17">
        <v>102.458</v>
      </c>
      <c r="J25" s="32">
        <v>477</v>
      </c>
      <c r="K25" s="18">
        <f t="shared" si="4"/>
        <v>64</v>
      </c>
      <c r="L25" s="19">
        <f t="shared" si="2"/>
        <v>-1.0000000000012221</v>
      </c>
      <c r="M25" s="19">
        <f t="shared" si="2"/>
        <v>-3.0000000000001137</v>
      </c>
      <c r="N25" s="19">
        <f t="shared" si="2"/>
        <v>-2.0000000000006679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-4.0000000000048885</v>
      </c>
      <c r="S25" s="27">
        <f t="shared" si="3"/>
        <v>0</v>
      </c>
      <c r="T25" s="28">
        <f t="shared" si="3"/>
        <v>-0.99999999999944578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41687</v>
      </c>
      <c r="C26" s="25">
        <v>12.984</v>
      </c>
      <c r="D26" s="26">
        <v>8.1340000000000003</v>
      </c>
      <c r="E26" s="26">
        <v>8.1839999999999993</v>
      </c>
      <c r="F26" s="16"/>
      <c r="G26" s="16"/>
      <c r="H26" s="16"/>
      <c r="I26" s="17">
        <v>102.458</v>
      </c>
      <c r="J26" s="32">
        <v>485</v>
      </c>
      <c r="K26" s="18">
        <f t="shared" si="4"/>
        <v>72</v>
      </c>
      <c r="L26" s="19">
        <f t="shared" si="2"/>
        <v>-2.0000000000006679</v>
      </c>
      <c r="M26" s="19">
        <f t="shared" si="2"/>
        <v>-3.9999999999995595</v>
      </c>
      <c r="N26" s="19">
        <f t="shared" si="2"/>
        <v>-2.0000000000006679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-4.0000000000048885</v>
      </c>
      <c r="S26" s="27">
        <f t="shared" si="3"/>
        <v>-0.33333333333314857</v>
      </c>
      <c r="T26" s="28">
        <f t="shared" si="3"/>
        <v>-0.33333333333314857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41688</v>
      </c>
      <c r="C27" s="25">
        <v>12.984</v>
      </c>
      <c r="D27" s="26">
        <v>8.1340000000000003</v>
      </c>
      <c r="E27" s="26">
        <v>8.1839999999999993</v>
      </c>
      <c r="F27" s="16"/>
      <c r="G27" s="16"/>
      <c r="H27" s="16"/>
      <c r="I27" s="17">
        <v>102.458</v>
      </c>
      <c r="J27" s="32">
        <v>492</v>
      </c>
      <c r="K27" s="18">
        <f t="shared" si="4"/>
        <v>79</v>
      </c>
      <c r="L27" s="19">
        <f t="shared" si="2"/>
        <v>-2.0000000000006679</v>
      </c>
      <c r="M27" s="19">
        <f t="shared" si="2"/>
        <v>-3.9999999999995595</v>
      </c>
      <c r="N27" s="19">
        <f t="shared" si="2"/>
        <v>-2.0000000000006679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-4.0000000000048885</v>
      </c>
      <c r="S27" s="27">
        <f t="shared" si="3"/>
        <v>0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41689</v>
      </c>
      <c r="C28" s="25">
        <v>12.983000000000001</v>
      </c>
      <c r="D28" s="26">
        <v>8.1329999999999991</v>
      </c>
      <c r="E28" s="26">
        <v>8.1839999999999993</v>
      </c>
      <c r="F28" s="16"/>
      <c r="G28" s="16"/>
      <c r="H28" s="16"/>
      <c r="I28" s="17">
        <v>102.458</v>
      </c>
      <c r="J28" s="32">
        <v>502</v>
      </c>
      <c r="K28" s="18">
        <f t="shared" si="4"/>
        <v>89</v>
      </c>
      <c r="L28" s="19">
        <f t="shared" si="2"/>
        <v>-3.0000000000001137</v>
      </c>
      <c r="M28" s="19">
        <f t="shared" si="2"/>
        <v>-5.0000000000007816</v>
      </c>
      <c r="N28" s="19">
        <f t="shared" si="2"/>
        <v>-2.0000000000006679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-4.0000000000048885</v>
      </c>
      <c r="S28" s="27">
        <f t="shared" si="3"/>
        <v>-0.99999999999944578</v>
      </c>
      <c r="T28" s="28">
        <f t="shared" si="3"/>
        <v>-1.0000000000012221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41690</v>
      </c>
      <c r="C29" s="25">
        <v>12.984</v>
      </c>
      <c r="D29" s="26">
        <v>8.1329999999999991</v>
      </c>
      <c r="E29" s="26">
        <v>8.1839999999999993</v>
      </c>
      <c r="F29" s="16"/>
      <c r="G29" s="16"/>
      <c r="H29" s="16"/>
      <c r="I29" s="17">
        <v>102.458</v>
      </c>
      <c r="J29" s="32">
        <v>510</v>
      </c>
      <c r="K29" s="18">
        <f t="shared" si="4"/>
        <v>97</v>
      </c>
      <c r="L29" s="19">
        <f t="shared" si="2"/>
        <v>-2.0000000000006679</v>
      </c>
      <c r="M29" s="19">
        <f t="shared" si="2"/>
        <v>-5.0000000000007816</v>
      </c>
      <c r="N29" s="19">
        <f t="shared" si="2"/>
        <v>-2.0000000000006679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-4.0000000000048885</v>
      </c>
      <c r="S29" s="27">
        <f t="shared" si="3"/>
        <v>0.99999999999944578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41691</v>
      </c>
      <c r="C30" s="25">
        <v>12.984</v>
      </c>
      <c r="D30" s="26">
        <v>8.1329999999999991</v>
      </c>
      <c r="E30" s="26">
        <v>8.1839999999999993</v>
      </c>
      <c r="F30" s="16"/>
      <c r="G30" s="16"/>
      <c r="H30" s="16"/>
      <c r="I30" s="17">
        <v>102.45699999999999</v>
      </c>
      <c r="J30" s="32">
        <v>517</v>
      </c>
      <c r="K30" s="18">
        <f t="shared" si="4"/>
        <v>104</v>
      </c>
      <c r="L30" s="19">
        <f t="shared" si="2"/>
        <v>-2.0000000000006679</v>
      </c>
      <c r="M30" s="19">
        <f t="shared" si="2"/>
        <v>-5.0000000000007816</v>
      </c>
      <c r="N30" s="19">
        <f t="shared" si="2"/>
        <v>-2.0000000000006679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-5.0000000000096634</v>
      </c>
      <c r="S30" s="27">
        <f t="shared" si="3"/>
        <v>0</v>
      </c>
      <c r="T30" s="28">
        <f t="shared" si="3"/>
        <v>0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41694</v>
      </c>
      <c r="C31" s="25">
        <v>12.984</v>
      </c>
      <c r="D31" s="26">
        <v>8.1329999999999991</v>
      </c>
      <c r="E31" s="26">
        <v>8.1839999999999993</v>
      </c>
      <c r="F31" s="16"/>
      <c r="G31" s="16"/>
      <c r="H31" s="16"/>
      <c r="I31" s="17">
        <v>102.45699999999999</v>
      </c>
      <c r="J31" s="32">
        <v>523.5</v>
      </c>
      <c r="K31" s="18">
        <f t="shared" si="4"/>
        <v>110.5</v>
      </c>
      <c r="L31" s="19">
        <f t="shared" si="2"/>
        <v>-2.0000000000006679</v>
      </c>
      <c r="M31" s="19">
        <f t="shared" si="2"/>
        <v>-5.0000000000007816</v>
      </c>
      <c r="N31" s="19">
        <f t="shared" si="2"/>
        <v>-2.0000000000006679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-5.0000000000096634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41701</v>
      </c>
      <c r="C32" s="25">
        <v>12.983000000000001</v>
      </c>
      <c r="D32" s="26">
        <v>8.1329999999999991</v>
      </c>
      <c r="E32" s="26">
        <v>8.1839999999999993</v>
      </c>
      <c r="F32" s="16"/>
      <c r="G32" s="16"/>
      <c r="H32" s="16"/>
      <c r="I32" s="17">
        <v>102.456</v>
      </c>
      <c r="J32" s="58">
        <v>555.5</v>
      </c>
      <c r="K32" s="18">
        <f t="shared" ref="K32:K51" si="5">IF(ISBLANK(J32),"",(J32-$J$8))</f>
        <v>142.5</v>
      </c>
      <c r="L32" s="19">
        <f t="shared" si="2"/>
        <v>-3.0000000000001137</v>
      </c>
      <c r="M32" s="19">
        <f t="shared" si="2"/>
        <v>-5.0000000000007816</v>
      </c>
      <c r="N32" s="19">
        <f t="shared" si="2"/>
        <v>-2.0000000000006679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1"/>
        <v>-6.0000000000002274</v>
      </c>
      <c r="S32" s="27">
        <f t="shared" si="3"/>
        <v>-0.14285714285706369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41708</v>
      </c>
      <c r="C33" s="25">
        <v>12.984</v>
      </c>
      <c r="D33" s="26">
        <v>8.1329999999999991</v>
      </c>
      <c r="E33" s="26">
        <v>8.1839999999999993</v>
      </c>
      <c r="F33" s="16"/>
      <c r="G33" s="16"/>
      <c r="H33" s="16"/>
      <c r="I33" s="17">
        <v>102.456</v>
      </c>
      <c r="J33" s="58">
        <v>576</v>
      </c>
      <c r="K33" s="18">
        <f t="shared" si="5"/>
        <v>163</v>
      </c>
      <c r="L33" s="19">
        <f t="shared" si="2"/>
        <v>-2.0000000000006679</v>
      </c>
      <c r="M33" s="19">
        <f t="shared" si="2"/>
        <v>-5.0000000000007816</v>
      </c>
      <c r="N33" s="19">
        <f t="shared" si="2"/>
        <v>-2.0000000000006679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2"/>
        <v>-6.0000000000002274</v>
      </c>
      <c r="S33" s="27">
        <f t="shared" ref="S33:X48" si="6">IF(C33="","",((C33-C32)*1000)/($B33-$B32))</f>
        <v>0.14285714285706369</v>
      </c>
      <c r="T33" s="28">
        <f t="shared" si="6"/>
        <v>0</v>
      </c>
      <c r="U33" s="28">
        <f t="shared" si="6"/>
        <v>0</v>
      </c>
      <c r="V33" s="28" t="str">
        <f t="shared" si="6"/>
        <v/>
      </c>
      <c r="W33" s="28" t="str">
        <f t="shared" si="6"/>
        <v/>
      </c>
      <c r="X33" s="29" t="str">
        <f t="shared" si="6"/>
        <v/>
      </c>
      <c r="Y33" s="24"/>
    </row>
    <row r="34" spans="2:25" ht="15" customHeight="1" x14ac:dyDescent="0.2">
      <c r="B34" s="31">
        <v>41723</v>
      </c>
      <c r="C34" s="25">
        <v>12.984</v>
      </c>
      <c r="D34" s="26">
        <v>8.1340000000000003</v>
      </c>
      <c r="E34" s="26">
        <v>8.1829999999999998</v>
      </c>
      <c r="F34" s="16"/>
      <c r="G34" s="16"/>
      <c r="H34" s="16"/>
      <c r="I34" s="17">
        <v>102.45699999999999</v>
      </c>
      <c r="J34" s="32">
        <v>308</v>
      </c>
      <c r="K34" s="18">
        <f t="shared" si="5"/>
        <v>-105</v>
      </c>
      <c r="L34" s="19">
        <f t="shared" si="2"/>
        <v>-2.0000000000006679</v>
      </c>
      <c r="M34" s="19">
        <f t="shared" si="2"/>
        <v>-3.9999999999995595</v>
      </c>
      <c r="N34" s="19">
        <f t="shared" si="2"/>
        <v>-3.0000000000001137</v>
      </c>
      <c r="O34" s="19" t="str">
        <f t="shared" si="2"/>
        <v/>
      </c>
      <c r="P34" s="19" t="str">
        <f t="shared" si="2"/>
        <v/>
      </c>
      <c r="Q34" s="19" t="str">
        <f t="shared" si="2"/>
        <v/>
      </c>
      <c r="R34" s="19">
        <f t="shared" si="2"/>
        <v>-5.0000000000096634</v>
      </c>
      <c r="S34" s="27">
        <f t="shared" si="6"/>
        <v>0</v>
      </c>
      <c r="T34" s="28">
        <f t="shared" si="6"/>
        <v>6.6666666666748142E-2</v>
      </c>
      <c r="U34" s="28">
        <f t="shared" si="6"/>
        <v>-6.6666666666629723E-2</v>
      </c>
      <c r="V34" s="28" t="str">
        <f t="shared" si="6"/>
        <v/>
      </c>
      <c r="W34" s="28" t="str">
        <f t="shared" si="6"/>
        <v/>
      </c>
      <c r="X34" s="29" t="str">
        <f t="shared" si="6"/>
        <v/>
      </c>
      <c r="Y34" s="24" t="s">
        <v>23</v>
      </c>
    </row>
    <row r="35" spans="2:25" ht="15" customHeight="1" x14ac:dyDescent="0.2">
      <c r="B35" s="31">
        <v>41732</v>
      </c>
      <c r="C35" s="25">
        <v>12.981</v>
      </c>
      <c r="D35" s="65">
        <v>8.1340000000000003</v>
      </c>
      <c r="E35" s="65">
        <v>8.1829999999999998</v>
      </c>
      <c r="F35" s="16"/>
      <c r="G35" s="16"/>
      <c r="H35" s="16"/>
      <c r="I35" s="66">
        <v>102.45699999999999</v>
      </c>
      <c r="J35" s="32">
        <v>387</v>
      </c>
      <c r="K35" s="18">
        <f t="shared" si="5"/>
        <v>-26</v>
      </c>
      <c r="L35" s="19">
        <f t="shared" si="2"/>
        <v>-5.0000000000007816</v>
      </c>
      <c r="M35" s="19">
        <f t="shared" si="2"/>
        <v>-3.9999999999995595</v>
      </c>
      <c r="N35" s="19">
        <f t="shared" si="2"/>
        <v>-3.0000000000001137</v>
      </c>
      <c r="O35" s="19" t="str">
        <f t="shared" si="2"/>
        <v/>
      </c>
      <c r="P35" s="19" t="str">
        <f t="shared" si="2"/>
        <v/>
      </c>
      <c r="Q35" s="19" t="str">
        <f t="shared" si="2"/>
        <v/>
      </c>
      <c r="R35" s="19">
        <f t="shared" si="2"/>
        <v>-5.0000000000096634</v>
      </c>
      <c r="S35" s="27">
        <f t="shared" si="6"/>
        <v>-0.33333333333334597</v>
      </c>
      <c r="T35" s="28">
        <f t="shared" si="6"/>
        <v>0</v>
      </c>
      <c r="U35" s="28">
        <f t="shared" si="6"/>
        <v>0</v>
      </c>
      <c r="V35" s="28" t="str">
        <f t="shared" si="6"/>
        <v/>
      </c>
      <c r="W35" s="28" t="str">
        <f t="shared" si="6"/>
        <v/>
      </c>
      <c r="X35" s="29" t="str">
        <f t="shared" si="6"/>
        <v/>
      </c>
      <c r="Y35" s="24"/>
    </row>
    <row r="36" spans="2:25" ht="15" customHeight="1" x14ac:dyDescent="0.2">
      <c r="B36" s="31">
        <v>41733</v>
      </c>
      <c r="C36" s="64">
        <v>12.981</v>
      </c>
      <c r="D36" s="65">
        <v>8.1340000000000003</v>
      </c>
      <c r="E36" s="26">
        <v>8.1820000000000004</v>
      </c>
      <c r="F36" s="47"/>
      <c r="G36" s="47"/>
      <c r="H36" s="47"/>
      <c r="I36" s="57">
        <v>102.45099999999999</v>
      </c>
      <c r="J36" s="32">
        <v>395</v>
      </c>
      <c r="K36" s="18">
        <f t="shared" si="5"/>
        <v>-18</v>
      </c>
      <c r="L36" s="19">
        <f t="shared" si="2"/>
        <v>-5.0000000000007816</v>
      </c>
      <c r="M36" s="19">
        <f t="shared" si="2"/>
        <v>-3.9999999999995595</v>
      </c>
      <c r="N36" s="19">
        <f t="shared" si="2"/>
        <v>-3.9999999999995595</v>
      </c>
      <c r="O36" s="19" t="str">
        <f t="shared" si="2"/>
        <v/>
      </c>
      <c r="P36" s="19" t="str">
        <f t="shared" si="2"/>
        <v/>
      </c>
      <c r="Q36" s="19" t="str">
        <f t="shared" si="2"/>
        <v/>
      </c>
      <c r="R36" s="19">
        <f t="shared" si="2"/>
        <v>-11.000000000009891</v>
      </c>
      <c r="S36" s="27">
        <f t="shared" si="6"/>
        <v>0</v>
      </c>
      <c r="T36" s="28">
        <f t="shared" si="6"/>
        <v>0</v>
      </c>
      <c r="U36" s="28">
        <f t="shared" si="6"/>
        <v>-0.99999999999944578</v>
      </c>
      <c r="V36" s="28" t="str">
        <f t="shared" si="6"/>
        <v/>
      </c>
      <c r="W36" s="28" t="str">
        <f t="shared" si="6"/>
        <v/>
      </c>
      <c r="X36" s="29" t="str">
        <f t="shared" si="6"/>
        <v/>
      </c>
      <c r="Y36" s="24"/>
    </row>
    <row r="37" spans="2:25" ht="15" customHeight="1" x14ac:dyDescent="0.2">
      <c r="B37" s="31">
        <v>41736</v>
      </c>
      <c r="C37" s="64">
        <v>12.981</v>
      </c>
      <c r="D37" s="65">
        <v>8.1340000000000003</v>
      </c>
      <c r="E37" s="26">
        <v>8.1820000000000004</v>
      </c>
      <c r="F37" s="47"/>
      <c r="G37" s="47"/>
      <c r="H37" s="47"/>
      <c r="I37" s="57">
        <v>102.45099999999999</v>
      </c>
      <c r="J37" s="32">
        <v>408</v>
      </c>
      <c r="K37" s="18">
        <f t="shared" si="5"/>
        <v>-5</v>
      </c>
      <c r="L37" s="19">
        <f t="shared" si="2"/>
        <v>-5.0000000000007816</v>
      </c>
      <c r="M37" s="19">
        <f t="shared" si="2"/>
        <v>-3.9999999999995595</v>
      </c>
      <c r="N37" s="19">
        <f t="shared" si="2"/>
        <v>-3.9999999999995595</v>
      </c>
      <c r="O37" s="19" t="str">
        <f t="shared" si="2"/>
        <v/>
      </c>
      <c r="P37" s="19" t="str">
        <f t="shared" si="2"/>
        <v/>
      </c>
      <c r="Q37" s="19" t="str">
        <f t="shared" si="2"/>
        <v/>
      </c>
      <c r="R37" s="19">
        <f t="shared" si="2"/>
        <v>-11.000000000009891</v>
      </c>
      <c r="S37" s="27">
        <f t="shared" si="6"/>
        <v>0</v>
      </c>
      <c r="T37" s="28">
        <f t="shared" si="6"/>
        <v>0</v>
      </c>
      <c r="U37" s="28">
        <f t="shared" si="6"/>
        <v>0</v>
      </c>
      <c r="V37" s="28" t="str">
        <f t="shared" si="6"/>
        <v/>
      </c>
      <c r="W37" s="28" t="str">
        <f t="shared" si="6"/>
        <v/>
      </c>
      <c r="X37" s="29" t="str">
        <f t="shared" si="6"/>
        <v/>
      </c>
      <c r="Y37" s="24"/>
    </row>
    <row r="38" spans="2:25" ht="15" customHeight="1" x14ac:dyDescent="0.2">
      <c r="B38" s="31">
        <v>41737</v>
      </c>
      <c r="C38" s="25">
        <v>12.976000000000001</v>
      </c>
      <c r="D38" s="26">
        <v>8.1310000000000002</v>
      </c>
      <c r="E38" s="26">
        <v>8.1820000000000004</v>
      </c>
      <c r="F38" s="47">
        <v>14.016999999999999</v>
      </c>
      <c r="G38" s="47">
        <v>10.845000000000001</v>
      </c>
      <c r="H38" s="47">
        <v>11.385</v>
      </c>
      <c r="I38" s="57">
        <v>102.45099999999999</v>
      </c>
      <c r="J38" s="32">
        <v>436</v>
      </c>
      <c r="K38" s="18">
        <f t="shared" si="5"/>
        <v>23</v>
      </c>
      <c r="L38" s="19">
        <f t="shared" si="2"/>
        <v>-9.9999999999997868</v>
      </c>
      <c r="M38" s="19">
        <f t="shared" si="2"/>
        <v>-6.9999999999996732</v>
      </c>
      <c r="N38" s="19">
        <f t="shared" si="2"/>
        <v>-3.9999999999995595</v>
      </c>
      <c r="O38" s="19">
        <f>IF(ISBLANK(F38),"",((F38-F$38)*1000)+L$38)</f>
        <v>-9.9999999999997868</v>
      </c>
      <c r="P38" s="19">
        <f>IF(ISBLANK(G38),"",((G38-G$38)*1000)+M$38)</f>
        <v>-6.9999999999996732</v>
      </c>
      <c r="Q38" s="19">
        <f>IF(ISBLANK(H38),"",((H38-H$38)*1000)+N$38)</f>
        <v>-3.9999999999995595</v>
      </c>
      <c r="R38" s="19">
        <f t="shared" si="2"/>
        <v>-11.000000000009891</v>
      </c>
      <c r="S38" s="27">
        <f t="shared" si="6"/>
        <v>-4.9999999999990052</v>
      </c>
      <c r="T38" s="28">
        <f t="shared" si="6"/>
        <v>-3.0000000000001137</v>
      </c>
      <c r="U38" s="28">
        <f t="shared" si="6"/>
        <v>0</v>
      </c>
      <c r="V38" s="28"/>
      <c r="W38" s="28"/>
      <c r="X38" s="29"/>
      <c r="Y38" s="24"/>
    </row>
    <row r="39" spans="2:25" ht="15" customHeight="1" x14ac:dyDescent="0.2">
      <c r="B39" s="31">
        <v>41738</v>
      </c>
      <c r="C39" s="25">
        <v>12.975</v>
      </c>
      <c r="D39" s="26">
        <v>8.1300000000000008</v>
      </c>
      <c r="E39" s="26">
        <v>8.1820000000000004</v>
      </c>
      <c r="F39" s="47">
        <v>14.016</v>
      </c>
      <c r="G39" s="47">
        <v>10.843</v>
      </c>
      <c r="H39" s="47">
        <v>11.385</v>
      </c>
      <c r="I39" s="57">
        <v>102.45099999999999</v>
      </c>
      <c r="J39" s="32">
        <v>450</v>
      </c>
      <c r="K39" s="18">
        <f t="shared" si="5"/>
        <v>37</v>
      </c>
      <c r="L39" s="19">
        <f t="shared" si="2"/>
        <v>-11.000000000001009</v>
      </c>
      <c r="M39" s="19">
        <f t="shared" si="2"/>
        <v>-7.9999999999991189</v>
      </c>
      <c r="N39" s="19">
        <f t="shared" si="2"/>
        <v>-3.9999999999995595</v>
      </c>
      <c r="O39" s="19">
        <f t="shared" ref="O39:O102" si="7">IF(ISBLANK(F39),"",((F39-F$38)*1000)+L$38)</f>
        <v>-10.999999999999233</v>
      </c>
      <c r="P39" s="19">
        <f t="shared" ref="P39:P102" si="8">IF(ISBLANK(G39),"",((G39-G$38)*1000)+M$38)</f>
        <v>-9.0000000000003411</v>
      </c>
      <c r="Q39" s="19">
        <f t="shared" ref="Q39:Q102" si="9">IF(ISBLANK(H39),"",((H39-H$38)*1000)+N$38)</f>
        <v>-3.9999999999995595</v>
      </c>
      <c r="R39" s="19">
        <f t="shared" si="2"/>
        <v>-11.000000000009891</v>
      </c>
      <c r="S39" s="27">
        <f t="shared" si="6"/>
        <v>-1.0000000000012221</v>
      </c>
      <c r="T39" s="28">
        <f t="shared" si="6"/>
        <v>-0.99999999999944578</v>
      </c>
      <c r="U39" s="28">
        <f t="shared" si="6"/>
        <v>0</v>
      </c>
      <c r="V39" s="28">
        <f t="shared" si="6"/>
        <v>-0.99999999999944578</v>
      </c>
      <c r="W39" s="28">
        <f t="shared" si="6"/>
        <v>-2.0000000000006679</v>
      </c>
      <c r="X39" s="29">
        <f t="shared" si="6"/>
        <v>0</v>
      </c>
      <c r="Y39" s="24"/>
    </row>
    <row r="40" spans="2:25" ht="15" customHeight="1" x14ac:dyDescent="0.2">
      <c r="B40" s="31">
        <v>41739</v>
      </c>
      <c r="C40" s="25"/>
      <c r="D40" s="26"/>
      <c r="E40" s="26"/>
      <c r="F40" s="47">
        <v>14.016</v>
      </c>
      <c r="G40" s="47">
        <v>10.843</v>
      </c>
      <c r="H40" s="47">
        <v>11.385</v>
      </c>
      <c r="I40" s="57">
        <v>102.45099999999999</v>
      </c>
      <c r="J40" s="32">
        <v>457</v>
      </c>
      <c r="K40" s="18">
        <f t="shared" si="5"/>
        <v>44</v>
      </c>
      <c r="L40" s="19" t="str">
        <f t="shared" si="2"/>
        <v/>
      </c>
      <c r="M40" s="19" t="str">
        <f t="shared" si="2"/>
        <v/>
      </c>
      <c r="N40" s="19" t="str">
        <f t="shared" si="2"/>
        <v/>
      </c>
      <c r="O40" s="19">
        <f t="shared" si="7"/>
        <v>-10.999999999999233</v>
      </c>
      <c r="P40" s="19">
        <f t="shared" si="8"/>
        <v>-9.0000000000003411</v>
      </c>
      <c r="Q40" s="19">
        <f t="shared" si="9"/>
        <v>-3.9999999999995595</v>
      </c>
      <c r="R40" s="19">
        <f t="shared" si="2"/>
        <v>-11.000000000009891</v>
      </c>
      <c r="S40" s="27" t="str">
        <f t="shared" si="6"/>
        <v/>
      </c>
      <c r="T40" s="28" t="str">
        <f t="shared" si="6"/>
        <v/>
      </c>
      <c r="U40" s="28" t="str">
        <f t="shared" si="6"/>
        <v/>
      </c>
      <c r="V40" s="28">
        <f t="shared" si="6"/>
        <v>0</v>
      </c>
      <c r="W40" s="28">
        <f t="shared" si="6"/>
        <v>0</v>
      </c>
      <c r="X40" s="29">
        <f t="shared" si="6"/>
        <v>0</v>
      </c>
      <c r="Y40" s="24"/>
    </row>
    <row r="41" spans="2:25" ht="15" customHeight="1" x14ac:dyDescent="0.2">
      <c r="B41" s="31">
        <v>41740</v>
      </c>
      <c r="C41" s="25"/>
      <c r="D41" s="26"/>
      <c r="E41" s="26"/>
      <c r="F41" s="47">
        <v>14.016</v>
      </c>
      <c r="G41" s="47">
        <v>10.843</v>
      </c>
      <c r="H41" s="47">
        <v>11.384</v>
      </c>
      <c r="I41" s="57">
        <v>102.45</v>
      </c>
      <c r="J41" s="32">
        <v>466</v>
      </c>
      <c r="K41" s="18">
        <f t="shared" si="5"/>
        <v>53</v>
      </c>
      <c r="L41" s="19" t="str">
        <f t="shared" si="2"/>
        <v/>
      </c>
      <c r="M41" s="19" t="str">
        <f t="shared" si="2"/>
        <v/>
      </c>
      <c r="N41" s="19" t="str">
        <f t="shared" si="2"/>
        <v/>
      </c>
      <c r="O41" s="19">
        <f t="shared" si="7"/>
        <v>-10.999999999999233</v>
      </c>
      <c r="P41" s="19">
        <f t="shared" si="8"/>
        <v>-9.0000000000003411</v>
      </c>
      <c r="Q41" s="19">
        <f t="shared" si="9"/>
        <v>-4.9999999999990052</v>
      </c>
      <c r="R41" s="19">
        <f t="shared" si="2"/>
        <v>-12.000000000000455</v>
      </c>
      <c r="S41" s="27" t="str">
        <f t="shared" si="6"/>
        <v/>
      </c>
      <c r="T41" s="28" t="str">
        <f t="shared" si="6"/>
        <v/>
      </c>
      <c r="U41" s="28" t="str">
        <f t="shared" si="6"/>
        <v/>
      </c>
      <c r="V41" s="28">
        <f t="shared" si="6"/>
        <v>0</v>
      </c>
      <c r="W41" s="28">
        <f t="shared" si="6"/>
        <v>0</v>
      </c>
      <c r="X41" s="29">
        <f t="shared" si="6"/>
        <v>-0.99999999999944578</v>
      </c>
      <c r="Y41" s="24"/>
    </row>
    <row r="42" spans="2:25" ht="15" customHeight="1" x14ac:dyDescent="0.2">
      <c r="B42" s="31">
        <v>41743</v>
      </c>
      <c r="C42" s="25"/>
      <c r="D42" s="26"/>
      <c r="E42" s="26"/>
      <c r="F42" s="47">
        <v>14.015000000000001</v>
      </c>
      <c r="G42" s="47">
        <v>10.843</v>
      </c>
      <c r="H42" s="47">
        <v>11.385</v>
      </c>
      <c r="I42" s="57">
        <v>102.45</v>
      </c>
      <c r="J42" s="32">
        <v>484</v>
      </c>
      <c r="K42" s="18">
        <f t="shared" si="5"/>
        <v>71</v>
      </c>
      <c r="L42" s="19" t="str">
        <f t="shared" si="2"/>
        <v/>
      </c>
      <c r="M42" s="19" t="str">
        <f t="shared" si="2"/>
        <v/>
      </c>
      <c r="N42" s="19" t="str">
        <f t="shared" si="2"/>
        <v/>
      </c>
      <c r="O42" s="19">
        <f t="shared" si="7"/>
        <v>-11.999999999998678</v>
      </c>
      <c r="P42" s="19">
        <f t="shared" si="8"/>
        <v>-9.0000000000003411</v>
      </c>
      <c r="Q42" s="19">
        <f t="shared" si="9"/>
        <v>-3.9999999999995595</v>
      </c>
      <c r="R42" s="19">
        <f t="shared" si="2"/>
        <v>-12.000000000000455</v>
      </c>
      <c r="S42" s="27" t="str">
        <f t="shared" si="6"/>
        <v/>
      </c>
      <c r="T42" s="28" t="str">
        <f t="shared" si="6"/>
        <v/>
      </c>
      <c r="U42" s="28" t="str">
        <f t="shared" si="6"/>
        <v/>
      </c>
      <c r="V42" s="28">
        <f t="shared" si="6"/>
        <v>-0.33333333333314857</v>
      </c>
      <c r="W42" s="28">
        <f t="shared" si="6"/>
        <v>0</v>
      </c>
      <c r="X42" s="29">
        <f t="shared" si="6"/>
        <v>0.33333333333314857</v>
      </c>
      <c r="Y42" s="24"/>
    </row>
    <row r="43" spans="2:25" ht="15" customHeight="1" x14ac:dyDescent="0.2">
      <c r="B43" s="31">
        <v>41744</v>
      </c>
      <c r="C43" s="25"/>
      <c r="D43" s="26"/>
      <c r="E43" s="26"/>
      <c r="F43" s="47">
        <v>14.016</v>
      </c>
      <c r="G43" s="47">
        <v>10.843</v>
      </c>
      <c r="H43" s="47">
        <v>11.385</v>
      </c>
      <c r="I43" s="57">
        <v>102.45</v>
      </c>
      <c r="J43" s="32">
        <v>499</v>
      </c>
      <c r="K43" s="18">
        <f t="shared" si="5"/>
        <v>86</v>
      </c>
      <c r="L43" s="19" t="str">
        <f t="shared" si="2"/>
        <v/>
      </c>
      <c r="M43" s="19" t="str">
        <f t="shared" si="2"/>
        <v/>
      </c>
      <c r="N43" s="19" t="str">
        <f t="shared" si="2"/>
        <v/>
      </c>
      <c r="O43" s="19">
        <f t="shared" si="7"/>
        <v>-10.999999999999233</v>
      </c>
      <c r="P43" s="19">
        <f t="shared" si="8"/>
        <v>-9.0000000000003411</v>
      </c>
      <c r="Q43" s="19">
        <f t="shared" si="9"/>
        <v>-3.9999999999995595</v>
      </c>
      <c r="R43" s="19">
        <f t="shared" si="2"/>
        <v>-12.000000000000455</v>
      </c>
      <c r="S43" s="27" t="str">
        <f t="shared" si="6"/>
        <v/>
      </c>
      <c r="T43" s="28" t="str">
        <f t="shared" si="6"/>
        <v/>
      </c>
      <c r="U43" s="28" t="str">
        <f t="shared" si="6"/>
        <v/>
      </c>
      <c r="V43" s="28">
        <f t="shared" si="6"/>
        <v>0.99999999999944578</v>
      </c>
      <c r="W43" s="28">
        <f t="shared" si="6"/>
        <v>0</v>
      </c>
      <c r="X43" s="29">
        <f t="shared" si="6"/>
        <v>0</v>
      </c>
      <c r="Y43" s="24"/>
    </row>
    <row r="44" spans="2:25" ht="15" customHeight="1" x14ac:dyDescent="0.2">
      <c r="B44" s="31">
        <v>41745</v>
      </c>
      <c r="C44" s="25"/>
      <c r="D44" s="26"/>
      <c r="E44" s="26"/>
      <c r="F44" s="47">
        <v>14.015000000000001</v>
      </c>
      <c r="G44" s="47">
        <v>10.843999999999999</v>
      </c>
      <c r="H44" s="47">
        <v>11.384</v>
      </c>
      <c r="I44" s="57">
        <v>102.449</v>
      </c>
      <c r="J44" s="32">
        <v>516.5</v>
      </c>
      <c r="K44" s="18">
        <f t="shared" si="5"/>
        <v>103.5</v>
      </c>
      <c r="L44" s="19" t="str">
        <f t="shared" si="2"/>
        <v/>
      </c>
      <c r="M44" s="19" t="str">
        <f t="shared" si="2"/>
        <v/>
      </c>
      <c r="N44" s="19" t="str">
        <f t="shared" si="2"/>
        <v/>
      </c>
      <c r="O44" s="19">
        <f t="shared" si="7"/>
        <v>-11.999999999998678</v>
      </c>
      <c r="P44" s="19">
        <f t="shared" si="8"/>
        <v>-8.0000000000008953</v>
      </c>
      <c r="Q44" s="19">
        <f t="shared" si="9"/>
        <v>-4.9999999999990052</v>
      </c>
      <c r="R44" s="19">
        <f t="shared" si="2"/>
        <v>-13.00000000000523</v>
      </c>
      <c r="S44" s="27" t="str">
        <f t="shared" si="6"/>
        <v/>
      </c>
      <c r="T44" s="28" t="str">
        <f t="shared" si="6"/>
        <v/>
      </c>
      <c r="U44" s="28" t="str">
        <f t="shared" si="6"/>
        <v/>
      </c>
      <c r="V44" s="28">
        <f t="shared" si="6"/>
        <v>-0.99999999999944578</v>
      </c>
      <c r="W44" s="28">
        <f t="shared" si="6"/>
        <v>0.99999999999944578</v>
      </c>
      <c r="X44" s="29">
        <f t="shared" si="6"/>
        <v>-0.99999999999944578</v>
      </c>
      <c r="Y44" s="24"/>
    </row>
    <row r="45" spans="2:25" ht="15" customHeight="1" x14ac:dyDescent="0.2">
      <c r="B45" s="31">
        <v>41751</v>
      </c>
      <c r="C45" s="25"/>
      <c r="D45" s="26"/>
      <c r="E45" s="26"/>
      <c r="F45" s="47">
        <v>14.015000000000001</v>
      </c>
      <c r="G45" s="47">
        <v>10.843</v>
      </c>
      <c r="H45" s="47">
        <v>11.385</v>
      </c>
      <c r="I45" s="57">
        <v>102.45</v>
      </c>
      <c r="J45" s="32">
        <v>534.5</v>
      </c>
      <c r="K45" s="18">
        <f t="shared" si="5"/>
        <v>121.5</v>
      </c>
      <c r="L45" s="19" t="str">
        <f t="shared" si="2"/>
        <v/>
      </c>
      <c r="M45" s="19" t="str">
        <f t="shared" si="2"/>
        <v/>
      </c>
      <c r="N45" s="19" t="str">
        <f t="shared" si="2"/>
        <v/>
      </c>
      <c r="O45" s="19">
        <f t="shared" si="7"/>
        <v>-11.999999999998678</v>
      </c>
      <c r="P45" s="19">
        <f t="shared" si="8"/>
        <v>-9.0000000000003411</v>
      </c>
      <c r="Q45" s="19">
        <f t="shared" si="9"/>
        <v>-3.9999999999995595</v>
      </c>
      <c r="R45" s="19">
        <f t="shared" si="2"/>
        <v>-12.000000000000455</v>
      </c>
      <c r="S45" s="27" t="str">
        <f t="shared" si="6"/>
        <v/>
      </c>
      <c r="T45" s="28" t="str">
        <f t="shared" si="6"/>
        <v/>
      </c>
      <c r="U45" s="28" t="str">
        <f t="shared" si="6"/>
        <v/>
      </c>
      <c r="V45" s="28">
        <f t="shared" si="6"/>
        <v>0</v>
      </c>
      <c r="W45" s="28">
        <f t="shared" si="6"/>
        <v>-0.16666666666657429</v>
      </c>
      <c r="X45" s="29">
        <f t="shared" si="6"/>
        <v>0.16666666666657429</v>
      </c>
      <c r="Y45" s="24" t="s">
        <v>35</v>
      </c>
    </row>
    <row r="46" spans="2:25" ht="15" customHeight="1" x14ac:dyDescent="0.2">
      <c r="B46" s="31">
        <v>41752</v>
      </c>
      <c r="C46" s="25"/>
      <c r="D46" s="26"/>
      <c r="E46" s="26"/>
      <c r="F46" s="47">
        <v>14.015000000000001</v>
      </c>
      <c r="G46" s="47">
        <v>10.843</v>
      </c>
      <c r="H46" s="47">
        <v>11.384</v>
      </c>
      <c r="I46" s="57">
        <v>102.449</v>
      </c>
      <c r="J46" s="32">
        <v>534.5</v>
      </c>
      <c r="K46" s="18">
        <f t="shared" si="5"/>
        <v>121.5</v>
      </c>
      <c r="L46" s="19" t="str">
        <f t="shared" si="2"/>
        <v/>
      </c>
      <c r="M46" s="19" t="str">
        <f t="shared" si="2"/>
        <v/>
      </c>
      <c r="N46" s="19" t="str">
        <f t="shared" si="2"/>
        <v/>
      </c>
      <c r="O46" s="19">
        <f t="shared" si="7"/>
        <v>-11.999999999998678</v>
      </c>
      <c r="P46" s="19">
        <f t="shared" si="8"/>
        <v>-9.0000000000003411</v>
      </c>
      <c r="Q46" s="19">
        <f t="shared" si="9"/>
        <v>-4.9999999999990052</v>
      </c>
      <c r="R46" s="19">
        <f t="shared" si="2"/>
        <v>-13.00000000000523</v>
      </c>
      <c r="S46" s="27" t="str">
        <f t="shared" si="6"/>
        <v/>
      </c>
      <c r="T46" s="28" t="str">
        <f t="shared" si="6"/>
        <v/>
      </c>
      <c r="U46" s="28" t="str">
        <f t="shared" si="6"/>
        <v/>
      </c>
      <c r="V46" s="28">
        <f t="shared" si="6"/>
        <v>0</v>
      </c>
      <c r="W46" s="28">
        <f t="shared" si="6"/>
        <v>0</v>
      </c>
      <c r="X46" s="29">
        <f t="shared" si="6"/>
        <v>-0.99999999999944578</v>
      </c>
      <c r="Y46" s="24"/>
    </row>
    <row r="47" spans="2:25" ht="15" customHeight="1" x14ac:dyDescent="0.2">
      <c r="B47" s="31">
        <v>41753</v>
      </c>
      <c r="C47" s="25"/>
      <c r="D47" s="26"/>
      <c r="E47" s="26"/>
      <c r="F47" s="47">
        <v>14.015000000000001</v>
      </c>
      <c r="G47" s="47">
        <v>10.843</v>
      </c>
      <c r="H47" s="47">
        <v>11.384</v>
      </c>
      <c r="I47" s="57">
        <v>102.45</v>
      </c>
      <c r="J47" s="32">
        <v>534.5</v>
      </c>
      <c r="K47" s="18">
        <f t="shared" si="5"/>
        <v>121.5</v>
      </c>
      <c r="L47" s="19" t="str">
        <f t="shared" si="2"/>
        <v/>
      </c>
      <c r="M47" s="19" t="str">
        <f t="shared" si="2"/>
        <v/>
      </c>
      <c r="N47" s="19" t="str">
        <f t="shared" si="2"/>
        <v/>
      </c>
      <c r="O47" s="19">
        <f t="shared" si="7"/>
        <v>-11.999999999998678</v>
      </c>
      <c r="P47" s="19">
        <f t="shared" si="8"/>
        <v>-9.0000000000003411</v>
      </c>
      <c r="Q47" s="19">
        <f t="shared" si="9"/>
        <v>-4.9999999999990052</v>
      </c>
      <c r="R47" s="19">
        <f t="shared" si="2"/>
        <v>-12.000000000000455</v>
      </c>
      <c r="S47" s="27" t="str">
        <f t="shared" si="6"/>
        <v/>
      </c>
      <c r="T47" s="28" t="str">
        <f t="shared" si="6"/>
        <v/>
      </c>
      <c r="U47" s="28" t="str">
        <f t="shared" si="6"/>
        <v/>
      </c>
      <c r="V47" s="28">
        <f t="shared" si="6"/>
        <v>0</v>
      </c>
      <c r="W47" s="28">
        <f t="shared" si="6"/>
        <v>0</v>
      </c>
      <c r="X47" s="29">
        <f t="shared" si="6"/>
        <v>0</v>
      </c>
      <c r="Y47" s="24"/>
    </row>
    <row r="48" spans="2:25" ht="15" customHeight="1" x14ac:dyDescent="0.2">
      <c r="B48" s="31">
        <v>41754</v>
      </c>
      <c r="C48" s="25"/>
      <c r="D48" s="26"/>
      <c r="E48" s="26"/>
      <c r="F48" s="47">
        <v>14.015000000000001</v>
      </c>
      <c r="G48" s="47">
        <v>10.843999999999999</v>
      </c>
      <c r="H48" s="47">
        <v>11.384</v>
      </c>
      <c r="I48" s="57">
        <v>102.449</v>
      </c>
      <c r="J48" s="32">
        <v>534.5</v>
      </c>
      <c r="K48" s="18">
        <f t="shared" si="5"/>
        <v>121.5</v>
      </c>
      <c r="L48" s="19" t="str">
        <f t="shared" si="2"/>
        <v/>
      </c>
      <c r="M48" s="19" t="str">
        <f t="shared" si="2"/>
        <v/>
      </c>
      <c r="N48" s="19" t="str">
        <f t="shared" si="2"/>
        <v/>
      </c>
      <c r="O48" s="19">
        <f t="shared" si="7"/>
        <v>-11.999999999998678</v>
      </c>
      <c r="P48" s="19">
        <f t="shared" si="8"/>
        <v>-8.0000000000008953</v>
      </c>
      <c r="Q48" s="19">
        <f t="shared" si="9"/>
        <v>-4.9999999999990052</v>
      </c>
      <c r="R48" s="19">
        <f t="shared" si="2"/>
        <v>-13.00000000000523</v>
      </c>
      <c r="S48" s="27" t="str">
        <f t="shared" si="6"/>
        <v/>
      </c>
      <c r="T48" s="28" t="str">
        <f t="shared" si="6"/>
        <v/>
      </c>
      <c r="U48" s="28" t="str">
        <f t="shared" si="6"/>
        <v/>
      </c>
      <c r="V48" s="28">
        <f t="shared" si="6"/>
        <v>0</v>
      </c>
      <c r="W48" s="28">
        <f t="shared" si="6"/>
        <v>0.99999999999944578</v>
      </c>
      <c r="X48" s="29">
        <f t="shared" si="6"/>
        <v>0</v>
      </c>
      <c r="Y48" s="24"/>
    </row>
    <row r="49" spans="2:25" ht="15" customHeight="1" x14ac:dyDescent="0.2">
      <c r="B49" s="31">
        <v>41757</v>
      </c>
      <c r="C49" s="25"/>
      <c r="D49" s="26"/>
      <c r="E49" s="26"/>
      <c r="F49" s="47">
        <v>14.013999999999999</v>
      </c>
      <c r="G49" s="47">
        <v>10.843</v>
      </c>
      <c r="H49" s="47">
        <v>11.382999999999999</v>
      </c>
      <c r="I49" s="57">
        <v>102.449</v>
      </c>
      <c r="J49" s="32">
        <v>534.5</v>
      </c>
      <c r="K49" s="18">
        <f t="shared" si="5"/>
        <v>121.5</v>
      </c>
      <c r="L49" s="19" t="str">
        <f t="shared" si="2"/>
        <v/>
      </c>
      <c r="M49" s="19" t="str">
        <f t="shared" si="2"/>
        <v/>
      </c>
      <c r="N49" s="19" t="str">
        <f t="shared" si="2"/>
        <v/>
      </c>
      <c r="O49" s="19">
        <f t="shared" si="7"/>
        <v>-12.999999999999901</v>
      </c>
      <c r="P49" s="19">
        <f t="shared" si="8"/>
        <v>-9.0000000000003411</v>
      </c>
      <c r="Q49" s="19">
        <f t="shared" si="9"/>
        <v>-6.0000000000002274</v>
      </c>
      <c r="R49" s="19">
        <f t="shared" si="2"/>
        <v>-13.00000000000523</v>
      </c>
      <c r="S49" s="27" t="str">
        <f t="shared" ref="S49:X64" si="10">IF(C49="","",((C49-C48)*1000)/($B49-$B48))</f>
        <v/>
      </c>
      <c r="T49" s="28" t="str">
        <f t="shared" si="10"/>
        <v/>
      </c>
      <c r="U49" s="28" t="str">
        <f t="shared" si="10"/>
        <v/>
      </c>
      <c r="V49" s="28">
        <f t="shared" si="10"/>
        <v>-0.33333333333374071</v>
      </c>
      <c r="W49" s="28">
        <f t="shared" si="10"/>
        <v>-0.33333333333314857</v>
      </c>
      <c r="X49" s="29">
        <f t="shared" si="10"/>
        <v>-0.33333333333374071</v>
      </c>
      <c r="Y49" s="24"/>
    </row>
    <row r="50" spans="2:25" ht="15" customHeight="1" x14ac:dyDescent="0.2">
      <c r="B50" s="31">
        <v>41758</v>
      </c>
      <c r="C50" s="33"/>
      <c r="D50" s="16"/>
      <c r="E50" s="16"/>
      <c r="F50" s="47">
        <v>14.015000000000001</v>
      </c>
      <c r="G50" s="47">
        <v>10.843</v>
      </c>
      <c r="H50" s="47">
        <v>11.384</v>
      </c>
      <c r="I50" s="57">
        <v>102.449</v>
      </c>
      <c r="J50" s="32">
        <v>534.5</v>
      </c>
      <c r="K50" s="18">
        <f t="shared" si="5"/>
        <v>121.5</v>
      </c>
      <c r="L50" s="19" t="str">
        <f t="shared" si="2"/>
        <v/>
      </c>
      <c r="M50" s="19" t="str">
        <f t="shared" si="2"/>
        <v/>
      </c>
      <c r="N50" s="19" t="str">
        <f t="shared" si="2"/>
        <v/>
      </c>
      <c r="O50" s="19">
        <f t="shared" si="7"/>
        <v>-11.999999999998678</v>
      </c>
      <c r="P50" s="19">
        <f t="shared" si="8"/>
        <v>-9.0000000000003411</v>
      </c>
      <c r="Q50" s="19">
        <f t="shared" si="9"/>
        <v>-4.9999999999990052</v>
      </c>
      <c r="R50" s="19">
        <f t="shared" si="2"/>
        <v>-13.00000000000523</v>
      </c>
      <c r="S50" s="27" t="str">
        <f t="shared" si="10"/>
        <v/>
      </c>
      <c r="T50" s="28" t="str">
        <f t="shared" si="10"/>
        <v/>
      </c>
      <c r="U50" s="28" t="str">
        <f t="shared" si="10"/>
        <v/>
      </c>
      <c r="V50" s="28">
        <f t="shared" si="10"/>
        <v>1.0000000000012221</v>
      </c>
      <c r="W50" s="28">
        <f t="shared" si="10"/>
        <v>0</v>
      </c>
      <c r="X50" s="29">
        <f t="shared" si="10"/>
        <v>1.0000000000012221</v>
      </c>
      <c r="Y50" s="24"/>
    </row>
    <row r="51" spans="2:25" ht="15" customHeight="1" x14ac:dyDescent="0.2">
      <c r="B51" s="31">
        <v>41759</v>
      </c>
      <c r="C51" s="33"/>
      <c r="D51" s="16"/>
      <c r="E51" s="16"/>
      <c r="F51" s="47">
        <v>14.013999999999999</v>
      </c>
      <c r="G51" s="47">
        <v>10.843</v>
      </c>
      <c r="H51" s="47">
        <v>11.382999999999999</v>
      </c>
      <c r="I51" s="57">
        <v>102.449</v>
      </c>
      <c r="J51" s="32">
        <v>534.5</v>
      </c>
      <c r="K51" s="18">
        <f t="shared" si="5"/>
        <v>121.5</v>
      </c>
      <c r="L51" s="19" t="str">
        <f t="shared" si="2"/>
        <v/>
      </c>
      <c r="M51" s="19" t="str">
        <f t="shared" si="2"/>
        <v/>
      </c>
      <c r="N51" s="19" t="str">
        <f t="shared" si="2"/>
        <v/>
      </c>
      <c r="O51" s="19">
        <f t="shared" si="7"/>
        <v>-12.999999999999901</v>
      </c>
      <c r="P51" s="19">
        <f t="shared" si="8"/>
        <v>-9.0000000000003411</v>
      </c>
      <c r="Q51" s="19">
        <f t="shared" si="9"/>
        <v>-6.0000000000002274</v>
      </c>
      <c r="R51" s="19">
        <f t="shared" si="2"/>
        <v>-13.00000000000523</v>
      </c>
      <c r="S51" s="27" t="str">
        <f t="shared" si="10"/>
        <v/>
      </c>
      <c r="T51" s="28" t="str">
        <f t="shared" si="10"/>
        <v/>
      </c>
      <c r="U51" s="28" t="str">
        <f t="shared" si="10"/>
        <v/>
      </c>
      <c r="V51" s="28">
        <f t="shared" si="10"/>
        <v>-1.0000000000012221</v>
      </c>
      <c r="W51" s="28">
        <f t="shared" si="10"/>
        <v>0</v>
      </c>
      <c r="X51" s="29">
        <f t="shared" si="10"/>
        <v>-1.0000000000012221</v>
      </c>
      <c r="Y51" s="24"/>
    </row>
    <row r="52" spans="2:25" ht="15" customHeight="1" x14ac:dyDescent="0.2">
      <c r="B52" s="31">
        <v>41781</v>
      </c>
      <c r="C52" s="33"/>
      <c r="D52" s="16"/>
      <c r="E52" s="16"/>
      <c r="F52" s="47">
        <v>14.013999999999999</v>
      </c>
      <c r="G52" s="47">
        <v>10.843</v>
      </c>
      <c r="H52" s="47">
        <v>11.382</v>
      </c>
      <c r="I52" s="57">
        <v>102.449</v>
      </c>
      <c r="J52" s="58">
        <v>792</v>
      </c>
      <c r="K52" s="18">
        <f t="shared" ref="K52:K57" si="11">IF(ISBLANK(J52),"",(J52-$J$8))</f>
        <v>379</v>
      </c>
      <c r="L52" s="19" t="str">
        <f t="shared" si="2"/>
        <v/>
      </c>
      <c r="M52" s="19" t="str">
        <f t="shared" si="2"/>
        <v/>
      </c>
      <c r="N52" s="19" t="str">
        <f t="shared" si="2"/>
        <v/>
      </c>
      <c r="O52" s="19">
        <f t="shared" si="7"/>
        <v>-12.999999999999901</v>
      </c>
      <c r="P52" s="19">
        <f t="shared" si="8"/>
        <v>-9.0000000000003411</v>
      </c>
      <c r="Q52" s="19">
        <f t="shared" si="9"/>
        <v>-6.9999999999996732</v>
      </c>
      <c r="R52" s="19">
        <f t="shared" si="2"/>
        <v>-13.00000000000523</v>
      </c>
      <c r="S52" s="27" t="str">
        <f t="shared" si="10"/>
        <v/>
      </c>
      <c r="T52" s="28" t="str">
        <f t="shared" si="10"/>
        <v/>
      </c>
      <c r="U52" s="28" t="str">
        <f t="shared" si="10"/>
        <v/>
      </c>
      <c r="V52" s="28">
        <f t="shared" si="10"/>
        <v>0</v>
      </c>
      <c r="W52" s="28">
        <f t="shared" si="10"/>
        <v>0</v>
      </c>
      <c r="X52" s="29">
        <f t="shared" si="10"/>
        <v>-4.5454545454520261E-2</v>
      </c>
      <c r="Y52" s="24"/>
    </row>
    <row r="53" spans="2:25" ht="15" customHeight="1" x14ac:dyDescent="0.2">
      <c r="B53" s="31">
        <v>41843</v>
      </c>
      <c r="C53" s="33"/>
      <c r="D53" s="16"/>
      <c r="E53" s="16"/>
      <c r="F53" s="47">
        <v>14.013</v>
      </c>
      <c r="G53" s="47">
        <v>10.843</v>
      </c>
      <c r="H53" s="47">
        <v>11.382</v>
      </c>
      <c r="I53" s="57">
        <v>102.449</v>
      </c>
      <c r="J53" s="58">
        <v>943</v>
      </c>
      <c r="K53" s="18">
        <f t="shared" si="11"/>
        <v>530</v>
      </c>
      <c r="L53" s="19" t="str">
        <f t="shared" si="2"/>
        <v/>
      </c>
      <c r="M53" s="19" t="str">
        <f t="shared" si="2"/>
        <v/>
      </c>
      <c r="N53" s="19" t="str">
        <f t="shared" si="2"/>
        <v/>
      </c>
      <c r="O53" s="19">
        <f t="shared" si="7"/>
        <v>-13.999999999999346</v>
      </c>
      <c r="P53" s="19">
        <f t="shared" si="8"/>
        <v>-9.0000000000003411</v>
      </c>
      <c r="Q53" s="19">
        <f t="shared" si="9"/>
        <v>-6.9999999999996732</v>
      </c>
      <c r="R53" s="19">
        <f t="shared" si="2"/>
        <v>-13.00000000000523</v>
      </c>
      <c r="S53" s="27" t="str">
        <f t="shared" si="10"/>
        <v/>
      </c>
      <c r="T53" s="28" t="str">
        <f t="shared" si="10"/>
        <v/>
      </c>
      <c r="U53" s="28" t="str">
        <f t="shared" si="10"/>
        <v/>
      </c>
      <c r="V53" s="28">
        <f t="shared" si="10"/>
        <v>-1.6129032258055578E-2</v>
      </c>
      <c r="W53" s="28">
        <f t="shared" si="10"/>
        <v>0</v>
      </c>
      <c r="X53" s="29">
        <f t="shared" si="10"/>
        <v>0</v>
      </c>
      <c r="Y53" s="24"/>
    </row>
    <row r="54" spans="2:25" ht="15" customHeight="1" x14ac:dyDescent="0.2">
      <c r="B54" s="31">
        <v>41933</v>
      </c>
      <c r="C54" s="33"/>
      <c r="D54" s="16"/>
      <c r="E54" s="16"/>
      <c r="F54" s="47">
        <v>14.013999999999999</v>
      </c>
      <c r="G54" s="47">
        <v>10.843</v>
      </c>
      <c r="H54" s="47">
        <v>11.382999999999999</v>
      </c>
      <c r="I54" s="57">
        <v>102.45</v>
      </c>
      <c r="J54" s="58">
        <v>943</v>
      </c>
      <c r="K54" s="18">
        <f t="shared" si="11"/>
        <v>530</v>
      </c>
      <c r="L54" s="19" t="str">
        <f t="shared" si="2"/>
        <v/>
      </c>
      <c r="M54" s="19" t="str">
        <f t="shared" si="2"/>
        <v/>
      </c>
      <c r="N54" s="19" t="str">
        <f t="shared" si="2"/>
        <v/>
      </c>
      <c r="O54" s="19">
        <f t="shared" si="7"/>
        <v>-12.999999999999901</v>
      </c>
      <c r="P54" s="19">
        <f t="shared" si="8"/>
        <v>-9.0000000000003411</v>
      </c>
      <c r="Q54" s="19">
        <f t="shared" si="9"/>
        <v>-6.0000000000002274</v>
      </c>
      <c r="R54" s="19">
        <f t="shared" si="2"/>
        <v>-12.000000000000455</v>
      </c>
      <c r="S54" s="27" t="str">
        <f t="shared" si="10"/>
        <v/>
      </c>
      <c r="T54" s="28" t="str">
        <f t="shared" si="10"/>
        <v/>
      </c>
      <c r="U54" s="28" t="str">
        <f t="shared" si="10"/>
        <v/>
      </c>
      <c r="V54" s="28">
        <f t="shared" si="10"/>
        <v>1.1111111111104953E-2</v>
      </c>
      <c r="W54" s="28">
        <f t="shared" si="10"/>
        <v>0</v>
      </c>
      <c r="X54" s="29">
        <f t="shared" si="10"/>
        <v>1.1111111111104953E-2</v>
      </c>
      <c r="Y54" s="24"/>
    </row>
    <row r="55" spans="2:25" ht="15" customHeight="1" x14ac:dyDescent="0.2">
      <c r="B55" s="31">
        <v>42025</v>
      </c>
      <c r="C55" s="33"/>
      <c r="D55" s="16"/>
      <c r="E55" s="16"/>
      <c r="F55" s="47">
        <v>14.013999999999999</v>
      </c>
      <c r="G55" s="47">
        <v>10.842000000000001</v>
      </c>
      <c r="H55" s="47">
        <v>11.384</v>
      </c>
      <c r="I55" s="57">
        <v>102.449</v>
      </c>
      <c r="J55" s="58">
        <v>943</v>
      </c>
      <c r="K55" s="18">
        <f t="shared" si="11"/>
        <v>530</v>
      </c>
      <c r="L55" s="19" t="str">
        <f t="shared" si="2"/>
        <v/>
      </c>
      <c r="M55" s="19" t="str">
        <f t="shared" si="2"/>
        <v/>
      </c>
      <c r="N55" s="19" t="str">
        <f t="shared" si="2"/>
        <v/>
      </c>
      <c r="O55" s="19">
        <f t="shared" si="7"/>
        <v>-12.999999999999901</v>
      </c>
      <c r="P55" s="19">
        <f t="shared" si="8"/>
        <v>-9.9999999999997868</v>
      </c>
      <c r="Q55" s="19">
        <f t="shared" si="9"/>
        <v>-4.9999999999990052</v>
      </c>
      <c r="R55" s="19">
        <f t="shared" si="2"/>
        <v>-13.00000000000523</v>
      </c>
      <c r="S55" s="27" t="str">
        <f t="shared" si="10"/>
        <v/>
      </c>
      <c r="T55" s="28" t="str">
        <f t="shared" si="10"/>
        <v/>
      </c>
      <c r="U55" s="28" t="str">
        <f t="shared" si="10"/>
        <v/>
      </c>
      <c r="V55" s="28">
        <f t="shared" si="10"/>
        <v>0</v>
      </c>
      <c r="W55" s="28">
        <f t="shared" si="10"/>
        <v>-1.0869565217385279E-2</v>
      </c>
      <c r="X55" s="29">
        <f t="shared" si="10"/>
        <v>1.0869565217404589E-2</v>
      </c>
      <c r="Y55" s="24"/>
    </row>
    <row r="56" spans="2:25" ht="15" customHeight="1" x14ac:dyDescent="0.2">
      <c r="B56" s="31">
        <v>42109</v>
      </c>
      <c r="C56" s="25"/>
      <c r="D56" s="26"/>
      <c r="E56" s="26"/>
      <c r="F56" s="47">
        <v>14.013</v>
      </c>
      <c r="G56" s="47">
        <v>10.842000000000001</v>
      </c>
      <c r="H56" s="47">
        <v>11.381</v>
      </c>
      <c r="I56" s="57">
        <v>102.44799999999999</v>
      </c>
      <c r="J56" s="58">
        <v>943</v>
      </c>
      <c r="K56" s="18">
        <f t="shared" si="11"/>
        <v>530</v>
      </c>
      <c r="L56" s="19" t="str">
        <f t="shared" si="2"/>
        <v/>
      </c>
      <c r="M56" s="19" t="str">
        <f t="shared" si="2"/>
        <v/>
      </c>
      <c r="N56" s="19" t="str">
        <f t="shared" si="2"/>
        <v/>
      </c>
      <c r="O56" s="19">
        <f t="shared" si="7"/>
        <v>-13.999999999999346</v>
      </c>
      <c r="P56" s="19">
        <f t="shared" si="8"/>
        <v>-9.9999999999997868</v>
      </c>
      <c r="Q56" s="19">
        <f t="shared" si="9"/>
        <v>-7.9999999999991189</v>
      </c>
      <c r="R56" s="19">
        <f t="shared" si="2"/>
        <v>-14.000000000010004</v>
      </c>
      <c r="S56" s="27" t="str">
        <f t="shared" si="10"/>
        <v/>
      </c>
      <c r="T56" s="28" t="str">
        <f t="shared" si="10"/>
        <v/>
      </c>
      <c r="U56" s="28" t="str">
        <f t="shared" si="10"/>
        <v/>
      </c>
      <c r="V56" s="28">
        <f t="shared" si="10"/>
        <v>-1.1904761904755307E-2</v>
      </c>
      <c r="W56" s="28">
        <f t="shared" si="10"/>
        <v>0</v>
      </c>
      <c r="X56" s="29">
        <f t="shared" si="10"/>
        <v>-3.5714285714287065E-2</v>
      </c>
      <c r="Y56" s="24"/>
    </row>
    <row r="57" spans="2:25" ht="15" customHeight="1" x14ac:dyDescent="0.2">
      <c r="B57" s="31">
        <v>42221</v>
      </c>
      <c r="C57" s="77"/>
      <c r="D57" s="16"/>
      <c r="E57" s="76"/>
      <c r="F57" s="16">
        <v>14.013</v>
      </c>
      <c r="G57" s="16">
        <v>10.843</v>
      </c>
      <c r="H57" s="16">
        <v>11.381</v>
      </c>
      <c r="I57" s="16">
        <v>102.44799999999999</v>
      </c>
      <c r="J57" s="32">
        <v>1253</v>
      </c>
      <c r="K57" s="18">
        <f t="shared" si="11"/>
        <v>840</v>
      </c>
      <c r="L57" s="19" t="str">
        <f t="shared" si="2"/>
        <v/>
      </c>
      <c r="M57" s="19" t="str">
        <f t="shared" si="2"/>
        <v/>
      </c>
      <c r="N57" s="19" t="str">
        <f t="shared" si="2"/>
        <v/>
      </c>
      <c r="O57" s="19">
        <f t="shared" si="7"/>
        <v>-13.999999999999346</v>
      </c>
      <c r="P57" s="19">
        <f t="shared" si="8"/>
        <v>-9.0000000000003411</v>
      </c>
      <c r="Q57" s="19">
        <f t="shared" si="9"/>
        <v>-7.9999999999991189</v>
      </c>
      <c r="R57" s="19">
        <f t="shared" si="2"/>
        <v>-14.000000000010004</v>
      </c>
      <c r="S57" s="27" t="str">
        <f t="shared" si="10"/>
        <v/>
      </c>
      <c r="T57" s="28" t="str">
        <f t="shared" si="10"/>
        <v/>
      </c>
      <c r="U57" s="28" t="str">
        <f t="shared" si="10"/>
        <v/>
      </c>
      <c r="V57" s="28">
        <f t="shared" si="10"/>
        <v>0</v>
      </c>
      <c r="W57" s="28">
        <f t="shared" si="10"/>
        <v>8.9285714285664806E-3</v>
      </c>
      <c r="X57" s="29">
        <f t="shared" si="10"/>
        <v>0</v>
      </c>
      <c r="Y57" s="24"/>
    </row>
    <row r="58" spans="2:25" ht="15" customHeight="1" x14ac:dyDescent="0.2">
      <c r="B58" s="31">
        <v>42318</v>
      </c>
      <c r="C58" s="77"/>
      <c r="D58" s="16"/>
      <c r="E58" s="76"/>
      <c r="F58" s="16">
        <v>14.013</v>
      </c>
      <c r="G58" s="16">
        <v>10.843</v>
      </c>
      <c r="H58" s="16">
        <v>11.382999999999999</v>
      </c>
      <c r="I58" s="16">
        <v>102.44799999999999</v>
      </c>
      <c r="J58" s="32">
        <v>2220</v>
      </c>
      <c r="K58" s="18">
        <f t="shared" ref="K58:K60" si="12">IF(ISBLANK(J58),"",(J58-$J$8))</f>
        <v>1807</v>
      </c>
      <c r="L58" s="19" t="str">
        <f t="shared" si="2"/>
        <v/>
      </c>
      <c r="M58" s="19" t="str">
        <f t="shared" si="2"/>
        <v/>
      </c>
      <c r="N58" s="19" t="str">
        <f t="shared" si="2"/>
        <v/>
      </c>
      <c r="O58" s="19">
        <f t="shared" si="7"/>
        <v>-13.999999999999346</v>
      </c>
      <c r="P58" s="19">
        <f t="shared" si="8"/>
        <v>-9.0000000000003411</v>
      </c>
      <c r="Q58" s="19">
        <f t="shared" si="9"/>
        <v>-6.0000000000002274</v>
      </c>
      <c r="R58" s="19">
        <f t="shared" si="2"/>
        <v>-14.000000000010004</v>
      </c>
      <c r="S58" s="27" t="str">
        <f t="shared" si="10"/>
        <v/>
      </c>
      <c r="T58" s="28" t="str">
        <f t="shared" si="10"/>
        <v/>
      </c>
      <c r="U58" s="28" t="str">
        <f t="shared" si="10"/>
        <v/>
      </c>
      <c r="V58" s="28">
        <f t="shared" si="10"/>
        <v>0</v>
      </c>
      <c r="W58" s="28">
        <f t="shared" si="10"/>
        <v>0</v>
      </c>
      <c r="X58" s="29">
        <f t="shared" si="10"/>
        <v>2.0618556701019499E-2</v>
      </c>
      <c r="Y58" s="24"/>
    </row>
    <row r="59" spans="2:25" ht="15" customHeight="1" x14ac:dyDescent="0.2">
      <c r="B59" s="31">
        <v>42404</v>
      </c>
      <c r="C59" s="33"/>
      <c r="D59" s="16">
        <v>8.1289999999999996</v>
      </c>
      <c r="E59" s="16"/>
      <c r="F59" s="16">
        <v>14.012</v>
      </c>
      <c r="G59" s="16">
        <v>10.842000000000001</v>
      </c>
      <c r="H59" s="16">
        <v>11.381</v>
      </c>
      <c r="I59" s="16">
        <v>102.44799999999999</v>
      </c>
      <c r="J59" s="58">
        <v>2484</v>
      </c>
      <c r="K59" s="18">
        <f t="shared" si="12"/>
        <v>2071</v>
      </c>
      <c r="L59" s="19" t="str">
        <f t="shared" si="2"/>
        <v/>
      </c>
      <c r="M59" s="19">
        <f t="shared" si="2"/>
        <v>-9.0000000000003411</v>
      </c>
      <c r="N59" s="19" t="str">
        <f t="shared" si="2"/>
        <v/>
      </c>
      <c r="O59" s="19">
        <f t="shared" si="7"/>
        <v>-14.999999999998792</v>
      </c>
      <c r="P59" s="19">
        <f t="shared" si="8"/>
        <v>-9.9999999999997868</v>
      </c>
      <c r="Q59" s="19">
        <f t="shared" si="9"/>
        <v>-7.9999999999991189</v>
      </c>
      <c r="R59" s="19">
        <f t="shared" si="2"/>
        <v>-14.000000000010004</v>
      </c>
      <c r="S59" s="27" t="str">
        <f t="shared" si="10"/>
        <v/>
      </c>
      <c r="T59" s="28"/>
      <c r="U59" s="28" t="str">
        <f t="shared" si="10"/>
        <v/>
      </c>
      <c r="V59" s="28">
        <f t="shared" si="10"/>
        <v>-1.1627906976737741E-2</v>
      </c>
      <c r="W59" s="28">
        <f t="shared" si="10"/>
        <v>-1.1627906976737741E-2</v>
      </c>
      <c r="X59" s="29">
        <f t="shared" si="10"/>
        <v>-2.3255813953475483E-2</v>
      </c>
      <c r="Y59" s="24"/>
    </row>
    <row r="60" spans="2:25" ht="15" customHeight="1" x14ac:dyDescent="0.2">
      <c r="B60" s="31">
        <v>42529</v>
      </c>
      <c r="C60" s="25"/>
      <c r="D60" s="26"/>
      <c r="E60" s="26"/>
      <c r="F60" s="16">
        <v>14.012</v>
      </c>
      <c r="G60" s="16">
        <v>10.842000000000001</v>
      </c>
      <c r="H60" s="16">
        <v>11.38</v>
      </c>
      <c r="I60" s="16">
        <v>102.447</v>
      </c>
      <c r="J60" s="58">
        <v>2603</v>
      </c>
      <c r="K60" s="18">
        <f t="shared" si="12"/>
        <v>2190</v>
      </c>
      <c r="L60" s="19" t="str">
        <f t="shared" si="2"/>
        <v/>
      </c>
      <c r="M60" s="19" t="str">
        <f t="shared" si="2"/>
        <v/>
      </c>
      <c r="N60" s="19" t="str">
        <f t="shared" si="2"/>
        <v/>
      </c>
      <c r="O60" s="19">
        <f t="shared" si="7"/>
        <v>-14.999999999998792</v>
      </c>
      <c r="P60" s="19">
        <f t="shared" si="8"/>
        <v>-9.9999999999997868</v>
      </c>
      <c r="Q60" s="19">
        <f t="shared" si="9"/>
        <v>-8.9999999999985647</v>
      </c>
      <c r="R60" s="19">
        <f t="shared" si="2"/>
        <v>-15.000000000000568</v>
      </c>
      <c r="S60" s="27" t="str">
        <f t="shared" si="10"/>
        <v/>
      </c>
      <c r="T60" s="28" t="str">
        <f t="shared" si="10"/>
        <v/>
      </c>
      <c r="U60" s="28" t="str">
        <f t="shared" si="10"/>
        <v/>
      </c>
      <c r="V60" s="28">
        <f t="shared" si="10"/>
        <v>0</v>
      </c>
      <c r="W60" s="28">
        <f t="shared" si="10"/>
        <v>0</v>
      </c>
      <c r="X60" s="29">
        <f t="shared" si="10"/>
        <v>-7.9999999999955662E-3</v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2"/>
        <v/>
      </c>
      <c r="M61" s="19" t="str">
        <f t="shared" si="2"/>
        <v/>
      </c>
      <c r="N61" s="19" t="str">
        <f t="shared" si="2"/>
        <v/>
      </c>
      <c r="O61" s="19" t="str">
        <f t="shared" si="7"/>
        <v/>
      </c>
      <c r="P61" s="19" t="str">
        <f t="shared" si="8"/>
        <v/>
      </c>
      <c r="Q61" s="19" t="str">
        <f t="shared" si="9"/>
        <v/>
      </c>
      <c r="R61" s="19" t="str">
        <f t="shared" si="2"/>
        <v/>
      </c>
      <c r="S61" s="27" t="str">
        <f t="shared" si="10"/>
        <v/>
      </c>
      <c r="T61" s="28" t="str">
        <f t="shared" si="10"/>
        <v/>
      </c>
      <c r="U61" s="28" t="str">
        <f t="shared" si="10"/>
        <v/>
      </c>
      <c r="V61" s="28" t="str">
        <f t="shared" si="10"/>
        <v/>
      </c>
      <c r="W61" s="28" t="str">
        <f t="shared" si="10"/>
        <v/>
      </c>
      <c r="X61" s="29" t="str">
        <f t="shared" si="10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2"/>
        <v/>
      </c>
      <c r="M62" s="19" t="str">
        <f t="shared" si="2"/>
        <v/>
      </c>
      <c r="N62" s="19" t="str">
        <f t="shared" si="2"/>
        <v/>
      </c>
      <c r="O62" s="19" t="str">
        <f t="shared" si="7"/>
        <v/>
      </c>
      <c r="P62" s="19" t="str">
        <f t="shared" si="8"/>
        <v/>
      </c>
      <c r="Q62" s="19" t="str">
        <f t="shared" si="9"/>
        <v/>
      </c>
      <c r="R62" s="19" t="str">
        <f t="shared" ref="R62:R93" si="13">IF(ISBLANK(I62),"",(I62-I$16)*1000)</f>
        <v/>
      </c>
      <c r="S62" s="27" t="str">
        <f t="shared" si="10"/>
        <v/>
      </c>
      <c r="T62" s="28" t="str">
        <f t="shared" si="10"/>
        <v/>
      </c>
      <c r="U62" s="28" t="str">
        <f t="shared" si="10"/>
        <v/>
      </c>
      <c r="V62" s="28" t="str">
        <f t="shared" si="10"/>
        <v/>
      </c>
      <c r="W62" s="28" t="str">
        <f t="shared" si="10"/>
        <v/>
      </c>
      <c r="X62" s="29" t="str">
        <f t="shared" si="10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L94" si="14">IF(ISBLANK(C63),"",(C63-C$16)*1000)</f>
        <v/>
      </c>
      <c r="M63" s="19" t="str">
        <f t="shared" ref="M63:M94" si="15">IF(ISBLANK(D63),"",(D63-D$16)*1000)</f>
        <v/>
      </c>
      <c r="N63" s="19" t="str">
        <f t="shared" ref="N63:N94" si="16">IF(ISBLANK(E63),"",(E63-E$16)*1000)</f>
        <v/>
      </c>
      <c r="O63" s="19" t="str">
        <f t="shared" si="7"/>
        <v/>
      </c>
      <c r="P63" s="19" t="str">
        <f t="shared" si="8"/>
        <v/>
      </c>
      <c r="Q63" s="19" t="str">
        <f t="shared" si="9"/>
        <v/>
      </c>
      <c r="R63" s="19" t="str">
        <f t="shared" si="13"/>
        <v/>
      </c>
      <c r="S63" s="27" t="str">
        <f t="shared" si="10"/>
        <v/>
      </c>
      <c r="T63" s="28" t="str">
        <f t="shared" si="10"/>
        <v/>
      </c>
      <c r="U63" s="28" t="str">
        <f t="shared" si="10"/>
        <v/>
      </c>
      <c r="V63" s="28" t="str">
        <f t="shared" si="10"/>
        <v/>
      </c>
      <c r="W63" s="28" t="str">
        <f t="shared" si="10"/>
        <v/>
      </c>
      <c r="X63" s="29" t="str">
        <f t="shared" si="10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4"/>
        <v/>
      </c>
      <c r="M64" s="19" t="str">
        <f t="shared" si="15"/>
        <v/>
      </c>
      <c r="N64" s="19" t="str">
        <f t="shared" si="16"/>
        <v/>
      </c>
      <c r="O64" s="19" t="str">
        <f t="shared" si="7"/>
        <v/>
      </c>
      <c r="P64" s="19" t="str">
        <f t="shared" si="8"/>
        <v/>
      </c>
      <c r="Q64" s="19" t="str">
        <f t="shared" si="9"/>
        <v/>
      </c>
      <c r="R64" s="19" t="str">
        <f t="shared" si="13"/>
        <v/>
      </c>
      <c r="S64" s="27" t="str">
        <f t="shared" si="10"/>
        <v/>
      </c>
      <c r="T64" s="28" t="str">
        <f t="shared" si="10"/>
        <v/>
      </c>
      <c r="U64" s="28" t="str">
        <f t="shared" si="10"/>
        <v/>
      </c>
      <c r="V64" s="28" t="str">
        <f t="shared" si="10"/>
        <v/>
      </c>
      <c r="W64" s="28" t="str">
        <f t="shared" si="10"/>
        <v/>
      </c>
      <c r="X64" s="29" t="str">
        <f t="shared" si="10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4"/>
        <v/>
      </c>
      <c r="M65" s="19" t="str">
        <f t="shared" si="15"/>
        <v/>
      </c>
      <c r="N65" s="19" t="str">
        <f t="shared" si="16"/>
        <v/>
      </c>
      <c r="O65" s="19" t="str">
        <f t="shared" si="7"/>
        <v/>
      </c>
      <c r="P65" s="19" t="str">
        <f t="shared" si="8"/>
        <v/>
      </c>
      <c r="Q65" s="19" t="str">
        <f t="shared" si="9"/>
        <v/>
      </c>
      <c r="R65" s="19" t="str">
        <f t="shared" si="13"/>
        <v/>
      </c>
      <c r="S65" s="27" t="str">
        <f t="shared" ref="S65:X80" si="17">IF(C65="","",((C65-C64)*1000)/($B65-$B64))</f>
        <v/>
      </c>
      <c r="T65" s="28" t="str">
        <f t="shared" si="17"/>
        <v/>
      </c>
      <c r="U65" s="28" t="str">
        <f t="shared" si="17"/>
        <v/>
      </c>
      <c r="V65" s="28" t="str">
        <f t="shared" si="17"/>
        <v/>
      </c>
      <c r="W65" s="28" t="str">
        <f t="shared" si="17"/>
        <v/>
      </c>
      <c r="X65" s="29" t="str">
        <f t="shared" si="17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4"/>
        <v/>
      </c>
      <c r="M66" s="19" t="str">
        <f t="shared" si="15"/>
        <v/>
      </c>
      <c r="N66" s="19" t="str">
        <f t="shared" si="16"/>
        <v/>
      </c>
      <c r="O66" s="19" t="str">
        <f t="shared" si="7"/>
        <v/>
      </c>
      <c r="P66" s="19" t="str">
        <f t="shared" si="8"/>
        <v/>
      </c>
      <c r="Q66" s="19" t="str">
        <f t="shared" si="9"/>
        <v/>
      </c>
      <c r="R66" s="19" t="str">
        <f t="shared" si="13"/>
        <v/>
      </c>
      <c r="S66" s="27" t="str">
        <f t="shared" si="17"/>
        <v/>
      </c>
      <c r="T66" s="28" t="str">
        <f t="shared" si="17"/>
        <v/>
      </c>
      <c r="U66" s="28" t="str">
        <f t="shared" si="17"/>
        <v/>
      </c>
      <c r="V66" s="28" t="str">
        <f t="shared" si="17"/>
        <v/>
      </c>
      <c r="W66" s="28" t="str">
        <f t="shared" si="17"/>
        <v/>
      </c>
      <c r="X66" s="29" t="str">
        <f t="shared" si="17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4"/>
        <v/>
      </c>
      <c r="M67" s="19" t="str">
        <f t="shared" si="15"/>
        <v/>
      </c>
      <c r="N67" s="19" t="str">
        <f t="shared" si="16"/>
        <v/>
      </c>
      <c r="O67" s="19" t="str">
        <f t="shared" si="7"/>
        <v/>
      </c>
      <c r="P67" s="19" t="str">
        <f t="shared" si="8"/>
        <v/>
      </c>
      <c r="Q67" s="19" t="str">
        <f t="shared" si="9"/>
        <v/>
      </c>
      <c r="R67" s="19" t="str">
        <f t="shared" si="13"/>
        <v/>
      </c>
      <c r="S67" s="27" t="str">
        <f t="shared" si="17"/>
        <v/>
      </c>
      <c r="T67" s="28" t="str">
        <f t="shared" si="17"/>
        <v/>
      </c>
      <c r="U67" s="28" t="str">
        <f t="shared" si="17"/>
        <v/>
      </c>
      <c r="V67" s="28" t="str">
        <f t="shared" si="17"/>
        <v/>
      </c>
      <c r="W67" s="28" t="str">
        <f t="shared" si="17"/>
        <v/>
      </c>
      <c r="X67" s="29" t="str">
        <f t="shared" si="17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4"/>
        <v/>
      </c>
      <c r="M68" s="19" t="str">
        <f t="shared" si="15"/>
        <v/>
      </c>
      <c r="N68" s="19" t="str">
        <f t="shared" si="16"/>
        <v/>
      </c>
      <c r="O68" s="19" t="str">
        <f t="shared" si="7"/>
        <v/>
      </c>
      <c r="P68" s="19" t="str">
        <f t="shared" si="8"/>
        <v/>
      </c>
      <c r="Q68" s="19" t="str">
        <f t="shared" si="9"/>
        <v/>
      </c>
      <c r="R68" s="19" t="str">
        <f t="shared" si="13"/>
        <v/>
      </c>
      <c r="S68" s="27" t="str">
        <f t="shared" si="17"/>
        <v/>
      </c>
      <c r="T68" s="28" t="str">
        <f t="shared" si="17"/>
        <v/>
      </c>
      <c r="U68" s="28" t="str">
        <f t="shared" si="17"/>
        <v/>
      </c>
      <c r="V68" s="28" t="str">
        <f t="shared" si="17"/>
        <v/>
      </c>
      <c r="W68" s="28" t="str">
        <f t="shared" si="17"/>
        <v/>
      </c>
      <c r="X68" s="29" t="str">
        <f t="shared" si="17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4"/>
        <v/>
      </c>
      <c r="M69" s="19" t="str">
        <f t="shared" si="15"/>
        <v/>
      </c>
      <c r="N69" s="19" t="str">
        <f t="shared" si="16"/>
        <v/>
      </c>
      <c r="O69" s="19" t="str">
        <f t="shared" si="7"/>
        <v/>
      </c>
      <c r="P69" s="19" t="str">
        <f t="shared" si="8"/>
        <v/>
      </c>
      <c r="Q69" s="19" t="str">
        <f t="shared" si="9"/>
        <v/>
      </c>
      <c r="R69" s="19" t="str">
        <f t="shared" si="13"/>
        <v/>
      </c>
      <c r="S69" s="27" t="str">
        <f t="shared" si="17"/>
        <v/>
      </c>
      <c r="T69" s="28" t="str">
        <f t="shared" si="17"/>
        <v/>
      </c>
      <c r="U69" s="28" t="str">
        <f t="shared" si="17"/>
        <v/>
      </c>
      <c r="V69" s="28" t="str">
        <f t="shared" si="17"/>
        <v/>
      </c>
      <c r="W69" s="28" t="str">
        <f t="shared" si="17"/>
        <v/>
      </c>
      <c r="X69" s="29" t="str">
        <f t="shared" si="17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4"/>
        <v/>
      </c>
      <c r="M70" s="19" t="str">
        <f t="shared" si="15"/>
        <v/>
      </c>
      <c r="N70" s="19" t="str">
        <f t="shared" si="16"/>
        <v/>
      </c>
      <c r="O70" s="19" t="str">
        <f t="shared" si="7"/>
        <v/>
      </c>
      <c r="P70" s="19" t="str">
        <f t="shared" si="8"/>
        <v/>
      </c>
      <c r="Q70" s="19" t="str">
        <f t="shared" si="9"/>
        <v/>
      </c>
      <c r="R70" s="19" t="str">
        <f t="shared" si="13"/>
        <v/>
      </c>
      <c r="S70" s="27" t="str">
        <f t="shared" si="17"/>
        <v/>
      </c>
      <c r="T70" s="28" t="str">
        <f t="shared" si="17"/>
        <v/>
      </c>
      <c r="U70" s="28" t="str">
        <f t="shared" si="17"/>
        <v/>
      </c>
      <c r="V70" s="28" t="str">
        <f t="shared" si="17"/>
        <v/>
      </c>
      <c r="W70" s="28" t="str">
        <f t="shared" si="17"/>
        <v/>
      </c>
      <c r="X70" s="29" t="str">
        <f t="shared" si="17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4"/>
        <v/>
      </c>
      <c r="M71" s="19" t="str">
        <f t="shared" si="15"/>
        <v/>
      </c>
      <c r="N71" s="19" t="str">
        <f t="shared" si="16"/>
        <v/>
      </c>
      <c r="O71" s="19" t="str">
        <f t="shared" si="7"/>
        <v/>
      </c>
      <c r="P71" s="19" t="str">
        <f t="shared" si="8"/>
        <v/>
      </c>
      <c r="Q71" s="19" t="str">
        <f t="shared" si="9"/>
        <v/>
      </c>
      <c r="R71" s="19" t="str">
        <f t="shared" si="13"/>
        <v/>
      </c>
      <c r="S71" s="27" t="str">
        <f t="shared" si="17"/>
        <v/>
      </c>
      <c r="T71" s="28" t="str">
        <f t="shared" si="17"/>
        <v/>
      </c>
      <c r="U71" s="28" t="str">
        <f t="shared" si="17"/>
        <v/>
      </c>
      <c r="V71" s="28" t="str">
        <f t="shared" si="17"/>
        <v/>
      </c>
      <c r="W71" s="28" t="str">
        <f t="shared" si="17"/>
        <v/>
      </c>
      <c r="X71" s="29" t="str">
        <f t="shared" si="17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4"/>
        <v/>
      </c>
      <c r="M72" s="19" t="str">
        <f t="shared" si="15"/>
        <v/>
      </c>
      <c r="N72" s="19" t="str">
        <f t="shared" si="16"/>
        <v/>
      </c>
      <c r="O72" s="19" t="str">
        <f t="shared" si="7"/>
        <v/>
      </c>
      <c r="P72" s="19" t="str">
        <f t="shared" si="8"/>
        <v/>
      </c>
      <c r="Q72" s="19" t="str">
        <f t="shared" si="9"/>
        <v/>
      </c>
      <c r="R72" s="19" t="str">
        <f t="shared" si="13"/>
        <v/>
      </c>
      <c r="S72" s="27" t="str">
        <f t="shared" si="17"/>
        <v/>
      </c>
      <c r="T72" s="28" t="str">
        <f t="shared" si="17"/>
        <v/>
      </c>
      <c r="U72" s="28" t="str">
        <f t="shared" si="17"/>
        <v/>
      </c>
      <c r="V72" s="28" t="str">
        <f t="shared" si="17"/>
        <v/>
      </c>
      <c r="W72" s="28" t="str">
        <f t="shared" si="17"/>
        <v/>
      </c>
      <c r="X72" s="29" t="str">
        <f t="shared" si="17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4"/>
        <v/>
      </c>
      <c r="M73" s="19" t="str">
        <f t="shared" si="15"/>
        <v/>
      </c>
      <c r="N73" s="19" t="str">
        <f t="shared" si="16"/>
        <v/>
      </c>
      <c r="O73" s="19" t="str">
        <f t="shared" si="7"/>
        <v/>
      </c>
      <c r="P73" s="19" t="str">
        <f t="shared" si="8"/>
        <v/>
      </c>
      <c r="Q73" s="19" t="str">
        <f t="shared" si="9"/>
        <v/>
      </c>
      <c r="R73" s="19" t="str">
        <f t="shared" si="13"/>
        <v/>
      </c>
      <c r="S73" s="27" t="str">
        <f t="shared" si="17"/>
        <v/>
      </c>
      <c r="T73" s="28" t="str">
        <f t="shared" si="17"/>
        <v/>
      </c>
      <c r="U73" s="28" t="str">
        <f t="shared" si="17"/>
        <v/>
      </c>
      <c r="V73" s="28" t="str">
        <f t="shared" si="17"/>
        <v/>
      </c>
      <c r="W73" s="28" t="str">
        <f t="shared" si="17"/>
        <v/>
      </c>
      <c r="X73" s="29" t="str">
        <f t="shared" si="17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4"/>
        <v/>
      </c>
      <c r="M74" s="19" t="str">
        <f t="shared" si="15"/>
        <v/>
      </c>
      <c r="N74" s="19" t="str">
        <f t="shared" si="16"/>
        <v/>
      </c>
      <c r="O74" s="19" t="str">
        <f t="shared" si="7"/>
        <v/>
      </c>
      <c r="P74" s="19" t="str">
        <f t="shared" si="8"/>
        <v/>
      </c>
      <c r="Q74" s="19" t="str">
        <f t="shared" si="9"/>
        <v/>
      </c>
      <c r="R74" s="19" t="str">
        <f t="shared" si="13"/>
        <v/>
      </c>
      <c r="S74" s="27" t="str">
        <f t="shared" si="17"/>
        <v/>
      </c>
      <c r="T74" s="28" t="str">
        <f t="shared" si="17"/>
        <v/>
      </c>
      <c r="U74" s="28" t="str">
        <f t="shared" si="17"/>
        <v/>
      </c>
      <c r="V74" s="28" t="str">
        <f t="shared" si="17"/>
        <v/>
      </c>
      <c r="W74" s="28" t="str">
        <f t="shared" si="17"/>
        <v/>
      </c>
      <c r="X74" s="29" t="str">
        <f t="shared" si="17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4"/>
        <v/>
      </c>
      <c r="M75" s="19" t="str">
        <f t="shared" si="15"/>
        <v/>
      </c>
      <c r="N75" s="19" t="str">
        <f t="shared" si="16"/>
        <v/>
      </c>
      <c r="O75" s="19" t="str">
        <f t="shared" si="7"/>
        <v/>
      </c>
      <c r="P75" s="19" t="str">
        <f t="shared" si="8"/>
        <v/>
      </c>
      <c r="Q75" s="19" t="str">
        <f t="shared" si="9"/>
        <v/>
      </c>
      <c r="R75" s="19" t="str">
        <f t="shared" si="13"/>
        <v/>
      </c>
      <c r="S75" s="27" t="str">
        <f t="shared" si="17"/>
        <v/>
      </c>
      <c r="T75" s="28" t="str">
        <f t="shared" si="17"/>
        <v/>
      </c>
      <c r="U75" s="28" t="str">
        <f t="shared" si="17"/>
        <v/>
      </c>
      <c r="V75" s="28" t="str">
        <f t="shared" si="17"/>
        <v/>
      </c>
      <c r="W75" s="28" t="str">
        <f t="shared" si="17"/>
        <v/>
      </c>
      <c r="X75" s="29" t="str">
        <f t="shared" si="17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4"/>
        <v/>
      </c>
      <c r="M76" s="19" t="str">
        <f t="shared" si="15"/>
        <v/>
      </c>
      <c r="N76" s="19" t="str">
        <f t="shared" si="16"/>
        <v/>
      </c>
      <c r="O76" s="19" t="str">
        <f t="shared" si="7"/>
        <v/>
      </c>
      <c r="P76" s="19" t="str">
        <f t="shared" si="8"/>
        <v/>
      </c>
      <c r="Q76" s="19" t="str">
        <f t="shared" si="9"/>
        <v/>
      </c>
      <c r="R76" s="19" t="str">
        <f t="shared" si="13"/>
        <v/>
      </c>
      <c r="S76" s="27" t="str">
        <f t="shared" si="17"/>
        <v/>
      </c>
      <c r="T76" s="28" t="str">
        <f t="shared" si="17"/>
        <v/>
      </c>
      <c r="U76" s="28" t="str">
        <f t="shared" si="17"/>
        <v/>
      </c>
      <c r="V76" s="28" t="str">
        <f t="shared" si="17"/>
        <v/>
      </c>
      <c r="W76" s="28" t="str">
        <f t="shared" si="17"/>
        <v/>
      </c>
      <c r="X76" s="29" t="str">
        <f t="shared" si="17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4"/>
        <v/>
      </c>
      <c r="M77" s="19" t="str">
        <f t="shared" si="15"/>
        <v/>
      </c>
      <c r="N77" s="19" t="str">
        <f t="shared" si="16"/>
        <v/>
      </c>
      <c r="O77" s="19" t="str">
        <f t="shared" si="7"/>
        <v/>
      </c>
      <c r="P77" s="19" t="str">
        <f t="shared" si="8"/>
        <v/>
      </c>
      <c r="Q77" s="19" t="str">
        <f t="shared" si="9"/>
        <v/>
      </c>
      <c r="R77" s="19" t="str">
        <f t="shared" si="13"/>
        <v/>
      </c>
      <c r="S77" s="27" t="str">
        <f t="shared" si="17"/>
        <v/>
      </c>
      <c r="T77" s="28" t="str">
        <f t="shared" si="17"/>
        <v/>
      </c>
      <c r="U77" s="28" t="str">
        <f t="shared" si="17"/>
        <v/>
      </c>
      <c r="V77" s="28" t="str">
        <f t="shared" si="17"/>
        <v/>
      </c>
      <c r="W77" s="28" t="str">
        <f t="shared" si="17"/>
        <v/>
      </c>
      <c r="X77" s="29" t="str">
        <f t="shared" si="17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4"/>
        <v/>
      </c>
      <c r="M78" s="19" t="str">
        <f t="shared" si="15"/>
        <v/>
      </c>
      <c r="N78" s="19" t="str">
        <f t="shared" si="16"/>
        <v/>
      </c>
      <c r="O78" s="19" t="str">
        <f t="shared" si="7"/>
        <v/>
      </c>
      <c r="P78" s="19" t="str">
        <f t="shared" si="8"/>
        <v/>
      </c>
      <c r="Q78" s="19" t="str">
        <f t="shared" si="9"/>
        <v/>
      </c>
      <c r="R78" s="19" t="str">
        <f t="shared" si="13"/>
        <v/>
      </c>
      <c r="S78" s="27" t="str">
        <f t="shared" si="17"/>
        <v/>
      </c>
      <c r="T78" s="28" t="str">
        <f t="shared" si="17"/>
        <v/>
      </c>
      <c r="U78" s="28" t="str">
        <f t="shared" si="17"/>
        <v/>
      </c>
      <c r="V78" s="28" t="str">
        <f t="shared" si="17"/>
        <v/>
      </c>
      <c r="W78" s="28" t="str">
        <f t="shared" si="17"/>
        <v/>
      </c>
      <c r="X78" s="29" t="str">
        <f t="shared" si="17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4"/>
        <v/>
      </c>
      <c r="M79" s="19" t="str">
        <f t="shared" si="15"/>
        <v/>
      </c>
      <c r="N79" s="19" t="str">
        <f t="shared" si="16"/>
        <v/>
      </c>
      <c r="O79" s="19" t="str">
        <f t="shared" si="7"/>
        <v/>
      </c>
      <c r="P79" s="19" t="str">
        <f t="shared" si="8"/>
        <v/>
      </c>
      <c r="Q79" s="19" t="str">
        <f t="shared" si="9"/>
        <v/>
      </c>
      <c r="R79" s="19" t="str">
        <f t="shared" si="13"/>
        <v/>
      </c>
      <c r="S79" s="27" t="str">
        <f t="shared" si="17"/>
        <v/>
      </c>
      <c r="T79" s="28" t="str">
        <f t="shared" si="17"/>
        <v/>
      </c>
      <c r="U79" s="28" t="str">
        <f t="shared" si="17"/>
        <v/>
      </c>
      <c r="V79" s="28" t="str">
        <f t="shared" si="17"/>
        <v/>
      </c>
      <c r="W79" s="28" t="str">
        <f t="shared" si="17"/>
        <v/>
      </c>
      <c r="X79" s="29" t="str">
        <f t="shared" si="17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4"/>
        <v/>
      </c>
      <c r="M80" s="19" t="str">
        <f t="shared" si="15"/>
        <v/>
      </c>
      <c r="N80" s="19" t="str">
        <f t="shared" si="16"/>
        <v/>
      </c>
      <c r="O80" s="19" t="str">
        <f t="shared" si="7"/>
        <v/>
      </c>
      <c r="P80" s="19" t="str">
        <f t="shared" si="8"/>
        <v/>
      </c>
      <c r="Q80" s="19" t="str">
        <f t="shared" si="9"/>
        <v/>
      </c>
      <c r="R80" s="19" t="str">
        <f t="shared" si="13"/>
        <v/>
      </c>
      <c r="S80" s="27" t="str">
        <f t="shared" si="17"/>
        <v/>
      </c>
      <c r="T80" s="28" t="str">
        <f t="shared" si="17"/>
        <v/>
      </c>
      <c r="U80" s="28" t="str">
        <f t="shared" si="17"/>
        <v/>
      </c>
      <c r="V80" s="28" t="str">
        <f t="shared" si="17"/>
        <v/>
      </c>
      <c r="W80" s="28" t="str">
        <f t="shared" si="17"/>
        <v/>
      </c>
      <c r="X80" s="29" t="str">
        <f t="shared" si="17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4"/>
        <v/>
      </c>
      <c r="M81" s="19" t="str">
        <f t="shared" si="15"/>
        <v/>
      </c>
      <c r="N81" s="19" t="str">
        <f t="shared" si="16"/>
        <v/>
      </c>
      <c r="O81" s="19" t="str">
        <f t="shared" si="7"/>
        <v/>
      </c>
      <c r="P81" s="19" t="str">
        <f t="shared" si="8"/>
        <v/>
      </c>
      <c r="Q81" s="19" t="str">
        <f t="shared" si="9"/>
        <v/>
      </c>
      <c r="R81" s="19" t="str">
        <f t="shared" si="13"/>
        <v/>
      </c>
      <c r="S81" s="27" t="str">
        <f t="shared" ref="S81:X96" si="18">IF(C81="","",((C81-C80)*1000)/($B81-$B80))</f>
        <v/>
      </c>
      <c r="T81" s="28" t="str">
        <f t="shared" si="18"/>
        <v/>
      </c>
      <c r="U81" s="28" t="str">
        <f t="shared" si="18"/>
        <v/>
      </c>
      <c r="V81" s="28" t="str">
        <f t="shared" si="18"/>
        <v/>
      </c>
      <c r="W81" s="28" t="str">
        <f t="shared" si="18"/>
        <v/>
      </c>
      <c r="X81" s="29" t="str">
        <f t="shared" si="18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4"/>
        <v/>
      </c>
      <c r="M82" s="19" t="str">
        <f t="shared" si="15"/>
        <v/>
      </c>
      <c r="N82" s="19" t="str">
        <f t="shared" si="16"/>
        <v/>
      </c>
      <c r="O82" s="19" t="str">
        <f t="shared" si="7"/>
        <v/>
      </c>
      <c r="P82" s="19" t="str">
        <f t="shared" si="8"/>
        <v/>
      </c>
      <c r="Q82" s="19" t="str">
        <f t="shared" si="9"/>
        <v/>
      </c>
      <c r="R82" s="19" t="str">
        <f t="shared" si="13"/>
        <v/>
      </c>
      <c r="S82" s="27" t="str">
        <f t="shared" si="18"/>
        <v/>
      </c>
      <c r="T82" s="28" t="str">
        <f t="shared" si="18"/>
        <v/>
      </c>
      <c r="U82" s="28" t="str">
        <f t="shared" si="18"/>
        <v/>
      </c>
      <c r="V82" s="28" t="str">
        <f t="shared" si="18"/>
        <v/>
      </c>
      <c r="W82" s="28" t="str">
        <f t="shared" si="18"/>
        <v/>
      </c>
      <c r="X82" s="29" t="str">
        <f t="shared" si="18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4"/>
        <v/>
      </c>
      <c r="M83" s="19" t="str">
        <f t="shared" si="15"/>
        <v/>
      </c>
      <c r="N83" s="19" t="str">
        <f t="shared" si="16"/>
        <v/>
      </c>
      <c r="O83" s="19" t="str">
        <f t="shared" si="7"/>
        <v/>
      </c>
      <c r="P83" s="19" t="str">
        <f t="shared" si="8"/>
        <v/>
      </c>
      <c r="Q83" s="19" t="str">
        <f t="shared" si="9"/>
        <v/>
      </c>
      <c r="R83" s="19" t="str">
        <f t="shared" si="13"/>
        <v/>
      </c>
      <c r="S83" s="27" t="str">
        <f t="shared" si="18"/>
        <v/>
      </c>
      <c r="T83" s="28" t="str">
        <f t="shared" si="18"/>
        <v/>
      </c>
      <c r="U83" s="28" t="str">
        <f t="shared" si="18"/>
        <v/>
      </c>
      <c r="V83" s="28" t="str">
        <f t="shared" si="18"/>
        <v/>
      </c>
      <c r="W83" s="28" t="str">
        <f t="shared" si="18"/>
        <v/>
      </c>
      <c r="X83" s="29" t="str">
        <f t="shared" si="18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4"/>
        <v/>
      </c>
      <c r="M84" s="19" t="str">
        <f t="shared" si="15"/>
        <v/>
      </c>
      <c r="N84" s="19" t="str">
        <f t="shared" si="16"/>
        <v/>
      </c>
      <c r="O84" s="19" t="str">
        <f t="shared" si="7"/>
        <v/>
      </c>
      <c r="P84" s="19" t="str">
        <f t="shared" si="8"/>
        <v/>
      </c>
      <c r="Q84" s="19" t="str">
        <f t="shared" si="9"/>
        <v/>
      </c>
      <c r="R84" s="19" t="str">
        <f t="shared" si="13"/>
        <v/>
      </c>
      <c r="S84" s="27" t="str">
        <f t="shared" si="18"/>
        <v/>
      </c>
      <c r="T84" s="28" t="str">
        <f t="shared" si="18"/>
        <v/>
      </c>
      <c r="U84" s="28" t="str">
        <f t="shared" si="18"/>
        <v/>
      </c>
      <c r="V84" s="28" t="str">
        <f t="shared" si="18"/>
        <v/>
      </c>
      <c r="W84" s="28" t="str">
        <f t="shared" si="18"/>
        <v/>
      </c>
      <c r="X84" s="29" t="str">
        <f t="shared" si="18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4"/>
        <v/>
      </c>
      <c r="M85" s="19" t="str">
        <f t="shared" si="15"/>
        <v/>
      </c>
      <c r="N85" s="19" t="str">
        <f t="shared" si="16"/>
        <v/>
      </c>
      <c r="O85" s="19" t="str">
        <f t="shared" si="7"/>
        <v/>
      </c>
      <c r="P85" s="19" t="str">
        <f t="shared" si="8"/>
        <v/>
      </c>
      <c r="Q85" s="19" t="str">
        <f t="shared" si="9"/>
        <v/>
      </c>
      <c r="R85" s="19" t="str">
        <f t="shared" si="13"/>
        <v/>
      </c>
      <c r="S85" s="27" t="str">
        <f t="shared" si="18"/>
        <v/>
      </c>
      <c r="T85" s="28" t="str">
        <f t="shared" si="18"/>
        <v/>
      </c>
      <c r="U85" s="28" t="str">
        <f t="shared" si="18"/>
        <v/>
      </c>
      <c r="V85" s="28" t="str">
        <f t="shared" si="18"/>
        <v/>
      </c>
      <c r="W85" s="28" t="str">
        <f t="shared" si="18"/>
        <v/>
      </c>
      <c r="X85" s="29" t="str">
        <f t="shared" si="18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4"/>
        <v/>
      </c>
      <c r="M86" s="19" t="str">
        <f t="shared" si="15"/>
        <v/>
      </c>
      <c r="N86" s="19" t="str">
        <f t="shared" si="16"/>
        <v/>
      </c>
      <c r="O86" s="19" t="str">
        <f t="shared" si="7"/>
        <v/>
      </c>
      <c r="P86" s="19" t="str">
        <f t="shared" si="8"/>
        <v/>
      </c>
      <c r="Q86" s="19" t="str">
        <f t="shared" si="9"/>
        <v/>
      </c>
      <c r="R86" s="19" t="str">
        <f t="shared" si="13"/>
        <v/>
      </c>
      <c r="S86" s="27" t="str">
        <f t="shared" si="18"/>
        <v/>
      </c>
      <c r="T86" s="28" t="str">
        <f t="shared" si="18"/>
        <v/>
      </c>
      <c r="U86" s="28" t="str">
        <f t="shared" si="18"/>
        <v/>
      </c>
      <c r="V86" s="28" t="str">
        <f t="shared" si="18"/>
        <v/>
      </c>
      <c r="W86" s="28" t="str">
        <f t="shared" si="18"/>
        <v/>
      </c>
      <c r="X86" s="29" t="str">
        <f t="shared" si="18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4"/>
        <v/>
      </c>
      <c r="M87" s="19" t="str">
        <f t="shared" si="15"/>
        <v/>
      </c>
      <c r="N87" s="19" t="str">
        <f t="shared" si="16"/>
        <v/>
      </c>
      <c r="O87" s="19" t="str">
        <f t="shared" si="7"/>
        <v/>
      </c>
      <c r="P87" s="19" t="str">
        <f t="shared" si="8"/>
        <v/>
      </c>
      <c r="Q87" s="19" t="str">
        <f t="shared" si="9"/>
        <v/>
      </c>
      <c r="R87" s="19" t="str">
        <f t="shared" si="13"/>
        <v/>
      </c>
      <c r="S87" s="27" t="str">
        <f t="shared" si="18"/>
        <v/>
      </c>
      <c r="T87" s="28" t="str">
        <f t="shared" si="18"/>
        <v/>
      </c>
      <c r="U87" s="28" t="str">
        <f t="shared" si="18"/>
        <v/>
      </c>
      <c r="V87" s="28" t="str">
        <f t="shared" si="18"/>
        <v/>
      </c>
      <c r="W87" s="28" t="str">
        <f t="shared" si="18"/>
        <v/>
      </c>
      <c r="X87" s="29" t="str">
        <f t="shared" si="18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4"/>
        <v/>
      </c>
      <c r="M88" s="19" t="str">
        <f t="shared" si="15"/>
        <v/>
      </c>
      <c r="N88" s="19" t="str">
        <f t="shared" si="16"/>
        <v/>
      </c>
      <c r="O88" s="19" t="str">
        <f t="shared" si="7"/>
        <v/>
      </c>
      <c r="P88" s="19" t="str">
        <f t="shared" si="8"/>
        <v/>
      </c>
      <c r="Q88" s="19" t="str">
        <f t="shared" si="9"/>
        <v/>
      </c>
      <c r="R88" s="19" t="str">
        <f t="shared" si="13"/>
        <v/>
      </c>
      <c r="S88" s="27" t="str">
        <f t="shared" si="18"/>
        <v/>
      </c>
      <c r="T88" s="28" t="str">
        <f t="shared" si="18"/>
        <v/>
      </c>
      <c r="U88" s="28" t="str">
        <f t="shared" si="18"/>
        <v/>
      </c>
      <c r="V88" s="28" t="str">
        <f t="shared" si="18"/>
        <v/>
      </c>
      <c r="W88" s="28" t="str">
        <f t="shared" si="18"/>
        <v/>
      </c>
      <c r="X88" s="29" t="str">
        <f t="shared" si="18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4"/>
        <v/>
      </c>
      <c r="M89" s="19" t="str">
        <f t="shared" si="15"/>
        <v/>
      </c>
      <c r="N89" s="19" t="str">
        <f t="shared" si="16"/>
        <v/>
      </c>
      <c r="O89" s="19" t="str">
        <f t="shared" si="7"/>
        <v/>
      </c>
      <c r="P89" s="19" t="str">
        <f t="shared" si="8"/>
        <v/>
      </c>
      <c r="Q89" s="19" t="str">
        <f t="shared" si="9"/>
        <v/>
      </c>
      <c r="R89" s="19" t="str">
        <f t="shared" si="13"/>
        <v/>
      </c>
      <c r="S89" s="27" t="str">
        <f t="shared" si="18"/>
        <v/>
      </c>
      <c r="T89" s="28" t="str">
        <f t="shared" si="18"/>
        <v/>
      </c>
      <c r="U89" s="28" t="str">
        <f t="shared" si="18"/>
        <v/>
      </c>
      <c r="V89" s="28" t="str">
        <f t="shared" si="18"/>
        <v/>
      </c>
      <c r="W89" s="28" t="str">
        <f t="shared" si="18"/>
        <v/>
      </c>
      <c r="X89" s="29" t="str">
        <f t="shared" si="18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4"/>
        <v/>
      </c>
      <c r="M90" s="19" t="str">
        <f t="shared" si="15"/>
        <v/>
      </c>
      <c r="N90" s="19" t="str">
        <f t="shared" si="16"/>
        <v/>
      </c>
      <c r="O90" s="19" t="str">
        <f t="shared" si="7"/>
        <v/>
      </c>
      <c r="P90" s="19" t="str">
        <f t="shared" si="8"/>
        <v/>
      </c>
      <c r="Q90" s="19" t="str">
        <f t="shared" si="9"/>
        <v/>
      </c>
      <c r="R90" s="19" t="str">
        <f t="shared" si="13"/>
        <v/>
      </c>
      <c r="S90" s="27" t="str">
        <f t="shared" si="18"/>
        <v/>
      </c>
      <c r="T90" s="28" t="str">
        <f t="shared" si="18"/>
        <v/>
      </c>
      <c r="U90" s="28" t="str">
        <f t="shared" si="18"/>
        <v/>
      </c>
      <c r="V90" s="28" t="str">
        <f t="shared" si="18"/>
        <v/>
      </c>
      <c r="W90" s="28" t="str">
        <f t="shared" si="18"/>
        <v/>
      </c>
      <c r="X90" s="29" t="str">
        <f t="shared" si="18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4"/>
        <v/>
      </c>
      <c r="M91" s="19" t="str">
        <f t="shared" si="15"/>
        <v/>
      </c>
      <c r="N91" s="19" t="str">
        <f t="shared" si="16"/>
        <v/>
      </c>
      <c r="O91" s="19" t="str">
        <f t="shared" si="7"/>
        <v/>
      </c>
      <c r="P91" s="19" t="str">
        <f t="shared" si="8"/>
        <v/>
      </c>
      <c r="Q91" s="19" t="str">
        <f t="shared" si="9"/>
        <v/>
      </c>
      <c r="R91" s="19" t="str">
        <f t="shared" si="13"/>
        <v/>
      </c>
      <c r="S91" s="27" t="str">
        <f t="shared" si="18"/>
        <v/>
      </c>
      <c r="T91" s="28" t="str">
        <f t="shared" si="18"/>
        <v/>
      </c>
      <c r="U91" s="28" t="str">
        <f t="shared" si="18"/>
        <v/>
      </c>
      <c r="V91" s="28" t="str">
        <f t="shared" si="18"/>
        <v/>
      </c>
      <c r="W91" s="28" t="str">
        <f t="shared" si="18"/>
        <v/>
      </c>
      <c r="X91" s="29" t="str">
        <f t="shared" si="18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4"/>
        <v/>
      </c>
      <c r="M92" s="19" t="str">
        <f t="shared" si="15"/>
        <v/>
      </c>
      <c r="N92" s="19" t="str">
        <f t="shared" si="16"/>
        <v/>
      </c>
      <c r="O92" s="19" t="str">
        <f t="shared" si="7"/>
        <v/>
      </c>
      <c r="P92" s="19" t="str">
        <f t="shared" si="8"/>
        <v/>
      </c>
      <c r="Q92" s="19" t="str">
        <f t="shared" si="9"/>
        <v/>
      </c>
      <c r="R92" s="19" t="str">
        <f t="shared" si="13"/>
        <v/>
      </c>
      <c r="S92" s="27" t="str">
        <f t="shared" si="18"/>
        <v/>
      </c>
      <c r="T92" s="28" t="str">
        <f t="shared" si="18"/>
        <v/>
      </c>
      <c r="U92" s="28" t="str">
        <f t="shared" si="18"/>
        <v/>
      </c>
      <c r="V92" s="28" t="str">
        <f t="shared" si="18"/>
        <v/>
      </c>
      <c r="W92" s="28" t="str">
        <f t="shared" si="18"/>
        <v/>
      </c>
      <c r="X92" s="29" t="str">
        <f t="shared" si="18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4"/>
        <v/>
      </c>
      <c r="M93" s="19" t="str">
        <f t="shared" si="15"/>
        <v/>
      </c>
      <c r="N93" s="19" t="str">
        <f t="shared" si="16"/>
        <v/>
      </c>
      <c r="O93" s="19" t="str">
        <f t="shared" si="7"/>
        <v/>
      </c>
      <c r="P93" s="19" t="str">
        <f t="shared" si="8"/>
        <v/>
      </c>
      <c r="Q93" s="19" t="str">
        <f t="shared" si="9"/>
        <v/>
      </c>
      <c r="R93" s="19" t="str">
        <f t="shared" si="13"/>
        <v/>
      </c>
      <c r="S93" s="27" t="str">
        <f t="shared" si="18"/>
        <v/>
      </c>
      <c r="T93" s="28" t="str">
        <f t="shared" si="18"/>
        <v/>
      </c>
      <c r="U93" s="28" t="str">
        <f t="shared" si="18"/>
        <v/>
      </c>
      <c r="V93" s="28" t="str">
        <f t="shared" si="18"/>
        <v/>
      </c>
      <c r="W93" s="28" t="str">
        <f t="shared" si="18"/>
        <v/>
      </c>
      <c r="X93" s="29" t="str">
        <f t="shared" si="18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4"/>
        <v/>
      </c>
      <c r="M94" s="19" t="str">
        <f t="shared" si="15"/>
        <v/>
      </c>
      <c r="N94" s="19" t="str">
        <f t="shared" si="16"/>
        <v/>
      </c>
      <c r="O94" s="19" t="str">
        <f t="shared" si="7"/>
        <v/>
      </c>
      <c r="P94" s="19" t="str">
        <f t="shared" si="8"/>
        <v/>
      </c>
      <c r="Q94" s="19" t="str">
        <f t="shared" si="9"/>
        <v/>
      </c>
      <c r="R94" s="19" t="str">
        <f t="shared" ref="R94:R116" si="19">IF(ISBLANK(I94),"",(I94-I$16)*1000)</f>
        <v/>
      </c>
      <c r="S94" s="27" t="str">
        <f t="shared" si="18"/>
        <v/>
      </c>
      <c r="T94" s="28" t="str">
        <f t="shared" si="18"/>
        <v/>
      </c>
      <c r="U94" s="28" t="str">
        <f t="shared" si="18"/>
        <v/>
      </c>
      <c r="V94" s="28" t="str">
        <f t="shared" si="18"/>
        <v/>
      </c>
      <c r="W94" s="28" t="str">
        <f t="shared" si="18"/>
        <v/>
      </c>
      <c r="X94" s="29" t="str">
        <f t="shared" si="18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6" si="20">IF(ISBLANK(C95),"",(C95-C$16)*1000)</f>
        <v/>
      </c>
      <c r="M95" s="19" t="str">
        <f t="shared" ref="M95:M116" si="21">IF(ISBLANK(D95),"",(D95-D$16)*1000)</f>
        <v/>
      </c>
      <c r="N95" s="19" t="str">
        <f t="shared" ref="N95:N116" si="22">IF(ISBLANK(E95),"",(E95-E$16)*1000)</f>
        <v/>
      </c>
      <c r="O95" s="19" t="str">
        <f t="shared" si="7"/>
        <v/>
      </c>
      <c r="P95" s="19" t="str">
        <f t="shared" si="8"/>
        <v/>
      </c>
      <c r="Q95" s="19" t="str">
        <f t="shared" si="9"/>
        <v/>
      </c>
      <c r="R95" s="19" t="str">
        <f t="shared" si="19"/>
        <v/>
      </c>
      <c r="S95" s="27" t="str">
        <f t="shared" si="18"/>
        <v/>
      </c>
      <c r="T95" s="28" t="str">
        <f t="shared" si="18"/>
        <v/>
      </c>
      <c r="U95" s="28" t="str">
        <f t="shared" si="18"/>
        <v/>
      </c>
      <c r="V95" s="28" t="str">
        <f t="shared" si="18"/>
        <v/>
      </c>
      <c r="W95" s="28" t="str">
        <f t="shared" si="18"/>
        <v/>
      </c>
      <c r="X95" s="29" t="str">
        <f t="shared" si="18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0"/>
        <v/>
      </c>
      <c r="M96" s="19" t="str">
        <f t="shared" si="21"/>
        <v/>
      </c>
      <c r="N96" s="19" t="str">
        <f t="shared" si="22"/>
        <v/>
      </c>
      <c r="O96" s="19" t="str">
        <f t="shared" si="7"/>
        <v/>
      </c>
      <c r="P96" s="19" t="str">
        <f t="shared" si="8"/>
        <v/>
      </c>
      <c r="Q96" s="19" t="str">
        <f t="shared" si="9"/>
        <v/>
      </c>
      <c r="R96" s="19" t="str">
        <f t="shared" si="19"/>
        <v/>
      </c>
      <c r="S96" s="27" t="str">
        <f t="shared" si="18"/>
        <v/>
      </c>
      <c r="T96" s="28" t="str">
        <f t="shared" si="18"/>
        <v/>
      </c>
      <c r="U96" s="28" t="str">
        <f t="shared" si="18"/>
        <v/>
      </c>
      <c r="V96" s="28" t="str">
        <f t="shared" si="18"/>
        <v/>
      </c>
      <c r="W96" s="28" t="str">
        <f t="shared" si="18"/>
        <v/>
      </c>
      <c r="X96" s="29" t="str">
        <f t="shared" si="18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0"/>
        <v/>
      </c>
      <c r="M97" s="19" t="str">
        <f t="shared" si="21"/>
        <v/>
      </c>
      <c r="N97" s="19" t="str">
        <f t="shared" si="22"/>
        <v/>
      </c>
      <c r="O97" s="19" t="str">
        <f t="shared" si="7"/>
        <v/>
      </c>
      <c r="P97" s="19" t="str">
        <f t="shared" si="8"/>
        <v/>
      </c>
      <c r="Q97" s="19" t="str">
        <f t="shared" si="9"/>
        <v/>
      </c>
      <c r="R97" s="19" t="str">
        <f t="shared" si="19"/>
        <v/>
      </c>
      <c r="S97" s="27" t="str">
        <f t="shared" ref="S97:X112" si="23">IF(C97="","",((C97-C96)*1000)/($B97-$B96))</f>
        <v/>
      </c>
      <c r="T97" s="28" t="str">
        <f t="shared" si="23"/>
        <v/>
      </c>
      <c r="U97" s="28" t="str">
        <f t="shared" si="23"/>
        <v/>
      </c>
      <c r="V97" s="28" t="str">
        <f t="shared" si="23"/>
        <v/>
      </c>
      <c r="W97" s="28" t="str">
        <f t="shared" si="23"/>
        <v/>
      </c>
      <c r="X97" s="29" t="str">
        <f t="shared" si="2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0"/>
        <v/>
      </c>
      <c r="M98" s="19" t="str">
        <f t="shared" si="21"/>
        <v/>
      </c>
      <c r="N98" s="19" t="str">
        <f t="shared" si="22"/>
        <v/>
      </c>
      <c r="O98" s="19" t="str">
        <f t="shared" si="7"/>
        <v/>
      </c>
      <c r="P98" s="19" t="str">
        <f t="shared" si="8"/>
        <v/>
      </c>
      <c r="Q98" s="19" t="str">
        <f t="shared" si="9"/>
        <v/>
      </c>
      <c r="R98" s="19" t="str">
        <f t="shared" si="19"/>
        <v/>
      </c>
      <c r="S98" s="27" t="str">
        <f t="shared" si="23"/>
        <v/>
      </c>
      <c r="T98" s="28" t="str">
        <f t="shared" si="23"/>
        <v/>
      </c>
      <c r="U98" s="28" t="str">
        <f t="shared" si="23"/>
        <v/>
      </c>
      <c r="V98" s="28" t="str">
        <f t="shared" si="23"/>
        <v/>
      </c>
      <c r="W98" s="28" t="str">
        <f t="shared" si="23"/>
        <v/>
      </c>
      <c r="X98" s="29" t="str">
        <f t="shared" si="2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0"/>
        <v/>
      </c>
      <c r="M99" s="19" t="str">
        <f t="shared" si="21"/>
        <v/>
      </c>
      <c r="N99" s="19" t="str">
        <f t="shared" si="22"/>
        <v/>
      </c>
      <c r="O99" s="19" t="str">
        <f t="shared" si="7"/>
        <v/>
      </c>
      <c r="P99" s="19" t="str">
        <f t="shared" si="8"/>
        <v/>
      </c>
      <c r="Q99" s="19" t="str">
        <f t="shared" si="9"/>
        <v/>
      </c>
      <c r="R99" s="19" t="str">
        <f t="shared" si="19"/>
        <v/>
      </c>
      <c r="S99" s="27" t="str">
        <f t="shared" si="23"/>
        <v/>
      </c>
      <c r="T99" s="28" t="str">
        <f t="shared" si="23"/>
        <v/>
      </c>
      <c r="U99" s="28" t="str">
        <f t="shared" si="23"/>
        <v/>
      </c>
      <c r="V99" s="28" t="str">
        <f t="shared" si="23"/>
        <v/>
      </c>
      <c r="W99" s="28" t="str">
        <f t="shared" si="23"/>
        <v/>
      </c>
      <c r="X99" s="29" t="str">
        <f t="shared" si="2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0"/>
        <v/>
      </c>
      <c r="M100" s="19" t="str">
        <f t="shared" si="21"/>
        <v/>
      </c>
      <c r="N100" s="19" t="str">
        <f t="shared" si="22"/>
        <v/>
      </c>
      <c r="O100" s="19" t="str">
        <f t="shared" si="7"/>
        <v/>
      </c>
      <c r="P100" s="19" t="str">
        <f t="shared" si="8"/>
        <v/>
      </c>
      <c r="Q100" s="19" t="str">
        <f t="shared" si="9"/>
        <v/>
      </c>
      <c r="R100" s="19" t="str">
        <f t="shared" si="19"/>
        <v/>
      </c>
      <c r="S100" s="27" t="str">
        <f t="shared" si="23"/>
        <v/>
      </c>
      <c r="T100" s="28" t="str">
        <f t="shared" si="23"/>
        <v/>
      </c>
      <c r="U100" s="28" t="str">
        <f t="shared" si="23"/>
        <v/>
      </c>
      <c r="V100" s="28" t="str">
        <f t="shared" si="23"/>
        <v/>
      </c>
      <c r="W100" s="28" t="str">
        <f t="shared" si="23"/>
        <v/>
      </c>
      <c r="X100" s="29" t="str">
        <f t="shared" si="2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0"/>
        <v/>
      </c>
      <c r="M101" s="19" t="str">
        <f t="shared" si="21"/>
        <v/>
      </c>
      <c r="N101" s="19" t="str">
        <f t="shared" si="22"/>
        <v/>
      </c>
      <c r="O101" s="19" t="str">
        <f t="shared" si="7"/>
        <v/>
      </c>
      <c r="P101" s="19" t="str">
        <f t="shared" si="8"/>
        <v/>
      </c>
      <c r="Q101" s="19" t="str">
        <f t="shared" si="9"/>
        <v/>
      </c>
      <c r="R101" s="19" t="str">
        <f t="shared" si="19"/>
        <v/>
      </c>
      <c r="S101" s="27" t="str">
        <f t="shared" si="23"/>
        <v/>
      </c>
      <c r="T101" s="28" t="str">
        <f t="shared" si="23"/>
        <v/>
      </c>
      <c r="U101" s="28" t="str">
        <f t="shared" si="23"/>
        <v/>
      </c>
      <c r="V101" s="28" t="str">
        <f t="shared" si="23"/>
        <v/>
      </c>
      <c r="W101" s="28" t="str">
        <f t="shared" si="23"/>
        <v/>
      </c>
      <c r="X101" s="29" t="str">
        <f t="shared" si="2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0"/>
        <v/>
      </c>
      <c r="M102" s="19" t="str">
        <f t="shared" si="21"/>
        <v/>
      </c>
      <c r="N102" s="19" t="str">
        <f t="shared" si="22"/>
        <v/>
      </c>
      <c r="O102" s="19" t="str">
        <f t="shared" si="7"/>
        <v/>
      </c>
      <c r="P102" s="19" t="str">
        <f t="shared" si="8"/>
        <v/>
      </c>
      <c r="Q102" s="19" t="str">
        <f t="shared" si="9"/>
        <v/>
      </c>
      <c r="R102" s="19" t="str">
        <f t="shared" si="19"/>
        <v/>
      </c>
      <c r="S102" s="27" t="str">
        <f t="shared" si="23"/>
        <v/>
      </c>
      <c r="T102" s="28" t="str">
        <f t="shared" si="23"/>
        <v/>
      </c>
      <c r="U102" s="28" t="str">
        <f t="shared" si="23"/>
        <v/>
      </c>
      <c r="V102" s="28" t="str">
        <f t="shared" si="23"/>
        <v/>
      </c>
      <c r="W102" s="28" t="str">
        <f t="shared" si="23"/>
        <v/>
      </c>
      <c r="X102" s="29" t="str">
        <f t="shared" si="2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0"/>
        <v/>
      </c>
      <c r="M103" s="19" t="str">
        <f t="shared" si="21"/>
        <v/>
      </c>
      <c r="N103" s="19" t="str">
        <f t="shared" si="22"/>
        <v/>
      </c>
      <c r="O103" s="19" t="str">
        <f t="shared" ref="O103:O153" si="24">IF(ISBLANK(F103),"",((F103-F$38)*1000)+L$38)</f>
        <v/>
      </c>
      <c r="P103" s="19" t="str">
        <f t="shared" ref="P103:P153" si="25">IF(ISBLANK(G103),"",((G103-G$38)*1000)+M$38)</f>
        <v/>
      </c>
      <c r="Q103" s="19" t="str">
        <f t="shared" ref="Q103:Q153" si="26">IF(ISBLANK(H103),"",((H103-H$38)*1000)+N$38)</f>
        <v/>
      </c>
      <c r="R103" s="19" t="str">
        <f t="shared" si="19"/>
        <v/>
      </c>
      <c r="S103" s="27" t="str">
        <f t="shared" si="23"/>
        <v/>
      </c>
      <c r="T103" s="28" t="str">
        <f t="shared" si="23"/>
        <v/>
      </c>
      <c r="U103" s="28" t="str">
        <f t="shared" si="23"/>
        <v/>
      </c>
      <c r="V103" s="28" t="str">
        <f t="shared" si="23"/>
        <v/>
      </c>
      <c r="W103" s="28" t="str">
        <f t="shared" si="23"/>
        <v/>
      </c>
      <c r="X103" s="29" t="str">
        <f t="shared" si="2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0"/>
        <v/>
      </c>
      <c r="M104" s="19" t="str">
        <f t="shared" si="21"/>
        <v/>
      </c>
      <c r="N104" s="19" t="str">
        <f t="shared" si="22"/>
        <v/>
      </c>
      <c r="O104" s="19" t="str">
        <f t="shared" si="24"/>
        <v/>
      </c>
      <c r="P104" s="19" t="str">
        <f t="shared" si="25"/>
        <v/>
      </c>
      <c r="Q104" s="19" t="str">
        <f t="shared" si="26"/>
        <v/>
      </c>
      <c r="R104" s="19" t="str">
        <f t="shared" si="19"/>
        <v/>
      </c>
      <c r="S104" s="27" t="str">
        <f t="shared" si="23"/>
        <v/>
      </c>
      <c r="T104" s="28" t="str">
        <f t="shared" si="23"/>
        <v/>
      </c>
      <c r="U104" s="28" t="str">
        <f t="shared" si="23"/>
        <v/>
      </c>
      <c r="V104" s="28" t="str">
        <f t="shared" si="23"/>
        <v/>
      </c>
      <c r="W104" s="28" t="str">
        <f t="shared" si="23"/>
        <v/>
      </c>
      <c r="X104" s="29" t="str">
        <f t="shared" si="2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0"/>
        <v/>
      </c>
      <c r="M105" s="19" t="str">
        <f t="shared" si="21"/>
        <v/>
      </c>
      <c r="N105" s="19" t="str">
        <f t="shared" si="22"/>
        <v/>
      </c>
      <c r="O105" s="19" t="str">
        <f t="shared" si="24"/>
        <v/>
      </c>
      <c r="P105" s="19" t="str">
        <f t="shared" si="25"/>
        <v/>
      </c>
      <c r="Q105" s="19" t="str">
        <f t="shared" si="26"/>
        <v/>
      </c>
      <c r="R105" s="19" t="str">
        <f t="shared" si="19"/>
        <v/>
      </c>
      <c r="S105" s="27" t="str">
        <f t="shared" si="23"/>
        <v/>
      </c>
      <c r="T105" s="28" t="str">
        <f t="shared" si="23"/>
        <v/>
      </c>
      <c r="U105" s="28" t="str">
        <f t="shared" si="23"/>
        <v/>
      </c>
      <c r="V105" s="28" t="str">
        <f t="shared" si="23"/>
        <v/>
      </c>
      <c r="W105" s="28" t="str">
        <f t="shared" si="23"/>
        <v/>
      </c>
      <c r="X105" s="29" t="str">
        <f t="shared" si="2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0"/>
        <v/>
      </c>
      <c r="M106" s="19" t="str">
        <f t="shared" si="21"/>
        <v/>
      </c>
      <c r="N106" s="19" t="str">
        <f t="shared" si="22"/>
        <v/>
      </c>
      <c r="O106" s="19" t="str">
        <f t="shared" si="24"/>
        <v/>
      </c>
      <c r="P106" s="19" t="str">
        <f t="shared" si="25"/>
        <v/>
      </c>
      <c r="Q106" s="19" t="str">
        <f t="shared" si="26"/>
        <v/>
      </c>
      <c r="R106" s="19" t="str">
        <f t="shared" si="19"/>
        <v/>
      </c>
      <c r="S106" s="27" t="str">
        <f t="shared" si="23"/>
        <v/>
      </c>
      <c r="T106" s="28" t="str">
        <f t="shared" si="23"/>
        <v/>
      </c>
      <c r="U106" s="28" t="str">
        <f t="shared" si="23"/>
        <v/>
      </c>
      <c r="V106" s="28" t="str">
        <f t="shared" si="23"/>
        <v/>
      </c>
      <c r="W106" s="28" t="str">
        <f t="shared" si="23"/>
        <v/>
      </c>
      <c r="X106" s="29" t="str">
        <f t="shared" si="2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0"/>
        <v/>
      </c>
      <c r="M107" s="19" t="str">
        <f t="shared" si="21"/>
        <v/>
      </c>
      <c r="N107" s="19" t="str">
        <f t="shared" si="22"/>
        <v/>
      </c>
      <c r="O107" s="19" t="str">
        <f t="shared" si="24"/>
        <v/>
      </c>
      <c r="P107" s="19" t="str">
        <f t="shared" si="25"/>
        <v/>
      </c>
      <c r="Q107" s="19" t="str">
        <f t="shared" si="26"/>
        <v/>
      </c>
      <c r="R107" s="19" t="str">
        <f t="shared" si="19"/>
        <v/>
      </c>
      <c r="S107" s="27" t="str">
        <f t="shared" si="23"/>
        <v/>
      </c>
      <c r="T107" s="28" t="str">
        <f t="shared" si="23"/>
        <v/>
      </c>
      <c r="U107" s="28" t="str">
        <f t="shared" si="23"/>
        <v/>
      </c>
      <c r="V107" s="28" t="str">
        <f t="shared" si="23"/>
        <v/>
      </c>
      <c r="W107" s="28" t="str">
        <f t="shared" si="23"/>
        <v/>
      </c>
      <c r="X107" s="29" t="str">
        <f t="shared" si="2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0"/>
        <v/>
      </c>
      <c r="M108" s="19" t="str">
        <f t="shared" si="21"/>
        <v/>
      </c>
      <c r="N108" s="19" t="str">
        <f t="shared" si="22"/>
        <v/>
      </c>
      <c r="O108" s="19" t="str">
        <f t="shared" si="24"/>
        <v/>
      </c>
      <c r="P108" s="19" t="str">
        <f t="shared" si="25"/>
        <v/>
      </c>
      <c r="Q108" s="19" t="str">
        <f t="shared" si="26"/>
        <v/>
      </c>
      <c r="R108" s="19" t="str">
        <f t="shared" si="19"/>
        <v/>
      </c>
      <c r="S108" s="27" t="str">
        <f t="shared" si="23"/>
        <v/>
      </c>
      <c r="T108" s="28" t="str">
        <f t="shared" si="23"/>
        <v/>
      </c>
      <c r="U108" s="28" t="str">
        <f t="shared" si="23"/>
        <v/>
      </c>
      <c r="V108" s="28" t="str">
        <f t="shared" si="23"/>
        <v/>
      </c>
      <c r="W108" s="28" t="str">
        <f t="shared" si="23"/>
        <v/>
      </c>
      <c r="X108" s="29" t="str">
        <f t="shared" si="2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0"/>
        <v/>
      </c>
      <c r="M109" s="19" t="str">
        <f t="shared" si="21"/>
        <v/>
      </c>
      <c r="N109" s="19" t="str">
        <f t="shared" si="22"/>
        <v/>
      </c>
      <c r="O109" s="19" t="str">
        <f t="shared" si="24"/>
        <v/>
      </c>
      <c r="P109" s="19" t="str">
        <f t="shared" si="25"/>
        <v/>
      </c>
      <c r="Q109" s="19" t="str">
        <f t="shared" si="26"/>
        <v/>
      </c>
      <c r="R109" s="19" t="str">
        <f t="shared" si="19"/>
        <v/>
      </c>
      <c r="S109" s="27" t="str">
        <f t="shared" si="23"/>
        <v/>
      </c>
      <c r="T109" s="28" t="str">
        <f t="shared" si="23"/>
        <v/>
      </c>
      <c r="U109" s="28" t="str">
        <f t="shared" si="23"/>
        <v/>
      </c>
      <c r="V109" s="28" t="str">
        <f t="shared" si="23"/>
        <v/>
      </c>
      <c r="W109" s="28" t="str">
        <f t="shared" si="23"/>
        <v/>
      </c>
      <c r="X109" s="29" t="str">
        <f t="shared" si="2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0"/>
        <v/>
      </c>
      <c r="M110" s="19" t="str">
        <f t="shared" si="21"/>
        <v/>
      </c>
      <c r="N110" s="19" t="str">
        <f t="shared" si="22"/>
        <v/>
      </c>
      <c r="O110" s="19" t="str">
        <f t="shared" si="24"/>
        <v/>
      </c>
      <c r="P110" s="19" t="str">
        <f t="shared" si="25"/>
        <v/>
      </c>
      <c r="Q110" s="19" t="str">
        <f t="shared" si="26"/>
        <v/>
      </c>
      <c r="R110" s="19" t="str">
        <f t="shared" si="19"/>
        <v/>
      </c>
      <c r="S110" s="27" t="str">
        <f t="shared" si="23"/>
        <v/>
      </c>
      <c r="T110" s="28" t="str">
        <f t="shared" si="23"/>
        <v/>
      </c>
      <c r="U110" s="28" t="str">
        <f t="shared" si="23"/>
        <v/>
      </c>
      <c r="V110" s="28" t="str">
        <f t="shared" si="23"/>
        <v/>
      </c>
      <c r="W110" s="28" t="str">
        <f t="shared" si="23"/>
        <v/>
      </c>
      <c r="X110" s="29" t="str">
        <f t="shared" si="2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0"/>
        <v/>
      </c>
      <c r="M111" s="19" t="str">
        <f t="shared" si="21"/>
        <v/>
      </c>
      <c r="N111" s="19" t="str">
        <f t="shared" si="22"/>
        <v/>
      </c>
      <c r="O111" s="19" t="str">
        <f t="shared" si="24"/>
        <v/>
      </c>
      <c r="P111" s="19" t="str">
        <f t="shared" si="25"/>
        <v/>
      </c>
      <c r="Q111" s="19" t="str">
        <f t="shared" si="26"/>
        <v/>
      </c>
      <c r="R111" s="19" t="str">
        <f t="shared" si="19"/>
        <v/>
      </c>
      <c r="S111" s="27" t="str">
        <f t="shared" si="23"/>
        <v/>
      </c>
      <c r="T111" s="28" t="str">
        <f t="shared" si="23"/>
        <v/>
      </c>
      <c r="U111" s="28" t="str">
        <f t="shared" si="23"/>
        <v/>
      </c>
      <c r="V111" s="28" t="str">
        <f t="shared" si="23"/>
        <v/>
      </c>
      <c r="W111" s="28" t="str">
        <f t="shared" si="23"/>
        <v/>
      </c>
      <c r="X111" s="29" t="str">
        <f t="shared" si="2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0"/>
        <v/>
      </c>
      <c r="M112" s="19" t="str">
        <f t="shared" si="21"/>
        <v/>
      </c>
      <c r="N112" s="19" t="str">
        <f t="shared" si="22"/>
        <v/>
      </c>
      <c r="O112" s="19" t="str">
        <f t="shared" si="24"/>
        <v/>
      </c>
      <c r="P112" s="19" t="str">
        <f t="shared" si="25"/>
        <v/>
      </c>
      <c r="Q112" s="19" t="str">
        <f t="shared" si="26"/>
        <v/>
      </c>
      <c r="R112" s="19" t="str">
        <f t="shared" si="19"/>
        <v/>
      </c>
      <c r="S112" s="27" t="str">
        <f t="shared" si="23"/>
        <v/>
      </c>
      <c r="T112" s="28" t="str">
        <f t="shared" si="23"/>
        <v/>
      </c>
      <c r="U112" s="28" t="str">
        <f t="shared" si="23"/>
        <v/>
      </c>
      <c r="V112" s="28" t="str">
        <f t="shared" si="23"/>
        <v/>
      </c>
      <c r="W112" s="28" t="str">
        <f t="shared" si="23"/>
        <v/>
      </c>
      <c r="X112" s="29" t="str">
        <f t="shared" si="2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0"/>
        <v/>
      </c>
      <c r="M113" s="19" t="str">
        <f t="shared" si="21"/>
        <v/>
      </c>
      <c r="N113" s="19" t="str">
        <f t="shared" si="22"/>
        <v/>
      </c>
      <c r="O113" s="19" t="str">
        <f t="shared" si="24"/>
        <v/>
      </c>
      <c r="P113" s="19" t="str">
        <f t="shared" si="25"/>
        <v/>
      </c>
      <c r="Q113" s="19" t="str">
        <f t="shared" si="26"/>
        <v/>
      </c>
      <c r="R113" s="19" t="str">
        <f t="shared" si="19"/>
        <v/>
      </c>
      <c r="S113" s="27" t="str">
        <f t="shared" ref="S113:X128" si="27">IF(C113="","",((C113-C112)*1000)/($B113-$B112))</f>
        <v/>
      </c>
      <c r="T113" s="28" t="str">
        <f t="shared" si="27"/>
        <v/>
      </c>
      <c r="U113" s="28" t="str">
        <f t="shared" si="27"/>
        <v/>
      </c>
      <c r="V113" s="28" t="str">
        <f t="shared" si="27"/>
        <v/>
      </c>
      <c r="W113" s="28" t="str">
        <f t="shared" si="27"/>
        <v/>
      </c>
      <c r="X113" s="29" t="str">
        <f t="shared" si="27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0"/>
        <v/>
      </c>
      <c r="M114" s="19" t="str">
        <f t="shared" si="21"/>
        <v/>
      </c>
      <c r="N114" s="19" t="str">
        <f t="shared" si="22"/>
        <v/>
      </c>
      <c r="O114" s="19" t="str">
        <f t="shared" si="24"/>
        <v/>
      </c>
      <c r="P114" s="19" t="str">
        <f t="shared" si="25"/>
        <v/>
      </c>
      <c r="Q114" s="19" t="str">
        <f t="shared" si="26"/>
        <v/>
      </c>
      <c r="R114" s="19" t="str">
        <f t="shared" si="19"/>
        <v/>
      </c>
      <c r="S114" s="27" t="str">
        <f t="shared" si="27"/>
        <v/>
      </c>
      <c r="T114" s="28" t="str">
        <f t="shared" si="27"/>
        <v/>
      </c>
      <c r="U114" s="28" t="str">
        <f t="shared" si="27"/>
        <v/>
      </c>
      <c r="V114" s="28" t="str">
        <f t="shared" si="27"/>
        <v/>
      </c>
      <c r="W114" s="28" t="str">
        <f t="shared" si="27"/>
        <v/>
      </c>
      <c r="X114" s="29" t="str">
        <f t="shared" si="2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0"/>
        <v/>
      </c>
      <c r="M115" s="19" t="str">
        <f t="shared" si="21"/>
        <v/>
      </c>
      <c r="N115" s="19" t="str">
        <f t="shared" si="22"/>
        <v/>
      </c>
      <c r="O115" s="19" t="str">
        <f t="shared" si="24"/>
        <v/>
      </c>
      <c r="P115" s="19" t="str">
        <f t="shared" si="25"/>
        <v/>
      </c>
      <c r="Q115" s="19" t="str">
        <f t="shared" si="26"/>
        <v/>
      </c>
      <c r="R115" s="19" t="str">
        <f t="shared" si="19"/>
        <v/>
      </c>
      <c r="S115" s="27" t="str">
        <f t="shared" si="27"/>
        <v/>
      </c>
      <c r="T115" s="28" t="str">
        <f t="shared" si="27"/>
        <v/>
      </c>
      <c r="U115" s="28" t="str">
        <f t="shared" si="27"/>
        <v/>
      </c>
      <c r="V115" s="28" t="str">
        <f t="shared" si="27"/>
        <v/>
      </c>
      <c r="W115" s="28" t="str">
        <f t="shared" si="27"/>
        <v/>
      </c>
      <c r="X115" s="29" t="str">
        <f t="shared" si="2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0"/>
        <v/>
      </c>
      <c r="M116" s="19" t="str">
        <f t="shared" si="21"/>
        <v/>
      </c>
      <c r="N116" s="19" t="str">
        <f t="shared" si="22"/>
        <v/>
      </c>
      <c r="O116" s="19" t="str">
        <f t="shared" si="24"/>
        <v/>
      </c>
      <c r="P116" s="19" t="str">
        <f t="shared" si="25"/>
        <v/>
      </c>
      <c r="Q116" s="19" t="str">
        <f t="shared" si="26"/>
        <v/>
      </c>
      <c r="R116" s="19" t="str">
        <f t="shared" si="19"/>
        <v/>
      </c>
      <c r="S116" s="27" t="str">
        <f t="shared" si="27"/>
        <v/>
      </c>
      <c r="T116" s="28" t="str">
        <f t="shared" si="27"/>
        <v/>
      </c>
      <c r="U116" s="28" t="str">
        <f t="shared" si="27"/>
        <v/>
      </c>
      <c r="V116" s="28" t="str">
        <f t="shared" si="27"/>
        <v/>
      </c>
      <c r="W116" s="28" t="str">
        <f t="shared" si="27"/>
        <v/>
      </c>
      <c r="X116" s="29" t="str">
        <f t="shared" si="2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>IF(ISBLANK(C117),"",(C117-C$16)*1000)</f>
        <v/>
      </c>
      <c r="M117" s="19" t="str">
        <f t="shared" ref="M117:R153" si="28">IF(ISBLANK(D117),"",(D117-D$16)*1000)</f>
        <v/>
      </c>
      <c r="N117" s="19" t="str">
        <f t="shared" si="28"/>
        <v/>
      </c>
      <c r="O117" s="19" t="str">
        <f t="shared" si="24"/>
        <v/>
      </c>
      <c r="P117" s="19" t="str">
        <f t="shared" si="25"/>
        <v/>
      </c>
      <c r="Q117" s="19" t="str">
        <f t="shared" si="26"/>
        <v/>
      </c>
      <c r="R117" s="19" t="str">
        <f t="shared" si="28"/>
        <v/>
      </c>
      <c r="S117" s="27" t="str">
        <f t="shared" si="27"/>
        <v/>
      </c>
      <c r="T117" s="28" t="str">
        <f t="shared" si="27"/>
        <v/>
      </c>
      <c r="U117" s="28" t="str">
        <f t="shared" si="27"/>
        <v/>
      </c>
      <c r="V117" s="28" t="str">
        <f t="shared" si="27"/>
        <v/>
      </c>
      <c r="W117" s="28" t="str">
        <f t="shared" si="27"/>
        <v/>
      </c>
      <c r="X117" s="29" t="str">
        <f t="shared" si="2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9">IF(ISBLANK(C118),"",(C118-C$16)*1000)</f>
        <v/>
      </c>
      <c r="M118" s="19" t="str">
        <f t="shared" si="28"/>
        <v/>
      </c>
      <c r="N118" s="19" t="str">
        <f t="shared" si="28"/>
        <v/>
      </c>
      <c r="O118" s="19" t="str">
        <f t="shared" si="24"/>
        <v/>
      </c>
      <c r="P118" s="19" t="str">
        <f t="shared" si="25"/>
        <v/>
      </c>
      <c r="Q118" s="19" t="str">
        <f t="shared" si="26"/>
        <v/>
      </c>
      <c r="R118" s="19" t="str">
        <f t="shared" si="28"/>
        <v/>
      </c>
      <c r="S118" s="27" t="str">
        <f t="shared" si="27"/>
        <v/>
      </c>
      <c r="T118" s="28" t="str">
        <f t="shared" si="27"/>
        <v/>
      </c>
      <c r="U118" s="28" t="str">
        <f t="shared" si="27"/>
        <v/>
      </c>
      <c r="V118" s="28" t="str">
        <f t="shared" si="27"/>
        <v/>
      </c>
      <c r="W118" s="28" t="str">
        <f t="shared" si="27"/>
        <v/>
      </c>
      <c r="X118" s="29" t="str">
        <f t="shared" si="2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9"/>
        <v/>
      </c>
      <c r="M119" s="19" t="str">
        <f t="shared" si="28"/>
        <v/>
      </c>
      <c r="N119" s="19" t="str">
        <f t="shared" si="28"/>
        <v/>
      </c>
      <c r="O119" s="19" t="str">
        <f t="shared" si="24"/>
        <v/>
      </c>
      <c r="P119" s="19" t="str">
        <f t="shared" si="25"/>
        <v/>
      </c>
      <c r="Q119" s="19" t="str">
        <f t="shared" si="26"/>
        <v/>
      </c>
      <c r="R119" s="19" t="str">
        <f t="shared" si="28"/>
        <v/>
      </c>
      <c r="S119" s="27" t="str">
        <f t="shared" si="27"/>
        <v/>
      </c>
      <c r="T119" s="28" t="str">
        <f t="shared" si="27"/>
        <v/>
      </c>
      <c r="U119" s="28" t="str">
        <f t="shared" si="27"/>
        <v/>
      </c>
      <c r="V119" s="28" t="str">
        <f t="shared" si="27"/>
        <v/>
      </c>
      <c r="W119" s="28" t="str">
        <f t="shared" si="27"/>
        <v/>
      </c>
      <c r="X119" s="29" t="str">
        <f t="shared" si="2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9"/>
        <v/>
      </c>
      <c r="M120" s="19" t="str">
        <f t="shared" si="28"/>
        <v/>
      </c>
      <c r="N120" s="19" t="str">
        <f t="shared" si="28"/>
        <v/>
      </c>
      <c r="O120" s="19" t="str">
        <f t="shared" si="24"/>
        <v/>
      </c>
      <c r="P120" s="19" t="str">
        <f t="shared" si="25"/>
        <v/>
      </c>
      <c r="Q120" s="19" t="str">
        <f t="shared" si="26"/>
        <v/>
      </c>
      <c r="R120" s="19" t="str">
        <f t="shared" si="28"/>
        <v/>
      </c>
      <c r="S120" s="27" t="str">
        <f t="shared" si="27"/>
        <v/>
      </c>
      <c r="T120" s="28" t="str">
        <f t="shared" si="27"/>
        <v/>
      </c>
      <c r="U120" s="28" t="str">
        <f t="shared" si="27"/>
        <v/>
      </c>
      <c r="V120" s="28" t="str">
        <f t="shared" si="27"/>
        <v/>
      </c>
      <c r="W120" s="28" t="str">
        <f t="shared" si="27"/>
        <v/>
      </c>
      <c r="X120" s="29" t="str">
        <f t="shared" si="2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9"/>
        <v/>
      </c>
      <c r="M121" s="19" t="str">
        <f t="shared" si="28"/>
        <v/>
      </c>
      <c r="N121" s="19" t="str">
        <f t="shared" si="28"/>
        <v/>
      </c>
      <c r="O121" s="19" t="str">
        <f t="shared" si="24"/>
        <v/>
      </c>
      <c r="P121" s="19" t="str">
        <f t="shared" si="25"/>
        <v/>
      </c>
      <c r="Q121" s="19" t="str">
        <f t="shared" si="26"/>
        <v/>
      </c>
      <c r="R121" s="19" t="str">
        <f t="shared" si="28"/>
        <v/>
      </c>
      <c r="S121" s="27" t="str">
        <f t="shared" si="27"/>
        <v/>
      </c>
      <c r="T121" s="28" t="str">
        <f t="shared" si="27"/>
        <v/>
      </c>
      <c r="U121" s="28" t="str">
        <f t="shared" si="27"/>
        <v/>
      </c>
      <c r="V121" s="28" t="str">
        <f t="shared" si="27"/>
        <v/>
      </c>
      <c r="W121" s="28" t="str">
        <f t="shared" si="27"/>
        <v/>
      </c>
      <c r="X121" s="29" t="str">
        <f t="shared" si="2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9"/>
        <v/>
      </c>
      <c r="M122" s="19" t="str">
        <f t="shared" si="28"/>
        <v/>
      </c>
      <c r="N122" s="19" t="str">
        <f t="shared" si="28"/>
        <v/>
      </c>
      <c r="O122" s="19" t="str">
        <f t="shared" si="24"/>
        <v/>
      </c>
      <c r="P122" s="19" t="str">
        <f t="shared" si="25"/>
        <v/>
      </c>
      <c r="Q122" s="19" t="str">
        <f t="shared" si="26"/>
        <v/>
      </c>
      <c r="R122" s="19" t="str">
        <f t="shared" si="28"/>
        <v/>
      </c>
      <c r="S122" s="27" t="str">
        <f t="shared" si="27"/>
        <v/>
      </c>
      <c r="T122" s="28" t="str">
        <f t="shared" si="27"/>
        <v/>
      </c>
      <c r="U122" s="28" t="str">
        <f t="shared" si="27"/>
        <v/>
      </c>
      <c r="V122" s="28" t="str">
        <f t="shared" si="27"/>
        <v/>
      </c>
      <c r="W122" s="28" t="str">
        <f t="shared" si="27"/>
        <v/>
      </c>
      <c r="X122" s="29" t="str">
        <f t="shared" si="2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9"/>
        <v/>
      </c>
      <c r="M123" s="19" t="str">
        <f t="shared" si="28"/>
        <v/>
      </c>
      <c r="N123" s="19" t="str">
        <f t="shared" si="28"/>
        <v/>
      </c>
      <c r="O123" s="19" t="str">
        <f t="shared" si="24"/>
        <v/>
      </c>
      <c r="P123" s="19" t="str">
        <f t="shared" si="25"/>
        <v/>
      </c>
      <c r="Q123" s="19" t="str">
        <f t="shared" si="26"/>
        <v/>
      </c>
      <c r="R123" s="19" t="str">
        <f t="shared" si="28"/>
        <v/>
      </c>
      <c r="S123" s="27" t="str">
        <f t="shared" si="27"/>
        <v/>
      </c>
      <c r="T123" s="28" t="str">
        <f t="shared" si="27"/>
        <v/>
      </c>
      <c r="U123" s="28" t="str">
        <f t="shared" si="27"/>
        <v/>
      </c>
      <c r="V123" s="28" t="str">
        <f t="shared" si="27"/>
        <v/>
      </c>
      <c r="W123" s="28" t="str">
        <f t="shared" si="27"/>
        <v/>
      </c>
      <c r="X123" s="29" t="str">
        <f t="shared" si="2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9"/>
        <v/>
      </c>
      <c r="M124" s="19" t="str">
        <f t="shared" si="28"/>
        <v/>
      </c>
      <c r="N124" s="19" t="str">
        <f t="shared" si="28"/>
        <v/>
      </c>
      <c r="O124" s="19" t="str">
        <f t="shared" si="24"/>
        <v/>
      </c>
      <c r="P124" s="19" t="str">
        <f t="shared" si="25"/>
        <v/>
      </c>
      <c r="Q124" s="19" t="str">
        <f t="shared" si="26"/>
        <v/>
      </c>
      <c r="R124" s="19" t="str">
        <f t="shared" si="28"/>
        <v/>
      </c>
      <c r="S124" s="27" t="str">
        <f t="shared" si="27"/>
        <v/>
      </c>
      <c r="T124" s="28" t="str">
        <f t="shared" si="27"/>
        <v/>
      </c>
      <c r="U124" s="28" t="str">
        <f t="shared" si="27"/>
        <v/>
      </c>
      <c r="V124" s="28" t="str">
        <f t="shared" si="27"/>
        <v/>
      </c>
      <c r="W124" s="28" t="str">
        <f t="shared" si="27"/>
        <v/>
      </c>
      <c r="X124" s="29" t="str">
        <f t="shared" si="2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9"/>
        <v/>
      </c>
      <c r="M125" s="19" t="str">
        <f t="shared" si="28"/>
        <v/>
      </c>
      <c r="N125" s="19" t="str">
        <f t="shared" si="28"/>
        <v/>
      </c>
      <c r="O125" s="19" t="str">
        <f t="shared" si="24"/>
        <v/>
      </c>
      <c r="P125" s="19" t="str">
        <f t="shared" si="25"/>
        <v/>
      </c>
      <c r="Q125" s="19" t="str">
        <f t="shared" si="26"/>
        <v/>
      </c>
      <c r="R125" s="19" t="str">
        <f t="shared" si="28"/>
        <v/>
      </c>
      <c r="S125" s="27" t="str">
        <f t="shared" si="27"/>
        <v/>
      </c>
      <c r="T125" s="28" t="str">
        <f t="shared" si="27"/>
        <v/>
      </c>
      <c r="U125" s="28" t="str">
        <f t="shared" si="27"/>
        <v/>
      </c>
      <c r="V125" s="28" t="str">
        <f t="shared" si="27"/>
        <v/>
      </c>
      <c r="W125" s="28" t="str">
        <f t="shared" si="27"/>
        <v/>
      </c>
      <c r="X125" s="29" t="str">
        <f t="shared" si="2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9"/>
        <v/>
      </c>
      <c r="M126" s="19" t="str">
        <f t="shared" si="28"/>
        <v/>
      </c>
      <c r="N126" s="19" t="str">
        <f t="shared" si="28"/>
        <v/>
      </c>
      <c r="O126" s="19" t="str">
        <f t="shared" si="24"/>
        <v/>
      </c>
      <c r="P126" s="19" t="str">
        <f t="shared" si="25"/>
        <v/>
      </c>
      <c r="Q126" s="19" t="str">
        <f t="shared" si="26"/>
        <v/>
      </c>
      <c r="R126" s="19" t="str">
        <f t="shared" si="28"/>
        <v/>
      </c>
      <c r="S126" s="27" t="str">
        <f t="shared" si="27"/>
        <v/>
      </c>
      <c r="T126" s="28" t="str">
        <f t="shared" si="27"/>
        <v/>
      </c>
      <c r="U126" s="28" t="str">
        <f t="shared" si="27"/>
        <v/>
      </c>
      <c r="V126" s="28" t="str">
        <f t="shared" si="27"/>
        <v/>
      </c>
      <c r="W126" s="28" t="str">
        <f t="shared" si="27"/>
        <v/>
      </c>
      <c r="X126" s="29" t="str">
        <f t="shared" si="2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9"/>
        <v/>
      </c>
      <c r="M127" s="19" t="str">
        <f t="shared" si="28"/>
        <v/>
      </c>
      <c r="N127" s="19" t="str">
        <f t="shared" si="28"/>
        <v/>
      </c>
      <c r="O127" s="19" t="str">
        <f t="shared" si="24"/>
        <v/>
      </c>
      <c r="P127" s="19" t="str">
        <f t="shared" si="25"/>
        <v/>
      </c>
      <c r="Q127" s="19" t="str">
        <f t="shared" si="26"/>
        <v/>
      </c>
      <c r="R127" s="19" t="str">
        <f t="shared" si="28"/>
        <v/>
      </c>
      <c r="S127" s="27" t="str">
        <f t="shared" si="27"/>
        <v/>
      </c>
      <c r="T127" s="28" t="str">
        <f t="shared" si="27"/>
        <v/>
      </c>
      <c r="U127" s="28" t="str">
        <f t="shared" si="27"/>
        <v/>
      </c>
      <c r="V127" s="28" t="str">
        <f t="shared" si="27"/>
        <v/>
      </c>
      <c r="W127" s="28" t="str">
        <f t="shared" si="27"/>
        <v/>
      </c>
      <c r="X127" s="29" t="str">
        <f t="shared" si="2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9"/>
        <v/>
      </c>
      <c r="M128" s="19" t="str">
        <f t="shared" si="28"/>
        <v/>
      </c>
      <c r="N128" s="19" t="str">
        <f t="shared" si="28"/>
        <v/>
      </c>
      <c r="O128" s="19" t="str">
        <f t="shared" si="24"/>
        <v/>
      </c>
      <c r="P128" s="19" t="str">
        <f t="shared" si="25"/>
        <v/>
      </c>
      <c r="Q128" s="19" t="str">
        <f t="shared" si="26"/>
        <v/>
      </c>
      <c r="R128" s="19" t="str">
        <f t="shared" si="28"/>
        <v/>
      </c>
      <c r="S128" s="27" t="str">
        <f t="shared" si="27"/>
        <v/>
      </c>
      <c r="T128" s="28" t="str">
        <f t="shared" si="27"/>
        <v/>
      </c>
      <c r="U128" s="28" t="str">
        <f t="shared" si="27"/>
        <v/>
      </c>
      <c r="V128" s="28" t="str">
        <f t="shared" si="27"/>
        <v/>
      </c>
      <c r="W128" s="28" t="str">
        <f t="shared" si="27"/>
        <v/>
      </c>
      <c r="X128" s="29" t="str">
        <f t="shared" si="2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9"/>
        <v/>
      </c>
      <c r="M129" s="19" t="str">
        <f t="shared" si="28"/>
        <v/>
      </c>
      <c r="N129" s="19" t="str">
        <f t="shared" si="28"/>
        <v/>
      </c>
      <c r="O129" s="19" t="str">
        <f t="shared" si="24"/>
        <v/>
      </c>
      <c r="P129" s="19" t="str">
        <f t="shared" si="25"/>
        <v/>
      </c>
      <c r="Q129" s="19" t="str">
        <f t="shared" si="26"/>
        <v/>
      </c>
      <c r="R129" s="19" t="str">
        <f t="shared" si="28"/>
        <v/>
      </c>
      <c r="S129" s="27" t="str">
        <f t="shared" ref="S129:X144" si="30">IF(C129="","",((C129-C128)*1000)/($B129-$B128))</f>
        <v/>
      </c>
      <c r="T129" s="28" t="str">
        <f t="shared" si="30"/>
        <v/>
      </c>
      <c r="U129" s="28" t="str">
        <f t="shared" si="30"/>
        <v/>
      </c>
      <c r="V129" s="28" t="str">
        <f t="shared" si="30"/>
        <v/>
      </c>
      <c r="W129" s="28" t="str">
        <f t="shared" si="30"/>
        <v/>
      </c>
      <c r="X129" s="29" t="str">
        <f t="shared" si="30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9"/>
        <v/>
      </c>
      <c r="M130" s="19" t="str">
        <f t="shared" si="28"/>
        <v/>
      </c>
      <c r="N130" s="19" t="str">
        <f t="shared" si="28"/>
        <v/>
      </c>
      <c r="O130" s="19" t="str">
        <f t="shared" si="24"/>
        <v/>
      </c>
      <c r="P130" s="19" t="str">
        <f t="shared" si="25"/>
        <v/>
      </c>
      <c r="Q130" s="19" t="str">
        <f t="shared" si="26"/>
        <v/>
      </c>
      <c r="R130" s="19" t="str">
        <f t="shared" si="28"/>
        <v/>
      </c>
      <c r="S130" s="27" t="str">
        <f t="shared" si="30"/>
        <v/>
      </c>
      <c r="T130" s="28" t="str">
        <f t="shared" si="30"/>
        <v/>
      </c>
      <c r="U130" s="28" t="str">
        <f t="shared" si="30"/>
        <v/>
      </c>
      <c r="V130" s="28" t="str">
        <f t="shared" si="30"/>
        <v/>
      </c>
      <c r="W130" s="28" t="str">
        <f t="shared" si="30"/>
        <v/>
      </c>
      <c r="X130" s="29" t="str">
        <f t="shared" si="30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9"/>
        <v/>
      </c>
      <c r="M131" s="19" t="str">
        <f t="shared" si="28"/>
        <v/>
      </c>
      <c r="N131" s="19" t="str">
        <f t="shared" si="28"/>
        <v/>
      </c>
      <c r="O131" s="19" t="str">
        <f t="shared" si="24"/>
        <v/>
      </c>
      <c r="P131" s="19" t="str">
        <f t="shared" si="25"/>
        <v/>
      </c>
      <c r="Q131" s="19" t="str">
        <f t="shared" si="26"/>
        <v/>
      </c>
      <c r="R131" s="19" t="str">
        <f t="shared" si="28"/>
        <v/>
      </c>
      <c r="S131" s="27" t="str">
        <f t="shared" si="30"/>
        <v/>
      </c>
      <c r="T131" s="28" t="str">
        <f t="shared" si="30"/>
        <v/>
      </c>
      <c r="U131" s="28" t="str">
        <f t="shared" si="30"/>
        <v/>
      </c>
      <c r="V131" s="28" t="str">
        <f t="shared" si="30"/>
        <v/>
      </c>
      <c r="W131" s="28" t="str">
        <f t="shared" si="30"/>
        <v/>
      </c>
      <c r="X131" s="29" t="str">
        <f t="shared" si="30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9"/>
        <v/>
      </c>
      <c r="M132" s="19" t="str">
        <f t="shared" si="28"/>
        <v/>
      </c>
      <c r="N132" s="19" t="str">
        <f t="shared" si="28"/>
        <v/>
      </c>
      <c r="O132" s="19" t="str">
        <f t="shared" si="24"/>
        <v/>
      </c>
      <c r="P132" s="19" t="str">
        <f t="shared" si="25"/>
        <v/>
      </c>
      <c r="Q132" s="19" t="str">
        <f t="shared" si="26"/>
        <v/>
      </c>
      <c r="R132" s="19" t="str">
        <f t="shared" si="28"/>
        <v/>
      </c>
      <c r="S132" s="27" t="str">
        <f t="shared" si="30"/>
        <v/>
      </c>
      <c r="T132" s="28" t="str">
        <f t="shared" si="30"/>
        <v/>
      </c>
      <c r="U132" s="28" t="str">
        <f t="shared" si="30"/>
        <v/>
      </c>
      <c r="V132" s="28" t="str">
        <f t="shared" si="30"/>
        <v/>
      </c>
      <c r="W132" s="28" t="str">
        <f t="shared" si="30"/>
        <v/>
      </c>
      <c r="X132" s="29" t="str">
        <f t="shared" si="30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9"/>
        <v/>
      </c>
      <c r="M133" s="19" t="str">
        <f t="shared" si="28"/>
        <v/>
      </c>
      <c r="N133" s="19" t="str">
        <f t="shared" si="28"/>
        <v/>
      </c>
      <c r="O133" s="19" t="str">
        <f t="shared" si="24"/>
        <v/>
      </c>
      <c r="P133" s="19" t="str">
        <f t="shared" si="25"/>
        <v/>
      </c>
      <c r="Q133" s="19" t="str">
        <f t="shared" si="26"/>
        <v/>
      </c>
      <c r="R133" s="19" t="str">
        <f t="shared" si="28"/>
        <v/>
      </c>
      <c r="S133" s="27" t="str">
        <f t="shared" si="30"/>
        <v/>
      </c>
      <c r="T133" s="28" t="str">
        <f t="shared" si="30"/>
        <v/>
      </c>
      <c r="U133" s="28" t="str">
        <f t="shared" si="30"/>
        <v/>
      </c>
      <c r="V133" s="28" t="str">
        <f t="shared" si="30"/>
        <v/>
      </c>
      <c r="W133" s="28" t="str">
        <f t="shared" si="30"/>
        <v/>
      </c>
      <c r="X133" s="29" t="str">
        <f t="shared" si="30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9"/>
        <v/>
      </c>
      <c r="M134" s="19" t="str">
        <f t="shared" si="28"/>
        <v/>
      </c>
      <c r="N134" s="19" t="str">
        <f t="shared" si="28"/>
        <v/>
      </c>
      <c r="O134" s="19" t="str">
        <f t="shared" si="24"/>
        <v/>
      </c>
      <c r="P134" s="19" t="str">
        <f t="shared" si="25"/>
        <v/>
      </c>
      <c r="Q134" s="19" t="str">
        <f t="shared" si="26"/>
        <v/>
      </c>
      <c r="R134" s="19" t="str">
        <f t="shared" si="28"/>
        <v/>
      </c>
      <c r="S134" s="27" t="str">
        <f t="shared" si="30"/>
        <v/>
      </c>
      <c r="T134" s="28" t="str">
        <f t="shared" si="30"/>
        <v/>
      </c>
      <c r="U134" s="28" t="str">
        <f t="shared" si="30"/>
        <v/>
      </c>
      <c r="V134" s="28" t="str">
        <f t="shared" si="30"/>
        <v/>
      </c>
      <c r="W134" s="28" t="str">
        <f t="shared" si="30"/>
        <v/>
      </c>
      <c r="X134" s="29" t="str">
        <f t="shared" si="30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9"/>
        <v/>
      </c>
      <c r="M135" s="19" t="str">
        <f t="shared" si="28"/>
        <v/>
      </c>
      <c r="N135" s="19" t="str">
        <f t="shared" si="28"/>
        <v/>
      </c>
      <c r="O135" s="19" t="str">
        <f t="shared" si="24"/>
        <v/>
      </c>
      <c r="P135" s="19" t="str">
        <f t="shared" si="25"/>
        <v/>
      </c>
      <c r="Q135" s="19" t="str">
        <f t="shared" si="26"/>
        <v/>
      </c>
      <c r="R135" s="19" t="str">
        <f t="shared" si="28"/>
        <v/>
      </c>
      <c r="S135" s="27" t="str">
        <f t="shared" si="30"/>
        <v/>
      </c>
      <c r="T135" s="28" t="str">
        <f t="shared" si="30"/>
        <v/>
      </c>
      <c r="U135" s="28" t="str">
        <f t="shared" si="30"/>
        <v/>
      </c>
      <c r="V135" s="28" t="str">
        <f t="shared" si="30"/>
        <v/>
      </c>
      <c r="W135" s="28" t="str">
        <f t="shared" si="30"/>
        <v/>
      </c>
      <c r="X135" s="29" t="str">
        <f t="shared" si="30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9"/>
        <v/>
      </c>
      <c r="M136" s="19" t="str">
        <f t="shared" si="28"/>
        <v/>
      </c>
      <c r="N136" s="19" t="str">
        <f t="shared" si="28"/>
        <v/>
      </c>
      <c r="O136" s="19" t="str">
        <f t="shared" si="24"/>
        <v/>
      </c>
      <c r="P136" s="19" t="str">
        <f t="shared" si="25"/>
        <v/>
      </c>
      <c r="Q136" s="19" t="str">
        <f t="shared" si="26"/>
        <v/>
      </c>
      <c r="R136" s="19" t="str">
        <f t="shared" si="28"/>
        <v/>
      </c>
      <c r="S136" s="27" t="str">
        <f t="shared" si="30"/>
        <v/>
      </c>
      <c r="T136" s="28" t="str">
        <f t="shared" si="30"/>
        <v/>
      </c>
      <c r="U136" s="28" t="str">
        <f t="shared" si="30"/>
        <v/>
      </c>
      <c r="V136" s="28" t="str">
        <f t="shared" si="30"/>
        <v/>
      </c>
      <c r="W136" s="28" t="str">
        <f t="shared" si="30"/>
        <v/>
      </c>
      <c r="X136" s="29" t="str">
        <f t="shared" si="30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9"/>
        <v/>
      </c>
      <c r="M137" s="19" t="str">
        <f t="shared" si="28"/>
        <v/>
      </c>
      <c r="N137" s="19" t="str">
        <f t="shared" si="28"/>
        <v/>
      </c>
      <c r="O137" s="19" t="str">
        <f t="shared" si="24"/>
        <v/>
      </c>
      <c r="P137" s="19" t="str">
        <f t="shared" si="25"/>
        <v/>
      </c>
      <c r="Q137" s="19" t="str">
        <f t="shared" si="26"/>
        <v/>
      </c>
      <c r="R137" s="19" t="str">
        <f t="shared" si="28"/>
        <v/>
      </c>
      <c r="S137" s="27" t="str">
        <f t="shared" si="30"/>
        <v/>
      </c>
      <c r="T137" s="28" t="str">
        <f t="shared" si="30"/>
        <v/>
      </c>
      <c r="U137" s="28" t="str">
        <f t="shared" si="30"/>
        <v/>
      </c>
      <c r="V137" s="28" t="str">
        <f t="shared" si="30"/>
        <v/>
      </c>
      <c r="W137" s="28" t="str">
        <f t="shared" si="30"/>
        <v/>
      </c>
      <c r="X137" s="29" t="str">
        <f t="shared" si="30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9"/>
        <v/>
      </c>
      <c r="M138" s="19" t="str">
        <f t="shared" si="28"/>
        <v/>
      </c>
      <c r="N138" s="19" t="str">
        <f t="shared" si="28"/>
        <v/>
      </c>
      <c r="O138" s="19" t="str">
        <f t="shared" si="24"/>
        <v/>
      </c>
      <c r="P138" s="19" t="str">
        <f t="shared" si="25"/>
        <v/>
      </c>
      <c r="Q138" s="19" t="str">
        <f t="shared" si="26"/>
        <v/>
      </c>
      <c r="R138" s="19" t="str">
        <f t="shared" si="28"/>
        <v/>
      </c>
      <c r="S138" s="27" t="str">
        <f t="shared" si="30"/>
        <v/>
      </c>
      <c r="T138" s="28" t="str">
        <f t="shared" si="30"/>
        <v/>
      </c>
      <c r="U138" s="28" t="str">
        <f t="shared" si="30"/>
        <v/>
      </c>
      <c r="V138" s="28" t="str">
        <f t="shared" si="30"/>
        <v/>
      </c>
      <c r="W138" s="28" t="str">
        <f t="shared" si="30"/>
        <v/>
      </c>
      <c r="X138" s="29" t="str">
        <f t="shared" si="30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9"/>
        <v/>
      </c>
      <c r="M139" s="19" t="str">
        <f t="shared" si="28"/>
        <v/>
      </c>
      <c r="N139" s="19" t="str">
        <f t="shared" si="28"/>
        <v/>
      </c>
      <c r="O139" s="19" t="str">
        <f t="shared" si="24"/>
        <v/>
      </c>
      <c r="P139" s="19" t="str">
        <f t="shared" si="25"/>
        <v/>
      </c>
      <c r="Q139" s="19" t="str">
        <f t="shared" si="26"/>
        <v/>
      </c>
      <c r="R139" s="19" t="str">
        <f t="shared" si="28"/>
        <v/>
      </c>
      <c r="S139" s="27" t="str">
        <f t="shared" si="30"/>
        <v/>
      </c>
      <c r="T139" s="28" t="str">
        <f t="shared" si="30"/>
        <v/>
      </c>
      <c r="U139" s="28" t="str">
        <f t="shared" si="30"/>
        <v/>
      </c>
      <c r="V139" s="28" t="str">
        <f t="shared" si="30"/>
        <v/>
      </c>
      <c r="W139" s="28" t="str">
        <f t="shared" si="30"/>
        <v/>
      </c>
      <c r="X139" s="29" t="str">
        <f t="shared" si="30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9"/>
        <v/>
      </c>
      <c r="M140" s="19" t="str">
        <f t="shared" si="28"/>
        <v/>
      </c>
      <c r="N140" s="19" t="str">
        <f t="shared" si="28"/>
        <v/>
      </c>
      <c r="O140" s="19" t="str">
        <f t="shared" si="24"/>
        <v/>
      </c>
      <c r="P140" s="19" t="str">
        <f t="shared" si="25"/>
        <v/>
      </c>
      <c r="Q140" s="19" t="str">
        <f t="shared" si="26"/>
        <v/>
      </c>
      <c r="R140" s="19" t="str">
        <f t="shared" si="28"/>
        <v/>
      </c>
      <c r="S140" s="27" t="str">
        <f t="shared" si="30"/>
        <v/>
      </c>
      <c r="T140" s="28" t="str">
        <f t="shared" si="30"/>
        <v/>
      </c>
      <c r="U140" s="28" t="str">
        <f t="shared" si="30"/>
        <v/>
      </c>
      <c r="V140" s="28" t="str">
        <f t="shared" si="30"/>
        <v/>
      </c>
      <c r="W140" s="28" t="str">
        <f t="shared" si="30"/>
        <v/>
      </c>
      <c r="X140" s="29" t="str">
        <f t="shared" si="30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9"/>
        <v/>
      </c>
      <c r="M141" s="19" t="str">
        <f t="shared" si="28"/>
        <v/>
      </c>
      <c r="N141" s="19" t="str">
        <f t="shared" si="28"/>
        <v/>
      </c>
      <c r="O141" s="19" t="str">
        <f t="shared" si="24"/>
        <v/>
      </c>
      <c r="P141" s="19" t="str">
        <f t="shared" si="25"/>
        <v/>
      </c>
      <c r="Q141" s="19" t="str">
        <f t="shared" si="26"/>
        <v/>
      </c>
      <c r="R141" s="19" t="str">
        <f t="shared" si="28"/>
        <v/>
      </c>
      <c r="S141" s="27" t="str">
        <f t="shared" si="30"/>
        <v/>
      </c>
      <c r="T141" s="28" t="str">
        <f t="shared" si="30"/>
        <v/>
      </c>
      <c r="U141" s="28" t="str">
        <f t="shared" si="30"/>
        <v/>
      </c>
      <c r="V141" s="28" t="str">
        <f t="shared" si="30"/>
        <v/>
      </c>
      <c r="W141" s="28" t="str">
        <f t="shared" si="30"/>
        <v/>
      </c>
      <c r="X141" s="29" t="str">
        <f t="shared" si="30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9"/>
        <v/>
      </c>
      <c r="M142" s="19" t="str">
        <f t="shared" si="28"/>
        <v/>
      </c>
      <c r="N142" s="19" t="str">
        <f t="shared" si="28"/>
        <v/>
      </c>
      <c r="O142" s="19" t="str">
        <f t="shared" si="24"/>
        <v/>
      </c>
      <c r="P142" s="19" t="str">
        <f t="shared" si="25"/>
        <v/>
      </c>
      <c r="Q142" s="19" t="str">
        <f t="shared" si="26"/>
        <v/>
      </c>
      <c r="R142" s="19" t="str">
        <f t="shared" si="28"/>
        <v/>
      </c>
      <c r="S142" s="27" t="str">
        <f t="shared" si="30"/>
        <v/>
      </c>
      <c r="T142" s="28" t="str">
        <f t="shared" si="30"/>
        <v/>
      </c>
      <c r="U142" s="28" t="str">
        <f t="shared" si="30"/>
        <v/>
      </c>
      <c r="V142" s="28" t="str">
        <f t="shared" si="30"/>
        <v/>
      </c>
      <c r="W142" s="28" t="str">
        <f t="shared" si="30"/>
        <v/>
      </c>
      <c r="X142" s="29" t="str">
        <f t="shared" si="30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9"/>
        <v/>
      </c>
      <c r="M143" s="19" t="str">
        <f t="shared" si="28"/>
        <v/>
      </c>
      <c r="N143" s="19" t="str">
        <f t="shared" si="28"/>
        <v/>
      </c>
      <c r="O143" s="19" t="str">
        <f t="shared" si="24"/>
        <v/>
      </c>
      <c r="P143" s="19" t="str">
        <f t="shared" si="25"/>
        <v/>
      </c>
      <c r="Q143" s="19" t="str">
        <f t="shared" si="26"/>
        <v/>
      </c>
      <c r="R143" s="19" t="str">
        <f t="shared" si="28"/>
        <v/>
      </c>
      <c r="S143" s="27" t="str">
        <f t="shared" si="30"/>
        <v/>
      </c>
      <c r="T143" s="28" t="str">
        <f t="shared" si="30"/>
        <v/>
      </c>
      <c r="U143" s="28" t="str">
        <f t="shared" si="30"/>
        <v/>
      </c>
      <c r="V143" s="28" t="str">
        <f t="shared" si="30"/>
        <v/>
      </c>
      <c r="W143" s="28" t="str">
        <f t="shared" si="30"/>
        <v/>
      </c>
      <c r="X143" s="29" t="str">
        <f t="shared" si="30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9"/>
        <v/>
      </c>
      <c r="M144" s="19" t="str">
        <f t="shared" si="28"/>
        <v/>
      </c>
      <c r="N144" s="19" t="str">
        <f t="shared" si="28"/>
        <v/>
      </c>
      <c r="O144" s="19" t="str">
        <f t="shared" si="24"/>
        <v/>
      </c>
      <c r="P144" s="19" t="str">
        <f t="shared" si="25"/>
        <v/>
      </c>
      <c r="Q144" s="19" t="str">
        <f t="shared" si="26"/>
        <v/>
      </c>
      <c r="R144" s="19" t="str">
        <f t="shared" si="28"/>
        <v/>
      </c>
      <c r="S144" s="27" t="str">
        <f t="shared" si="30"/>
        <v/>
      </c>
      <c r="T144" s="28" t="str">
        <f t="shared" si="30"/>
        <v/>
      </c>
      <c r="U144" s="28" t="str">
        <f t="shared" si="30"/>
        <v/>
      </c>
      <c r="V144" s="28" t="str">
        <f t="shared" si="30"/>
        <v/>
      </c>
      <c r="W144" s="28" t="str">
        <f t="shared" si="30"/>
        <v/>
      </c>
      <c r="X144" s="29" t="str">
        <f t="shared" si="30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9"/>
        <v/>
      </c>
      <c r="M145" s="19" t="str">
        <f t="shared" si="28"/>
        <v/>
      </c>
      <c r="N145" s="19" t="str">
        <f t="shared" si="28"/>
        <v/>
      </c>
      <c r="O145" s="19" t="str">
        <f t="shared" si="24"/>
        <v/>
      </c>
      <c r="P145" s="19" t="str">
        <f t="shared" si="25"/>
        <v/>
      </c>
      <c r="Q145" s="19" t="str">
        <f t="shared" si="26"/>
        <v/>
      </c>
      <c r="R145" s="19" t="str">
        <f t="shared" si="28"/>
        <v/>
      </c>
      <c r="S145" s="27" t="str">
        <f t="shared" ref="S145:X153" si="31">IF(C145="","",((C145-C144)*1000)/($B145-$B144))</f>
        <v/>
      </c>
      <c r="T145" s="28" t="str">
        <f t="shared" si="31"/>
        <v/>
      </c>
      <c r="U145" s="28" t="str">
        <f t="shared" si="31"/>
        <v/>
      </c>
      <c r="V145" s="28" t="str">
        <f t="shared" si="31"/>
        <v/>
      </c>
      <c r="W145" s="28" t="str">
        <f t="shared" si="31"/>
        <v/>
      </c>
      <c r="X145" s="29" t="str">
        <f t="shared" si="31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9"/>
        <v/>
      </c>
      <c r="M146" s="19" t="str">
        <f t="shared" si="28"/>
        <v/>
      </c>
      <c r="N146" s="19" t="str">
        <f t="shared" si="28"/>
        <v/>
      </c>
      <c r="O146" s="19" t="str">
        <f t="shared" si="24"/>
        <v/>
      </c>
      <c r="P146" s="19" t="str">
        <f t="shared" si="25"/>
        <v/>
      </c>
      <c r="Q146" s="19" t="str">
        <f t="shared" si="26"/>
        <v/>
      </c>
      <c r="R146" s="19" t="str">
        <f t="shared" si="28"/>
        <v/>
      </c>
      <c r="S146" s="27" t="str">
        <f t="shared" si="31"/>
        <v/>
      </c>
      <c r="T146" s="28" t="str">
        <f t="shared" si="31"/>
        <v/>
      </c>
      <c r="U146" s="28" t="str">
        <f t="shared" si="31"/>
        <v/>
      </c>
      <c r="V146" s="28" t="str">
        <f t="shared" si="31"/>
        <v/>
      </c>
      <c r="W146" s="28" t="str">
        <f t="shared" si="31"/>
        <v/>
      </c>
      <c r="X146" s="29" t="str">
        <f t="shared" si="31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9"/>
        <v/>
      </c>
      <c r="M147" s="19" t="str">
        <f t="shared" si="28"/>
        <v/>
      </c>
      <c r="N147" s="19" t="str">
        <f t="shared" si="28"/>
        <v/>
      </c>
      <c r="O147" s="19" t="str">
        <f t="shared" si="24"/>
        <v/>
      </c>
      <c r="P147" s="19" t="str">
        <f t="shared" si="25"/>
        <v/>
      </c>
      <c r="Q147" s="19" t="str">
        <f t="shared" si="26"/>
        <v/>
      </c>
      <c r="R147" s="19" t="str">
        <f t="shared" si="28"/>
        <v/>
      </c>
      <c r="S147" s="27" t="str">
        <f t="shared" si="31"/>
        <v/>
      </c>
      <c r="T147" s="28" t="str">
        <f t="shared" si="31"/>
        <v/>
      </c>
      <c r="U147" s="28" t="str">
        <f t="shared" si="31"/>
        <v/>
      </c>
      <c r="V147" s="28" t="str">
        <f t="shared" si="31"/>
        <v/>
      </c>
      <c r="W147" s="28" t="str">
        <f t="shared" si="31"/>
        <v/>
      </c>
      <c r="X147" s="29" t="str">
        <f t="shared" si="31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9"/>
        <v/>
      </c>
      <c r="M148" s="19" t="str">
        <f t="shared" si="28"/>
        <v/>
      </c>
      <c r="N148" s="19" t="str">
        <f t="shared" si="28"/>
        <v/>
      </c>
      <c r="O148" s="19" t="str">
        <f t="shared" si="24"/>
        <v/>
      </c>
      <c r="P148" s="19" t="str">
        <f t="shared" si="25"/>
        <v/>
      </c>
      <c r="Q148" s="19" t="str">
        <f t="shared" si="26"/>
        <v/>
      </c>
      <c r="R148" s="19" t="str">
        <f t="shared" si="28"/>
        <v/>
      </c>
      <c r="S148" s="27" t="str">
        <f t="shared" si="31"/>
        <v/>
      </c>
      <c r="T148" s="28" t="str">
        <f t="shared" si="31"/>
        <v/>
      </c>
      <c r="U148" s="28" t="str">
        <f t="shared" si="31"/>
        <v/>
      </c>
      <c r="V148" s="28" t="str">
        <f t="shared" si="31"/>
        <v/>
      </c>
      <c r="W148" s="28" t="str">
        <f t="shared" si="31"/>
        <v/>
      </c>
      <c r="X148" s="29" t="str">
        <f t="shared" si="31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9"/>
        <v/>
      </c>
      <c r="M149" s="19" t="str">
        <f t="shared" si="28"/>
        <v/>
      </c>
      <c r="N149" s="19" t="str">
        <f t="shared" si="28"/>
        <v/>
      </c>
      <c r="O149" s="19" t="str">
        <f t="shared" si="24"/>
        <v/>
      </c>
      <c r="P149" s="19" t="str">
        <f t="shared" si="25"/>
        <v/>
      </c>
      <c r="Q149" s="19" t="str">
        <f t="shared" si="26"/>
        <v/>
      </c>
      <c r="R149" s="19" t="str">
        <f t="shared" si="28"/>
        <v/>
      </c>
      <c r="S149" s="27" t="str">
        <f t="shared" si="31"/>
        <v/>
      </c>
      <c r="T149" s="28" t="str">
        <f t="shared" si="31"/>
        <v/>
      </c>
      <c r="U149" s="28" t="str">
        <f t="shared" si="31"/>
        <v/>
      </c>
      <c r="V149" s="28" t="str">
        <f t="shared" si="31"/>
        <v/>
      </c>
      <c r="W149" s="28" t="str">
        <f t="shared" si="31"/>
        <v/>
      </c>
      <c r="X149" s="29" t="str">
        <f t="shared" si="31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9"/>
        <v/>
      </c>
      <c r="M150" s="19" t="str">
        <f t="shared" si="28"/>
        <v/>
      </c>
      <c r="N150" s="19" t="str">
        <f t="shared" si="28"/>
        <v/>
      </c>
      <c r="O150" s="19" t="str">
        <f t="shared" si="24"/>
        <v/>
      </c>
      <c r="P150" s="19" t="str">
        <f t="shared" si="25"/>
        <v/>
      </c>
      <c r="Q150" s="19" t="str">
        <f t="shared" si="26"/>
        <v/>
      </c>
      <c r="R150" s="19" t="str">
        <f t="shared" si="28"/>
        <v/>
      </c>
      <c r="S150" s="27" t="str">
        <f t="shared" si="31"/>
        <v/>
      </c>
      <c r="T150" s="28" t="str">
        <f t="shared" si="31"/>
        <v/>
      </c>
      <c r="U150" s="28" t="str">
        <f t="shared" si="31"/>
        <v/>
      </c>
      <c r="V150" s="28" t="str">
        <f t="shared" si="31"/>
        <v/>
      </c>
      <c r="W150" s="28" t="str">
        <f t="shared" si="31"/>
        <v/>
      </c>
      <c r="X150" s="29" t="str">
        <f t="shared" si="31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9"/>
        <v/>
      </c>
      <c r="M151" s="19" t="str">
        <f t="shared" si="28"/>
        <v/>
      </c>
      <c r="N151" s="19" t="str">
        <f t="shared" si="28"/>
        <v/>
      </c>
      <c r="O151" s="19" t="str">
        <f t="shared" si="24"/>
        <v/>
      </c>
      <c r="P151" s="19" t="str">
        <f t="shared" si="25"/>
        <v/>
      </c>
      <c r="Q151" s="19" t="str">
        <f t="shared" si="26"/>
        <v/>
      </c>
      <c r="R151" s="19" t="str">
        <f t="shared" si="28"/>
        <v/>
      </c>
      <c r="S151" s="27" t="str">
        <f t="shared" si="31"/>
        <v/>
      </c>
      <c r="T151" s="28" t="str">
        <f t="shared" si="31"/>
        <v/>
      </c>
      <c r="U151" s="28" t="str">
        <f t="shared" si="31"/>
        <v/>
      </c>
      <c r="V151" s="28" t="str">
        <f t="shared" si="31"/>
        <v/>
      </c>
      <c r="W151" s="28" t="str">
        <f t="shared" si="31"/>
        <v/>
      </c>
      <c r="X151" s="29" t="str">
        <f t="shared" si="31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9"/>
        <v/>
      </c>
      <c r="M152" s="19" t="str">
        <f t="shared" si="28"/>
        <v/>
      </c>
      <c r="N152" s="19" t="str">
        <f t="shared" si="28"/>
        <v/>
      </c>
      <c r="O152" s="19" t="str">
        <f t="shared" si="24"/>
        <v/>
      </c>
      <c r="P152" s="19" t="str">
        <f t="shared" si="25"/>
        <v/>
      </c>
      <c r="Q152" s="19" t="str">
        <f t="shared" si="26"/>
        <v/>
      </c>
      <c r="R152" s="19" t="str">
        <f t="shared" si="28"/>
        <v/>
      </c>
      <c r="S152" s="27" t="str">
        <f t="shared" si="31"/>
        <v/>
      </c>
      <c r="T152" s="28" t="str">
        <f t="shared" si="31"/>
        <v/>
      </c>
      <c r="U152" s="28" t="str">
        <f t="shared" si="31"/>
        <v/>
      </c>
      <c r="V152" s="28" t="str">
        <f t="shared" si="31"/>
        <v/>
      </c>
      <c r="W152" s="28" t="str">
        <f t="shared" si="31"/>
        <v/>
      </c>
      <c r="X152" s="29" t="str">
        <f t="shared" si="31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9"/>
        <v/>
      </c>
      <c r="M153" s="19" t="str">
        <f t="shared" si="28"/>
        <v/>
      </c>
      <c r="N153" s="19" t="str">
        <f t="shared" si="28"/>
        <v/>
      </c>
      <c r="O153" s="19" t="str">
        <f t="shared" si="24"/>
        <v/>
      </c>
      <c r="P153" s="19" t="str">
        <f t="shared" si="25"/>
        <v/>
      </c>
      <c r="Q153" s="19" t="str">
        <f t="shared" si="26"/>
        <v/>
      </c>
      <c r="R153" s="19" t="str">
        <f t="shared" si="28"/>
        <v/>
      </c>
      <c r="S153" s="27" t="str">
        <f t="shared" si="31"/>
        <v/>
      </c>
      <c r="T153" s="28" t="str">
        <f t="shared" si="31"/>
        <v/>
      </c>
      <c r="U153" s="28" t="str">
        <f t="shared" si="31"/>
        <v/>
      </c>
      <c r="V153" s="28" t="str">
        <f t="shared" si="31"/>
        <v/>
      </c>
      <c r="W153" s="28" t="str">
        <f t="shared" si="31"/>
        <v/>
      </c>
      <c r="X153" s="29" t="str">
        <f t="shared" si="31"/>
        <v/>
      </c>
      <c r="Y153" s="24"/>
    </row>
  </sheetData>
  <sheetProtection selectLockedCells="1"/>
  <mergeCells count="38">
    <mergeCell ref="Y13:Y15"/>
    <mergeCell ref="C14:E14"/>
    <mergeCell ref="F14:H14"/>
    <mergeCell ref="B5:D8"/>
    <mergeCell ref="E5:I5"/>
    <mergeCell ref="J5:Q5"/>
    <mergeCell ref="R5:V5"/>
    <mergeCell ref="S13:X14"/>
    <mergeCell ref="W8:Y8"/>
    <mergeCell ref="J14:K14"/>
    <mergeCell ref="E8:I8"/>
    <mergeCell ref="J8:Q8"/>
    <mergeCell ref="I14:I15"/>
    <mergeCell ref="B13:B15"/>
    <mergeCell ref="C13:K13"/>
    <mergeCell ref="L13:R14"/>
    <mergeCell ref="A1:J1"/>
    <mergeCell ref="E2:Q2"/>
    <mergeCell ref="R2:X4"/>
    <mergeCell ref="W5:Y5"/>
    <mergeCell ref="E6:I6"/>
    <mergeCell ref="J6:Q6"/>
    <mergeCell ref="R6:V6"/>
    <mergeCell ref="Y2:Y4"/>
    <mergeCell ref="E3:Q3"/>
    <mergeCell ref="E4:Q4"/>
    <mergeCell ref="W6:Y6"/>
    <mergeCell ref="AA9:AI9"/>
    <mergeCell ref="B10:J12"/>
    <mergeCell ref="K10:S12"/>
    <mergeCell ref="T10:Y12"/>
    <mergeCell ref="B9:O9"/>
    <mergeCell ref="P9:Y9"/>
    <mergeCell ref="R8:V8"/>
    <mergeCell ref="W7:Y7"/>
    <mergeCell ref="J7:Q7"/>
    <mergeCell ref="R7:V7"/>
    <mergeCell ref="E7:I7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8">
    <pageSetUpPr fitToPage="1"/>
  </sheetPr>
  <dimension ref="A1:AI153"/>
  <sheetViews>
    <sheetView showGridLines="0" zoomScale="75" zoomScaleNormal="75" zoomScaleSheetLayoutView="40" zoomScalePageLayoutView="40" workbookViewId="0">
      <pane ySplit="8" topLeftCell="A42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TZ-16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39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41678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41678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>
        <v>53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198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456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13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6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6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27"/>
      <c r="C12" s="128"/>
      <c r="D12" s="128"/>
      <c r="E12" s="128"/>
      <c r="F12" s="128"/>
      <c r="G12" s="128"/>
      <c r="H12" s="128"/>
      <c r="I12" s="128"/>
      <c r="J12" s="129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43">
        <v>41680</v>
      </c>
      <c r="C16" s="14">
        <v>12.491</v>
      </c>
      <c r="D16" s="15">
        <v>7.8330000000000002</v>
      </c>
      <c r="E16" s="15">
        <v>7.5170000000000003</v>
      </c>
      <c r="F16" s="42"/>
      <c r="G16" s="42"/>
      <c r="H16" s="42"/>
      <c r="I16" s="41">
        <v>101.996</v>
      </c>
      <c r="J16" s="40">
        <v>460</v>
      </c>
      <c r="K16" s="53">
        <f t="shared" ref="K16:K26" si="0">IF(ISBLANK(J16),"",(J16-$J$8))</f>
        <v>4</v>
      </c>
      <c r="L16" s="19">
        <f t="shared" ref="L16:L24" si="1">IF(ISBLANK(C16),"",(C16-C$16)*1000)</f>
        <v>0</v>
      </c>
      <c r="M16" s="19">
        <f t="shared" ref="M16:M24" si="2">IF(ISBLANK(D16),"",(D16-D$16)*1000)</f>
        <v>0</v>
      </c>
      <c r="N16" s="19">
        <f t="shared" ref="N16:N24" si="3">IF(ISBLANK(E16),"",(E16-E$16)*1000)</f>
        <v>0</v>
      </c>
      <c r="O16" s="20"/>
      <c r="P16" s="20"/>
      <c r="Q16" s="20"/>
      <c r="R16" s="21">
        <f t="shared" ref="O16:R32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41681</v>
      </c>
      <c r="C17" s="25">
        <v>12.49</v>
      </c>
      <c r="D17" s="26">
        <v>7.83</v>
      </c>
      <c r="E17" s="26">
        <v>7.5179999999999998</v>
      </c>
      <c r="F17" s="16"/>
      <c r="G17" s="16"/>
      <c r="H17" s="16"/>
      <c r="I17" s="17">
        <v>101.996</v>
      </c>
      <c r="J17" s="32">
        <v>464.5</v>
      </c>
      <c r="K17" s="18">
        <f t="shared" si="0"/>
        <v>8.5</v>
      </c>
      <c r="L17" s="19">
        <f t="shared" si="1"/>
        <v>-0.99999999999944578</v>
      </c>
      <c r="M17" s="19">
        <f t="shared" si="2"/>
        <v>-3.0000000000001137</v>
      </c>
      <c r="N17" s="19">
        <f t="shared" si="3"/>
        <v>0.99999999999944578</v>
      </c>
      <c r="O17" s="19" t="str">
        <f t="shared" si="4"/>
        <v/>
      </c>
      <c r="P17" s="19" t="str">
        <f t="shared" si="4"/>
        <v/>
      </c>
      <c r="Q17" s="19" t="str">
        <f t="shared" si="4"/>
        <v/>
      </c>
      <c r="R17" s="19">
        <f t="shared" si="4"/>
        <v>0</v>
      </c>
      <c r="S17" s="27">
        <f t="shared" ref="S17:X32" si="5">IF(C17="","",((C17-C16)*1000)/($B17-$B16))</f>
        <v>-0.99999999999944578</v>
      </c>
      <c r="T17" s="28">
        <f t="shared" si="5"/>
        <v>-3.0000000000001137</v>
      </c>
      <c r="U17" s="28">
        <f t="shared" si="5"/>
        <v>0.99999999999944578</v>
      </c>
      <c r="V17" s="28" t="str">
        <f t="shared" si="5"/>
        <v/>
      </c>
      <c r="W17" s="28" t="str">
        <f t="shared" si="5"/>
        <v/>
      </c>
      <c r="X17" s="29" t="str">
        <f t="shared" si="5"/>
        <v/>
      </c>
      <c r="Y17" s="30"/>
    </row>
    <row r="18" spans="2:25" ht="15" customHeight="1" x14ac:dyDescent="0.2">
      <c r="B18" s="31">
        <v>41682</v>
      </c>
      <c r="C18" s="25">
        <v>12.49</v>
      </c>
      <c r="D18" s="26">
        <v>7.83</v>
      </c>
      <c r="E18" s="26">
        <v>7.5179999999999998</v>
      </c>
      <c r="F18" s="16"/>
      <c r="G18" s="16"/>
      <c r="H18" s="16"/>
      <c r="I18" s="17">
        <v>101.996</v>
      </c>
      <c r="J18" s="32">
        <v>469</v>
      </c>
      <c r="K18" s="18">
        <f t="shared" si="0"/>
        <v>13</v>
      </c>
      <c r="L18" s="19">
        <f t="shared" si="1"/>
        <v>-0.99999999999944578</v>
      </c>
      <c r="M18" s="19">
        <f t="shared" si="2"/>
        <v>-3.0000000000001137</v>
      </c>
      <c r="N18" s="19">
        <f t="shared" si="3"/>
        <v>0.99999999999944578</v>
      </c>
      <c r="O18" s="19" t="str">
        <f t="shared" si="4"/>
        <v/>
      </c>
      <c r="P18" s="19" t="str">
        <f t="shared" si="4"/>
        <v/>
      </c>
      <c r="Q18" s="19" t="str">
        <f t="shared" si="4"/>
        <v/>
      </c>
      <c r="R18" s="19">
        <f t="shared" si="4"/>
        <v>0</v>
      </c>
      <c r="S18" s="27">
        <f t="shared" si="5"/>
        <v>0</v>
      </c>
      <c r="T18" s="28">
        <f t="shared" si="5"/>
        <v>0</v>
      </c>
      <c r="U18" s="28">
        <f t="shared" si="5"/>
        <v>0</v>
      </c>
      <c r="V18" s="28" t="str">
        <f t="shared" si="5"/>
        <v/>
      </c>
      <c r="W18" s="28" t="str">
        <f t="shared" si="5"/>
        <v/>
      </c>
      <c r="X18" s="29" t="str">
        <f t="shared" si="5"/>
        <v/>
      </c>
      <c r="Y18" s="24"/>
    </row>
    <row r="19" spans="2:25" ht="15" customHeight="1" x14ac:dyDescent="0.2">
      <c r="B19" s="31">
        <v>41683</v>
      </c>
      <c r="C19" s="25">
        <v>12.491</v>
      </c>
      <c r="D19" s="26">
        <v>7.83</v>
      </c>
      <c r="E19" s="26">
        <v>7.5179999999999998</v>
      </c>
      <c r="F19" s="16"/>
      <c r="G19" s="16"/>
      <c r="H19" s="16"/>
      <c r="I19" s="17">
        <v>101.995</v>
      </c>
      <c r="J19" s="32">
        <v>472</v>
      </c>
      <c r="K19" s="18">
        <f t="shared" si="0"/>
        <v>16</v>
      </c>
      <c r="L19" s="19">
        <f t="shared" si="1"/>
        <v>0</v>
      </c>
      <c r="M19" s="19">
        <f t="shared" si="2"/>
        <v>-3.0000000000001137</v>
      </c>
      <c r="N19" s="19">
        <f t="shared" si="3"/>
        <v>0.99999999999944578</v>
      </c>
      <c r="O19" s="19" t="str">
        <f t="shared" si="4"/>
        <v/>
      </c>
      <c r="P19" s="19" t="str">
        <f t="shared" si="4"/>
        <v/>
      </c>
      <c r="Q19" s="19" t="str">
        <f t="shared" si="4"/>
        <v/>
      </c>
      <c r="R19" s="19">
        <f t="shared" si="4"/>
        <v>-0.99999999999056399</v>
      </c>
      <c r="S19" s="27">
        <f t="shared" si="5"/>
        <v>0.99999999999944578</v>
      </c>
      <c r="T19" s="28">
        <f t="shared" si="5"/>
        <v>0</v>
      </c>
      <c r="U19" s="28">
        <f t="shared" si="5"/>
        <v>0</v>
      </c>
      <c r="V19" s="28" t="str">
        <f t="shared" si="5"/>
        <v/>
      </c>
      <c r="W19" s="28" t="str">
        <f t="shared" si="5"/>
        <v/>
      </c>
      <c r="X19" s="29" t="str">
        <f t="shared" si="5"/>
        <v/>
      </c>
      <c r="Y19" s="24"/>
    </row>
    <row r="20" spans="2:25" ht="15" customHeight="1" x14ac:dyDescent="0.2">
      <c r="B20" s="31">
        <v>41684</v>
      </c>
      <c r="C20" s="25">
        <v>12.49</v>
      </c>
      <c r="D20" s="26">
        <v>7.8280000000000003</v>
      </c>
      <c r="E20" s="26">
        <v>7.5179999999999998</v>
      </c>
      <c r="F20" s="16"/>
      <c r="G20" s="16"/>
      <c r="H20" s="16"/>
      <c r="I20" s="17">
        <v>101.996</v>
      </c>
      <c r="J20" s="32">
        <v>477</v>
      </c>
      <c r="K20" s="18">
        <f t="shared" si="0"/>
        <v>21</v>
      </c>
      <c r="L20" s="19">
        <f t="shared" si="1"/>
        <v>-0.99999999999944578</v>
      </c>
      <c r="M20" s="19">
        <f t="shared" si="2"/>
        <v>-4.9999999999998934</v>
      </c>
      <c r="N20" s="19">
        <f t="shared" si="3"/>
        <v>0.99999999999944578</v>
      </c>
      <c r="O20" s="19" t="str">
        <f t="shared" si="4"/>
        <v/>
      </c>
      <c r="P20" s="19" t="str">
        <f t="shared" si="4"/>
        <v/>
      </c>
      <c r="Q20" s="19" t="str">
        <f t="shared" si="4"/>
        <v/>
      </c>
      <c r="R20" s="19">
        <f t="shared" si="4"/>
        <v>0</v>
      </c>
      <c r="S20" s="27">
        <f t="shared" si="5"/>
        <v>-0.99999999999944578</v>
      </c>
      <c r="T20" s="28">
        <f t="shared" si="5"/>
        <v>-1.9999999999997797</v>
      </c>
      <c r="U20" s="28">
        <f t="shared" si="5"/>
        <v>0</v>
      </c>
      <c r="V20" s="28" t="str">
        <f t="shared" si="5"/>
        <v/>
      </c>
      <c r="W20" s="28" t="str">
        <f t="shared" si="5"/>
        <v/>
      </c>
      <c r="X20" s="29" t="str">
        <f t="shared" si="5"/>
        <v/>
      </c>
      <c r="Y20" s="24"/>
    </row>
    <row r="21" spans="2:25" ht="15" customHeight="1" x14ac:dyDescent="0.2">
      <c r="B21" s="31">
        <v>41687</v>
      </c>
      <c r="C21" s="25">
        <v>12.49</v>
      </c>
      <c r="D21" s="26">
        <v>7.8289999999999997</v>
      </c>
      <c r="E21" s="26">
        <v>7.5179999999999998</v>
      </c>
      <c r="F21" s="16"/>
      <c r="G21" s="16"/>
      <c r="H21" s="16"/>
      <c r="I21" s="17">
        <v>101.996</v>
      </c>
      <c r="J21" s="32">
        <v>485</v>
      </c>
      <c r="K21" s="18">
        <f t="shared" si="0"/>
        <v>29</v>
      </c>
      <c r="L21" s="19">
        <f t="shared" si="1"/>
        <v>-0.99999999999944578</v>
      </c>
      <c r="M21" s="19">
        <f t="shared" si="2"/>
        <v>-4.0000000000004476</v>
      </c>
      <c r="N21" s="19">
        <f t="shared" si="3"/>
        <v>0.99999999999944578</v>
      </c>
      <c r="O21" s="19" t="str">
        <f t="shared" si="4"/>
        <v/>
      </c>
      <c r="P21" s="19" t="str">
        <f t="shared" si="4"/>
        <v/>
      </c>
      <c r="Q21" s="19" t="str">
        <f t="shared" si="4"/>
        <v/>
      </c>
      <c r="R21" s="19">
        <f t="shared" si="4"/>
        <v>0</v>
      </c>
      <c r="S21" s="27">
        <f t="shared" si="5"/>
        <v>0</v>
      </c>
      <c r="T21" s="28">
        <f t="shared" si="5"/>
        <v>0.33333333333314857</v>
      </c>
      <c r="U21" s="28">
        <f t="shared" si="5"/>
        <v>0</v>
      </c>
      <c r="V21" s="28" t="str">
        <f t="shared" si="5"/>
        <v/>
      </c>
      <c r="W21" s="28" t="str">
        <f t="shared" si="5"/>
        <v/>
      </c>
      <c r="X21" s="29" t="str">
        <f t="shared" si="5"/>
        <v/>
      </c>
      <c r="Y21" s="24"/>
    </row>
    <row r="22" spans="2:25" ht="15" customHeight="1" x14ac:dyDescent="0.2">
      <c r="B22" s="31">
        <v>41688</v>
      </c>
      <c r="C22" s="25">
        <v>12.49</v>
      </c>
      <c r="D22" s="26">
        <v>7.8289999999999997</v>
      </c>
      <c r="E22" s="26">
        <v>7.5179999999999998</v>
      </c>
      <c r="F22" s="16"/>
      <c r="G22" s="16"/>
      <c r="H22" s="16"/>
      <c r="I22" s="17">
        <v>101.996</v>
      </c>
      <c r="J22" s="32">
        <v>492</v>
      </c>
      <c r="K22" s="18">
        <f t="shared" si="0"/>
        <v>36</v>
      </c>
      <c r="L22" s="19">
        <f t="shared" si="1"/>
        <v>-0.99999999999944578</v>
      </c>
      <c r="M22" s="19">
        <f t="shared" si="2"/>
        <v>-4.0000000000004476</v>
      </c>
      <c r="N22" s="19">
        <f t="shared" si="3"/>
        <v>0.99999999999944578</v>
      </c>
      <c r="O22" s="19" t="str">
        <f t="shared" si="4"/>
        <v/>
      </c>
      <c r="P22" s="19" t="str">
        <f t="shared" si="4"/>
        <v/>
      </c>
      <c r="Q22" s="19" t="str">
        <f t="shared" si="4"/>
        <v/>
      </c>
      <c r="R22" s="19">
        <f t="shared" si="4"/>
        <v>0</v>
      </c>
      <c r="S22" s="27">
        <f t="shared" si="5"/>
        <v>0</v>
      </c>
      <c r="T22" s="28">
        <f t="shared" si="5"/>
        <v>0</v>
      </c>
      <c r="U22" s="28">
        <f t="shared" si="5"/>
        <v>0</v>
      </c>
      <c r="V22" s="28" t="str">
        <f t="shared" si="5"/>
        <v/>
      </c>
      <c r="W22" s="28" t="str">
        <f t="shared" si="5"/>
        <v/>
      </c>
      <c r="X22" s="29" t="str">
        <f t="shared" si="5"/>
        <v/>
      </c>
      <c r="Y22" s="24"/>
    </row>
    <row r="23" spans="2:25" ht="15" customHeight="1" x14ac:dyDescent="0.2">
      <c r="B23" s="31">
        <v>41689</v>
      </c>
      <c r="C23" s="25">
        <v>12.49</v>
      </c>
      <c r="D23" s="26">
        <v>7.8289999999999997</v>
      </c>
      <c r="E23" s="26">
        <v>7.5170000000000003</v>
      </c>
      <c r="F23" s="16"/>
      <c r="G23" s="16"/>
      <c r="H23" s="16"/>
      <c r="I23" s="17">
        <v>101.995</v>
      </c>
      <c r="J23" s="32">
        <v>502</v>
      </c>
      <c r="K23" s="18">
        <f t="shared" si="0"/>
        <v>46</v>
      </c>
      <c r="L23" s="19">
        <f t="shared" si="1"/>
        <v>-0.99999999999944578</v>
      </c>
      <c r="M23" s="19">
        <f t="shared" si="2"/>
        <v>-4.0000000000004476</v>
      </c>
      <c r="N23" s="19">
        <f t="shared" si="3"/>
        <v>0</v>
      </c>
      <c r="O23" s="19" t="str">
        <f t="shared" si="4"/>
        <v/>
      </c>
      <c r="P23" s="19" t="str">
        <f t="shared" si="4"/>
        <v/>
      </c>
      <c r="Q23" s="19" t="str">
        <f t="shared" si="4"/>
        <v/>
      </c>
      <c r="R23" s="19">
        <f t="shared" si="4"/>
        <v>-0.99999999999056399</v>
      </c>
      <c r="S23" s="27">
        <f t="shared" si="5"/>
        <v>0</v>
      </c>
      <c r="T23" s="28">
        <f t="shared" si="5"/>
        <v>0</v>
      </c>
      <c r="U23" s="28">
        <f t="shared" si="5"/>
        <v>-0.99999999999944578</v>
      </c>
      <c r="V23" s="28" t="str">
        <f t="shared" si="5"/>
        <v/>
      </c>
      <c r="W23" s="28" t="str">
        <f t="shared" si="5"/>
        <v/>
      </c>
      <c r="X23" s="29" t="str">
        <f t="shared" si="5"/>
        <v/>
      </c>
      <c r="Y23" s="24"/>
    </row>
    <row r="24" spans="2:25" ht="15" customHeight="1" x14ac:dyDescent="0.2">
      <c r="B24" s="31">
        <v>41690</v>
      </c>
      <c r="C24" s="25">
        <v>12.49</v>
      </c>
      <c r="D24" s="26">
        <v>7.83</v>
      </c>
      <c r="E24" s="26">
        <v>7.5170000000000003</v>
      </c>
      <c r="F24" s="16"/>
      <c r="G24" s="16"/>
      <c r="H24" s="16"/>
      <c r="I24" s="17">
        <v>101.995</v>
      </c>
      <c r="J24" s="32">
        <v>510</v>
      </c>
      <c r="K24" s="18">
        <f t="shared" si="0"/>
        <v>54</v>
      </c>
      <c r="L24" s="19">
        <f t="shared" si="1"/>
        <v>-0.99999999999944578</v>
      </c>
      <c r="M24" s="19">
        <f t="shared" si="2"/>
        <v>-3.0000000000001137</v>
      </c>
      <c r="N24" s="19">
        <f t="shared" si="3"/>
        <v>0</v>
      </c>
      <c r="O24" s="19" t="str">
        <f t="shared" si="4"/>
        <v/>
      </c>
      <c r="P24" s="19" t="str">
        <f t="shared" si="4"/>
        <v/>
      </c>
      <c r="Q24" s="19" t="str">
        <f t="shared" si="4"/>
        <v/>
      </c>
      <c r="R24" s="19">
        <f t="shared" si="4"/>
        <v>-0.99999999999056399</v>
      </c>
      <c r="S24" s="27">
        <f t="shared" si="5"/>
        <v>0</v>
      </c>
      <c r="T24" s="28">
        <f t="shared" si="5"/>
        <v>1.000000000000334</v>
      </c>
      <c r="U24" s="28">
        <f t="shared" si="5"/>
        <v>0</v>
      </c>
      <c r="V24" s="28" t="str">
        <f t="shared" si="5"/>
        <v/>
      </c>
      <c r="W24" s="28" t="str">
        <f t="shared" si="5"/>
        <v/>
      </c>
      <c r="X24" s="29" t="str">
        <f t="shared" si="5"/>
        <v/>
      </c>
      <c r="Y24" s="24"/>
    </row>
    <row r="25" spans="2:25" ht="15" customHeight="1" x14ac:dyDescent="0.2">
      <c r="B25" s="31">
        <v>41691</v>
      </c>
      <c r="C25" s="25">
        <v>12.49</v>
      </c>
      <c r="D25" s="45">
        <v>7.3230000000000004</v>
      </c>
      <c r="E25" s="45">
        <v>7.9509999999999996</v>
      </c>
      <c r="F25" s="16"/>
      <c r="G25" s="16"/>
      <c r="H25" s="16"/>
      <c r="I25" s="52">
        <v>101.93</v>
      </c>
      <c r="J25" s="32">
        <v>517</v>
      </c>
      <c r="K25" s="18">
        <f t="shared" si="0"/>
        <v>61</v>
      </c>
      <c r="L25" s="19">
        <f t="shared" ref="L25:L62" si="6">IF(ISBLANK(C25),"",(C25-C$16)*1000)</f>
        <v>-0.99999999999944578</v>
      </c>
      <c r="M25" s="19">
        <f>IF(ISBLANK(D25),"",((D25-D$25)*1000)+M$24)</f>
        <v>-3.0000000000001137</v>
      </c>
      <c r="N25" s="19">
        <f>IF(ISBLANK(E25),"",((E25-E$25)*1000)+N$24)</f>
        <v>0</v>
      </c>
      <c r="O25" s="19" t="str">
        <f t="shared" si="4"/>
        <v/>
      </c>
      <c r="P25" s="19" t="str">
        <f t="shared" si="4"/>
        <v/>
      </c>
      <c r="Q25" s="19" t="str">
        <f t="shared" si="4"/>
        <v/>
      </c>
      <c r="R25" s="19">
        <f>IF(ISBLANK(I25),"",((I25-I$25)*1000)+R$24)</f>
        <v>-0.99999999999056399</v>
      </c>
      <c r="S25" s="27">
        <f t="shared" si="5"/>
        <v>0</v>
      </c>
      <c r="T25" s="28">
        <f t="shared" si="5"/>
        <v>-506.99999999999966</v>
      </c>
      <c r="U25" s="28">
        <f t="shared" si="5"/>
        <v>433.99999999999926</v>
      </c>
      <c r="V25" s="28" t="str">
        <f t="shared" si="5"/>
        <v/>
      </c>
      <c r="W25" s="28" t="str">
        <f t="shared" si="5"/>
        <v/>
      </c>
      <c r="X25" s="29" t="str">
        <f t="shared" si="5"/>
        <v/>
      </c>
      <c r="Y25" s="24" t="s">
        <v>42</v>
      </c>
    </row>
    <row r="26" spans="2:25" ht="15" customHeight="1" x14ac:dyDescent="0.2">
      <c r="B26" s="31">
        <v>41694</v>
      </c>
      <c r="C26" s="25">
        <v>12.49</v>
      </c>
      <c r="D26" s="26">
        <v>7.3230000000000004</v>
      </c>
      <c r="E26" s="26">
        <v>7.9509999999999996</v>
      </c>
      <c r="F26" s="16"/>
      <c r="G26" s="16"/>
      <c r="H26" s="16"/>
      <c r="I26" s="17">
        <v>101.93</v>
      </c>
      <c r="J26" s="32">
        <v>523.5</v>
      </c>
      <c r="K26" s="18">
        <f t="shared" si="0"/>
        <v>67.5</v>
      </c>
      <c r="L26" s="19">
        <f t="shared" si="6"/>
        <v>-0.99999999999944578</v>
      </c>
      <c r="M26" s="19">
        <f t="shared" ref="M26:M89" si="7">IF(ISBLANK(D26),"",((D26-D$25)*1000)+M$24)</f>
        <v>-3.0000000000001137</v>
      </c>
      <c r="N26" s="19">
        <f t="shared" ref="N26:N89" si="8">IF(ISBLANK(E26),"",((E26-E$25)*1000)+N$24)</f>
        <v>0</v>
      </c>
      <c r="O26" s="19" t="str">
        <f t="shared" si="4"/>
        <v/>
      </c>
      <c r="P26" s="19" t="str">
        <f t="shared" si="4"/>
        <v/>
      </c>
      <c r="Q26" s="19" t="str">
        <f t="shared" si="4"/>
        <v/>
      </c>
      <c r="R26" s="19">
        <f t="shared" ref="R26:R89" si="9">IF(ISBLANK(I26),"",((I26-I$25)*1000)+R$24)</f>
        <v>-0.99999999999056399</v>
      </c>
      <c r="S26" s="27">
        <f t="shared" si="5"/>
        <v>0</v>
      </c>
      <c r="T26" s="28">
        <f t="shared" si="5"/>
        <v>0</v>
      </c>
      <c r="U26" s="28">
        <f t="shared" si="5"/>
        <v>0</v>
      </c>
      <c r="V26" s="28" t="str">
        <f t="shared" si="5"/>
        <v/>
      </c>
      <c r="W26" s="28" t="str">
        <f t="shared" si="5"/>
        <v/>
      </c>
      <c r="X26" s="29" t="str">
        <f t="shared" si="5"/>
        <v/>
      </c>
      <c r="Y26" s="24"/>
    </row>
    <row r="27" spans="2:25" ht="15" customHeight="1" x14ac:dyDescent="0.2">
      <c r="B27" s="31">
        <v>41701</v>
      </c>
      <c r="C27" s="25">
        <v>12.49</v>
      </c>
      <c r="D27" s="26">
        <v>7.3220000000000001</v>
      </c>
      <c r="E27" s="26">
        <v>7.9509999999999996</v>
      </c>
      <c r="F27" s="16"/>
      <c r="G27" s="16"/>
      <c r="H27" s="16"/>
      <c r="I27" s="17">
        <v>101.929</v>
      </c>
      <c r="J27" s="58">
        <v>555.5</v>
      </c>
      <c r="K27" s="18">
        <f>IF(ISBLANK(J27),"",(J27-$J$8))</f>
        <v>99.5</v>
      </c>
      <c r="L27" s="19">
        <f t="shared" si="6"/>
        <v>-0.99999999999944578</v>
      </c>
      <c r="M27" s="19">
        <f t="shared" si="7"/>
        <v>-4.0000000000004476</v>
      </c>
      <c r="N27" s="19">
        <f t="shared" si="8"/>
        <v>0</v>
      </c>
      <c r="O27" s="19" t="str">
        <f t="shared" si="4"/>
        <v/>
      </c>
      <c r="P27" s="19" t="str">
        <f t="shared" si="4"/>
        <v/>
      </c>
      <c r="Q27" s="19" t="str">
        <f t="shared" si="4"/>
        <v/>
      </c>
      <c r="R27" s="19">
        <f t="shared" si="9"/>
        <v>-1.9999999999953388</v>
      </c>
      <c r="S27" s="27">
        <f t="shared" si="5"/>
        <v>0</v>
      </c>
      <c r="T27" s="28">
        <f t="shared" si="5"/>
        <v>-0.14285714285719056</v>
      </c>
      <c r="U27" s="28">
        <f t="shared" si="5"/>
        <v>0</v>
      </c>
      <c r="V27" s="28" t="str">
        <f t="shared" si="5"/>
        <v/>
      </c>
      <c r="W27" s="28" t="str">
        <f t="shared" si="5"/>
        <v/>
      </c>
      <c r="X27" s="29" t="str">
        <f t="shared" si="5"/>
        <v/>
      </c>
      <c r="Y27" s="24"/>
    </row>
    <row r="28" spans="2:25" ht="15" customHeight="1" x14ac:dyDescent="0.2">
      <c r="B28" s="31">
        <v>41708</v>
      </c>
      <c r="C28" s="25">
        <v>12.49</v>
      </c>
      <c r="D28" s="26">
        <v>7.3230000000000004</v>
      </c>
      <c r="E28" s="26">
        <v>7.95</v>
      </c>
      <c r="F28" s="16"/>
      <c r="G28" s="16"/>
      <c r="H28" s="16"/>
      <c r="I28" s="17">
        <v>101.93</v>
      </c>
      <c r="J28" s="58">
        <v>576</v>
      </c>
      <c r="K28" s="18">
        <f>IF(ISBLANK(J28),"",(J28-$J$8))</f>
        <v>120</v>
      </c>
      <c r="L28" s="19">
        <f t="shared" si="6"/>
        <v>-0.99999999999944578</v>
      </c>
      <c r="M28" s="19">
        <f t="shared" si="7"/>
        <v>-3.0000000000001137</v>
      </c>
      <c r="N28" s="19">
        <f t="shared" si="8"/>
        <v>-0.99999999999944578</v>
      </c>
      <c r="O28" s="19" t="str">
        <f t="shared" si="4"/>
        <v/>
      </c>
      <c r="P28" s="19" t="str">
        <f t="shared" si="4"/>
        <v/>
      </c>
      <c r="Q28" s="19" t="str">
        <f t="shared" si="4"/>
        <v/>
      </c>
      <c r="R28" s="19">
        <f t="shared" si="9"/>
        <v>-0.99999999999056399</v>
      </c>
      <c r="S28" s="27">
        <f t="shared" si="5"/>
        <v>0</v>
      </c>
      <c r="T28" s="28">
        <f t="shared" si="5"/>
        <v>0.14285714285719056</v>
      </c>
      <c r="U28" s="28">
        <f t="shared" si="5"/>
        <v>-0.14285714285706369</v>
      </c>
      <c r="V28" s="28" t="str">
        <f t="shared" si="5"/>
        <v/>
      </c>
      <c r="W28" s="28" t="str">
        <f t="shared" si="5"/>
        <v/>
      </c>
      <c r="X28" s="29" t="str">
        <f t="shared" si="5"/>
        <v/>
      </c>
      <c r="Y28" s="24"/>
    </row>
    <row r="29" spans="2:25" ht="15" customHeight="1" x14ac:dyDescent="0.2">
      <c r="B29" s="31">
        <v>41723</v>
      </c>
      <c r="C29" s="25">
        <v>12.49</v>
      </c>
      <c r="D29" s="26">
        <v>7.3230000000000004</v>
      </c>
      <c r="E29" s="26">
        <v>7.9509999999999996</v>
      </c>
      <c r="F29" s="16"/>
      <c r="G29" s="16"/>
      <c r="H29" s="16"/>
      <c r="I29" s="17">
        <v>101.93</v>
      </c>
      <c r="J29" s="32">
        <v>308</v>
      </c>
      <c r="K29" s="18">
        <f>IF(ISBLANK(J29),"",(J29-$J$8))</f>
        <v>-148</v>
      </c>
      <c r="L29" s="19">
        <f t="shared" si="6"/>
        <v>-0.99999999999944578</v>
      </c>
      <c r="M29" s="19">
        <f t="shared" si="7"/>
        <v>-3.0000000000001137</v>
      </c>
      <c r="N29" s="19">
        <f t="shared" si="8"/>
        <v>0</v>
      </c>
      <c r="O29" s="19" t="str">
        <f t="shared" si="4"/>
        <v/>
      </c>
      <c r="P29" s="19" t="str">
        <f t="shared" si="4"/>
        <v/>
      </c>
      <c r="Q29" s="19" t="str">
        <f t="shared" si="4"/>
        <v/>
      </c>
      <c r="R29" s="19">
        <f t="shared" si="9"/>
        <v>-0.99999999999056399</v>
      </c>
      <c r="S29" s="27">
        <f t="shared" si="5"/>
        <v>0</v>
      </c>
      <c r="T29" s="28">
        <f t="shared" si="5"/>
        <v>0</v>
      </c>
      <c r="U29" s="28">
        <f t="shared" si="5"/>
        <v>6.6666666666629723E-2</v>
      </c>
      <c r="V29" s="28" t="str">
        <f t="shared" si="5"/>
        <v/>
      </c>
      <c r="W29" s="28" t="str">
        <f t="shared" si="5"/>
        <v/>
      </c>
      <c r="X29" s="29" t="str">
        <f t="shared" si="5"/>
        <v/>
      </c>
      <c r="Y29" s="24" t="s">
        <v>23</v>
      </c>
    </row>
    <row r="30" spans="2:25" ht="15" customHeight="1" x14ac:dyDescent="0.2">
      <c r="B30" s="31">
        <v>41724</v>
      </c>
      <c r="C30" s="25">
        <v>12.49</v>
      </c>
      <c r="D30" s="26">
        <v>7.3239999999999998</v>
      </c>
      <c r="E30" s="26">
        <v>7.9509999999999996</v>
      </c>
      <c r="F30" s="16"/>
      <c r="G30" s="16"/>
      <c r="H30" s="16"/>
      <c r="I30" s="17">
        <v>101.929</v>
      </c>
      <c r="J30" s="32">
        <v>319</v>
      </c>
      <c r="K30" s="18">
        <f>IF(ISBLANK(J30),"",(J30-$J$8))</f>
        <v>-137</v>
      </c>
      <c r="L30" s="19">
        <f t="shared" si="6"/>
        <v>-0.99999999999944578</v>
      </c>
      <c r="M30" s="19">
        <f t="shared" si="7"/>
        <v>-2.0000000000006679</v>
      </c>
      <c r="N30" s="19">
        <f t="shared" si="8"/>
        <v>0</v>
      </c>
      <c r="O30" s="19" t="str">
        <f t="shared" si="4"/>
        <v/>
      </c>
      <c r="P30" s="19" t="str">
        <f t="shared" si="4"/>
        <v/>
      </c>
      <c r="Q30" s="19" t="str">
        <f t="shared" si="4"/>
        <v/>
      </c>
      <c r="R30" s="19">
        <f t="shared" si="9"/>
        <v>-1.9999999999953388</v>
      </c>
      <c r="S30" s="27">
        <f t="shared" si="5"/>
        <v>0</v>
      </c>
      <c r="T30" s="28">
        <f t="shared" si="5"/>
        <v>0.99999999999944578</v>
      </c>
      <c r="U30" s="28">
        <f t="shared" si="5"/>
        <v>0</v>
      </c>
      <c r="V30" s="28" t="str">
        <f t="shared" si="5"/>
        <v/>
      </c>
      <c r="W30" s="28" t="str">
        <f t="shared" si="5"/>
        <v/>
      </c>
      <c r="X30" s="29" t="str">
        <f t="shared" si="5"/>
        <v/>
      </c>
      <c r="Y30" s="24"/>
    </row>
    <row r="31" spans="2:25" ht="15" customHeight="1" x14ac:dyDescent="0.2">
      <c r="B31" s="31">
        <v>41739</v>
      </c>
      <c r="C31" s="25">
        <v>12.486000000000001</v>
      </c>
      <c r="D31" s="26">
        <v>7.3230000000000004</v>
      </c>
      <c r="E31" s="26">
        <v>7.9489999999999998</v>
      </c>
      <c r="F31" s="16"/>
      <c r="G31" s="16"/>
      <c r="H31" s="16"/>
      <c r="I31" s="17">
        <v>101.925</v>
      </c>
      <c r="J31" s="32">
        <v>457</v>
      </c>
      <c r="K31" s="18">
        <f>IF(ISBLANK(J31),"",(J31-$J$8))</f>
        <v>1</v>
      </c>
      <c r="L31" s="19">
        <f t="shared" si="6"/>
        <v>-4.9999999999990052</v>
      </c>
      <c r="M31" s="19">
        <f t="shared" si="7"/>
        <v>-3.0000000000001137</v>
      </c>
      <c r="N31" s="19">
        <f t="shared" si="8"/>
        <v>-1.9999999999997797</v>
      </c>
      <c r="O31" s="19" t="str">
        <f t="shared" si="4"/>
        <v/>
      </c>
      <c r="P31" s="19" t="str">
        <f t="shared" si="4"/>
        <v/>
      </c>
      <c r="Q31" s="19" t="str">
        <f t="shared" si="4"/>
        <v/>
      </c>
      <c r="R31" s="19">
        <f>IF(ISBLANK(I31),"",((I31-I$25)*1000)+R$24)</f>
        <v>-6.0000000000002274</v>
      </c>
      <c r="S31" s="27">
        <f t="shared" si="5"/>
        <v>-0.2666666666666373</v>
      </c>
      <c r="T31" s="28">
        <f t="shared" si="5"/>
        <v>-6.6666666666629723E-2</v>
      </c>
      <c r="U31" s="28">
        <f t="shared" si="5"/>
        <v>-0.13333333333331865</v>
      </c>
      <c r="V31" s="28" t="str">
        <f t="shared" si="5"/>
        <v/>
      </c>
      <c r="W31" s="28" t="str">
        <f t="shared" si="5"/>
        <v/>
      </c>
      <c r="X31" s="29" t="str">
        <f t="shared" si="5"/>
        <v/>
      </c>
      <c r="Y31" s="24"/>
    </row>
    <row r="32" spans="2:25" ht="15" customHeight="1" x14ac:dyDescent="0.2">
      <c r="B32" s="31">
        <v>41740</v>
      </c>
      <c r="C32" s="25">
        <v>12.486000000000001</v>
      </c>
      <c r="D32" s="26">
        <v>7.3230000000000004</v>
      </c>
      <c r="E32" s="26">
        <v>7.9480000000000004</v>
      </c>
      <c r="F32" s="16"/>
      <c r="G32" s="16"/>
      <c r="H32" s="16"/>
      <c r="I32" s="17">
        <v>101.92400000000001</v>
      </c>
      <c r="J32" s="32">
        <v>466</v>
      </c>
      <c r="K32" s="18">
        <f t="shared" ref="K32:K42" si="10">IF(ISBLANK(J32),"",(J32-$J$8))</f>
        <v>10</v>
      </c>
      <c r="L32" s="19">
        <f t="shared" si="6"/>
        <v>-4.9999999999990052</v>
      </c>
      <c r="M32" s="19">
        <f t="shared" si="7"/>
        <v>-3.0000000000001137</v>
      </c>
      <c r="N32" s="19">
        <f t="shared" si="8"/>
        <v>-2.9999999999992255</v>
      </c>
      <c r="O32" s="19" t="str">
        <f t="shared" si="4"/>
        <v/>
      </c>
      <c r="P32" s="19" t="str">
        <f t="shared" si="4"/>
        <v/>
      </c>
      <c r="Q32" s="19" t="str">
        <f t="shared" si="4"/>
        <v/>
      </c>
      <c r="R32" s="19">
        <f t="shared" si="9"/>
        <v>-6.9999999999907914</v>
      </c>
      <c r="S32" s="27">
        <f t="shared" si="5"/>
        <v>0</v>
      </c>
      <c r="T32" s="28">
        <f t="shared" si="5"/>
        <v>0</v>
      </c>
      <c r="U32" s="28">
        <f t="shared" si="5"/>
        <v>-0.99999999999944578</v>
      </c>
      <c r="V32" s="28" t="str">
        <f t="shared" si="5"/>
        <v/>
      </c>
      <c r="W32" s="28" t="str">
        <f t="shared" si="5"/>
        <v/>
      </c>
      <c r="X32" s="29" t="str">
        <f t="shared" si="5"/>
        <v/>
      </c>
      <c r="Y32" s="24"/>
    </row>
    <row r="33" spans="2:25" ht="15" customHeight="1" x14ac:dyDescent="0.2">
      <c r="B33" s="31">
        <v>41743</v>
      </c>
      <c r="C33" s="25">
        <v>12.486000000000001</v>
      </c>
      <c r="D33" s="26">
        <v>7.3230000000000004</v>
      </c>
      <c r="E33" s="26">
        <v>7.9480000000000004</v>
      </c>
      <c r="F33" s="16"/>
      <c r="G33" s="16"/>
      <c r="H33" s="16"/>
      <c r="I33" s="17">
        <v>101.92400000000001</v>
      </c>
      <c r="J33" s="32">
        <v>484</v>
      </c>
      <c r="K33" s="18">
        <f t="shared" si="10"/>
        <v>28</v>
      </c>
      <c r="L33" s="19">
        <f t="shared" si="6"/>
        <v>-4.9999999999990052</v>
      </c>
      <c r="M33" s="19">
        <f t="shared" si="7"/>
        <v>-3.0000000000001137</v>
      </c>
      <c r="N33" s="19">
        <f t="shared" si="8"/>
        <v>-2.9999999999992255</v>
      </c>
      <c r="O33" s="19" t="str">
        <f>IF(ISBLANK(F33),"",(F33-F$16)*1000)</f>
        <v/>
      </c>
      <c r="P33" s="19" t="str">
        <f>IF(ISBLANK(G33),"",(G33-G$16)*1000)</f>
        <v/>
      </c>
      <c r="Q33" s="19" t="str">
        <f>IF(ISBLANK(H33),"",(H33-H$16)*1000)</f>
        <v/>
      </c>
      <c r="R33" s="19">
        <f t="shared" si="9"/>
        <v>-6.9999999999907914</v>
      </c>
      <c r="S33" s="27">
        <f t="shared" ref="S33:X48" si="11">IF(C33="","",((C33-C32)*1000)/($B33-$B32))</f>
        <v>0</v>
      </c>
      <c r="T33" s="28">
        <f t="shared" si="11"/>
        <v>0</v>
      </c>
      <c r="U33" s="28">
        <f t="shared" si="11"/>
        <v>0</v>
      </c>
      <c r="V33" s="28" t="str">
        <f t="shared" si="11"/>
        <v/>
      </c>
      <c r="W33" s="28" t="str">
        <f t="shared" si="11"/>
        <v/>
      </c>
      <c r="X33" s="29" t="str">
        <f t="shared" si="11"/>
        <v/>
      </c>
      <c r="Y33" s="24"/>
    </row>
    <row r="34" spans="2:25" ht="15" customHeight="1" x14ac:dyDescent="0.2">
      <c r="B34" s="31">
        <v>41744</v>
      </c>
      <c r="C34" s="25">
        <v>12.486000000000001</v>
      </c>
      <c r="D34" s="26">
        <v>7.3230000000000004</v>
      </c>
      <c r="E34" s="26">
        <v>7.9480000000000004</v>
      </c>
      <c r="F34" s="16">
        <v>13.002000000000001</v>
      </c>
      <c r="G34" s="16">
        <v>9.8170000000000002</v>
      </c>
      <c r="H34" s="16">
        <v>10.428000000000001</v>
      </c>
      <c r="I34" s="17">
        <v>101.92400000000001</v>
      </c>
      <c r="J34" s="32">
        <v>499</v>
      </c>
      <c r="K34" s="18">
        <f t="shared" si="10"/>
        <v>43</v>
      </c>
      <c r="L34" s="19">
        <f t="shared" si="6"/>
        <v>-4.9999999999990052</v>
      </c>
      <c r="M34" s="19">
        <f t="shared" si="7"/>
        <v>-3.0000000000001137</v>
      </c>
      <c r="N34" s="19">
        <f t="shared" si="8"/>
        <v>-2.9999999999992255</v>
      </c>
      <c r="O34" s="19">
        <f>IF(ISBLANK(F34),"",((F34-F$34)*1000)+L$34)</f>
        <v>-4.9999999999990052</v>
      </c>
      <c r="P34" s="19">
        <f>IF(ISBLANK(G34),"",((G34-G$34)*1000)+M$34)</f>
        <v>-3.0000000000001137</v>
      </c>
      <c r="Q34" s="19">
        <f>IF(ISBLANK(H34),"",((H34-H$34)*1000)+N$34)</f>
        <v>-2.9999999999992255</v>
      </c>
      <c r="R34" s="19">
        <f t="shared" si="9"/>
        <v>-6.9999999999907914</v>
      </c>
      <c r="S34" s="27">
        <f t="shared" si="11"/>
        <v>0</v>
      </c>
      <c r="T34" s="28">
        <f t="shared" si="11"/>
        <v>0</v>
      </c>
      <c r="U34" s="28">
        <f t="shared" si="11"/>
        <v>0</v>
      </c>
      <c r="V34" s="28"/>
      <c r="W34" s="28"/>
      <c r="X34" s="29"/>
      <c r="Y34" s="24"/>
    </row>
    <row r="35" spans="2:25" ht="15" customHeight="1" x14ac:dyDescent="0.2">
      <c r="B35" s="31">
        <v>41745</v>
      </c>
      <c r="C35" s="25">
        <v>12.486000000000001</v>
      </c>
      <c r="D35" s="26">
        <v>7.3230000000000004</v>
      </c>
      <c r="E35" s="26">
        <v>7.9480000000000004</v>
      </c>
      <c r="F35" s="16">
        <v>13.000999999999999</v>
      </c>
      <c r="G35" s="16">
        <v>9.8160000000000007</v>
      </c>
      <c r="H35" s="16">
        <v>10.427</v>
      </c>
      <c r="I35" s="17">
        <v>101.92400000000001</v>
      </c>
      <c r="J35" s="32">
        <v>516.5</v>
      </c>
      <c r="K35" s="18">
        <f t="shared" si="10"/>
        <v>60.5</v>
      </c>
      <c r="L35" s="19">
        <f t="shared" si="6"/>
        <v>-4.9999999999990052</v>
      </c>
      <c r="M35" s="19">
        <f t="shared" si="7"/>
        <v>-3.0000000000001137</v>
      </c>
      <c r="N35" s="19">
        <f t="shared" si="8"/>
        <v>-2.9999999999992255</v>
      </c>
      <c r="O35" s="19">
        <f t="shared" ref="O35:O98" si="12">IF(ISBLANK(F35),"",((F35-F$34)*1000)+L$34)</f>
        <v>-6.0000000000002274</v>
      </c>
      <c r="P35" s="19">
        <f t="shared" ref="P35:P98" si="13">IF(ISBLANK(G35),"",((G35-G$34)*1000)+M$34)</f>
        <v>-3.9999999999995595</v>
      </c>
      <c r="Q35" s="19">
        <f t="shared" ref="Q35:Q98" si="14">IF(ISBLANK(H35),"",((H35-H$34)*1000)+N$34)</f>
        <v>-4.0000000000004476</v>
      </c>
      <c r="R35" s="19">
        <f t="shared" si="9"/>
        <v>-6.9999999999907914</v>
      </c>
      <c r="S35" s="27">
        <f t="shared" ref="S35:X35" si="15">IF(C35="","",((C35-C34)*1000)/($B35-$B34))</f>
        <v>0</v>
      </c>
      <c r="T35" s="28">
        <f t="shared" si="15"/>
        <v>0</v>
      </c>
      <c r="U35" s="28">
        <f t="shared" si="15"/>
        <v>0</v>
      </c>
      <c r="V35" s="28">
        <f t="shared" si="15"/>
        <v>-1.0000000000012221</v>
      </c>
      <c r="W35" s="28">
        <f t="shared" si="15"/>
        <v>-0.99999999999944578</v>
      </c>
      <c r="X35" s="29">
        <f t="shared" si="15"/>
        <v>-1.0000000000012221</v>
      </c>
      <c r="Y35" s="24"/>
    </row>
    <row r="36" spans="2:25" ht="15" customHeight="1" x14ac:dyDescent="0.2">
      <c r="B36" s="31">
        <v>41751</v>
      </c>
      <c r="C36" s="25"/>
      <c r="D36" s="26"/>
      <c r="E36" s="26"/>
      <c r="F36" s="16">
        <v>13.002000000000001</v>
      </c>
      <c r="G36" s="16">
        <v>9.8160000000000007</v>
      </c>
      <c r="H36" s="16">
        <v>10.426</v>
      </c>
      <c r="I36" s="17">
        <v>101.92400000000001</v>
      </c>
      <c r="J36" s="32">
        <v>534.5</v>
      </c>
      <c r="K36" s="18">
        <f t="shared" si="10"/>
        <v>78.5</v>
      </c>
      <c r="L36" s="19" t="str">
        <f t="shared" si="6"/>
        <v/>
      </c>
      <c r="M36" s="19" t="str">
        <f t="shared" si="7"/>
        <v/>
      </c>
      <c r="N36" s="19" t="str">
        <f t="shared" si="8"/>
        <v/>
      </c>
      <c r="O36" s="19">
        <f t="shared" si="12"/>
        <v>-4.9999999999990052</v>
      </c>
      <c r="P36" s="19">
        <f t="shared" si="13"/>
        <v>-3.9999999999995595</v>
      </c>
      <c r="Q36" s="19">
        <f t="shared" si="14"/>
        <v>-4.9999999999998934</v>
      </c>
      <c r="R36" s="19">
        <f t="shared" si="9"/>
        <v>-6.9999999999907914</v>
      </c>
      <c r="S36" s="27" t="str">
        <f t="shared" si="11"/>
        <v/>
      </c>
      <c r="T36" s="28" t="str">
        <f t="shared" si="11"/>
        <v/>
      </c>
      <c r="U36" s="28" t="str">
        <f t="shared" si="11"/>
        <v/>
      </c>
      <c r="V36" s="28">
        <f t="shared" si="11"/>
        <v>0.16666666666687036</v>
      </c>
      <c r="W36" s="28">
        <f t="shared" si="11"/>
        <v>0</v>
      </c>
      <c r="X36" s="29">
        <f t="shared" si="11"/>
        <v>-0.16666666666657429</v>
      </c>
      <c r="Y36" s="24" t="s">
        <v>35</v>
      </c>
    </row>
    <row r="37" spans="2:25" ht="15" customHeight="1" x14ac:dyDescent="0.2">
      <c r="B37" s="31">
        <v>41752</v>
      </c>
      <c r="C37" s="25"/>
      <c r="D37" s="26"/>
      <c r="E37" s="26"/>
      <c r="F37" s="16">
        <v>13.000999999999999</v>
      </c>
      <c r="G37" s="16">
        <v>9.8170000000000002</v>
      </c>
      <c r="H37" s="16">
        <v>10.427</v>
      </c>
      <c r="I37" s="17">
        <v>101.92400000000001</v>
      </c>
      <c r="J37" s="32">
        <v>534.5</v>
      </c>
      <c r="K37" s="18">
        <f t="shared" si="10"/>
        <v>78.5</v>
      </c>
      <c r="L37" s="19" t="str">
        <f t="shared" si="6"/>
        <v/>
      </c>
      <c r="M37" s="19" t="str">
        <f t="shared" si="7"/>
        <v/>
      </c>
      <c r="N37" s="19" t="str">
        <f t="shared" si="8"/>
        <v/>
      </c>
      <c r="O37" s="19">
        <f t="shared" si="12"/>
        <v>-6.0000000000002274</v>
      </c>
      <c r="P37" s="19">
        <f t="shared" si="13"/>
        <v>-3.0000000000001137</v>
      </c>
      <c r="Q37" s="19">
        <f t="shared" si="14"/>
        <v>-4.0000000000004476</v>
      </c>
      <c r="R37" s="19">
        <f t="shared" si="9"/>
        <v>-6.9999999999907914</v>
      </c>
      <c r="S37" s="27" t="str">
        <f t="shared" si="11"/>
        <v/>
      </c>
      <c r="T37" s="28" t="str">
        <f t="shared" si="11"/>
        <v/>
      </c>
      <c r="U37" s="28" t="str">
        <f t="shared" si="11"/>
        <v/>
      </c>
      <c r="V37" s="28">
        <f t="shared" si="11"/>
        <v>-1.0000000000012221</v>
      </c>
      <c r="W37" s="28">
        <f t="shared" si="11"/>
        <v>0.99999999999944578</v>
      </c>
      <c r="X37" s="29">
        <f t="shared" si="11"/>
        <v>0.99999999999944578</v>
      </c>
      <c r="Y37" s="24"/>
    </row>
    <row r="38" spans="2:25" ht="15" customHeight="1" x14ac:dyDescent="0.2">
      <c r="B38" s="31">
        <v>41753</v>
      </c>
      <c r="C38" s="25"/>
      <c r="D38" s="26"/>
      <c r="E38" s="26"/>
      <c r="F38" s="16">
        <v>13</v>
      </c>
      <c r="G38" s="16">
        <v>9.8160000000000007</v>
      </c>
      <c r="H38" s="16">
        <v>10.427</v>
      </c>
      <c r="I38" s="17">
        <v>101.92400000000001</v>
      </c>
      <c r="J38" s="32">
        <v>534.5</v>
      </c>
      <c r="K38" s="18">
        <f t="shared" si="10"/>
        <v>78.5</v>
      </c>
      <c r="L38" s="19" t="str">
        <f t="shared" si="6"/>
        <v/>
      </c>
      <c r="M38" s="19" t="str">
        <f t="shared" si="7"/>
        <v/>
      </c>
      <c r="N38" s="19" t="str">
        <f t="shared" si="8"/>
        <v/>
      </c>
      <c r="O38" s="19">
        <f t="shared" si="12"/>
        <v>-6.9999999999996732</v>
      </c>
      <c r="P38" s="19">
        <f t="shared" si="13"/>
        <v>-3.9999999999995595</v>
      </c>
      <c r="Q38" s="19">
        <f t="shared" si="14"/>
        <v>-4.0000000000004476</v>
      </c>
      <c r="R38" s="19">
        <f t="shared" si="9"/>
        <v>-6.9999999999907914</v>
      </c>
      <c r="S38" s="27" t="str">
        <f t="shared" si="11"/>
        <v/>
      </c>
      <c r="T38" s="28" t="str">
        <f t="shared" si="11"/>
        <v/>
      </c>
      <c r="U38" s="28" t="str">
        <f t="shared" si="11"/>
        <v/>
      </c>
      <c r="V38" s="28">
        <f t="shared" si="11"/>
        <v>-0.99999999999944578</v>
      </c>
      <c r="W38" s="28">
        <f t="shared" si="11"/>
        <v>-0.99999999999944578</v>
      </c>
      <c r="X38" s="29">
        <f t="shared" si="11"/>
        <v>0</v>
      </c>
      <c r="Y38" s="24"/>
    </row>
    <row r="39" spans="2:25" ht="15" customHeight="1" x14ac:dyDescent="0.2">
      <c r="B39" s="31">
        <v>41754</v>
      </c>
      <c r="C39" s="25"/>
      <c r="D39" s="26"/>
      <c r="E39" s="26"/>
      <c r="F39" s="16">
        <v>13.000999999999999</v>
      </c>
      <c r="G39" s="16">
        <v>9.8160000000000007</v>
      </c>
      <c r="H39" s="16">
        <v>10.427</v>
      </c>
      <c r="I39" s="17">
        <v>101.92400000000001</v>
      </c>
      <c r="J39" s="32">
        <v>534.5</v>
      </c>
      <c r="K39" s="18">
        <f t="shared" si="10"/>
        <v>78.5</v>
      </c>
      <c r="L39" s="19" t="str">
        <f t="shared" si="6"/>
        <v/>
      </c>
      <c r="M39" s="19" t="str">
        <f t="shared" si="7"/>
        <v/>
      </c>
      <c r="N39" s="19" t="str">
        <f t="shared" si="8"/>
        <v/>
      </c>
      <c r="O39" s="19">
        <f t="shared" si="12"/>
        <v>-6.0000000000002274</v>
      </c>
      <c r="P39" s="19">
        <f t="shared" si="13"/>
        <v>-3.9999999999995595</v>
      </c>
      <c r="Q39" s="19">
        <f t="shared" si="14"/>
        <v>-4.0000000000004476</v>
      </c>
      <c r="R39" s="19">
        <f t="shared" si="9"/>
        <v>-6.9999999999907914</v>
      </c>
      <c r="S39" s="27" t="str">
        <f t="shared" si="11"/>
        <v/>
      </c>
      <c r="T39" s="28" t="str">
        <f t="shared" si="11"/>
        <v/>
      </c>
      <c r="U39" s="28" t="str">
        <f t="shared" si="11"/>
        <v/>
      </c>
      <c r="V39" s="28">
        <f t="shared" si="11"/>
        <v>0.99999999999944578</v>
      </c>
      <c r="W39" s="28">
        <f t="shared" si="11"/>
        <v>0</v>
      </c>
      <c r="X39" s="29">
        <f t="shared" si="11"/>
        <v>0</v>
      </c>
      <c r="Y39" s="24"/>
    </row>
    <row r="40" spans="2:25" ht="15" customHeight="1" x14ac:dyDescent="0.2">
      <c r="B40" s="31">
        <v>41757</v>
      </c>
      <c r="C40" s="25"/>
      <c r="D40" s="26"/>
      <c r="E40" s="26"/>
      <c r="F40" s="16">
        <v>13</v>
      </c>
      <c r="G40" s="16">
        <v>9.8160000000000007</v>
      </c>
      <c r="H40" s="16">
        <v>10.427</v>
      </c>
      <c r="I40" s="17">
        <v>101.92400000000001</v>
      </c>
      <c r="J40" s="32">
        <v>534.5</v>
      </c>
      <c r="K40" s="18">
        <f t="shared" si="10"/>
        <v>78.5</v>
      </c>
      <c r="L40" s="19" t="str">
        <f t="shared" si="6"/>
        <v/>
      </c>
      <c r="M40" s="19" t="str">
        <f t="shared" si="7"/>
        <v/>
      </c>
      <c r="N40" s="19" t="str">
        <f t="shared" si="8"/>
        <v/>
      </c>
      <c r="O40" s="19">
        <f t="shared" si="12"/>
        <v>-6.9999999999996732</v>
      </c>
      <c r="P40" s="19">
        <f t="shared" si="13"/>
        <v>-3.9999999999995595</v>
      </c>
      <c r="Q40" s="19">
        <f t="shared" si="14"/>
        <v>-4.0000000000004476</v>
      </c>
      <c r="R40" s="19">
        <f t="shared" si="9"/>
        <v>-6.9999999999907914</v>
      </c>
      <c r="S40" s="27" t="str">
        <f t="shared" si="11"/>
        <v/>
      </c>
      <c r="T40" s="28" t="str">
        <f t="shared" si="11"/>
        <v/>
      </c>
      <c r="U40" s="28" t="str">
        <f t="shared" si="11"/>
        <v/>
      </c>
      <c r="V40" s="28">
        <f t="shared" si="11"/>
        <v>-0.33333333333314857</v>
      </c>
      <c r="W40" s="28">
        <f t="shared" si="11"/>
        <v>0</v>
      </c>
      <c r="X40" s="29">
        <f t="shared" si="11"/>
        <v>0</v>
      </c>
      <c r="Y40" s="24"/>
    </row>
    <row r="41" spans="2:25" ht="15" customHeight="1" x14ac:dyDescent="0.2">
      <c r="B41" s="31">
        <v>41758</v>
      </c>
      <c r="C41" s="25"/>
      <c r="D41" s="26"/>
      <c r="E41" s="26"/>
      <c r="F41" s="16">
        <v>13</v>
      </c>
      <c r="G41" s="16">
        <v>9.8160000000000007</v>
      </c>
      <c r="H41" s="16">
        <v>10.426</v>
      </c>
      <c r="I41" s="17">
        <v>101.92400000000001</v>
      </c>
      <c r="J41" s="32">
        <v>534.5</v>
      </c>
      <c r="K41" s="18">
        <f t="shared" si="10"/>
        <v>78.5</v>
      </c>
      <c r="L41" s="19" t="str">
        <f t="shared" si="6"/>
        <v/>
      </c>
      <c r="M41" s="19" t="str">
        <f t="shared" si="7"/>
        <v/>
      </c>
      <c r="N41" s="19" t="str">
        <f t="shared" si="8"/>
        <v/>
      </c>
      <c r="O41" s="19">
        <f t="shared" si="12"/>
        <v>-6.9999999999996732</v>
      </c>
      <c r="P41" s="19">
        <f t="shared" si="13"/>
        <v>-3.9999999999995595</v>
      </c>
      <c r="Q41" s="19">
        <f t="shared" si="14"/>
        <v>-4.9999999999998934</v>
      </c>
      <c r="R41" s="19">
        <f t="shared" si="9"/>
        <v>-6.9999999999907914</v>
      </c>
      <c r="S41" s="27" t="str">
        <f t="shared" si="11"/>
        <v/>
      </c>
      <c r="T41" s="28" t="str">
        <f t="shared" si="11"/>
        <v/>
      </c>
      <c r="U41" s="28" t="str">
        <f t="shared" si="11"/>
        <v/>
      </c>
      <c r="V41" s="28">
        <f t="shared" si="11"/>
        <v>0</v>
      </c>
      <c r="W41" s="28">
        <f t="shared" si="11"/>
        <v>0</v>
      </c>
      <c r="X41" s="29">
        <f t="shared" si="11"/>
        <v>-0.99999999999944578</v>
      </c>
      <c r="Y41" s="24"/>
    </row>
    <row r="42" spans="2:25" ht="15" customHeight="1" x14ac:dyDescent="0.2">
      <c r="B42" s="31">
        <v>41759</v>
      </c>
      <c r="C42" s="25"/>
      <c r="D42" s="26"/>
      <c r="E42" s="26"/>
      <c r="F42" s="16">
        <v>13</v>
      </c>
      <c r="G42" s="16">
        <v>9.8160000000000007</v>
      </c>
      <c r="H42" s="16">
        <v>10.426</v>
      </c>
      <c r="I42" s="17">
        <v>101.92400000000001</v>
      </c>
      <c r="J42" s="32">
        <v>534.5</v>
      </c>
      <c r="K42" s="18">
        <f t="shared" si="10"/>
        <v>78.5</v>
      </c>
      <c r="L42" s="19" t="str">
        <f t="shared" si="6"/>
        <v/>
      </c>
      <c r="M42" s="19" t="str">
        <f t="shared" si="7"/>
        <v/>
      </c>
      <c r="N42" s="19" t="str">
        <f t="shared" si="8"/>
        <v/>
      </c>
      <c r="O42" s="19">
        <f t="shared" si="12"/>
        <v>-6.9999999999996732</v>
      </c>
      <c r="P42" s="19">
        <f t="shared" si="13"/>
        <v>-3.9999999999995595</v>
      </c>
      <c r="Q42" s="19">
        <f t="shared" si="14"/>
        <v>-4.9999999999998934</v>
      </c>
      <c r="R42" s="19">
        <f t="shared" si="9"/>
        <v>-6.9999999999907914</v>
      </c>
      <c r="S42" s="27" t="str">
        <f t="shared" si="11"/>
        <v/>
      </c>
      <c r="T42" s="28" t="str">
        <f t="shared" si="11"/>
        <v/>
      </c>
      <c r="U42" s="28" t="str">
        <f t="shared" si="11"/>
        <v/>
      </c>
      <c r="V42" s="28">
        <f t="shared" si="11"/>
        <v>0</v>
      </c>
      <c r="W42" s="28">
        <f t="shared" si="11"/>
        <v>0</v>
      </c>
      <c r="X42" s="29">
        <f t="shared" si="11"/>
        <v>0</v>
      </c>
      <c r="Y42" s="24"/>
    </row>
    <row r="43" spans="2:25" ht="15" customHeight="1" x14ac:dyDescent="0.2">
      <c r="B43" s="31">
        <v>41781</v>
      </c>
      <c r="C43" s="25"/>
      <c r="D43" s="26"/>
      <c r="E43" s="26"/>
      <c r="F43" s="16">
        <v>13.000999999999999</v>
      </c>
      <c r="G43" s="16">
        <v>9.8160000000000007</v>
      </c>
      <c r="H43" s="16">
        <v>10.426</v>
      </c>
      <c r="I43" s="17">
        <v>101.92400000000001</v>
      </c>
      <c r="J43" s="58">
        <v>792</v>
      </c>
      <c r="K43" s="18">
        <f t="shared" ref="K43:K48" si="16">IF(ISBLANK(J43),"",(J43-$J$8))</f>
        <v>336</v>
      </c>
      <c r="L43" s="19" t="str">
        <f t="shared" si="6"/>
        <v/>
      </c>
      <c r="M43" s="19" t="str">
        <f t="shared" si="7"/>
        <v/>
      </c>
      <c r="N43" s="19" t="str">
        <f t="shared" si="8"/>
        <v/>
      </c>
      <c r="O43" s="19">
        <f t="shared" si="12"/>
        <v>-6.0000000000002274</v>
      </c>
      <c r="P43" s="19">
        <f t="shared" si="13"/>
        <v>-3.9999999999995595</v>
      </c>
      <c r="Q43" s="19">
        <f t="shared" si="14"/>
        <v>-4.9999999999998934</v>
      </c>
      <c r="R43" s="19">
        <f t="shared" si="9"/>
        <v>-6.9999999999907914</v>
      </c>
      <c r="S43" s="27" t="str">
        <f t="shared" si="11"/>
        <v/>
      </c>
      <c r="T43" s="28" t="str">
        <f t="shared" si="11"/>
        <v/>
      </c>
      <c r="U43" s="28" t="str">
        <f t="shared" si="11"/>
        <v/>
      </c>
      <c r="V43" s="28">
        <f t="shared" si="11"/>
        <v>4.5454545454520261E-2</v>
      </c>
      <c r="W43" s="28">
        <f t="shared" si="11"/>
        <v>0</v>
      </c>
      <c r="X43" s="29">
        <f t="shared" si="11"/>
        <v>0</v>
      </c>
      <c r="Y43" s="24"/>
    </row>
    <row r="44" spans="2:25" ht="15" customHeight="1" x14ac:dyDescent="0.2">
      <c r="B44" s="31">
        <v>41843</v>
      </c>
      <c r="C44" s="25"/>
      <c r="D44" s="26"/>
      <c r="E44" s="26"/>
      <c r="F44" s="16">
        <v>13</v>
      </c>
      <c r="G44" s="16">
        <v>9.8160000000000007</v>
      </c>
      <c r="H44" s="16">
        <v>10.426</v>
      </c>
      <c r="I44" s="17">
        <v>101.92400000000001</v>
      </c>
      <c r="J44" s="58">
        <v>943</v>
      </c>
      <c r="K44" s="18">
        <f t="shared" si="16"/>
        <v>487</v>
      </c>
      <c r="L44" s="19" t="str">
        <f t="shared" si="6"/>
        <v/>
      </c>
      <c r="M44" s="19" t="str">
        <f t="shared" si="7"/>
        <v/>
      </c>
      <c r="N44" s="19" t="str">
        <f t="shared" si="8"/>
        <v/>
      </c>
      <c r="O44" s="19">
        <f t="shared" si="12"/>
        <v>-6.9999999999996732</v>
      </c>
      <c r="P44" s="19">
        <f t="shared" si="13"/>
        <v>-3.9999999999995595</v>
      </c>
      <c r="Q44" s="19">
        <f t="shared" si="14"/>
        <v>-4.9999999999998934</v>
      </c>
      <c r="R44" s="19">
        <f t="shared" si="9"/>
        <v>-6.9999999999907914</v>
      </c>
      <c r="S44" s="27" t="str">
        <f t="shared" si="11"/>
        <v/>
      </c>
      <c r="T44" s="28" t="str">
        <f t="shared" si="11"/>
        <v/>
      </c>
      <c r="U44" s="28" t="str">
        <f t="shared" si="11"/>
        <v/>
      </c>
      <c r="V44" s="28">
        <f t="shared" si="11"/>
        <v>-1.6129032258055578E-2</v>
      </c>
      <c r="W44" s="28">
        <f t="shared" si="11"/>
        <v>0</v>
      </c>
      <c r="X44" s="29">
        <f t="shared" si="11"/>
        <v>0</v>
      </c>
      <c r="Y44" s="24"/>
    </row>
    <row r="45" spans="2:25" ht="15" customHeight="1" x14ac:dyDescent="0.2">
      <c r="B45" s="31">
        <v>41933</v>
      </c>
      <c r="C45" s="25">
        <v>12.486000000000001</v>
      </c>
      <c r="D45" s="26">
        <v>7.3239999999999998</v>
      </c>
      <c r="E45" s="26">
        <v>7.9470000000000001</v>
      </c>
      <c r="F45" s="16">
        <v>12.999000000000001</v>
      </c>
      <c r="G45" s="16">
        <v>9.8149999999999995</v>
      </c>
      <c r="H45" s="16">
        <v>10.425000000000001</v>
      </c>
      <c r="I45" s="17">
        <v>101.92400000000001</v>
      </c>
      <c r="J45" s="58">
        <v>943</v>
      </c>
      <c r="K45" s="18">
        <f t="shared" si="16"/>
        <v>487</v>
      </c>
      <c r="L45" s="19">
        <f t="shared" si="6"/>
        <v>-4.9999999999990052</v>
      </c>
      <c r="M45" s="19">
        <f t="shared" si="7"/>
        <v>-2.0000000000006679</v>
      </c>
      <c r="N45" s="19">
        <f t="shared" si="8"/>
        <v>-3.9999999999995595</v>
      </c>
      <c r="O45" s="19">
        <f t="shared" si="12"/>
        <v>-7.9999999999991189</v>
      </c>
      <c r="P45" s="19">
        <f t="shared" si="13"/>
        <v>-5.0000000000007816</v>
      </c>
      <c r="Q45" s="19">
        <f t="shared" si="14"/>
        <v>-5.9999999999993392</v>
      </c>
      <c r="R45" s="19">
        <f t="shared" si="9"/>
        <v>-6.9999999999907914</v>
      </c>
      <c r="S45" s="27"/>
      <c r="T45" s="28"/>
      <c r="U45" s="28"/>
      <c r="V45" s="28">
        <f t="shared" si="11"/>
        <v>-1.1111111111104953E-2</v>
      </c>
      <c r="W45" s="28">
        <f t="shared" si="11"/>
        <v>-1.1111111111124691E-2</v>
      </c>
      <c r="X45" s="29">
        <f t="shared" si="11"/>
        <v>-1.1111111111104953E-2</v>
      </c>
      <c r="Y45" s="24"/>
    </row>
    <row r="46" spans="2:25" ht="15" customHeight="1" x14ac:dyDescent="0.2">
      <c r="B46" s="31">
        <v>42025</v>
      </c>
      <c r="C46" s="25">
        <v>12.484999999999999</v>
      </c>
      <c r="D46" s="26">
        <v>7.3239999999999998</v>
      </c>
      <c r="E46" s="26">
        <v>7.9470000000000001</v>
      </c>
      <c r="F46" s="16">
        <v>13</v>
      </c>
      <c r="G46" s="16">
        <v>9.8149999999999995</v>
      </c>
      <c r="H46" s="16">
        <v>10.426</v>
      </c>
      <c r="I46" s="17">
        <v>101.92400000000001</v>
      </c>
      <c r="J46" s="58">
        <v>943</v>
      </c>
      <c r="K46" s="18">
        <f t="shared" si="16"/>
        <v>487</v>
      </c>
      <c r="L46" s="19">
        <f t="shared" si="6"/>
        <v>-6.0000000000002274</v>
      </c>
      <c r="M46" s="19">
        <f t="shared" si="7"/>
        <v>-2.0000000000006679</v>
      </c>
      <c r="N46" s="19">
        <f t="shared" si="8"/>
        <v>-3.9999999999995595</v>
      </c>
      <c r="O46" s="19">
        <f t="shared" si="12"/>
        <v>-6.9999999999996732</v>
      </c>
      <c r="P46" s="19">
        <f t="shared" si="13"/>
        <v>-5.0000000000007816</v>
      </c>
      <c r="Q46" s="19">
        <f t="shared" si="14"/>
        <v>-4.9999999999998934</v>
      </c>
      <c r="R46" s="19">
        <f t="shared" si="9"/>
        <v>-6.9999999999907914</v>
      </c>
      <c r="S46" s="27">
        <f t="shared" si="11"/>
        <v>-1.0869565217404589E-2</v>
      </c>
      <c r="T46" s="28">
        <f t="shared" si="11"/>
        <v>0</v>
      </c>
      <c r="U46" s="28">
        <f t="shared" si="11"/>
        <v>0</v>
      </c>
      <c r="V46" s="28">
        <f t="shared" si="11"/>
        <v>1.0869565217385279E-2</v>
      </c>
      <c r="W46" s="28">
        <f t="shared" si="11"/>
        <v>0</v>
      </c>
      <c r="X46" s="29">
        <f t="shared" si="11"/>
        <v>1.0869565217385279E-2</v>
      </c>
      <c r="Y46" s="24"/>
    </row>
    <row r="47" spans="2:25" ht="15" customHeight="1" x14ac:dyDescent="0.2">
      <c r="B47" s="31">
        <v>42109</v>
      </c>
      <c r="C47" s="25"/>
      <c r="D47" s="26"/>
      <c r="E47" s="26"/>
      <c r="F47" s="16">
        <v>12.999000000000001</v>
      </c>
      <c r="G47" s="16">
        <v>9.8149999999999995</v>
      </c>
      <c r="H47" s="16">
        <v>10.425000000000001</v>
      </c>
      <c r="I47" s="17">
        <v>101.923</v>
      </c>
      <c r="J47" s="58">
        <v>943</v>
      </c>
      <c r="K47" s="18">
        <f t="shared" si="16"/>
        <v>487</v>
      </c>
      <c r="L47" s="19" t="str">
        <f t="shared" si="6"/>
        <v/>
      </c>
      <c r="M47" s="19" t="str">
        <f t="shared" si="7"/>
        <v/>
      </c>
      <c r="N47" s="19" t="str">
        <f t="shared" si="8"/>
        <v/>
      </c>
      <c r="O47" s="19">
        <f t="shared" si="12"/>
        <v>-7.9999999999991189</v>
      </c>
      <c r="P47" s="19">
        <f t="shared" si="13"/>
        <v>-5.0000000000007816</v>
      </c>
      <c r="Q47" s="19">
        <f t="shared" si="14"/>
        <v>-5.9999999999993392</v>
      </c>
      <c r="R47" s="19">
        <f t="shared" si="9"/>
        <v>-7.9999999999955662</v>
      </c>
      <c r="S47" s="27" t="str">
        <f t="shared" si="11"/>
        <v/>
      </c>
      <c r="T47" s="28" t="str">
        <f t="shared" si="11"/>
        <v/>
      </c>
      <c r="U47" s="28" t="str">
        <f t="shared" si="11"/>
        <v/>
      </c>
      <c r="V47" s="28">
        <f t="shared" si="11"/>
        <v>-1.1904761904755307E-2</v>
      </c>
      <c r="W47" s="28">
        <f t="shared" si="11"/>
        <v>0</v>
      </c>
      <c r="X47" s="29">
        <f t="shared" si="11"/>
        <v>-1.1904761904755307E-2</v>
      </c>
      <c r="Y47" s="24"/>
    </row>
    <row r="48" spans="2:25" ht="15" customHeight="1" x14ac:dyDescent="0.2">
      <c r="B48" s="31">
        <v>42221</v>
      </c>
      <c r="C48" s="25"/>
      <c r="D48" s="26"/>
      <c r="E48" s="26"/>
      <c r="F48" s="16">
        <v>13</v>
      </c>
      <c r="G48" s="16">
        <v>9.8170000000000002</v>
      </c>
      <c r="H48" s="16">
        <v>10.425000000000001</v>
      </c>
      <c r="I48" s="17">
        <v>101.92400000000001</v>
      </c>
      <c r="J48" s="32">
        <v>1253</v>
      </c>
      <c r="K48" s="18">
        <f t="shared" si="16"/>
        <v>797</v>
      </c>
      <c r="L48" s="19" t="str">
        <f t="shared" si="6"/>
        <v/>
      </c>
      <c r="M48" s="19" t="str">
        <f t="shared" si="7"/>
        <v/>
      </c>
      <c r="N48" s="19" t="str">
        <f t="shared" si="8"/>
        <v/>
      </c>
      <c r="O48" s="19">
        <f t="shared" si="12"/>
        <v>-6.9999999999996732</v>
      </c>
      <c r="P48" s="19">
        <f t="shared" si="13"/>
        <v>-3.0000000000001137</v>
      </c>
      <c r="Q48" s="19">
        <f t="shared" si="14"/>
        <v>-5.9999999999993392</v>
      </c>
      <c r="R48" s="19">
        <f t="shared" si="9"/>
        <v>-6.9999999999907914</v>
      </c>
      <c r="S48" s="27" t="str">
        <f t="shared" si="11"/>
        <v/>
      </c>
      <c r="T48" s="28" t="str">
        <f t="shared" si="11"/>
        <v/>
      </c>
      <c r="U48" s="28" t="str">
        <f t="shared" si="11"/>
        <v/>
      </c>
      <c r="V48" s="28">
        <f t="shared" si="11"/>
        <v>8.9285714285664806E-3</v>
      </c>
      <c r="W48" s="28">
        <f t="shared" si="11"/>
        <v>1.785714285714882E-2</v>
      </c>
      <c r="X48" s="29">
        <f t="shared" si="11"/>
        <v>0</v>
      </c>
      <c r="Y48" s="24"/>
    </row>
    <row r="49" spans="2:25" ht="15" customHeight="1" x14ac:dyDescent="0.2">
      <c r="B49" s="31">
        <v>42318</v>
      </c>
      <c r="C49" s="25"/>
      <c r="D49" s="26"/>
      <c r="E49" s="26"/>
      <c r="F49" s="16">
        <v>13.997999999999999</v>
      </c>
      <c r="G49" s="16">
        <v>9.8149999999999995</v>
      </c>
      <c r="H49" s="16">
        <v>10.425000000000001</v>
      </c>
      <c r="I49" s="17">
        <v>101.922</v>
      </c>
      <c r="J49" s="32">
        <v>2220</v>
      </c>
      <c r="K49" s="18">
        <f t="shared" ref="K49:K51" si="17">IF(ISBLANK(J49),"",(J49-$J$8))</f>
        <v>1764</v>
      </c>
      <c r="L49" s="19" t="str">
        <f t="shared" si="6"/>
        <v/>
      </c>
      <c r="M49" s="19" t="str">
        <f t="shared" si="7"/>
        <v/>
      </c>
      <c r="N49" s="19" t="str">
        <f t="shared" si="8"/>
        <v/>
      </c>
      <c r="O49" s="19">
        <f t="shared" si="12"/>
        <v>990.99999999999966</v>
      </c>
      <c r="P49" s="19">
        <f t="shared" si="13"/>
        <v>-5.0000000000007816</v>
      </c>
      <c r="Q49" s="19">
        <f t="shared" si="14"/>
        <v>-5.9999999999993392</v>
      </c>
      <c r="R49" s="19">
        <f t="shared" si="9"/>
        <v>-9.0000000000003411</v>
      </c>
      <c r="S49" s="27" t="str">
        <f t="shared" ref="S49:X64" si="18">IF(C49="","",((C49-C48)*1000)/($B49-$B48))</f>
        <v/>
      </c>
      <c r="T49" s="28" t="str">
        <f t="shared" si="18"/>
        <v/>
      </c>
      <c r="U49" s="28" t="str">
        <f t="shared" si="18"/>
        <v/>
      </c>
      <c r="V49" s="28">
        <f t="shared" si="18"/>
        <v>10.288659793814427</v>
      </c>
      <c r="W49" s="28">
        <f t="shared" si="18"/>
        <v>-2.0618556701037814E-2</v>
      </c>
      <c r="X49" s="29">
        <f t="shared" si="18"/>
        <v>0</v>
      </c>
      <c r="Y49" s="24"/>
    </row>
    <row r="50" spans="2:25" ht="15" customHeight="1" x14ac:dyDescent="0.2">
      <c r="B50" s="31">
        <v>42404</v>
      </c>
      <c r="C50" s="25">
        <v>12.484999999999999</v>
      </c>
      <c r="D50" s="26">
        <v>7.3239999999999998</v>
      </c>
      <c r="E50" s="26">
        <v>7.9459999999999997</v>
      </c>
      <c r="F50" s="16">
        <v>13.997</v>
      </c>
      <c r="G50" s="16">
        <v>9.8140000000000001</v>
      </c>
      <c r="H50" s="16">
        <v>10.423</v>
      </c>
      <c r="I50" s="17">
        <v>101.923</v>
      </c>
      <c r="J50" s="58">
        <v>2484</v>
      </c>
      <c r="K50" s="18">
        <f t="shared" si="17"/>
        <v>2028</v>
      </c>
      <c r="L50" s="19">
        <f t="shared" si="6"/>
        <v>-6.0000000000002274</v>
      </c>
      <c r="M50" s="19">
        <f t="shared" si="7"/>
        <v>-2.0000000000006679</v>
      </c>
      <c r="N50" s="19">
        <f t="shared" si="8"/>
        <v>-4.9999999999998934</v>
      </c>
      <c r="O50" s="19">
        <f t="shared" si="12"/>
        <v>990.00000000000023</v>
      </c>
      <c r="P50" s="19">
        <f t="shared" si="13"/>
        <v>-6.0000000000002274</v>
      </c>
      <c r="Q50" s="19">
        <f t="shared" si="14"/>
        <v>-8.0000000000000071</v>
      </c>
      <c r="R50" s="19">
        <f t="shared" si="9"/>
        <v>-7.9999999999955662</v>
      </c>
      <c r="S50" s="27"/>
      <c r="T50" s="28"/>
      <c r="U50" s="28"/>
      <c r="V50" s="28">
        <f t="shared" si="18"/>
        <v>-1.1627906976737741E-2</v>
      </c>
      <c r="W50" s="28">
        <f t="shared" si="18"/>
        <v>-1.1627906976737741E-2</v>
      </c>
      <c r="X50" s="29">
        <f t="shared" si="18"/>
        <v>-2.325581395349614E-2</v>
      </c>
      <c r="Y50" s="24"/>
    </row>
    <row r="51" spans="2:25" ht="15" customHeight="1" x14ac:dyDescent="0.2">
      <c r="B51" s="31">
        <v>42529</v>
      </c>
      <c r="C51" s="25"/>
      <c r="D51" s="26"/>
      <c r="E51" s="26"/>
      <c r="F51" s="16">
        <v>13.997999999999999</v>
      </c>
      <c r="G51" s="16">
        <v>9.8149999999999995</v>
      </c>
      <c r="H51" s="16">
        <v>10.423999999999999</v>
      </c>
      <c r="I51" s="17">
        <v>101.923</v>
      </c>
      <c r="J51" s="58">
        <v>2603</v>
      </c>
      <c r="K51" s="18">
        <f t="shared" si="17"/>
        <v>2147</v>
      </c>
      <c r="L51" s="19" t="str">
        <f t="shared" si="6"/>
        <v/>
      </c>
      <c r="M51" s="19" t="str">
        <f t="shared" si="7"/>
        <v/>
      </c>
      <c r="N51" s="19" t="str">
        <f t="shared" si="8"/>
        <v/>
      </c>
      <c r="O51" s="19">
        <f t="shared" si="12"/>
        <v>990.99999999999966</v>
      </c>
      <c r="P51" s="19">
        <f t="shared" si="13"/>
        <v>-5.0000000000007816</v>
      </c>
      <c r="Q51" s="19">
        <f t="shared" si="14"/>
        <v>-7.0000000000005613</v>
      </c>
      <c r="R51" s="19">
        <f t="shared" si="9"/>
        <v>-7.9999999999955662</v>
      </c>
      <c r="S51" s="27" t="str">
        <f t="shared" si="18"/>
        <v/>
      </c>
      <c r="T51" s="28" t="str">
        <f t="shared" si="18"/>
        <v/>
      </c>
      <c r="U51" s="28" t="str">
        <f t="shared" si="18"/>
        <v/>
      </c>
      <c r="V51" s="28">
        <f t="shared" si="18"/>
        <v>7.9999999999955662E-3</v>
      </c>
      <c r="W51" s="28">
        <f t="shared" si="18"/>
        <v>7.9999999999955662E-3</v>
      </c>
      <c r="X51" s="29">
        <f t="shared" si="18"/>
        <v>7.9999999999955662E-3</v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6"/>
        <v/>
      </c>
      <c r="M52" s="19" t="str">
        <f t="shared" si="7"/>
        <v/>
      </c>
      <c r="N52" s="19" t="str">
        <f t="shared" si="8"/>
        <v/>
      </c>
      <c r="O52" s="19" t="str">
        <f t="shared" si="12"/>
        <v/>
      </c>
      <c r="P52" s="19" t="str">
        <f t="shared" si="13"/>
        <v/>
      </c>
      <c r="Q52" s="19" t="str">
        <f t="shared" si="14"/>
        <v/>
      </c>
      <c r="R52" s="19" t="str">
        <f t="shared" si="9"/>
        <v/>
      </c>
      <c r="S52" s="27" t="str">
        <f t="shared" si="18"/>
        <v/>
      </c>
      <c r="T52" s="28" t="str">
        <f t="shared" si="18"/>
        <v/>
      </c>
      <c r="U52" s="28" t="str">
        <f t="shared" si="18"/>
        <v/>
      </c>
      <c r="V52" s="28" t="str">
        <f t="shared" si="18"/>
        <v/>
      </c>
      <c r="W52" s="28" t="str">
        <f t="shared" si="18"/>
        <v/>
      </c>
      <c r="X52" s="29" t="str">
        <f t="shared" si="18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6"/>
        <v/>
      </c>
      <c r="M53" s="19" t="str">
        <f t="shared" si="7"/>
        <v/>
      </c>
      <c r="N53" s="19" t="str">
        <f t="shared" si="8"/>
        <v/>
      </c>
      <c r="O53" s="19" t="str">
        <f t="shared" si="12"/>
        <v/>
      </c>
      <c r="P53" s="19" t="str">
        <f t="shared" si="13"/>
        <v/>
      </c>
      <c r="Q53" s="19" t="str">
        <f t="shared" si="14"/>
        <v/>
      </c>
      <c r="R53" s="19" t="str">
        <f t="shared" si="9"/>
        <v/>
      </c>
      <c r="S53" s="27" t="str">
        <f t="shared" si="18"/>
        <v/>
      </c>
      <c r="T53" s="28" t="str">
        <f t="shared" si="18"/>
        <v/>
      </c>
      <c r="U53" s="28" t="str">
        <f t="shared" si="18"/>
        <v/>
      </c>
      <c r="V53" s="28" t="str">
        <f t="shared" si="18"/>
        <v/>
      </c>
      <c r="W53" s="28" t="str">
        <f t="shared" si="18"/>
        <v/>
      </c>
      <c r="X53" s="29" t="str">
        <f t="shared" si="18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6"/>
        <v/>
      </c>
      <c r="M54" s="19" t="str">
        <f t="shared" si="7"/>
        <v/>
      </c>
      <c r="N54" s="19" t="str">
        <f t="shared" si="8"/>
        <v/>
      </c>
      <c r="O54" s="19" t="str">
        <f t="shared" si="12"/>
        <v/>
      </c>
      <c r="P54" s="19" t="str">
        <f t="shared" si="13"/>
        <v/>
      </c>
      <c r="Q54" s="19" t="str">
        <f t="shared" si="14"/>
        <v/>
      </c>
      <c r="R54" s="19" t="str">
        <f t="shared" si="9"/>
        <v/>
      </c>
      <c r="S54" s="27" t="str">
        <f t="shared" si="18"/>
        <v/>
      </c>
      <c r="T54" s="28" t="str">
        <f t="shared" si="18"/>
        <v/>
      </c>
      <c r="U54" s="28" t="str">
        <f t="shared" si="18"/>
        <v/>
      </c>
      <c r="V54" s="28" t="str">
        <f t="shared" si="18"/>
        <v/>
      </c>
      <c r="W54" s="28" t="str">
        <f t="shared" si="18"/>
        <v/>
      </c>
      <c r="X54" s="29" t="str">
        <f t="shared" si="18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6"/>
        <v/>
      </c>
      <c r="M55" s="19" t="str">
        <f t="shared" si="7"/>
        <v/>
      </c>
      <c r="N55" s="19" t="str">
        <f t="shared" si="8"/>
        <v/>
      </c>
      <c r="O55" s="19" t="str">
        <f t="shared" si="12"/>
        <v/>
      </c>
      <c r="P55" s="19" t="str">
        <f t="shared" si="13"/>
        <v/>
      </c>
      <c r="Q55" s="19" t="str">
        <f t="shared" si="14"/>
        <v/>
      </c>
      <c r="R55" s="19" t="str">
        <f t="shared" si="9"/>
        <v/>
      </c>
      <c r="S55" s="27" t="str">
        <f t="shared" si="18"/>
        <v/>
      </c>
      <c r="T55" s="28" t="str">
        <f t="shared" si="18"/>
        <v/>
      </c>
      <c r="U55" s="28" t="str">
        <f t="shared" si="18"/>
        <v/>
      </c>
      <c r="V55" s="28" t="str">
        <f t="shared" si="18"/>
        <v/>
      </c>
      <c r="W55" s="28" t="str">
        <f t="shared" si="18"/>
        <v/>
      </c>
      <c r="X55" s="29" t="str">
        <f t="shared" si="18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6"/>
        <v/>
      </c>
      <c r="M56" s="19" t="str">
        <f t="shared" si="7"/>
        <v/>
      </c>
      <c r="N56" s="19" t="str">
        <f t="shared" si="8"/>
        <v/>
      </c>
      <c r="O56" s="19" t="str">
        <f t="shared" si="12"/>
        <v/>
      </c>
      <c r="P56" s="19" t="str">
        <f t="shared" si="13"/>
        <v/>
      </c>
      <c r="Q56" s="19" t="str">
        <f t="shared" si="14"/>
        <v/>
      </c>
      <c r="R56" s="19" t="str">
        <f t="shared" si="9"/>
        <v/>
      </c>
      <c r="S56" s="27" t="str">
        <f t="shared" si="18"/>
        <v/>
      </c>
      <c r="T56" s="28" t="str">
        <f t="shared" si="18"/>
        <v/>
      </c>
      <c r="U56" s="28" t="str">
        <f t="shared" si="18"/>
        <v/>
      </c>
      <c r="V56" s="28" t="str">
        <f t="shared" si="18"/>
        <v/>
      </c>
      <c r="W56" s="28" t="str">
        <f t="shared" si="18"/>
        <v/>
      </c>
      <c r="X56" s="29" t="str">
        <f t="shared" si="18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6"/>
        <v/>
      </c>
      <c r="M57" s="19" t="str">
        <f t="shared" si="7"/>
        <v/>
      </c>
      <c r="N57" s="19" t="str">
        <f t="shared" si="8"/>
        <v/>
      </c>
      <c r="O57" s="19" t="str">
        <f t="shared" si="12"/>
        <v/>
      </c>
      <c r="P57" s="19" t="str">
        <f t="shared" si="13"/>
        <v/>
      </c>
      <c r="Q57" s="19" t="str">
        <f t="shared" si="14"/>
        <v/>
      </c>
      <c r="R57" s="19" t="str">
        <f t="shared" si="9"/>
        <v/>
      </c>
      <c r="S57" s="27" t="str">
        <f t="shared" si="18"/>
        <v/>
      </c>
      <c r="T57" s="28" t="str">
        <f t="shared" si="18"/>
        <v/>
      </c>
      <c r="U57" s="28" t="str">
        <f t="shared" si="18"/>
        <v/>
      </c>
      <c r="V57" s="28" t="str">
        <f t="shared" si="18"/>
        <v/>
      </c>
      <c r="W57" s="28" t="str">
        <f t="shared" si="18"/>
        <v/>
      </c>
      <c r="X57" s="29" t="str">
        <f t="shared" si="18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6"/>
        <v/>
      </c>
      <c r="M58" s="19" t="str">
        <f t="shared" si="7"/>
        <v/>
      </c>
      <c r="N58" s="19" t="str">
        <f t="shared" si="8"/>
        <v/>
      </c>
      <c r="O58" s="19" t="str">
        <f t="shared" si="12"/>
        <v/>
      </c>
      <c r="P58" s="19" t="str">
        <f t="shared" si="13"/>
        <v/>
      </c>
      <c r="Q58" s="19" t="str">
        <f t="shared" si="14"/>
        <v/>
      </c>
      <c r="R58" s="19" t="str">
        <f t="shared" si="9"/>
        <v/>
      </c>
      <c r="S58" s="27" t="str">
        <f t="shared" si="18"/>
        <v/>
      </c>
      <c r="T58" s="28" t="str">
        <f t="shared" si="18"/>
        <v/>
      </c>
      <c r="U58" s="28" t="str">
        <f t="shared" si="18"/>
        <v/>
      </c>
      <c r="V58" s="28" t="str">
        <f t="shared" si="18"/>
        <v/>
      </c>
      <c r="W58" s="28" t="str">
        <f t="shared" si="18"/>
        <v/>
      </c>
      <c r="X58" s="29" t="str">
        <f t="shared" si="18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6"/>
        <v/>
      </c>
      <c r="M59" s="19" t="str">
        <f t="shared" si="7"/>
        <v/>
      </c>
      <c r="N59" s="19" t="str">
        <f t="shared" si="8"/>
        <v/>
      </c>
      <c r="O59" s="19" t="str">
        <f t="shared" si="12"/>
        <v/>
      </c>
      <c r="P59" s="19" t="str">
        <f t="shared" si="13"/>
        <v/>
      </c>
      <c r="Q59" s="19" t="str">
        <f t="shared" si="14"/>
        <v/>
      </c>
      <c r="R59" s="19" t="str">
        <f t="shared" si="9"/>
        <v/>
      </c>
      <c r="S59" s="27" t="str">
        <f t="shared" si="18"/>
        <v/>
      </c>
      <c r="T59" s="28" t="str">
        <f t="shared" si="18"/>
        <v/>
      </c>
      <c r="U59" s="28" t="str">
        <f t="shared" si="18"/>
        <v/>
      </c>
      <c r="V59" s="28" t="str">
        <f t="shared" si="18"/>
        <v/>
      </c>
      <c r="W59" s="28" t="str">
        <f t="shared" si="18"/>
        <v/>
      </c>
      <c r="X59" s="29" t="str">
        <f t="shared" si="18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6"/>
        <v/>
      </c>
      <c r="M60" s="19" t="str">
        <f t="shared" si="7"/>
        <v/>
      </c>
      <c r="N60" s="19" t="str">
        <f t="shared" si="8"/>
        <v/>
      </c>
      <c r="O60" s="19" t="str">
        <f t="shared" si="12"/>
        <v/>
      </c>
      <c r="P60" s="19" t="str">
        <f t="shared" si="13"/>
        <v/>
      </c>
      <c r="Q60" s="19" t="str">
        <f t="shared" si="14"/>
        <v/>
      </c>
      <c r="R60" s="19" t="str">
        <f t="shared" si="9"/>
        <v/>
      </c>
      <c r="S60" s="27" t="str">
        <f t="shared" si="18"/>
        <v/>
      </c>
      <c r="T60" s="28" t="str">
        <f t="shared" si="18"/>
        <v/>
      </c>
      <c r="U60" s="28" t="str">
        <f t="shared" si="18"/>
        <v/>
      </c>
      <c r="V60" s="28" t="str">
        <f t="shared" si="18"/>
        <v/>
      </c>
      <c r="W60" s="28" t="str">
        <f t="shared" si="18"/>
        <v/>
      </c>
      <c r="X60" s="29" t="str">
        <f t="shared" si="18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6"/>
        <v/>
      </c>
      <c r="M61" s="19" t="str">
        <f t="shared" si="7"/>
        <v/>
      </c>
      <c r="N61" s="19" t="str">
        <f t="shared" si="8"/>
        <v/>
      </c>
      <c r="O61" s="19" t="str">
        <f t="shared" si="12"/>
        <v/>
      </c>
      <c r="P61" s="19" t="str">
        <f t="shared" si="13"/>
        <v/>
      </c>
      <c r="Q61" s="19" t="str">
        <f t="shared" si="14"/>
        <v/>
      </c>
      <c r="R61" s="19" t="str">
        <f t="shared" si="9"/>
        <v/>
      </c>
      <c r="S61" s="27" t="str">
        <f t="shared" si="18"/>
        <v/>
      </c>
      <c r="T61" s="28" t="str">
        <f t="shared" si="18"/>
        <v/>
      </c>
      <c r="U61" s="28" t="str">
        <f t="shared" si="18"/>
        <v/>
      </c>
      <c r="V61" s="28" t="str">
        <f t="shared" si="18"/>
        <v/>
      </c>
      <c r="W61" s="28" t="str">
        <f t="shared" si="18"/>
        <v/>
      </c>
      <c r="X61" s="29" t="str">
        <f t="shared" si="18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6"/>
        <v/>
      </c>
      <c r="M62" s="19" t="str">
        <f t="shared" si="7"/>
        <v/>
      </c>
      <c r="N62" s="19" t="str">
        <f t="shared" si="8"/>
        <v/>
      </c>
      <c r="O62" s="19" t="str">
        <f t="shared" si="12"/>
        <v/>
      </c>
      <c r="P62" s="19" t="str">
        <f t="shared" si="13"/>
        <v/>
      </c>
      <c r="Q62" s="19" t="str">
        <f t="shared" si="14"/>
        <v/>
      </c>
      <c r="R62" s="19" t="str">
        <f t="shared" si="9"/>
        <v/>
      </c>
      <c r="S62" s="27" t="str">
        <f t="shared" si="18"/>
        <v/>
      </c>
      <c r="T62" s="28" t="str">
        <f t="shared" si="18"/>
        <v/>
      </c>
      <c r="U62" s="28" t="str">
        <f t="shared" si="18"/>
        <v/>
      </c>
      <c r="V62" s="28" t="str">
        <f t="shared" si="18"/>
        <v/>
      </c>
      <c r="W62" s="28" t="str">
        <f t="shared" si="18"/>
        <v/>
      </c>
      <c r="X62" s="29" t="str">
        <f t="shared" si="18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L94" si="19">IF(ISBLANK(C63),"",(C63-C$16)*1000)</f>
        <v/>
      </c>
      <c r="M63" s="19" t="str">
        <f t="shared" si="7"/>
        <v/>
      </c>
      <c r="N63" s="19" t="str">
        <f t="shared" si="8"/>
        <v/>
      </c>
      <c r="O63" s="19" t="str">
        <f t="shared" si="12"/>
        <v/>
      </c>
      <c r="P63" s="19" t="str">
        <f t="shared" si="13"/>
        <v/>
      </c>
      <c r="Q63" s="19" t="str">
        <f t="shared" si="14"/>
        <v/>
      </c>
      <c r="R63" s="19" t="str">
        <f t="shared" si="9"/>
        <v/>
      </c>
      <c r="S63" s="27" t="str">
        <f t="shared" si="18"/>
        <v/>
      </c>
      <c r="T63" s="28" t="str">
        <f t="shared" si="18"/>
        <v/>
      </c>
      <c r="U63" s="28" t="str">
        <f t="shared" si="18"/>
        <v/>
      </c>
      <c r="V63" s="28" t="str">
        <f t="shared" si="18"/>
        <v/>
      </c>
      <c r="W63" s="28" t="str">
        <f t="shared" si="18"/>
        <v/>
      </c>
      <c r="X63" s="29" t="str">
        <f t="shared" si="18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9"/>
        <v/>
      </c>
      <c r="M64" s="19" t="str">
        <f t="shared" si="7"/>
        <v/>
      </c>
      <c r="N64" s="19" t="str">
        <f t="shared" si="8"/>
        <v/>
      </c>
      <c r="O64" s="19" t="str">
        <f t="shared" si="12"/>
        <v/>
      </c>
      <c r="P64" s="19" t="str">
        <f t="shared" si="13"/>
        <v/>
      </c>
      <c r="Q64" s="19" t="str">
        <f t="shared" si="14"/>
        <v/>
      </c>
      <c r="R64" s="19" t="str">
        <f t="shared" si="9"/>
        <v/>
      </c>
      <c r="S64" s="27" t="str">
        <f t="shared" si="18"/>
        <v/>
      </c>
      <c r="T64" s="28" t="str">
        <f t="shared" si="18"/>
        <v/>
      </c>
      <c r="U64" s="28" t="str">
        <f t="shared" si="18"/>
        <v/>
      </c>
      <c r="V64" s="28" t="str">
        <f t="shared" si="18"/>
        <v/>
      </c>
      <c r="W64" s="28" t="str">
        <f t="shared" si="18"/>
        <v/>
      </c>
      <c r="X64" s="29" t="str">
        <f t="shared" si="18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9"/>
        <v/>
      </c>
      <c r="M65" s="19" t="str">
        <f t="shared" si="7"/>
        <v/>
      </c>
      <c r="N65" s="19" t="str">
        <f t="shared" si="8"/>
        <v/>
      </c>
      <c r="O65" s="19" t="str">
        <f t="shared" si="12"/>
        <v/>
      </c>
      <c r="P65" s="19" t="str">
        <f t="shared" si="13"/>
        <v/>
      </c>
      <c r="Q65" s="19" t="str">
        <f t="shared" si="14"/>
        <v/>
      </c>
      <c r="R65" s="19" t="str">
        <f t="shared" si="9"/>
        <v/>
      </c>
      <c r="S65" s="27" t="str">
        <f t="shared" ref="S65:X80" si="20">IF(C65="","",((C65-C64)*1000)/($B65-$B64))</f>
        <v/>
      </c>
      <c r="T65" s="28" t="str">
        <f t="shared" si="20"/>
        <v/>
      </c>
      <c r="U65" s="28" t="str">
        <f t="shared" si="20"/>
        <v/>
      </c>
      <c r="V65" s="28" t="str">
        <f t="shared" si="20"/>
        <v/>
      </c>
      <c r="W65" s="28" t="str">
        <f t="shared" si="20"/>
        <v/>
      </c>
      <c r="X65" s="29" t="str">
        <f t="shared" si="20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9"/>
        <v/>
      </c>
      <c r="M66" s="19" t="str">
        <f t="shared" si="7"/>
        <v/>
      </c>
      <c r="N66" s="19" t="str">
        <f t="shared" si="8"/>
        <v/>
      </c>
      <c r="O66" s="19" t="str">
        <f t="shared" si="12"/>
        <v/>
      </c>
      <c r="P66" s="19" t="str">
        <f t="shared" si="13"/>
        <v/>
      </c>
      <c r="Q66" s="19" t="str">
        <f t="shared" si="14"/>
        <v/>
      </c>
      <c r="R66" s="19" t="str">
        <f t="shared" si="9"/>
        <v/>
      </c>
      <c r="S66" s="27" t="str">
        <f t="shared" si="20"/>
        <v/>
      </c>
      <c r="T66" s="28" t="str">
        <f t="shared" si="20"/>
        <v/>
      </c>
      <c r="U66" s="28" t="str">
        <f t="shared" si="20"/>
        <v/>
      </c>
      <c r="V66" s="28" t="str">
        <f t="shared" si="20"/>
        <v/>
      </c>
      <c r="W66" s="28" t="str">
        <f t="shared" si="20"/>
        <v/>
      </c>
      <c r="X66" s="29" t="str">
        <f t="shared" si="20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9"/>
        <v/>
      </c>
      <c r="M67" s="19" t="str">
        <f t="shared" si="7"/>
        <v/>
      </c>
      <c r="N67" s="19" t="str">
        <f t="shared" si="8"/>
        <v/>
      </c>
      <c r="O67" s="19" t="str">
        <f t="shared" si="12"/>
        <v/>
      </c>
      <c r="P67" s="19" t="str">
        <f t="shared" si="13"/>
        <v/>
      </c>
      <c r="Q67" s="19" t="str">
        <f t="shared" si="14"/>
        <v/>
      </c>
      <c r="R67" s="19" t="str">
        <f t="shared" si="9"/>
        <v/>
      </c>
      <c r="S67" s="27" t="str">
        <f t="shared" si="20"/>
        <v/>
      </c>
      <c r="T67" s="28" t="str">
        <f t="shared" si="20"/>
        <v/>
      </c>
      <c r="U67" s="28" t="str">
        <f t="shared" si="20"/>
        <v/>
      </c>
      <c r="V67" s="28" t="str">
        <f t="shared" si="20"/>
        <v/>
      </c>
      <c r="W67" s="28" t="str">
        <f t="shared" si="20"/>
        <v/>
      </c>
      <c r="X67" s="29" t="str">
        <f t="shared" si="20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9"/>
        <v/>
      </c>
      <c r="M68" s="19" t="str">
        <f t="shared" si="7"/>
        <v/>
      </c>
      <c r="N68" s="19" t="str">
        <f t="shared" si="8"/>
        <v/>
      </c>
      <c r="O68" s="19" t="str">
        <f t="shared" si="12"/>
        <v/>
      </c>
      <c r="P68" s="19" t="str">
        <f t="shared" si="13"/>
        <v/>
      </c>
      <c r="Q68" s="19" t="str">
        <f t="shared" si="14"/>
        <v/>
      </c>
      <c r="R68" s="19" t="str">
        <f t="shared" si="9"/>
        <v/>
      </c>
      <c r="S68" s="27" t="str">
        <f t="shared" si="20"/>
        <v/>
      </c>
      <c r="T68" s="28" t="str">
        <f t="shared" si="20"/>
        <v/>
      </c>
      <c r="U68" s="28" t="str">
        <f t="shared" si="20"/>
        <v/>
      </c>
      <c r="V68" s="28" t="str">
        <f t="shared" si="20"/>
        <v/>
      </c>
      <c r="W68" s="28" t="str">
        <f t="shared" si="20"/>
        <v/>
      </c>
      <c r="X68" s="29" t="str">
        <f t="shared" si="20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9"/>
        <v/>
      </c>
      <c r="M69" s="19" t="str">
        <f t="shared" si="7"/>
        <v/>
      </c>
      <c r="N69" s="19" t="str">
        <f t="shared" si="8"/>
        <v/>
      </c>
      <c r="O69" s="19" t="str">
        <f t="shared" si="12"/>
        <v/>
      </c>
      <c r="P69" s="19" t="str">
        <f t="shared" si="13"/>
        <v/>
      </c>
      <c r="Q69" s="19" t="str">
        <f t="shared" si="14"/>
        <v/>
      </c>
      <c r="R69" s="19" t="str">
        <f t="shared" si="9"/>
        <v/>
      </c>
      <c r="S69" s="27" t="str">
        <f t="shared" si="20"/>
        <v/>
      </c>
      <c r="T69" s="28" t="str">
        <f t="shared" si="20"/>
        <v/>
      </c>
      <c r="U69" s="28" t="str">
        <f t="shared" si="20"/>
        <v/>
      </c>
      <c r="V69" s="28" t="str">
        <f t="shared" si="20"/>
        <v/>
      </c>
      <c r="W69" s="28" t="str">
        <f t="shared" si="20"/>
        <v/>
      </c>
      <c r="X69" s="29" t="str">
        <f t="shared" si="20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9"/>
        <v/>
      </c>
      <c r="M70" s="19" t="str">
        <f t="shared" si="7"/>
        <v/>
      </c>
      <c r="N70" s="19" t="str">
        <f t="shared" si="8"/>
        <v/>
      </c>
      <c r="O70" s="19" t="str">
        <f t="shared" si="12"/>
        <v/>
      </c>
      <c r="P70" s="19" t="str">
        <f t="shared" si="13"/>
        <v/>
      </c>
      <c r="Q70" s="19" t="str">
        <f t="shared" si="14"/>
        <v/>
      </c>
      <c r="R70" s="19" t="str">
        <f t="shared" si="9"/>
        <v/>
      </c>
      <c r="S70" s="27" t="str">
        <f t="shared" si="20"/>
        <v/>
      </c>
      <c r="T70" s="28" t="str">
        <f t="shared" si="20"/>
        <v/>
      </c>
      <c r="U70" s="28" t="str">
        <f t="shared" si="20"/>
        <v/>
      </c>
      <c r="V70" s="28" t="str">
        <f t="shared" si="20"/>
        <v/>
      </c>
      <c r="W70" s="28" t="str">
        <f t="shared" si="20"/>
        <v/>
      </c>
      <c r="X70" s="29" t="str">
        <f t="shared" si="20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9"/>
        <v/>
      </c>
      <c r="M71" s="19" t="str">
        <f t="shared" si="7"/>
        <v/>
      </c>
      <c r="N71" s="19" t="str">
        <f t="shared" si="8"/>
        <v/>
      </c>
      <c r="O71" s="19" t="str">
        <f t="shared" si="12"/>
        <v/>
      </c>
      <c r="P71" s="19" t="str">
        <f t="shared" si="13"/>
        <v/>
      </c>
      <c r="Q71" s="19" t="str">
        <f t="shared" si="14"/>
        <v/>
      </c>
      <c r="R71" s="19" t="str">
        <f t="shared" si="9"/>
        <v/>
      </c>
      <c r="S71" s="27" t="str">
        <f t="shared" si="20"/>
        <v/>
      </c>
      <c r="T71" s="28" t="str">
        <f t="shared" si="20"/>
        <v/>
      </c>
      <c r="U71" s="28" t="str">
        <f t="shared" si="20"/>
        <v/>
      </c>
      <c r="V71" s="28" t="str">
        <f t="shared" si="20"/>
        <v/>
      </c>
      <c r="W71" s="28" t="str">
        <f t="shared" si="20"/>
        <v/>
      </c>
      <c r="X71" s="29" t="str">
        <f t="shared" si="20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9"/>
        <v/>
      </c>
      <c r="M72" s="19" t="str">
        <f t="shared" si="7"/>
        <v/>
      </c>
      <c r="N72" s="19" t="str">
        <f t="shared" si="8"/>
        <v/>
      </c>
      <c r="O72" s="19" t="str">
        <f t="shared" si="12"/>
        <v/>
      </c>
      <c r="P72" s="19" t="str">
        <f t="shared" si="13"/>
        <v/>
      </c>
      <c r="Q72" s="19" t="str">
        <f t="shared" si="14"/>
        <v/>
      </c>
      <c r="R72" s="19" t="str">
        <f t="shared" si="9"/>
        <v/>
      </c>
      <c r="S72" s="27" t="str">
        <f t="shared" si="20"/>
        <v/>
      </c>
      <c r="T72" s="28" t="str">
        <f t="shared" si="20"/>
        <v/>
      </c>
      <c r="U72" s="28" t="str">
        <f t="shared" si="20"/>
        <v/>
      </c>
      <c r="V72" s="28" t="str">
        <f t="shared" si="20"/>
        <v/>
      </c>
      <c r="W72" s="28" t="str">
        <f t="shared" si="20"/>
        <v/>
      </c>
      <c r="X72" s="29" t="str">
        <f t="shared" si="20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9"/>
        <v/>
      </c>
      <c r="M73" s="19" t="str">
        <f t="shared" si="7"/>
        <v/>
      </c>
      <c r="N73" s="19" t="str">
        <f t="shared" si="8"/>
        <v/>
      </c>
      <c r="O73" s="19" t="str">
        <f t="shared" si="12"/>
        <v/>
      </c>
      <c r="P73" s="19" t="str">
        <f t="shared" si="13"/>
        <v/>
      </c>
      <c r="Q73" s="19" t="str">
        <f t="shared" si="14"/>
        <v/>
      </c>
      <c r="R73" s="19" t="str">
        <f t="shared" si="9"/>
        <v/>
      </c>
      <c r="S73" s="27" t="str">
        <f t="shared" si="20"/>
        <v/>
      </c>
      <c r="T73" s="28" t="str">
        <f t="shared" si="20"/>
        <v/>
      </c>
      <c r="U73" s="28" t="str">
        <f t="shared" si="20"/>
        <v/>
      </c>
      <c r="V73" s="28" t="str">
        <f t="shared" si="20"/>
        <v/>
      </c>
      <c r="W73" s="28" t="str">
        <f t="shared" si="20"/>
        <v/>
      </c>
      <c r="X73" s="29" t="str">
        <f t="shared" si="20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9"/>
        <v/>
      </c>
      <c r="M74" s="19" t="str">
        <f t="shared" si="7"/>
        <v/>
      </c>
      <c r="N74" s="19" t="str">
        <f t="shared" si="8"/>
        <v/>
      </c>
      <c r="O74" s="19" t="str">
        <f t="shared" si="12"/>
        <v/>
      </c>
      <c r="P74" s="19" t="str">
        <f t="shared" si="13"/>
        <v/>
      </c>
      <c r="Q74" s="19" t="str">
        <f t="shared" si="14"/>
        <v/>
      </c>
      <c r="R74" s="19" t="str">
        <f t="shared" si="9"/>
        <v/>
      </c>
      <c r="S74" s="27" t="str">
        <f t="shared" si="20"/>
        <v/>
      </c>
      <c r="T74" s="28" t="str">
        <f t="shared" si="20"/>
        <v/>
      </c>
      <c r="U74" s="28" t="str">
        <f t="shared" si="20"/>
        <v/>
      </c>
      <c r="V74" s="28" t="str">
        <f t="shared" si="20"/>
        <v/>
      </c>
      <c r="W74" s="28" t="str">
        <f t="shared" si="20"/>
        <v/>
      </c>
      <c r="X74" s="29" t="str">
        <f t="shared" si="20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9"/>
        <v/>
      </c>
      <c r="M75" s="19" t="str">
        <f t="shared" si="7"/>
        <v/>
      </c>
      <c r="N75" s="19" t="str">
        <f t="shared" si="8"/>
        <v/>
      </c>
      <c r="O75" s="19" t="str">
        <f t="shared" si="12"/>
        <v/>
      </c>
      <c r="P75" s="19" t="str">
        <f t="shared" si="13"/>
        <v/>
      </c>
      <c r="Q75" s="19" t="str">
        <f t="shared" si="14"/>
        <v/>
      </c>
      <c r="R75" s="19" t="str">
        <f t="shared" si="9"/>
        <v/>
      </c>
      <c r="S75" s="27" t="str">
        <f t="shared" si="20"/>
        <v/>
      </c>
      <c r="T75" s="28" t="str">
        <f t="shared" si="20"/>
        <v/>
      </c>
      <c r="U75" s="28" t="str">
        <f t="shared" si="20"/>
        <v/>
      </c>
      <c r="V75" s="28" t="str">
        <f t="shared" si="20"/>
        <v/>
      </c>
      <c r="W75" s="28" t="str">
        <f t="shared" si="20"/>
        <v/>
      </c>
      <c r="X75" s="29" t="str">
        <f t="shared" si="20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9"/>
        <v/>
      </c>
      <c r="M76" s="19" t="str">
        <f t="shared" si="7"/>
        <v/>
      </c>
      <c r="N76" s="19" t="str">
        <f t="shared" si="8"/>
        <v/>
      </c>
      <c r="O76" s="19" t="str">
        <f t="shared" si="12"/>
        <v/>
      </c>
      <c r="P76" s="19" t="str">
        <f t="shared" si="13"/>
        <v/>
      </c>
      <c r="Q76" s="19" t="str">
        <f t="shared" si="14"/>
        <v/>
      </c>
      <c r="R76" s="19" t="str">
        <f t="shared" si="9"/>
        <v/>
      </c>
      <c r="S76" s="27" t="str">
        <f t="shared" si="20"/>
        <v/>
      </c>
      <c r="T76" s="28" t="str">
        <f t="shared" si="20"/>
        <v/>
      </c>
      <c r="U76" s="28" t="str">
        <f t="shared" si="20"/>
        <v/>
      </c>
      <c r="V76" s="28" t="str">
        <f t="shared" si="20"/>
        <v/>
      </c>
      <c r="W76" s="28" t="str">
        <f t="shared" si="20"/>
        <v/>
      </c>
      <c r="X76" s="29" t="str">
        <f t="shared" si="20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9"/>
        <v/>
      </c>
      <c r="M77" s="19" t="str">
        <f t="shared" si="7"/>
        <v/>
      </c>
      <c r="N77" s="19" t="str">
        <f t="shared" si="8"/>
        <v/>
      </c>
      <c r="O77" s="19" t="str">
        <f t="shared" si="12"/>
        <v/>
      </c>
      <c r="P77" s="19" t="str">
        <f t="shared" si="13"/>
        <v/>
      </c>
      <c r="Q77" s="19" t="str">
        <f t="shared" si="14"/>
        <v/>
      </c>
      <c r="R77" s="19" t="str">
        <f t="shared" si="9"/>
        <v/>
      </c>
      <c r="S77" s="27" t="str">
        <f t="shared" si="20"/>
        <v/>
      </c>
      <c r="T77" s="28" t="str">
        <f t="shared" si="20"/>
        <v/>
      </c>
      <c r="U77" s="28" t="str">
        <f t="shared" si="20"/>
        <v/>
      </c>
      <c r="V77" s="28" t="str">
        <f t="shared" si="20"/>
        <v/>
      </c>
      <c r="W77" s="28" t="str">
        <f t="shared" si="20"/>
        <v/>
      </c>
      <c r="X77" s="29" t="str">
        <f t="shared" si="20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9"/>
        <v/>
      </c>
      <c r="M78" s="19" t="str">
        <f t="shared" si="7"/>
        <v/>
      </c>
      <c r="N78" s="19" t="str">
        <f t="shared" si="8"/>
        <v/>
      </c>
      <c r="O78" s="19" t="str">
        <f t="shared" si="12"/>
        <v/>
      </c>
      <c r="P78" s="19" t="str">
        <f t="shared" si="13"/>
        <v/>
      </c>
      <c r="Q78" s="19" t="str">
        <f t="shared" si="14"/>
        <v/>
      </c>
      <c r="R78" s="19" t="str">
        <f t="shared" si="9"/>
        <v/>
      </c>
      <c r="S78" s="27" t="str">
        <f t="shared" si="20"/>
        <v/>
      </c>
      <c r="T78" s="28" t="str">
        <f t="shared" si="20"/>
        <v/>
      </c>
      <c r="U78" s="28" t="str">
        <f t="shared" si="20"/>
        <v/>
      </c>
      <c r="V78" s="28" t="str">
        <f t="shared" si="20"/>
        <v/>
      </c>
      <c r="W78" s="28" t="str">
        <f t="shared" si="20"/>
        <v/>
      </c>
      <c r="X78" s="29" t="str">
        <f t="shared" si="20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9"/>
        <v/>
      </c>
      <c r="M79" s="19" t="str">
        <f t="shared" si="7"/>
        <v/>
      </c>
      <c r="N79" s="19" t="str">
        <f t="shared" si="8"/>
        <v/>
      </c>
      <c r="O79" s="19" t="str">
        <f t="shared" si="12"/>
        <v/>
      </c>
      <c r="P79" s="19" t="str">
        <f t="shared" si="13"/>
        <v/>
      </c>
      <c r="Q79" s="19" t="str">
        <f t="shared" si="14"/>
        <v/>
      </c>
      <c r="R79" s="19" t="str">
        <f t="shared" si="9"/>
        <v/>
      </c>
      <c r="S79" s="27" t="str">
        <f t="shared" si="20"/>
        <v/>
      </c>
      <c r="T79" s="28" t="str">
        <f t="shared" si="20"/>
        <v/>
      </c>
      <c r="U79" s="28" t="str">
        <f t="shared" si="20"/>
        <v/>
      </c>
      <c r="V79" s="28" t="str">
        <f t="shared" si="20"/>
        <v/>
      </c>
      <c r="W79" s="28" t="str">
        <f t="shared" si="20"/>
        <v/>
      </c>
      <c r="X79" s="29" t="str">
        <f t="shared" si="20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9"/>
        <v/>
      </c>
      <c r="M80" s="19" t="str">
        <f t="shared" si="7"/>
        <v/>
      </c>
      <c r="N80" s="19" t="str">
        <f t="shared" si="8"/>
        <v/>
      </c>
      <c r="O80" s="19" t="str">
        <f t="shared" si="12"/>
        <v/>
      </c>
      <c r="P80" s="19" t="str">
        <f t="shared" si="13"/>
        <v/>
      </c>
      <c r="Q80" s="19" t="str">
        <f t="shared" si="14"/>
        <v/>
      </c>
      <c r="R80" s="19" t="str">
        <f t="shared" si="9"/>
        <v/>
      </c>
      <c r="S80" s="27" t="str">
        <f t="shared" si="20"/>
        <v/>
      </c>
      <c r="T80" s="28" t="str">
        <f t="shared" si="20"/>
        <v/>
      </c>
      <c r="U80" s="28" t="str">
        <f t="shared" si="20"/>
        <v/>
      </c>
      <c r="V80" s="28" t="str">
        <f t="shared" si="20"/>
        <v/>
      </c>
      <c r="W80" s="28" t="str">
        <f t="shared" si="20"/>
        <v/>
      </c>
      <c r="X80" s="29" t="str">
        <f t="shared" si="20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9"/>
        <v/>
      </c>
      <c r="M81" s="19" t="str">
        <f t="shared" si="7"/>
        <v/>
      </c>
      <c r="N81" s="19" t="str">
        <f t="shared" si="8"/>
        <v/>
      </c>
      <c r="O81" s="19" t="str">
        <f t="shared" si="12"/>
        <v/>
      </c>
      <c r="P81" s="19" t="str">
        <f t="shared" si="13"/>
        <v/>
      </c>
      <c r="Q81" s="19" t="str">
        <f t="shared" si="14"/>
        <v/>
      </c>
      <c r="R81" s="19" t="str">
        <f t="shared" si="9"/>
        <v/>
      </c>
      <c r="S81" s="27" t="str">
        <f t="shared" ref="S81:X96" si="21">IF(C81="","",((C81-C80)*1000)/($B81-$B80))</f>
        <v/>
      </c>
      <c r="T81" s="28" t="str">
        <f t="shared" si="21"/>
        <v/>
      </c>
      <c r="U81" s="28" t="str">
        <f t="shared" si="21"/>
        <v/>
      </c>
      <c r="V81" s="28" t="str">
        <f t="shared" si="21"/>
        <v/>
      </c>
      <c r="W81" s="28" t="str">
        <f t="shared" si="21"/>
        <v/>
      </c>
      <c r="X81" s="29" t="str">
        <f t="shared" si="21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9"/>
        <v/>
      </c>
      <c r="M82" s="19" t="str">
        <f t="shared" si="7"/>
        <v/>
      </c>
      <c r="N82" s="19" t="str">
        <f t="shared" si="8"/>
        <v/>
      </c>
      <c r="O82" s="19" t="str">
        <f t="shared" si="12"/>
        <v/>
      </c>
      <c r="P82" s="19" t="str">
        <f t="shared" si="13"/>
        <v/>
      </c>
      <c r="Q82" s="19" t="str">
        <f t="shared" si="14"/>
        <v/>
      </c>
      <c r="R82" s="19" t="str">
        <f t="shared" si="9"/>
        <v/>
      </c>
      <c r="S82" s="27" t="str">
        <f t="shared" si="21"/>
        <v/>
      </c>
      <c r="T82" s="28" t="str">
        <f t="shared" si="21"/>
        <v/>
      </c>
      <c r="U82" s="28" t="str">
        <f t="shared" si="21"/>
        <v/>
      </c>
      <c r="V82" s="28" t="str">
        <f t="shared" si="21"/>
        <v/>
      </c>
      <c r="W82" s="28" t="str">
        <f t="shared" si="21"/>
        <v/>
      </c>
      <c r="X82" s="29" t="str">
        <f t="shared" si="21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9"/>
        <v/>
      </c>
      <c r="M83" s="19" t="str">
        <f t="shared" si="7"/>
        <v/>
      </c>
      <c r="N83" s="19" t="str">
        <f t="shared" si="8"/>
        <v/>
      </c>
      <c r="O83" s="19" t="str">
        <f t="shared" si="12"/>
        <v/>
      </c>
      <c r="P83" s="19" t="str">
        <f t="shared" si="13"/>
        <v/>
      </c>
      <c r="Q83" s="19" t="str">
        <f t="shared" si="14"/>
        <v/>
      </c>
      <c r="R83" s="19" t="str">
        <f t="shared" si="9"/>
        <v/>
      </c>
      <c r="S83" s="27" t="str">
        <f t="shared" si="21"/>
        <v/>
      </c>
      <c r="T83" s="28" t="str">
        <f t="shared" si="21"/>
        <v/>
      </c>
      <c r="U83" s="28" t="str">
        <f t="shared" si="21"/>
        <v/>
      </c>
      <c r="V83" s="28" t="str">
        <f t="shared" si="21"/>
        <v/>
      </c>
      <c r="W83" s="28" t="str">
        <f t="shared" si="21"/>
        <v/>
      </c>
      <c r="X83" s="29" t="str">
        <f t="shared" si="21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9"/>
        <v/>
      </c>
      <c r="M84" s="19" t="str">
        <f t="shared" si="7"/>
        <v/>
      </c>
      <c r="N84" s="19" t="str">
        <f t="shared" si="8"/>
        <v/>
      </c>
      <c r="O84" s="19" t="str">
        <f t="shared" si="12"/>
        <v/>
      </c>
      <c r="P84" s="19" t="str">
        <f t="shared" si="13"/>
        <v/>
      </c>
      <c r="Q84" s="19" t="str">
        <f t="shared" si="14"/>
        <v/>
      </c>
      <c r="R84" s="19" t="str">
        <f t="shared" si="9"/>
        <v/>
      </c>
      <c r="S84" s="27" t="str">
        <f t="shared" si="21"/>
        <v/>
      </c>
      <c r="T84" s="28" t="str">
        <f t="shared" si="21"/>
        <v/>
      </c>
      <c r="U84" s="28" t="str">
        <f t="shared" si="21"/>
        <v/>
      </c>
      <c r="V84" s="28" t="str">
        <f t="shared" si="21"/>
        <v/>
      </c>
      <c r="W84" s="28" t="str">
        <f t="shared" si="21"/>
        <v/>
      </c>
      <c r="X84" s="29" t="str">
        <f t="shared" si="21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9"/>
        <v/>
      </c>
      <c r="M85" s="19" t="str">
        <f t="shared" si="7"/>
        <v/>
      </c>
      <c r="N85" s="19" t="str">
        <f t="shared" si="8"/>
        <v/>
      </c>
      <c r="O85" s="19" t="str">
        <f t="shared" si="12"/>
        <v/>
      </c>
      <c r="P85" s="19" t="str">
        <f t="shared" si="13"/>
        <v/>
      </c>
      <c r="Q85" s="19" t="str">
        <f t="shared" si="14"/>
        <v/>
      </c>
      <c r="R85" s="19" t="str">
        <f t="shared" si="9"/>
        <v/>
      </c>
      <c r="S85" s="27" t="str">
        <f t="shared" si="21"/>
        <v/>
      </c>
      <c r="T85" s="28" t="str">
        <f t="shared" si="21"/>
        <v/>
      </c>
      <c r="U85" s="28" t="str">
        <f t="shared" si="21"/>
        <v/>
      </c>
      <c r="V85" s="28" t="str">
        <f t="shared" si="21"/>
        <v/>
      </c>
      <c r="W85" s="28" t="str">
        <f t="shared" si="21"/>
        <v/>
      </c>
      <c r="X85" s="29" t="str">
        <f t="shared" si="21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9"/>
        <v/>
      </c>
      <c r="M86" s="19" t="str">
        <f t="shared" si="7"/>
        <v/>
      </c>
      <c r="N86" s="19" t="str">
        <f t="shared" si="8"/>
        <v/>
      </c>
      <c r="O86" s="19" t="str">
        <f t="shared" si="12"/>
        <v/>
      </c>
      <c r="P86" s="19" t="str">
        <f t="shared" si="13"/>
        <v/>
      </c>
      <c r="Q86" s="19" t="str">
        <f t="shared" si="14"/>
        <v/>
      </c>
      <c r="R86" s="19" t="str">
        <f t="shared" si="9"/>
        <v/>
      </c>
      <c r="S86" s="27" t="str">
        <f t="shared" si="21"/>
        <v/>
      </c>
      <c r="T86" s="28" t="str">
        <f t="shared" si="21"/>
        <v/>
      </c>
      <c r="U86" s="28" t="str">
        <f t="shared" si="21"/>
        <v/>
      </c>
      <c r="V86" s="28" t="str">
        <f t="shared" si="21"/>
        <v/>
      </c>
      <c r="W86" s="28" t="str">
        <f t="shared" si="21"/>
        <v/>
      </c>
      <c r="X86" s="29" t="str">
        <f t="shared" si="21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9"/>
        <v/>
      </c>
      <c r="M87" s="19" t="str">
        <f t="shared" si="7"/>
        <v/>
      </c>
      <c r="N87" s="19" t="str">
        <f t="shared" si="8"/>
        <v/>
      </c>
      <c r="O87" s="19" t="str">
        <f t="shared" si="12"/>
        <v/>
      </c>
      <c r="P87" s="19" t="str">
        <f t="shared" si="13"/>
        <v/>
      </c>
      <c r="Q87" s="19" t="str">
        <f t="shared" si="14"/>
        <v/>
      </c>
      <c r="R87" s="19" t="str">
        <f t="shared" si="9"/>
        <v/>
      </c>
      <c r="S87" s="27" t="str">
        <f t="shared" si="21"/>
        <v/>
      </c>
      <c r="T87" s="28" t="str">
        <f t="shared" si="21"/>
        <v/>
      </c>
      <c r="U87" s="28" t="str">
        <f t="shared" si="21"/>
        <v/>
      </c>
      <c r="V87" s="28" t="str">
        <f t="shared" si="21"/>
        <v/>
      </c>
      <c r="W87" s="28" t="str">
        <f t="shared" si="21"/>
        <v/>
      </c>
      <c r="X87" s="29" t="str">
        <f t="shared" si="21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9"/>
        <v/>
      </c>
      <c r="M88" s="19" t="str">
        <f t="shared" si="7"/>
        <v/>
      </c>
      <c r="N88" s="19" t="str">
        <f t="shared" si="8"/>
        <v/>
      </c>
      <c r="O88" s="19" t="str">
        <f t="shared" si="12"/>
        <v/>
      </c>
      <c r="P88" s="19" t="str">
        <f t="shared" si="13"/>
        <v/>
      </c>
      <c r="Q88" s="19" t="str">
        <f t="shared" si="14"/>
        <v/>
      </c>
      <c r="R88" s="19" t="str">
        <f t="shared" si="9"/>
        <v/>
      </c>
      <c r="S88" s="27" t="str">
        <f t="shared" si="21"/>
        <v/>
      </c>
      <c r="T88" s="28" t="str">
        <f t="shared" si="21"/>
        <v/>
      </c>
      <c r="U88" s="28" t="str">
        <f t="shared" si="21"/>
        <v/>
      </c>
      <c r="V88" s="28" t="str">
        <f t="shared" si="21"/>
        <v/>
      </c>
      <c r="W88" s="28" t="str">
        <f t="shared" si="21"/>
        <v/>
      </c>
      <c r="X88" s="29" t="str">
        <f t="shared" si="21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9"/>
        <v/>
      </c>
      <c r="M89" s="19" t="str">
        <f t="shared" si="7"/>
        <v/>
      </c>
      <c r="N89" s="19" t="str">
        <f t="shared" si="8"/>
        <v/>
      </c>
      <c r="O89" s="19" t="str">
        <f t="shared" si="12"/>
        <v/>
      </c>
      <c r="P89" s="19" t="str">
        <f t="shared" si="13"/>
        <v/>
      </c>
      <c r="Q89" s="19" t="str">
        <f t="shared" si="14"/>
        <v/>
      </c>
      <c r="R89" s="19" t="str">
        <f t="shared" si="9"/>
        <v/>
      </c>
      <c r="S89" s="27" t="str">
        <f t="shared" si="21"/>
        <v/>
      </c>
      <c r="T89" s="28" t="str">
        <f t="shared" si="21"/>
        <v/>
      </c>
      <c r="U89" s="28" t="str">
        <f t="shared" si="21"/>
        <v/>
      </c>
      <c r="V89" s="28" t="str">
        <f t="shared" si="21"/>
        <v/>
      </c>
      <c r="W89" s="28" t="str">
        <f t="shared" si="21"/>
        <v/>
      </c>
      <c r="X89" s="29" t="str">
        <f t="shared" si="21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9"/>
        <v/>
      </c>
      <c r="M90" s="19" t="str">
        <f t="shared" ref="M90:M153" si="22">IF(ISBLANK(D90),"",((D90-D$25)*1000)+M$24)</f>
        <v/>
      </c>
      <c r="N90" s="19" t="str">
        <f t="shared" ref="N90:N153" si="23">IF(ISBLANK(E90),"",((E90-E$25)*1000)+N$24)</f>
        <v/>
      </c>
      <c r="O90" s="19" t="str">
        <f t="shared" si="12"/>
        <v/>
      </c>
      <c r="P90" s="19" t="str">
        <f t="shared" si="13"/>
        <v/>
      </c>
      <c r="Q90" s="19" t="str">
        <f t="shared" si="14"/>
        <v/>
      </c>
      <c r="R90" s="19" t="str">
        <f t="shared" ref="R90:R153" si="24">IF(ISBLANK(I90),"",((I90-I$25)*1000)+R$24)</f>
        <v/>
      </c>
      <c r="S90" s="27" t="str">
        <f t="shared" si="21"/>
        <v/>
      </c>
      <c r="T90" s="28" t="str">
        <f t="shared" si="21"/>
        <v/>
      </c>
      <c r="U90" s="28" t="str">
        <f t="shared" si="21"/>
        <v/>
      </c>
      <c r="V90" s="28" t="str">
        <f t="shared" si="21"/>
        <v/>
      </c>
      <c r="W90" s="28" t="str">
        <f t="shared" si="21"/>
        <v/>
      </c>
      <c r="X90" s="29" t="str">
        <f t="shared" si="21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9"/>
        <v/>
      </c>
      <c r="M91" s="19" t="str">
        <f t="shared" si="22"/>
        <v/>
      </c>
      <c r="N91" s="19" t="str">
        <f t="shared" si="23"/>
        <v/>
      </c>
      <c r="O91" s="19" t="str">
        <f t="shared" si="12"/>
        <v/>
      </c>
      <c r="P91" s="19" t="str">
        <f t="shared" si="13"/>
        <v/>
      </c>
      <c r="Q91" s="19" t="str">
        <f t="shared" si="14"/>
        <v/>
      </c>
      <c r="R91" s="19" t="str">
        <f t="shared" si="24"/>
        <v/>
      </c>
      <c r="S91" s="27" t="str">
        <f t="shared" si="21"/>
        <v/>
      </c>
      <c r="T91" s="28" t="str">
        <f t="shared" si="21"/>
        <v/>
      </c>
      <c r="U91" s="28" t="str">
        <f t="shared" si="21"/>
        <v/>
      </c>
      <c r="V91" s="28" t="str">
        <f t="shared" si="21"/>
        <v/>
      </c>
      <c r="W91" s="28" t="str">
        <f t="shared" si="21"/>
        <v/>
      </c>
      <c r="X91" s="29" t="str">
        <f t="shared" si="21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9"/>
        <v/>
      </c>
      <c r="M92" s="19" t="str">
        <f t="shared" si="22"/>
        <v/>
      </c>
      <c r="N92" s="19" t="str">
        <f t="shared" si="23"/>
        <v/>
      </c>
      <c r="O92" s="19" t="str">
        <f t="shared" si="12"/>
        <v/>
      </c>
      <c r="P92" s="19" t="str">
        <f t="shared" si="13"/>
        <v/>
      </c>
      <c r="Q92" s="19" t="str">
        <f t="shared" si="14"/>
        <v/>
      </c>
      <c r="R92" s="19" t="str">
        <f t="shared" si="24"/>
        <v/>
      </c>
      <c r="S92" s="27" t="str">
        <f t="shared" si="21"/>
        <v/>
      </c>
      <c r="T92" s="28" t="str">
        <f t="shared" si="21"/>
        <v/>
      </c>
      <c r="U92" s="28" t="str">
        <f t="shared" si="21"/>
        <v/>
      </c>
      <c r="V92" s="28" t="str">
        <f t="shared" si="21"/>
        <v/>
      </c>
      <c r="W92" s="28" t="str">
        <f t="shared" si="21"/>
        <v/>
      </c>
      <c r="X92" s="29" t="str">
        <f t="shared" si="21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9"/>
        <v/>
      </c>
      <c r="M93" s="19" t="str">
        <f t="shared" si="22"/>
        <v/>
      </c>
      <c r="N93" s="19" t="str">
        <f t="shared" si="23"/>
        <v/>
      </c>
      <c r="O93" s="19" t="str">
        <f t="shared" si="12"/>
        <v/>
      </c>
      <c r="P93" s="19" t="str">
        <f t="shared" si="13"/>
        <v/>
      </c>
      <c r="Q93" s="19" t="str">
        <f t="shared" si="14"/>
        <v/>
      </c>
      <c r="R93" s="19" t="str">
        <f t="shared" si="24"/>
        <v/>
      </c>
      <c r="S93" s="27" t="str">
        <f t="shared" si="21"/>
        <v/>
      </c>
      <c r="T93" s="28" t="str">
        <f t="shared" si="21"/>
        <v/>
      </c>
      <c r="U93" s="28" t="str">
        <f t="shared" si="21"/>
        <v/>
      </c>
      <c r="V93" s="28" t="str">
        <f t="shared" si="21"/>
        <v/>
      </c>
      <c r="W93" s="28" t="str">
        <f t="shared" si="21"/>
        <v/>
      </c>
      <c r="X93" s="29" t="str">
        <f t="shared" si="21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9"/>
        <v/>
      </c>
      <c r="M94" s="19" t="str">
        <f t="shared" si="22"/>
        <v/>
      </c>
      <c r="N94" s="19" t="str">
        <f t="shared" si="23"/>
        <v/>
      </c>
      <c r="O94" s="19" t="str">
        <f t="shared" si="12"/>
        <v/>
      </c>
      <c r="P94" s="19" t="str">
        <f t="shared" si="13"/>
        <v/>
      </c>
      <c r="Q94" s="19" t="str">
        <f t="shared" si="14"/>
        <v/>
      </c>
      <c r="R94" s="19" t="str">
        <f t="shared" si="24"/>
        <v/>
      </c>
      <c r="S94" s="27" t="str">
        <f t="shared" si="21"/>
        <v/>
      </c>
      <c r="T94" s="28" t="str">
        <f t="shared" si="21"/>
        <v/>
      </c>
      <c r="U94" s="28" t="str">
        <f t="shared" si="21"/>
        <v/>
      </c>
      <c r="V94" s="28" t="str">
        <f t="shared" si="21"/>
        <v/>
      </c>
      <c r="W94" s="28" t="str">
        <f t="shared" si="21"/>
        <v/>
      </c>
      <c r="X94" s="29" t="str">
        <f t="shared" si="21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7" si="25">IF(ISBLANK(C95),"",(C95-C$16)*1000)</f>
        <v/>
      </c>
      <c r="M95" s="19" t="str">
        <f t="shared" si="22"/>
        <v/>
      </c>
      <c r="N95" s="19" t="str">
        <f t="shared" si="23"/>
        <v/>
      </c>
      <c r="O95" s="19" t="str">
        <f t="shared" si="12"/>
        <v/>
      </c>
      <c r="P95" s="19" t="str">
        <f t="shared" si="13"/>
        <v/>
      </c>
      <c r="Q95" s="19" t="str">
        <f t="shared" si="14"/>
        <v/>
      </c>
      <c r="R95" s="19" t="str">
        <f t="shared" si="24"/>
        <v/>
      </c>
      <c r="S95" s="27" t="str">
        <f t="shared" si="21"/>
        <v/>
      </c>
      <c r="T95" s="28" t="str">
        <f t="shared" si="21"/>
        <v/>
      </c>
      <c r="U95" s="28" t="str">
        <f t="shared" si="21"/>
        <v/>
      </c>
      <c r="V95" s="28" t="str">
        <f t="shared" si="21"/>
        <v/>
      </c>
      <c r="W95" s="28" t="str">
        <f t="shared" si="21"/>
        <v/>
      </c>
      <c r="X95" s="29" t="str">
        <f t="shared" si="21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5"/>
        <v/>
      </c>
      <c r="M96" s="19" t="str">
        <f t="shared" si="22"/>
        <v/>
      </c>
      <c r="N96" s="19" t="str">
        <f t="shared" si="23"/>
        <v/>
      </c>
      <c r="O96" s="19" t="str">
        <f t="shared" si="12"/>
        <v/>
      </c>
      <c r="P96" s="19" t="str">
        <f t="shared" si="13"/>
        <v/>
      </c>
      <c r="Q96" s="19" t="str">
        <f t="shared" si="14"/>
        <v/>
      </c>
      <c r="R96" s="19" t="str">
        <f t="shared" si="24"/>
        <v/>
      </c>
      <c r="S96" s="27" t="str">
        <f t="shared" si="21"/>
        <v/>
      </c>
      <c r="T96" s="28" t="str">
        <f t="shared" si="21"/>
        <v/>
      </c>
      <c r="U96" s="28" t="str">
        <f t="shared" si="21"/>
        <v/>
      </c>
      <c r="V96" s="28" t="str">
        <f t="shared" si="21"/>
        <v/>
      </c>
      <c r="W96" s="28" t="str">
        <f t="shared" si="21"/>
        <v/>
      </c>
      <c r="X96" s="29" t="str">
        <f t="shared" si="21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5"/>
        <v/>
      </c>
      <c r="M97" s="19" t="str">
        <f t="shared" si="22"/>
        <v/>
      </c>
      <c r="N97" s="19" t="str">
        <f t="shared" si="23"/>
        <v/>
      </c>
      <c r="O97" s="19" t="str">
        <f t="shared" si="12"/>
        <v/>
      </c>
      <c r="P97" s="19" t="str">
        <f t="shared" si="13"/>
        <v/>
      </c>
      <c r="Q97" s="19" t="str">
        <f t="shared" si="14"/>
        <v/>
      </c>
      <c r="R97" s="19" t="str">
        <f t="shared" si="24"/>
        <v/>
      </c>
      <c r="S97" s="27" t="str">
        <f t="shared" ref="S97:X112" si="26">IF(C97="","",((C97-C96)*1000)/($B97-$B96))</f>
        <v/>
      </c>
      <c r="T97" s="28" t="str">
        <f t="shared" si="26"/>
        <v/>
      </c>
      <c r="U97" s="28" t="str">
        <f t="shared" si="26"/>
        <v/>
      </c>
      <c r="V97" s="28" t="str">
        <f t="shared" si="26"/>
        <v/>
      </c>
      <c r="W97" s="28" t="str">
        <f t="shared" si="26"/>
        <v/>
      </c>
      <c r="X97" s="29" t="str">
        <f t="shared" si="26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5"/>
        <v/>
      </c>
      <c r="M98" s="19" t="str">
        <f t="shared" si="22"/>
        <v/>
      </c>
      <c r="N98" s="19" t="str">
        <f t="shared" si="23"/>
        <v/>
      </c>
      <c r="O98" s="19" t="str">
        <f t="shared" si="12"/>
        <v/>
      </c>
      <c r="P98" s="19" t="str">
        <f t="shared" si="13"/>
        <v/>
      </c>
      <c r="Q98" s="19" t="str">
        <f t="shared" si="14"/>
        <v/>
      </c>
      <c r="R98" s="19" t="str">
        <f t="shared" si="24"/>
        <v/>
      </c>
      <c r="S98" s="27" t="str">
        <f t="shared" si="26"/>
        <v/>
      </c>
      <c r="T98" s="28" t="str">
        <f t="shared" si="26"/>
        <v/>
      </c>
      <c r="U98" s="28" t="str">
        <f t="shared" si="26"/>
        <v/>
      </c>
      <c r="V98" s="28" t="str">
        <f t="shared" si="26"/>
        <v/>
      </c>
      <c r="W98" s="28" t="str">
        <f t="shared" si="26"/>
        <v/>
      </c>
      <c r="X98" s="29" t="str">
        <f t="shared" si="26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5"/>
        <v/>
      </c>
      <c r="M99" s="19" t="str">
        <f t="shared" si="22"/>
        <v/>
      </c>
      <c r="N99" s="19" t="str">
        <f t="shared" si="23"/>
        <v/>
      </c>
      <c r="O99" s="19" t="str">
        <f t="shared" ref="O99:O153" si="27">IF(ISBLANK(F99),"",((F99-F$34)*1000)+L$34)</f>
        <v/>
      </c>
      <c r="P99" s="19" t="str">
        <f t="shared" ref="P99:P153" si="28">IF(ISBLANK(G99),"",((G99-G$34)*1000)+M$34)</f>
        <v/>
      </c>
      <c r="Q99" s="19" t="str">
        <f t="shared" ref="Q99:Q153" si="29">IF(ISBLANK(H99),"",((H99-H$34)*1000)+N$34)</f>
        <v/>
      </c>
      <c r="R99" s="19" t="str">
        <f t="shared" si="24"/>
        <v/>
      </c>
      <c r="S99" s="27" t="str">
        <f t="shared" si="26"/>
        <v/>
      </c>
      <c r="T99" s="28" t="str">
        <f t="shared" si="26"/>
        <v/>
      </c>
      <c r="U99" s="28" t="str">
        <f t="shared" si="26"/>
        <v/>
      </c>
      <c r="V99" s="28" t="str">
        <f t="shared" si="26"/>
        <v/>
      </c>
      <c r="W99" s="28" t="str">
        <f t="shared" si="26"/>
        <v/>
      </c>
      <c r="X99" s="29" t="str">
        <f t="shared" si="26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5"/>
        <v/>
      </c>
      <c r="M100" s="19" t="str">
        <f t="shared" si="22"/>
        <v/>
      </c>
      <c r="N100" s="19" t="str">
        <f t="shared" si="23"/>
        <v/>
      </c>
      <c r="O100" s="19" t="str">
        <f t="shared" si="27"/>
        <v/>
      </c>
      <c r="P100" s="19" t="str">
        <f t="shared" si="28"/>
        <v/>
      </c>
      <c r="Q100" s="19" t="str">
        <f t="shared" si="29"/>
        <v/>
      </c>
      <c r="R100" s="19" t="str">
        <f t="shared" si="24"/>
        <v/>
      </c>
      <c r="S100" s="27" t="str">
        <f t="shared" si="26"/>
        <v/>
      </c>
      <c r="T100" s="28" t="str">
        <f t="shared" si="26"/>
        <v/>
      </c>
      <c r="U100" s="28" t="str">
        <f t="shared" si="26"/>
        <v/>
      </c>
      <c r="V100" s="28" t="str">
        <f t="shared" si="26"/>
        <v/>
      </c>
      <c r="W100" s="28" t="str">
        <f t="shared" si="26"/>
        <v/>
      </c>
      <c r="X100" s="29" t="str">
        <f t="shared" si="26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5"/>
        <v/>
      </c>
      <c r="M101" s="19" t="str">
        <f t="shared" si="22"/>
        <v/>
      </c>
      <c r="N101" s="19" t="str">
        <f t="shared" si="23"/>
        <v/>
      </c>
      <c r="O101" s="19" t="str">
        <f t="shared" si="27"/>
        <v/>
      </c>
      <c r="P101" s="19" t="str">
        <f t="shared" si="28"/>
        <v/>
      </c>
      <c r="Q101" s="19" t="str">
        <f t="shared" si="29"/>
        <v/>
      </c>
      <c r="R101" s="19" t="str">
        <f t="shared" si="24"/>
        <v/>
      </c>
      <c r="S101" s="27" t="str">
        <f t="shared" si="26"/>
        <v/>
      </c>
      <c r="T101" s="28" t="str">
        <f t="shared" si="26"/>
        <v/>
      </c>
      <c r="U101" s="28" t="str">
        <f t="shared" si="26"/>
        <v/>
      </c>
      <c r="V101" s="28" t="str">
        <f t="shared" si="26"/>
        <v/>
      </c>
      <c r="W101" s="28" t="str">
        <f t="shared" si="26"/>
        <v/>
      </c>
      <c r="X101" s="29" t="str">
        <f t="shared" si="26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5"/>
        <v/>
      </c>
      <c r="M102" s="19" t="str">
        <f t="shared" si="22"/>
        <v/>
      </c>
      <c r="N102" s="19" t="str">
        <f t="shared" si="23"/>
        <v/>
      </c>
      <c r="O102" s="19" t="str">
        <f t="shared" si="27"/>
        <v/>
      </c>
      <c r="P102" s="19" t="str">
        <f t="shared" si="28"/>
        <v/>
      </c>
      <c r="Q102" s="19" t="str">
        <f t="shared" si="29"/>
        <v/>
      </c>
      <c r="R102" s="19" t="str">
        <f t="shared" si="24"/>
        <v/>
      </c>
      <c r="S102" s="27" t="str">
        <f t="shared" si="26"/>
        <v/>
      </c>
      <c r="T102" s="28" t="str">
        <f t="shared" si="26"/>
        <v/>
      </c>
      <c r="U102" s="28" t="str">
        <f t="shared" si="26"/>
        <v/>
      </c>
      <c r="V102" s="28" t="str">
        <f t="shared" si="26"/>
        <v/>
      </c>
      <c r="W102" s="28" t="str">
        <f t="shared" si="26"/>
        <v/>
      </c>
      <c r="X102" s="29" t="str">
        <f t="shared" si="26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5"/>
        <v/>
      </c>
      <c r="M103" s="19" t="str">
        <f t="shared" si="22"/>
        <v/>
      </c>
      <c r="N103" s="19" t="str">
        <f t="shared" si="23"/>
        <v/>
      </c>
      <c r="O103" s="19" t="str">
        <f t="shared" si="27"/>
        <v/>
      </c>
      <c r="P103" s="19" t="str">
        <f t="shared" si="28"/>
        <v/>
      </c>
      <c r="Q103" s="19" t="str">
        <f t="shared" si="29"/>
        <v/>
      </c>
      <c r="R103" s="19" t="str">
        <f t="shared" si="24"/>
        <v/>
      </c>
      <c r="S103" s="27" t="str">
        <f t="shared" si="26"/>
        <v/>
      </c>
      <c r="T103" s="28" t="str">
        <f t="shared" si="26"/>
        <v/>
      </c>
      <c r="U103" s="28" t="str">
        <f t="shared" si="26"/>
        <v/>
      </c>
      <c r="V103" s="28" t="str">
        <f t="shared" si="26"/>
        <v/>
      </c>
      <c r="W103" s="28" t="str">
        <f t="shared" si="26"/>
        <v/>
      </c>
      <c r="X103" s="29" t="str">
        <f t="shared" si="26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5"/>
        <v/>
      </c>
      <c r="M104" s="19" t="str">
        <f t="shared" si="22"/>
        <v/>
      </c>
      <c r="N104" s="19" t="str">
        <f t="shared" si="23"/>
        <v/>
      </c>
      <c r="O104" s="19" t="str">
        <f t="shared" si="27"/>
        <v/>
      </c>
      <c r="P104" s="19" t="str">
        <f t="shared" si="28"/>
        <v/>
      </c>
      <c r="Q104" s="19" t="str">
        <f t="shared" si="29"/>
        <v/>
      </c>
      <c r="R104" s="19" t="str">
        <f t="shared" si="24"/>
        <v/>
      </c>
      <c r="S104" s="27" t="str">
        <f t="shared" si="26"/>
        <v/>
      </c>
      <c r="T104" s="28" t="str">
        <f t="shared" si="26"/>
        <v/>
      </c>
      <c r="U104" s="28" t="str">
        <f t="shared" si="26"/>
        <v/>
      </c>
      <c r="V104" s="28" t="str">
        <f t="shared" si="26"/>
        <v/>
      </c>
      <c r="W104" s="28" t="str">
        <f t="shared" si="26"/>
        <v/>
      </c>
      <c r="X104" s="29" t="str">
        <f t="shared" si="26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5"/>
        <v/>
      </c>
      <c r="M105" s="19" t="str">
        <f t="shared" si="22"/>
        <v/>
      </c>
      <c r="N105" s="19" t="str">
        <f t="shared" si="23"/>
        <v/>
      </c>
      <c r="O105" s="19" t="str">
        <f t="shared" si="27"/>
        <v/>
      </c>
      <c r="P105" s="19" t="str">
        <f t="shared" si="28"/>
        <v/>
      </c>
      <c r="Q105" s="19" t="str">
        <f t="shared" si="29"/>
        <v/>
      </c>
      <c r="R105" s="19" t="str">
        <f t="shared" si="24"/>
        <v/>
      </c>
      <c r="S105" s="27" t="str">
        <f t="shared" si="26"/>
        <v/>
      </c>
      <c r="T105" s="28" t="str">
        <f t="shared" si="26"/>
        <v/>
      </c>
      <c r="U105" s="28" t="str">
        <f t="shared" si="26"/>
        <v/>
      </c>
      <c r="V105" s="28" t="str">
        <f t="shared" si="26"/>
        <v/>
      </c>
      <c r="W105" s="28" t="str">
        <f t="shared" si="26"/>
        <v/>
      </c>
      <c r="X105" s="29" t="str">
        <f t="shared" si="26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5"/>
        <v/>
      </c>
      <c r="M106" s="19" t="str">
        <f t="shared" si="22"/>
        <v/>
      </c>
      <c r="N106" s="19" t="str">
        <f t="shared" si="23"/>
        <v/>
      </c>
      <c r="O106" s="19" t="str">
        <f t="shared" si="27"/>
        <v/>
      </c>
      <c r="P106" s="19" t="str">
        <f t="shared" si="28"/>
        <v/>
      </c>
      <c r="Q106" s="19" t="str">
        <f t="shared" si="29"/>
        <v/>
      </c>
      <c r="R106" s="19" t="str">
        <f t="shared" si="24"/>
        <v/>
      </c>
      <c r="S106" s="27" t="str">
        <f t="shared" si="26"/>
        <v/>
      </c>
      <c r="T106" s="28" t="str">
        <f t="shared" si="26"/>
        <v/>
      </c>
      <c r="U106" s="28" t="str">
        <f t="shared" si="26"/>
        <v/>
      </c>
      <c r="V106" s="28" t="str">
        <f t="shared" si="26"/>
        <v/>
      </c>
      <c r="W106" s="28" t="str">
        <f t="shared" si="26"/>
        <v/>
      </c>
      <c r="X106" s="29" t="str">
        <f t="shared" si="26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5"/>
        <v/>
      </c>
      <c r="M107" s="19" t="str">
        <f t="shared" si="22"/>
        <v/>
      </c>
      <c r="N107" s="19" t="str">
        <f t="shared" si="23"/>
        <v/>
      </c>
      <c r="O107" s="19" t="str">
        <f t="shared" si="27"/>
        <v/>
      </c>
      <c r="P107" s="19" t="str">
        <f t="shared" si="28"/>
        <v/>
      </c>
      <c r="Q107" s="19" t="str">
        <f t="shared" si="29"/>
        <v/>
      </c>
      <c r="R107" s="19" t="str">
        <f t="shared" si="24"/>
        <v/>
      </c>
      <c r="S107" s="27" t="str">
        <f t="shared" si="26"/>
        <v/>
      </c>
      <c r="T107" s="28" t="str">
        <f t="shared" si="26"/>
        <v/>
      </c>
      <c r="U107" s="28" t="str">
        <f t="shared" si="26"/>
        <v/>
      </c>
      <c r="V107" s="28" t="str">
        <f t="shared" si="26"/>
        <v/>
      </c>
      <c r="W107" s="28" t="str">
        <f t="shared" si="26"/>
        <v/>
      </c>
      <c r="X107" s="29" t="str">
        <f t="shared" si="26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5"/>
        <v/>
      </c>
      <c r="M108" s="19" t="str">
        <f t="shared" si="22"/>
        <v/>
      </c>
      <c r="N108" s="19" t="str">
        <f t="shared" si="23"/>
        <v/>
      </c>
      <c r="O108" s="19" t="str">
        <f t="shared" si="27"/>
        <v/>
      </c>
      <c r="P108" s="19" t="str">
        <f t="shared" si="28"/>
        <v/>
      </c>
      <c r="Q108" s="19" t="str">
        <f t="shared" si="29"/>
        <v/>
      </c>
      <c r="R108" s="19" t="str">
        <f t="shared" si="24"/>
        <v/>
      </c>
      <c r="S108" s="27" t="str">
        <f t="shared" si="26"/>
        <v/>
      </c>
      <c r="T108" s="28" t="str">
        <f t="shared" si="26"/>
        <v/>
      </c>
      <c r="U108" s="28" t="str">
        <f t="shared" si="26"/>
        <v/>
      </c>
      <c r="V108" s="28" t="str">
        <f t="shared" si="26"/>
        <v/>
      </c>
      <c r="W108" s="28" t="str">
        <f t="shared" si="26"/>
        <v/>
      </c>
      <c r="X108" s="29" t="str">
        <f t="shared" si="26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5"/>
        <v/>
      </c>
      <c r="M109" s="19" t="str">
        <f t="shared" si="22"/>
        <v/>
      </c>
      <c r="N109" s="19" t="str">
        <f t="shared" si="23"/>
        <v/>
      </c>
      <c r="O109" s="19" t="str">
        <f t="shared" si="27"/>
        <v/>
      </c>
      <c r="P109" s="19" t="str">
        <f t="shared" si="28"/>
        <v/>
      </c>
      <c r="Q109" s="19" t="str">
        <f t="shared" si="29"/>
        <v/>
      </c>
      <c r="R109" s="19" t="str">
        <f t="shared" si="24"/>
        <v/>
      </c>
      <c r="S109" s="27" t="str">
        <f t="shared" si="26"/>
        <v/>
      </c>
      <c r="T109" s="28" t="str">
        <f t="shared" si="26"/>
        <v/>
      </c>
      <c r="U109" s="28" t="str">
        <f t="shared" si="26"/>
        <v/>
      </c>
      <c r="V109" s="28" t="str">
        <f t="shared" si="26"/>
        <v/>
      </c>
      <c r="W109" s="28" t="str">
        <f t="shared" si="26"/>
        <v/>
      </c>
      <c r="X109" s="29" t="str">
        <f t="shared" si="26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5"/>
        <v/>
      </c>
      <c r="M110" s="19" t="str">
        <f t="shared" si="22"/>
        <v/>
      </c>
      <c r="N110" s="19" t="str">
        <f t="shared" si="23"/>
        <v/>
      </c>
      <c r="O110" s="19" t="str">
        <f t="shared" si="27"/>
        <v/>
      </c>
      <c r="P110" s="19" t="str">
        <f t="shared" si="28"/>
        <v/>
      </c>
      <c r="Q110" s="19" t="str">
        <f t="shared" si="29"/>
        <v/>
      </c>
      <c r="R110" s="19" t="str">
        <f t="shared" si="24"/>
        <v/>
      </c>
      <c r="S110" s="27" t="str">
        <f t="shared" si="26"/>
        <v/>
      </c>
      <c r="T110" s="28" t="str">
        <f t="shared" si="26"/>
        <v/>
      </c>
      <c r="U110" s="28" t="str">
        <f t="shared" si="26"/>
        <v/>
      </c>
      <c r="V110" s="28" t="str">
        <f t="shared" si="26"/>
        <v/>
      </c>
      <c r="W110" s="28" t="str">
        <f t="shared" si="26"/>
        <v/>
      </c>
      <c r="X110" s="29" t="str">
        <f t="shared" si="26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5"/>
        <v/>
      </c>
      <c r="M111" s="19" t="str">
        <f t="shared" si="22"/>
        <v/>
      </c>
      <c r="N111" s="19" t="str">
        <f t="shared" si="23"/>
        <v/>
      </c>
      <c r="O111" s="19" t="str">
        <f t="shared" si="27"/>
        <v/>
      </c>
      <c r="P111" s="19" t="str">
        <f t="shared" si="28"/>
        <v/>
      </c>
      <c r="Q111" s="19" t="str">
        <f t="shared" si="29"/>
        <v/>
      </c>
      <c r="R111" s="19" t="str">
        <f t="shared" si="24"/>
        <v/>
      </c>
      <c r="S111" s="27" t="str">
        <f t="shared" si="26"/>
        <v/>
      </c>
      <c r="T111" s="28" t="str">
        <f t="shared" si="26"/>
        <v/>
      </c>
      <c r="U111" s="28" t="str">
        <f t="shared" si="26"/>
        <v/>
      </c>
      <c r="V111" s="28" t="str">
        <f t="shared" si="26"/>
        <v/>
      </c>
      <c r="W111" s="28" t="str">
        <f t="shared" si="26"/>
        <v/>
      </c>
      <c r="X111" s="29" t="str">
        <f t="shared" si="26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5"/>
        <v/>
      </c>
      <c r="M112" s="19" t="str">
        <f t="shared" si="22"/>
        <v/>
      </c>
      <c r="N112" s="19" t="str">
        <f t="shared" si="23"/>
        <v/>
      </c>
      <c r="O112" s="19" t="str">
        <f t="shared" si="27"/>
        <v/>
      </c>
      <c r="P112" s="19" t="str">
        <f t="shared" si="28"/>
        <v/>
      </c>
      <c r="Q112" s="19" t="str">
        <f t="shared" si="29"/>
        <v/>
      </c>
      <c r="R112" s="19" t="str">
        <f t="shared" si="24"/>
        <v/>
      </c>
      <c r="S112" s="27" t="str">
        <f t="shared" si="26"/>
        <v/>
      </c>
      <c r="T112" s="28" t="str">
        <f t="shared" si="26"/>
        <v/>
      </c>
      <c r="U112" s="28" t="str">
        <f t="shared" si="26"/>
        <v/>
      </c>
      <c r="V112" s="28" t="str">
        <f t="shared" si="26"/>
        <v/>
      </c>
      <c r="W112" s="28" t="str">
        <f t="shared" si="26"/>
        <v/>
      </c>
      <c r="X112" s="29" t="str">
        <f t="shared" si="26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5"/>
        <v/>
      </c>
      <c r="M113" s="19" t="str">
        <f t="shared" si="22"/>
        <v/>
      </c>
      <c r="N113" s="19" t="str">
        <f t="shared" si="23"/>
        <v/>
      </c>
      <c r="O113" s="19" t="str">
        <f t="shared" si="27"/>
        <v/>
      </c>
      <c r="P113" s="19" t="str">
        <f t="shared" si="28"/>
        <v/>
      </c>
      <c r="Q113" s="19" t="str">
        <f t="shared" si="29"/>
        <v/>
      </c>
      <c r="R113" s="19" t="str">
        <f t="shared" si="24"/>
        <v/>
      </c>
      <c r="S113" s="27" t="str">
        <f t="shared" ref="S113:X128" si="30">IF(C113="","",((C113-C112)*1000)/($B113-$B112))</f>
        <v/>
      </c>
      <c r="T113" s="28" t="str">
        <f t="shared" si="30"/>
        <v/>
      </c>
      <c r="U113" s="28" t="str">
        <f t="shared" si="30"/>
        <v/>
      </c>
      <c r="V113" s="28" t="str">
        <f t="shared" si="30"/>
        <v/>
      </c>
      <c r="W113" s="28" t="str">
        <f t="shared" si="30"/>
        <v/>
      </c>
      <c r="X113" s="29" t="str">
        <f t="shared" si="30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5"/>
        <v/>
      </c>
      <c r="M114" s="19" t="str">
        <f t="shared" si="22"/>
        <v/>
      </c>
      <c r="N114" s="19" t="str">
        <f t="shared" si="23"/>
        <v/>
      </c>
      <c r="O114" s="19" t="str">
        <f t="shared" si="27"/>
        <v/>
      </c>
      <c r="P114" s="19" t="str">
        <f t="shared" si="28"/>
        <v/>
      </c>
      <c r="Q114" s="19" t="str">
        <f t="shared" si="29"/>
        <v/>
      </c>
      <c r="R114" s="19" t="str">
        <f t="shared" si="24"/>
        <v/>
      </c>
      <c r="S114" s="27" t="str">
        <f t="shared" si="30"/>
        <v/>
      </c>
      <c r="T114" s="28" t="str">
        <f t="shared" si="30"/>
        <v/>
      </c>
      <c r="U114" s="28" t="str">
        <f t="shared" si="30"/>
        <v/>
      </c>
      <c r="V114" s="28" t="str">
        <f t="shared" si="30"/>
        <v/>
      </c>
      <c r="W114" s="28" t="str">
        <f t="shared" si="30"/>
        <v/>
      </c>
      <c r="X114" s="29" t="str">
        <f t="shared" si="30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5"/>
        <v/>
      </c>
      <c r="M115" s="19" t="str">
        <f t="shared" si="22"/>
        <v/>
      </c>
      <c r="N115" s="19" t="str">
        <f t="shared" si="23"/>
        <v/>
      </c>
      <c r="O115" s="19" t="str">
        <f t="shared" si="27"/>
        <v/>
      </c>
      <c r="P115" s="19" t="str">
        <f t="shared" si="28"/>
        <v/>
      </c>
      <c r="Q115" s="19" t="str">
        <f t="shared" si="29"/>
        <v/>
      </c>
      <c r="R115" s="19" t="str">
        <f t="shared" si="24"/>
        <v/>
      </c>
      <c r="S115" s="27" t="str">
        <f t="shared" si="30"/>
        <v/>
      </c>
      <c r="T115" s="28" t="str">
        <f t="shared" si="30"/>
        <v/>
      </c>
      <c r="U115" s="28" t="str">
        <f t="shared" si="30"/>
        <v/>
      </c>
      <c r="V115" s="28" t="str">
        <f t="shared" si="30"/>
        <v/>
      </c>
      <c r="W115" s="28" t="str">
        <f t="shared" si="30"/>
        <v/>
      </c>
      <c r="X115" s="29" t="str">
        <f t="shared" si="30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5"/>
        <v/>
      </c>
      <c r="M116" s="19" t="str">
        <f t="shared" si="22"/>
        <v/>
      </c>
      <c r="N116" s="19" t="str">
        <f t="shared" si="23"/>
        <v/>
      </c>
      <c r="O116" s="19" t="str">
        <f t="shared" si="27"/>
        <v/>
      </c>
      <c r="P116" s="19" t="str">
        <f t="shared" si="28"/>
        <v/>
      </c>
      <c r="Q116" s="19" t="str">
        <f t="shared" si="29"/>
        <v/>
      </c>
      <c r="R116" s="19" t="str">
        <f t="shared" si="24"/>
        <v/>
      </c>
      <c r="S116" s="27" t="str">
        <f t="shared" si="30"/>
        <v/>
      </c>
      <c r="T116" s="28" t="str">
        <f t="shared" si="30"/>
        <v/>
      </c>
      <c r="U116" s="28" t="str">
        <f t="shared" si="30"/>
        <v/>
      </c>
      <c r="V116" s="28" t="str">
        <f t="shared" si="30"/>
        <v/>
      </c>
      <c r="W116" s="28" t="str">
        <f t="shared" si="30"/>
        <v/>
      </c>
      <c r="X116" s="29" t="str">
        <f t="shared" si="30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25"/>
        <v/>
      </c>
      <c r="M117" s="19" t="str">
        <f t="shared" si="22"/>
        <v/>
      </c>
      <c r="N117" s="19" t="str">
        <f t="shared" si="23"/>
        <v/>
      </c>
      <c r="O117" s="19" t="str">
        <f t="shared" si="27"/>
        <v/>
      </c>
      <c r="P117" s="19" t="str">
        <f t="shared" si="28"/>
        <v/>
      </c>
      <c r="Q117" s="19" t="str">
        <f t="shared" si="29"/>
        <v/>
      </c>
      <c r="R117" s="19" t="str">
        <f t="shared" si="24"/>
        <v/>
      </c>
      <c r="S117" s="27" t="str">
        <f t="shared" si="30"/>
        <v/>
      </c>
      <c r="T117" s="28" t="str">
        <f t="shared" si="30"/>
        <v/>
      </c>
      <c r="U117" s="28" t="str">
        <f t="shared" si="30"/>
        <v/>
      </c>
      <c r="V117" s="28" t="str">
        <f t="shared" si="30"/>
        <v/>
      </c>
      <c r="W117" s="28" t="str">
        <f t="shared" si="30"/>
        <v/>
      </c>
      <c r="X117" s="29" t="str">
        <f t="shared" si="30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31">IF(ISBLANK(C118),"",(C118-C$16)*1000)</f>
        <v/>
      </c>
      <c r="M118" s="19" t="str">
        <f t="shared" si="22"/>
        <v/>
      </c>
      <c r="N118" s="19" t="str">
        <f t="shared" si="23"/>
        <v/>
      </c>
      <c r="O118" s="19" t="str">
        <f t="shared" si="27"/>
        <v/>
      </c>
      <c r="P118" s="19" t="str">
        <f t="shared" si="28"/>
        <v/>
      </c>
      <c r="Q118" s="19" t="str">
        <f t="shared" si="29"/>
        <v/>
      </c>
      <c r="R118" s="19" t="str">
        <f t="shared" si="24"/>
        <v/>
      </c>
      <c r="S118" s="27" t="str">
        <f t="shared" si="30"/>
        <v/>
      </c>
      <c r="T118" s="28" t="str">
        <f t="shared" si="30"/>
        <v/>
      </c>
      <c r="U118" s="28" t="str">
        <f t="shared" si="30"/>
        <v/>
      </c>
      <c r="V118" s="28" t="str">
        <f t="shared" si="30"/>
        <v/>
      </c>
      <c r="W118" s="28" t="str">
        <f t="shared" si="30"/>
        <v/>
      </c>
      <c r="X118" s="29" t="str">
        <f t="shared" si="30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31"/>
        <v/>
      </c>
      <c r="M119" s="19" t="str">
        <f t="shared" si="22"/>
        <v/>
      </c>
      <c r="N119" s="19" t="str">
        <f t="shared" si="23"/>
        <v/>
      </c>
      <c r="O119" s="19" t="str">
        <f t="shared" si="27"/>
        <v/>
      </c>
      <c r="P119" s="19" t="str">
        <f t="shared" si="28"/>
        <v/>
      </c>
      <c r="Q119" s="19" t="str">
        <f t="shared" si="29"/>
        <v/>
      </c>
      <c r="R119" s="19" t="str">
        <f t="shared" si="24"/>
        <v/>
      </c>
      <c r="S119" s="27" t="str">
        <f t="shared" si="30"/>
        <v/>
      </c>
      <c r="T119" s="28" t="str">
        <f t="shared" si="30"/>
        <v/>
      </c>
      <c r="U119" s="28" t="str">
        <f t="shared" si="30"/>
        <v/>
      </c>
      <c r="V119" s="28" t="str">
        <f t="shared" si="30"/>
        <v/>
      </c>
      <c r="W119" s="28" t="str">
        <f t="shared" si="30"/>
        <v/>
      </c>
      <c r="X119" s="29" t="str">
        <f t="shared" si="30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31"/>
        <v/>
      </c>
      <c r="M120" s="19" t="str">
        <f t="shared" si="22"/>
        <v/>
      </c>
      <c r="N120" s="19" t="str">
        <f t="shared" si="23"/>
        <v/>
      </c>
      <c r="O120" s="19" t="str">
        <f t="shared" si="27"/>
        <v/>
      </c>
      <c r="P120" s="19" t="str">
        <f t="shared" si="28"/>
        <v/>
      </c>
      <c r="Q120" s="19" t="str">
        <f t="shared" si="29"/>
        <v/>
      </c>
      <c r="R120" s="19" t="str">
        <f t="shared" si="24"/>
        <v/>
      </c>
      <c r="S120" s="27" t="str">
        <f t="shared" si="30"/>
        <v/>
      </c>
      <c r="T120" s="28" t="str">
        <f t="shared" si="30"/>
        <v/>
      </c>
      <c r="U120" s="28" t="str">
        <f t="shared" si="30"/>
        <v/>
      </c>
      <c r="V120" s="28" t="str">
        <f t="shared" si="30"/>
        <v/>
      </c>
      <c r="W120" s="28" t="str">
        <f t="shared" si="30"/>
        <v/>
      </c>
      <c r="X120" s="29" t="str">
        <f t="shared" si="30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31"/>
        <v/>
      </c>
      <c r="M121" s="19" t="str">
        <f t="shared" si="22"/>
        <v/>
      </c>
      <c r="N121" s="19" t="str">
        <f t="shared" si="23"/>
        <v/>
      </c>
      <c r="O121" s="19" t="str">
        <f t="shared" si="27"/>
        <v/>
      </c>
      <c r="P121" s="19" t="str">
        <f t="shared" si="28"/>
        <v/>
      </c>
      <c r="Q121" s="19" t="str">
        <f t="shared" si="29"/>
        <v/>
      </c>
      <c r="R121" s="19" t="str">
        <f t="shared" si="24"/>
        <v/>
      </c>
      <c r="S121" s="27" t="str">
        <f t="shared" si="30"/>
        <v/>
      </c>
      <c r="T121" s="28" t="str">
        <f t="shared" si="30"/>
        <v/>
      </c>
      <c r="U121" s="28" t="str">
        <f t="shared" si="30"/>
        <v/>
      </c>
      <c r="V121" s="28" t="str">
        <f t="shared" si="30"/>
        <v/>
      </c>
      <c r="W121" s="28" t="str">
        <f t="shared" si="30"/>
        <v/>
      </c>
      <c r="X121" s="29" t="str">
        <f t="shared" si="30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31"/>
        <v/>
      </c>
      <c r="M122" s="19" t="str">
        <f t="shared" si="22"/>
        <v/>
      </c>
      <c r="N122" s="19" t="str">
        <f t="shared" si="23"/>
        <v/>
      </c>
      <c r="O122" s="19" t="str">
        <f t="shared" si="27"/>
        <v/>
      </c>
      <c r="P122" s="19" t="str">
        <f t="shared" si="28"/>
        <v/>
      </c>
      <c r="Q122" s="19" t="str">
        <f t="shared" si="29"/>
        <v/>
      </c>
      <c r="R122" s="19" t="str">
        <f t="shared" si="24"/>
        <v/>
      </c>
      <c r="S122" s="27" t="str">
        <f t="shared" si="30"/>
        <v/>
      </c>
      <c r="T122" s="28" t="str">
        <f t="shared" si="30"/>
        <v/>
      </c>
      <c r="U122" s="28" t="str">
        <f t="shared" si="30"/>
        <v/>
      </c>
      <c r="V122" s="28" t="str">
        <f t="shared" si="30"/>
        <v/>
      </c>
      <c r="W122" s="28" t="str">
        <f t="shared" si="30"/>
        <v/>
      </c>
      <c r="X122" s="29" t="str">
        <f t="shared" si="30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31"/>
        <v/>
      </c>
      <c r="M123" s="19" t="str">
        <f t="shared" si="22"/>
        <v/>
      </c>
      <c r="N123" s="19" t="str">
        <f t="shared" si="23"/>
        <v/>
      </c>
      <c r="O123" s="19" t="str">
        <f t="shared" si="27"/>
        <v/>
      </c>
      <c r="P123" s="19" t="str">
        <f t="shared" si="28"/>
        <v/>
      </c>
      <c r="Q123" s="19" t="str">
        <f t="shared" si="29"/>
        <v/>
      </c>
      <c r="R123" s="19" t="str">
        <f t="shared" si="24"/>
        <v/>
      </c>
      <c r="S123" s="27" t="str">
        <f t="shared" si="30"/>
        <v/>
      </c>
      <c r="T123" s="28" t="str">
        <f t="shared" si="30"/>
        <v/>
      </c>
      <c r="U123" s="28" t="str">
        <f t="shared" si="30"/>
        <v/>
      </c>
      <c r="V123" s="28" t="str">
        <f t="shared" si="30"/>
        <v/>
      </c>
      <c r="W123" s="28" t="str">
        <f t="shared" si="30"/>
        <v/>
      </c>
      <c r="X123" s="29" t="str">
        <f t="shared" si="30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31"/>
        <v/>
      </c>
      <c r="M124" s="19" t="str">
        <f t="shared" si="22"/>
        <v/>
      </c>
      <c r="N124" s="19" t="str">
        <f t="shared" si="23"/>
        <v/>
      </c>
      <c r="O124" s="19" t="str">
        <f t="shared" si="27"/>
        <v/>
      </c>
      <c r="P124" s="19" t="str">
        <f t="shared" si="28"/>
        <v/>
      </c>
      <c r="Q124" s="19" t="str">
        <f t="shared" si="29"/>
        <v/>
      </c>
      <c r="R124" s="19" t="str">
        <f t="shared" si="24"/>
        <v/>
      </c>
      <c r="S124" s="27" t="str">
        <f t="shared" si="30"/>
        <v/>
      </c>
      <c r="T124" s="28" t="str">
        <f t="shared" si="30"/>
        <v/>
      </c>
      <c r="U124" s="28" t="str">
        <f t="shared" si="30"/>
        <v/>
      </c>
      <c r="V124" s="28" t="str">
        <f t="shared" si="30"/>
        <v/>
      </c>
      <c r="W124" s="28" t="str">
        <f t="shared" si="30"/>
        <v/>
      </c>
      <c r="X124" s="29" t="str">
        <f t="shared" si="30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31"/>
        <v/>
      </c>
      <c r="M125" s="19" t="str">
        <f t="shared" si="22"/>
        <v/>
      </c>
      <c r="N125" s="19" t="str">
        <f t="shared" si="23"/>
        <v/>
      </c>
      <c r="O125" s="19" t="str">
        <f t="shared" si="27"/>
        <v/>
      </c>
      <c r="P125" s="19" t="str">
        <f t="shared" si="28"/>
        <v/>
      </c>
      <c r="Q125" s="19" t="str">
        <f t="shared" si="29"/>
        <v/>
      </c>
      <c r="R125" s="19" t="str">
        <f t="shared" si="24"/>
        <v/>
      </c>
      <c r="S125" s="27" t="str">
        <f t="shared" si="30"/>
        <v/>
      </c>
      <c r="T125" s="28" t="str">
        <f t="shared" si="30"/>
        <v/>
      </c>
      <c r="U125" s="28" t="str">
        <f t="shared" si="30"/>
        <v/>
      </c>
      <c r="V125" s="28" t="str">
        <f t="shared" si="30"/>
        <v/>
      </c>
      <c r="W125" s="28" t="str">
        <f t="shared" si="30"/>
        <v/>
      </c>
      <c r="X125" s="29" t="str">
        <f t="shared" si="30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31"/>
        <v/>
      </c>
      <c r="M126" s="19" t="str">
        <f t="shared" si="22"/>
        <v/>
      </c>
      <c r="N126" s="19" t="str">
        <f t="shared" si="23"/>
        <v/>
      </c>
      <c r="O126" s="19" t="str">
        <f t="shared" si="27"/>
        <v/>
      </c>
      <c r="P126" s="19" t="str">
        <f t="shared" si="28"/>
        <v/>
      </c>
      <c r="Q126" s="19" t="str">
        <f t="shared" si="29"/>
        <v/>
      </c>
      <c r="R126" s="19" t="str">
        <f t="shared" si="24"/>
        <v/>
      </c>
      <c r="S126" s="27" t="str">
        <f t="shared" si="30"/>
        <v/>
      </c>
      <c r="T126" s="28" t="str">
        <f t="shared" si="30"/>
        <v/>
      </c>
      <c r="U126" s="28" t="str">
        <f t="shared" si="30"/>
        <v/>
      </c>
      <c r="V126" s="28" t="str">
        <f t="shared" si="30"/>
        <v/>
      </c>
      <c r="W126" s="28" t="str">
        <f t="shared" si="30"/>
        <v/>
      </c>
      <c r="X126" s="29" t="str">
        <f t="shared" si="30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31"/>
        <v/>
      </c>
      <c r="M127" s="19" t="str">
        <f t="shared" si="22"/>
        <v/>
      </c>
      <c r="N127" s="19" t="str">
        <f t="shared" si="23"/>
        <v/>
      </c>
      <c r="O127" s="19" t="str">
        <f t="shared" si="27"/>
        <v/>
      </c>
      <c r="P127" s="19" t="str">
        <f t="shared" si="28"/>
        <v/>
      </c>
      <c r="Q127" s="19" t="str">
        <f t="shared" si="29"/>
        <v/>
      </c>
      <c r="R127" s="19" t="str">
        <f t="shared" si="24"/>
        <v/>
      </c>
      <c r="S127" s="27" t="str">
        <f t="shared" si="30"/>
        <v/>
      </c>
      <c r="T127" s="28" t="str">
        <f t="shared" si="30"/>
        <v/>
      </c>
      <c r="U127" s="28" t="str">
        <f t="shared" si="30"/>
        <v/>
      </c>
      <c r="V127" s="28" t="str">
        <f t="shared" si="30"/>
        <v/>
      </c>
      <c r="W127" s="28" t="str">
        <f t="shared" si="30"/>
        <v/>
      </c>
      <c r="X127" s="29" t="str">
        <f t="shared" si="30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31"/>
        <v/>
      </c>
      <c r="M128" s="19" t="str">
        <f t="shared" si="22"/>
        <v/>
      </c>
      <c r="N128" s="19" t="str">
        <f t="shared" si="23"/>
        <v/>
      </c>
      <c r="O128" s="19" t="str">
        <f t="shared" si="27"/>
        <v/>
      </c>
      <c r="P128" s="19" t="str">
        <f t="shared" si="28"/>
        <v/>
      </c>
      <c r="Q128" s="19" t="str">
        <f t="shared" si="29"/>
        <v/>
      </c>
      <c r="R128" s="19" t="str">
        <f t="shared" si="24"/>
        <v/>
      </c>
      <c r="S128" s="27" t="str">
        <f t="shared" si="30"/>
        <v/>
      </c>
      <c r="T128" s="28" t="str">
        <f t="shared" si="30"/>
        <v/>
      </c>
      <c r="U128" s="28" t="str">
        <f t="shared" si="30"/>
        <v/>
      </c>
      <c r="V128" s="28" t="str">
        <f t="shared" si="30"/>
        <v/>
      </c>
      <c r="W128" s="28" t="str">
        <f t="shared" si="30"/>
        <v/>
      </c>
      <c r="X128" s="29" t="str">
        <f t="shared" si="30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31"/>
        <v/>
      </c>
      <c r="M129" s="19" t="str">
        <f t="shared" si="22"/>
        <v/>
      </c>
      <c r="N129" s="19" t="str">
        <f t="shared" si="23"/>
        <v/>
      </c>
      <c r="O129" s="19" t="str">
        <f t="shared" si="27"/>
        <v/>
      </c>
      <c r="P129" s="19" t="str">
        <f t="shared" si="28"/>
        <v/>
      </c>
      <c r="Q129" s="19" t="str">
        <f t="shared" si="29"/>
        <v/>
      </c>
      <c r="R129" s="19" t="str">
        <f t="shared" si="24"/>
        <v/>
      </c>
      <c r="S129" s="27" t="str">
        <f t="shared" ref="S129:X144" si="32">IF(C129="","",((C129-C128)*1000)/($B129-$B128))</f>
        <v/>
      </c>
      <c r="T129" s="28" t="str">
        <f t="shared" si="32"/>
        <v/>
      </c>
      <c r="U129" s="28" t="str">
        <f t="shared" si="32"/>
        <v/>
      </c>
      <c r="V129" s="28" t="str">
        <f t="shared" si="32"/>
        <v/>
      </c>
      <c r="W129" s="28" t="str">
        <f t="shared" si="32"/>
        <v/>
      </c>
      <c r="X129" s="29" t="str">
        <f t="shared" si="3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31"/>
        <v/>
      </c>
      <c r="M130" s="19" t="str">
        <f t="shared" si="22"/>
        <v/>
      </c>
      <c r="N130" s="19" t="str">
        <f t="shared" si="23"/>
        <v/>
      </c>
      <c r="O130" s="19" t="str">
        <f t="shared" si="27"/>
        <v/>
      </c>
      <c r="P130" s="19" t="str">
        <f t="shared" si="28"/>
        <v/>
      </c>
      <c r="Q130" s="19" t="str">
        <f t="shared" si="29"/>
        <v/>
      </c>
      <c r="R130" s="19" t="str">
        <f t="shared" si="24"/>
        <v/>
      </c>
      <c r="S130" s="27" t="str">
        <f t="shared" si="32"/>
        <v/>
      </c>
      <c r="T130" s="28" t="str">
        <f t="shared" si="32"/>
        <v/>
      </c>
      <c r="U130" s="28" t="str">
        <f t="shared" si="32"/>
        <v/>
      </c>
      <c r="V130" s="28" t="str">
        <f t="shared" si="32"/>
        <v/>
      </c>
      <c r="W130" s="28" t="str">
        <f t="shared" si="32"/>
        <v/>
      </c>
      <c r="X130" s="29" t="str">
        <f t="shared" si="3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31"/>
        <v/>
      </c>
      <c r="M131" s="19" t="str">
        <f t="shared" si="22"/>
        <v/>
      </c>
      <c r="N131" s="19" t="str">
        <f t="shared" si="23"/>
        <v/>
      </c>
      <c r="O131" s="19" t="str">
        <f t="shared" si="27"/>
        <v/>
      </c>
      <c r="P131" s="19" t="str">
        <f t="shared" si="28"/>
        <v/>
      </c>
      <c r="Q131" s="19" t="str">
        <f t="shared" si="29"/>
        <v/>
      </c>
      <c r="R131" s="19" t="str">
        <f t="shared" si="24"/>
        <v/>
      </c>
      <c r="S131" s="27" t="str">
        <f t="shared" si="32"/>
        <v/>
      </c>
      <c r="T131" s="28" t="str">
        <f t="shared" si="32"/>
        <v/>
      </c>
      <c r="U131" s="28" t="str">
        <f t="shared" si="32"/>
        <v/>
      </c>
      <c r="V131" s="28" t="str">
        <f t="shared" si="32"/>
        <v/>
      </c>
      <c r="W131" s="28" t="str">
        <f t="shared" si="32"/>
        <v/>
      </c>
      <c r="X131" s="29" t="str">
        <f t="shared" si="3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31"/>
        <v/>
      </c>
      <c r="M132" s="19" t="str">
        <f t="shared" si="22"/>
        <v/>
      </c>
      <c r="N132" s="19" t="str">
        <f t="shared" si="23"/>
        <v/>
      </c>
      <c r="O132" s="19" t="str">
        <f t="shared" si="27"/>
        <v/>
      </c>
      <c r="P132" s="19" t="str">
        <f t="shared" si="28"/>
        <v/>
      </c>
      <c r="Q132" s="19" t="str">
        <f t="shared" si="29"/>
        <v/>
      </c>
      <c r="R132" s="19" t="str">
        <f t="shared" si="24"/>
        <v/>
      </c>
      <c r="S132" s="27" t="str">
        <f t="shared" si="32"/>
        <v/>
      </c>
      <c r="T132" s="28" t="str">
        <f t="shared" si="32"/>
        <v/>
      </c>
      <c r="U132" s="28" t="str">
        <f t="shared" si="32"/>
        <v/>
      </c>
      <c r="V132" s="28" t="str">
        <f t="shared" si="32"/>
        <v/>
      </c>
      <c r="W132" s="28" t="str">
        <f t="shared" si="32"/>
        <v/>
      </c>
      <c r="X132" s="29" t="str">
        <f t="shared" si="3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31"/>
        <v/>
      </c>
      <c r="M133" s="19" t="str">
        <f t="shared" si="22"/>
        <v/>
      </c>
      <c r="N133" s="19" t="str">
        <f t="shared" si="23"/>
        <v/>
      </c>
      <c r="O133" s="19" t="str">
        <f t="shared" si="27"/>
        <v/>
      </c>
      <c r="P133" s="19" t="str">
        <f t="shared" si="28"/>
        <v/>
      </c>
      <c r="Q133" s="19" t="str">
        <f t="shared" si="29"/>
        <v/>
      </c>
      <c r="R133" s="19" t="str">
        <f t="shared" si="24"/>
        <v/>
      </c>
      <c r="S133" s="27" t="str">
        <f t="shared" si="32"/>
        <v/>
      </c>
      <c r="T133" s="28" t="str">
        <f t="shared" si="32"/>
        <v/>
      </c>
      <c r="U133" s="28" t="str">
        <f t="shared" si="32"/>
        <v/>
      </c>
      <c r="V133" s="28" t="str">
        <f t="shared" si="32"/>
        <v/>
      </c>
      <c r="W133" s="28" t="str">
        <f t="shared" si="32"/>
        <v/>
      </c>
      <c r="X133" s="29" t="str">
        <f t="shared" si="3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1"/>
        <v/>
      </c>
      <c r="M134" s="19" t="str">
        <f t="shared" si="22"/>
        <v/>
      </c>
      <c r="N134" s="19" t="str">
        <f t="shared" si="23"/>
        <v/>
      </c>
      <c r="O134" s="19" t="str">
        <f t="shared" si="27"/>
        <v/>
      </c>
      <c r="P134" s="19" t="str">
        <f t="shared" si="28"/>
        <v/>
      </c>
      <c r="Q134" s="19" t="str">
        <f t="shared" si="29"/>
        <v/>
      </c>
      <c r="R134" s="19" t="str">
        <f t="shared" si="24"/>
        <v/>
      </c>
      <c r="S134" s="27" t="str">
        <f t="shared" si="32"/>
        <v/>
      </c>
      <c r="T134" s="28" t="str">
        <f t="shared" si="32"/>
        <v/>
      </c>
      <c r="U134" s="28" t="str">
        <f t="shared" si="32"/>
        <v/>
      </c>
      <c r="V134" s="28" t="str">
        <f t="shared" si="32"/>
        <v/>
      </c>
      <c r="W134" s="28" t="str">
        <f t="shared" si="32"/>
        <v/>
      </c>
      <c r="X134" s="29" t="str">
        <f t="shared" si="3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1"/>
        <v/>
      </c>
      <c r="M135" s="19" t="str">
        <f t="shared" si="22"/>
        <v/>
      </c>
      <c r="N135" s="19" t="str">
        <f t="shared" si="23"/>
        <v/>
      </c>
      <c r="O135" s="19" t="str">
        <f t="shared" si="27"/>
        <v/>
      </c>
      <c r="P135" s="19" t="str">
        <f t="shared" si="28"/>
        <v/>
      </c>
      <c r="Q135" s="19" t="str">
        <f t="shared" si="29"/>
        <v/>
      </c>
      <c r="R135" s="19" t="str">
        <f t="shared" si="24"/>
        <v/>
      </c>
      <c r="S135" s="27" t="str">
        <f t="shared" si="32"/>
        <v/>
      </c>
      <c r="T135" s="28" t="str">
        <f t="shared" si="32"/>
        <v/>
      </c>
      <c r="U135" s="28" t="str">
        <f t="shared" si="32"/>
        <v/>
      </c>
      <c r="V135" s="28" t="str">
        <f t="shared" si="32"/>
        <v/>
      </c>
      <c r="W135" s="28" t="str">
        <f t="shared" si="32"/>
        <v/>
      </c>
      <c r="X135" s="29" t="str">
        <f t="shared" si="3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1"/>
        <v/>
      </c>
      <c r="M136" s="19" t="str">
        <f t="shared" si="22"/>
        <v/>
      </c>
      <c r="N136" s="19" t="str">
        <f t="shared" si="23"/>
        <v/>
      </c>
      <c r="O136" s="19" t="str">
        <f t="shared" si="27"/>
        <v/>
      </c>
      <c r="P136" s="19" t="str">
        <f t="shared" si="28"/>
        <v/>
      </c>
      <c r="Q136" s="19" t="str">
        <f t="shared" si="29"/>
        <v/>
      </c>
      <c r="R136" s="19" t="str">
        <f t="shared" si="24"/>
        <v/>
      </c>
      <c r="S136" s="27" t="str">
        <f t="shared" si="32"/>
        <v/>
      </c>
      <c r="T136" s="28" t="str">
        <f t="shared" si="32"/>
        <v/>
      </c>
      <c r="U136" s="28" t="str">
        <f t="shared" si="32"/>
        <v/>
      </c>
      <c r="V136" s="28" t="str">
        <f t="shared" si="32"/>
        <v/>
      </c>
      <c r="W136" s="28" t="str">
        <f t="shared" si="32"/>
        <v/>
      </c>
      <c r="X136" s="29" t="str">
        <f t="shared" si="3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1"/>
        <v/>
      </c>
      <c r="M137" s="19" t="str">
        <f t="shared" si="22"/>
        <v/>
      </c>
      <c r="N137" s="19" t="str">
        <f t="shared" si="23"/>
        <v/>
      </c>
      <c r="O137" s="19" t="str">
        <f t="shared" si="27"/>
        <v/>
      </c>
      <c r="P137" s="19" t="str">
        <f t="shared" si="28"/>
        <v/>
      </c>
      <c r="Q137" s="19" t="str">
        <f t="shared" si="29"/>
        <v/>
      </c>
      <c r="R137" s="19" t="str">
        <f t="shared" si="24"/>
        <v/>
      </c>
      <c r="S137" s="27" t="str">
        <f t="shared" si="32"/>
        <v/>
      </c>
      <c r="T137" s="28" t="str">
        <f t="shared" si="32"/>
        <v/>
      </c>
      <c r="U137" s="28" t="str">
        <f t="shared" si="32"/>
        <v/>
      </c>
      <c r="V137" s="28" t="str">
        <f t="shared" si="32"/>
        <v/>
      </c>
      <c r="W137" s="28" t="str">
        <f t="shared" si="32"/>
        <v/>
      </c>
      <c r="X137" s="29" t="str">
        <f t="shared" si="3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1"/>
        <v/>
      </c>
      <c r="M138" s="19" t="str">
        <f t="shared" si="22"/>
        <v/>
      </c>
      <c r="N138" s="19" t="str">
        <f t="shared" si="23"/>
        <v/>
      </c>
      <c r="O138" s="19" t="str">
        <f t="shared" si="27"/>
        <v/>
      </c>
      <c r="P138" s="19" t="str">
        <f t="shared" si="28"/>
        <v/>
      </c>
      <c r="Q138" s="19" t="str">
        <f t="shared" si="29"/>
        <v/>
      </c>
      <c r="R138" s="19" t="str">
        <f t="shared" si="24"/>
        <v/>
      </c>
      <c r="S138" s="27" t="str">
        <f t="shared" si="32"/>
        <v/>
      </c>
      <c r="T138" s="28" t="str">
        <f t="shared" si="32"/>
        <v/>
      </c>
      <c r="U138" s="28" t="str">
        <f t="shared" si="32"/>
        <v/>
      </c>
      <c r="V138" s="28" t="str">
        <f t="shared" si="32"/>
        <v/>
      </c>
      <c r="W138" s="28" t="str">
        <f t="shared" si="32"/>
        <v/>
      </c>
      <c r="X138" s="29" t="str">
        <f t="shared" si="3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1"/>
        <v/>
      </c>
      <c r="M139" s="19" t="str">
        <f t="shared" si="22"/>
        <v/>
      </c>
      <c r="N139" s="19" t="str">
        <f t="shared" si="23"/>
        <v/>
      </c>
      <c r="O139" s="19" t="str">
        <f t="shared" si="27"/>
        <v/>
      </c>
      <c r="P139" s="19" t="str">
        <f t="shared" si="28"/>
        <v/>
      </c>
      <c r="Q139" s="19" t="str">
        <f t="shared" si="29"/>
        <v/>
      </c>
      <c r="R139" s="19" t="str">
        <f t="shared" si="24"/>
        <v/>
      </c>
      <c r="S139" s="27" t="str">
        <f t="shared" si="32"/>
        <v/>
      </c>
      <c r="T139" s="28" t="str">
        <f t="shared" si="32"/>
        <v/>
      </c>
      <c r="U139" s="28" t="str">
        <f t="shared" si="32"/>
        <v/>
      </c>
      <c r="V139" s="28" t="str">
        <f t="shared" si="32"/>
        <v/>
      </c>
      <c r="W139" s="28" t="str">
        <f t="shared" si="32"/>
        <v/>
      </c>
      <c r="X139" s="29" t="str">
        <f t="shared" si="3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1"/>
        <v/>
      </c>
      <c r="M140" s="19" t="str">
        <f t="shared" si="22"/>
        <v/>
      </c>
      <c r="N140" s="19" t="str">
        <f t="shared" si="23"/>
        <v/>
      </c>
      <c r="O140" s="19" t="str">
        <f t="shared" si="27"/>
        <v/>
      </c>
      <c r="P140" s="19" t="str">
        <f t="shared" si="28"/>
        <v/>
      </c>
      <c r="Q140" s="19" t="str">
        <f t="shared" si="29"/>
        <v/>
      </c>
      <c r="R140" s="19" t="str">
        <f t="shared" si="24"/>
        <v/>
      </c>
      <c r="S140" s="27" t="str">
        <f t="shared" si="32"/>
        <v/>
      </c>
      <c r="T140" s="28" t="str">
        <f t="shared" si="32"/>
        <v/>
      </c>
      <c r="U140" s="28" t="str">
        <f t="shared" si="32"/>
        <v/>
      </c>
      <c r="V140" s="28" t="str">
        <f t="shared" si="32"/>
        <v/>
      </c>
      <c r="W140" s="28" t="str">
        <f t="shared" si="32"/>
        <v/>
      </c>
      <c r="X140" s="29" t="str">
        <f t="shared" si="3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1"/>
        <v/>
      </c>
      <c r="M141" s="19" t="str">
        <f t="shared" si="22"/>
        <v/>
      </c>
      <c r="N141" s="19" t="str">
        <f t="shared" si="23"/>
        <v/>
      </c>
      <c r="O141" s="19" t="str">
        <f t="shared" si="27"/>
        <v/>
      </c>
      <c r="P141" s="19" t="str">
        <f t="shared" si="28"/>
        <v/>
      </c>
      <c r="Q141" s="19" t="str">
        <f t="shared" si="29"/>
        <v/>
      </c>
      <c r="R141" s="19" t="str">
        <f t="shared" si="24"/>
        <v/>
      </c>
      <c r="S141" s="27" t="str">
        <f t="shared" si="32"/>
        <v/>
      </c>
      <c r="T141" s="28" t="str">
        <f t="shared" si="32"/>
        <v/>
      </c>
      <c r="U141" s="28" t="str">
        <f t="shared" si="32"/>
        <v/>
      </c>
      <c r="V141" s="28" t="str">
        <f t="shared" si="32"/>
        <v/>
      </c>
      <c r="W141" s="28" t="str">
        <f t="shared" si="32"/>
        <v/>
      </c>
      <c r="X141" s="29" t="str">
        <f t="shared" si="3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1"/>
        <v/>
      </c>
      <c r="M142" s="19" t="str">
        <f t="shared" si="22"/>
        <v/>
      </c>
      <c r="N142" s="19" t="str">
        <f t="shared" si="23"/>
        <v/>
      </c>
      <c r="O142" s="19" t="str">
        <f t="shared" si="27"/>
        <v/>
      </c>
      <c r="P142" s="19" t="str">
        <f t="shared" si="28"/>
        <v/>
      </c>
      <c r="Q142" s="19" t="str">
        <f t="shared" si="29"/>
        <v/>
      </c>
      <c r="R142" s="19" t="str">
        <f t="shared" si="24"/>
        <v/>
      </c>
      <c r="S142" s="27" t="str">
        <f t="shared" si="32"/>
        <v/>
      </c>
      <c r="T142" s="28" t="str">
        <f t="shared" si="32"/>
        <v/>
      </c>
      <c r="U142" s="28" t="str">
        <f t="shared" si="32"/>
        <v/>
      </c>
      <c r="V142" s="28" t="str">
        <f t="shared" si="32"/>
        <v/>
      </c>
      <c r="W142" s="28" t="str">
        <f t="shared" si="32"/>
        <v/>
      </c>
      <c r="X142" s="29" t="str">
        <f t="shared" si="3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1"/>
        <v/>
      </c>
      <c r="M143" s="19" t="str">
        <f t="shared" si="22"/>
        <v/>
      </c>
      <c r="N143" s="19" t="str">
        <f t="shared" si="23"/>
        <v/>
      </c>
      <c r="O143" s="19" t="str">
        <f t="shared" si="27"/>
        <v/>
      </c>
      <c r="P143" s="19" t="str">
        <f t="shared" si="28"/>
        <v/>
      </c>
      <c r="Q143" s="19" t="str">
        <f t="shared" si="29"/>
        <v/>
      </c>
      <c r="R143" s="19" t="str">
        <f t="shared" si="24"/>
        <v/>
      </c>
      <c r="S143" s="27" t="str">
        <f t="shared" si="32"/>
        <v/>
      </c>
      <c r="T143" s="28" t="str">
        <f t="shared" si="32"/>
        <v/>
      </c>
      <c r="U143" s="28" t="str">
        <f t="shared" si="32"/>
        <v/>
      </c>
      <c r="V143" s="28" t="str">
        <f t="shared" si="32"/>
        <v/>
      </c>
      <c r="W143" s="28" t="str">
        <f t="shared" si="32"/>
        <v/>
      </c>
      <c r="X143" s="29" t="str">
        <f t="shared" si="3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1"/>
        <v/>
      </c>
      <c r="M144" s="19" t="str">
        <f t="shared" si="22"/>
        <v/>
      </c>
      <c r="N144" s="19" t="str">
        <f t="shared" si="23"/>
        <v/>
      </c>
      <c r="O144" s="19" t="str">
        <f t="shared" si="27"/>
        <v/>
      </c>
      <c r="P144" s="19" t="str">
        <f t="shared" si="28"/>
        <v/>
      </c>
      <c r="Q144" s="19" t="str">
        <f t="shared" si="29"/>
        <v/>
      </c>
      <c r="R144" s="19" t="str">
        <f t="shared" si="24"/>
        <v/>
      </c>
      <c r="S144" s="27" t="str">
        <f t="shared" si="32"/>
        <v/>
      </c>
      <c r="T144" s="28" t="str">
        <f t="shared" si="32"/>
        <v/>
      </c>
      <c r="U144" s="28" t="str">
        <f t="shared" si="32"/>
        <v/>
      </c>
      <c r="V144" s="28" t="str">
        <f t="shared" si="32"/>
        <v/>
      </c>
      <c r="W144" s="28" t="str">
        <f t="shared" si="32"/>
        <v/>
      </c>
      <c r="X144" s="29" t="str">
        <f t="shared" si="3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1"/>
        <v/>
      </c>
      <c r="M145" s="19" t="str">
        <f t="shared" si="22"/>
        <v/>
      </c>
      <c r="N145" s="19" t="str">
        <f t="shared" si="23"/>
        <v/>
      </c>
      <c r="O145" s="19" t="str">
        <f t="shared" si="27"/>
        <v/>
      </c>
      <c r="P145" s="19" t="str">
        <f t="shared" si="28"/>
        <v/>
      </c>
      <c r="Q145" s="19" t="str">
        <f t="shared" si="29"/>
        <v/>
      </c>
      <c r="R145" s="19" t="str">
        <f t="shared" si="24"/>
        <v/>
      </c>
      <c r="S145" s="27" t="str">
        <f t="shared" ref="S145:X153" si="33">IF(C145="","",((C145-C144)*1000)/($B145-$B144))</f>
        <v/>
      </c>
      <c r="T145" s="28" t="str">
        <f t="shared" si="33"/>
        <v/>
      </c>
      <c r="U145" s="28" t="str">
        <f t="shared" si="33"/>
        <v/>
      </c>
      <c r="V145" s="28" t="str">
        <f t="shared" si="33"/>
        <v/>
      </c>
      <c r="W145" s="28" t="str">
        <f t="shared" si="33"/>
        <v/>
      </c>
      <c r="X145" s="29" t="str">
        <f t="shared" si="33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31"/>
        <v/>
      </c>
      <c r="M146" s="19" t="str">
        <f t="shared" si="22"/>
        <v/>
      </c>
      <c r="N146" s="19" t="str">
        <f t="shared" si="23"/>
        <v/>
      </c>
      <c r="O146" s="19" t="str">
        <f t="shared" si="27"/>
        <v/>
      </c>
      <c r="P146" s="19" t="str">
        <f t="shared" si="28"/>
        <v/>
      </c>
      <c r="Q146" s="19" t="str">
        <f t="shared" si="29"/>
        <v/>
      </c>
      <c r="R146" s="19" t="str">
        <f t="shared" si="24"/>
        <v/>
      </c>
      <c r="S146" s="27" t="str">
        <f t="shared" si="33"/>
        <v/>
      </c>
      <c r="T146" s="28" t="str">
        <f t="shared" si="33"/>
        <v/>
      </c>
      <c r="U146" s="28" t="str">
        <f t="shared" si="33"/>
        <v/>
      </c>
      <c r="V146" s="28" t="str">
        <f t="shared" si="33"/>
        <v/>
      </c>
      <c r="W146" s="28" t="str">
        <f t="shared" si="33"/>
        <v/>
      </c>
      <c r="X146" s="29" t="str">
        <f t="shared" si="33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31"/>
        <v/>
      </c>
      <c r="M147" s="19" t="str">
        <f t="shared" si="22"/>
        <v/>
      </c>
      <c r="N147" s="19" t="str">
        <f t="shared" si="23"/>
        <v/>
      </c>
      <c r="O147" s="19" t="str">
        <f t="shared" si="27"/>
        <v/>
      </c>
      <c r="P147" s="19" t="str">
        <f t="shared" si="28"/>
        <v/>
      </c>
      <c r="Q147" s="19" t="str">
        <f t="shared" si="29"/>
        <v/>
      </c>
      <c r="R147" s="19" t="str">
        <f t="shared" si="24"/>
        <v/>
      </c>
      <c r="S147" s="27" t="str">
        <f t="shared" si="33"/>
        <v/>
      </c>
      <c r="T147" s="28" t="str">
        <f t="shared" si="33"/>
        <v/>
      </c>
      <c r="U147" s="28" t="str">
        <f t="shared" si="33"/>
        <v/>
      </c>
      <c r="V147" s="28" t="str">
        <f t="shared" si="33"/>
        <v/>
      </c>
      <c r="W147" s="28" t="str">
        <f t="shared" si="33"/>
        <v/>
      </c>
      <c r="X147" s="29" t="str">
        <f t="shared" si="33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31"/>
        <v/>
      </c>
      <c r="M148" s="19" t="str">
        <f t="shared" si="22"/>
        <v/>
      </c>
      <c r="N148" s="19" t="str">
        <f t="shared" si="23"/>
        <v/>
      </c>
      <c r="O148" s="19" t="str">
        <f t="shared" si="27"/>
        <v/>
      </c>
      <c r="P148" s="19" t="str">
        <f t="shared" si="28"/>
        <v/>
      </c>
      <c r="Q148" s="19" t="str">
        <f t="shared" si="29"/>
        <v/>
      </c>
      <c r="R148" s="19" t="str">
        <f t="shared" si="24"/>
        <v/>
      </c>
      <c r="S148" s="27" t="str">
        <f t="shared" si="33"/>
        <v/>
      </c>
      <c r="T148" s="28" t="str">
        <f t="shared" si="33"/>
        <v/>
      </c>
      <c r="U148" s="28" t="str">
        <f t="shared" si="33"/>
        <v/>
      </c>
      <c r="V148" s="28" t="str">
        <f t="shared" si="33"/>
        <v/>
      </c>
      <c r="W148" s="28" t="str">
        <f t="shared" si="33"/>
        <v/>
      </c>
      <c r="X148" s="29" t="str">
        <f t="shared" si="33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31"/>
        <v/>
      </c>
      <c r="M149" s="19" t="str">
        <f t="shared" si="22"/>
        <v/>
      </c>
      <c r="N149" s="19" t="str">
        <f t="shared" si="23"/>
        <v/>
      </c>
      <c r="O149" s="19" t="str">
        <f t="shared" si="27"/>
        <v/>
      </c>
      <c r="P149" s="19" t="str">
        <f t="shared" si="28"/>
        <v/>
      </c>
      <c r="Q149" s="19" t="str">
        <f t="shared" si="29"/>
        <v/>
      </c>
      <c r="R149" s="19" t="str">
        <f t="shared" si="24"/>
        <v/>
      </c>
      <c r="S149" s="27" t="str">
        <f t="shared" si="33"/>
        <v/>
      </c>
      <c r="T149" s="28" t="str">
        <f t="shared" si="33"/>
        <v/>
      </c>
      <c r="U149" s="28" t="str">
        <f t="shared" si="33"/>
        <v/>
      </c>
      <c r="V149" s="28" t="str">
        <f t="shared" si="33"/>
        <v/>
      </c>
      <c r="W149" s="28" t="str">
        <f t="shared" si="33"/>
        <v/>
      </c>
      <c r="X149" s="29" t="str">
        <f t="shared" si="33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31"/>
        <v/>
      </c>
      <c r="M150" s="19" t="str">
        <f t="shared" si="22"/>
        <v/>
      </c>
      <c r="N150" s="19" t="str">
        <f t="shared" si="23"/>
        <v/>
      </c>
      <c r="O150" s="19" t="str">
        <f t="shared" si="27"/>
        <v/>
      </c>
      <c r="P150" s="19" t="str">
        <f t="shared" si="28"/>
        <v/>
      </c>
      <c r="Q150" s="19" t="str">
        <f t="shared" si="29"/>
        <v/>
      </c>
      <c r="R150" s="19" t="str">
        <f t="shared" si="24"/>
        <v/>
      </c>
      <c r="S150" s="27" t="str">
        <f t="shared" si="33"/>
        <v/>
      </c>
      <c r="T150" s="28" t="str">
        <f t="shared" si="33"/>
        <v/>
      </c>
      <c r="U150" s="28" t="str">
        <f t="shared" si="33"/>
        <v/>
      </c>
      <c r="V150" s="28" t="str">
        <f t="shared" si="33"/>
        <v/>
      </c>
      <c r="W150" s="28" t="str">
        <f t="shared" si="33"/>
        <v/>
      </c>
      <c r="X150" s="29" t="str">
        <f t="shared" si="33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31"/>
        <v/>
      </c>
      <c r="M151" s="19" t="str">
        <f t="shared" si="22"/>
        <v/>
      </c>
      <c r="N151" s="19" t="str">
        <f t="shared" si="23"/>
        <v/>
      </c>
      <c r="O151" s="19" t="str">
        <f t="shared" si="27"/>
        <v/>
      </c>
      <c r="P151" s="19" t="str">
        <f t="shared" si="28"/>
        <v/>
      </c>
      <c r="Q151" s="19" t="str">
        <f t="shared" si="29"/>
        <v/>
      </c>
      <c r="R151" s="19" t="str">
        <f t="shared" si="24"/>
        <v/>
      </c>
      <c r="S151" s="27" t="str">
        <f t="shared" si="33"/>
        <v/>
      </c>
      <c r="T151" s="28" t="str">
        <f t="shared" si="33"/>
        <v/>
      </c>
      <c r="U151" s="28" t="str">
        <f t="shared" si="33"/>
        <v/>
      </c>
      <c r="V151" s="28" t="str">
        <f t="shared" si="33"/>
        <v/>
      </c>
      <c r="W151" s="28" t="str">
        <f t="shared" si="33"/>
        <v/>
      </c>
      <c r="X151" s="29" t="str">
        <f t="shared" si="33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31"/>
        <v/>
      </c>
      <c r="M152" s="19" t="str">
        <f t="shared" si="22"/>
        <v/>
      </c>
      <c r="N152" s="19" t="str">
        <f t="shared" si="23"/>
        <v/>
      </c>
      <c r="O152" s="19" t="str">
        <f t="shared" si="27"/>
        <v/>
      </c>
      <c r="P152" s="19" t="str">
        <f t="shared" si="28"/>
        <v/>
      </c>
      <c r="Q152" s="19" t="str">
        <f t="shared" si="29"/>
        <v/>
      </c>
      <c r="R152" s="19" t="str">
        <f t="shared" si="24"/>
        <v/>
      </c>
      <c r="S152" s="27" t="str">
        <f t="shared" si="33"/>
        <v/>
      </c>
      <c r="T152" s="28" t="str">
        <f t="shared" si="33"/>
        <v/>
      </c>
      <c r="U152" s="28" t="str">
        <f t="shared" si="33"/>
        <v/>
      </c>
      <c r="V152" s="28" t="str">
        <f t="shared" si="33"/>
        <v/>
      </c>
      <c r="W152" s="28" t="str">
        <f t="shared" si="33"/>
        <v/>
      </c>
      <c r="X152" s="29" t="str">
        <f t="shared" si="33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31"/>
        <v/>
      </c>
      <c r="M153" s="19" t="str">
        <f t="shared" si="22"/>
        <v/>
      </c>
      <c r="N153" s="19" t="str">
        <f t="shared" si="23"/>
        <v/>
      </c>
      <c r="O153" s="19" t="str">
        <f t="shared" si="27"/>
        <v/>
      </c>
      <c r="P153" s="19" t="str">
        <f t="shared" si="28"/>
        <v/>
      </c>
      <c r="Q153" s="19" t="str">
        <f t="shared" si="29"/>
        <v/>
      </c>
      <c r="R153" s="19" t="str">
        <f t="shared" si="24"/>
        <v/>
      </c>
      <c r="S153" s="27" t="str">
        <f t="shared" si="33"/>
        <v/>
      </c>
      <c r="T153" s="28" t="str">
        <f t="shared" si="33"/>
        <v/>
      </c>
      <c r="U153" s="28" t="str">
        <f t="shared" si="33"/>
        <v/>
      </c>
      <c r="V153" s="28" t="str">
        <f t="shared" si="33"/>
        <v/>
      </c>
      <c r="W153" s="28" t="str">
        <f t="shared" si="33"/>
        <v/>
      </c>
      <c r="X153" s="29" t="str">
        <f t="shared" si="33"/>
        <v/>
      </c>
      <c r="Y153" s="24"/>
    </row>
  </sheetData>
  <sheetProtection selectLockedCells="1"/>
  <mergeCells count="38">
    <mergeCell ref="Y13:Y15"/>
    <mergeCell ref="C14:E14"/>
    <mergeCell ref="F14:H14"/>
    <mergeCell ref="B5:D8"/>
    <mergeCell ref="E5:I5"/>
    <mergeCell ref="J5:Q5"/>
    <mergeCell ref="R5:V5"/>
    <mergeCell ref="S13:X14"/>
    <mergeCell ref="W8:Y8"/>
    <mergeCell ref="J14:K14"/>
    <mergeCell ref="E8:I8"/>
    <mergeCell ref="J8:Q8"/>
    <mergeCell ref="I14:I15"/>
    <mergeCell ref="B13:B15"/>
    <mergeCell ref="C13:K13"/>
    <mergeCell ref="L13:R14"/>
    <mergeCell ref="A1:J1"/>
    <mergeCell ref="E2:Q2"/>
    <mergeCell ref="R2:X4"/>
    <mergeCell ref="W5:Y5"/>
    <mergeCell ref="E6:I6"/>
    <mergeCell ref="J6:Q6"/>
    <mergeCell ref="R6:V6"/>
    <mergeCell ref="Y2:Y4"/>
    <mergeCell ref="E3:Q3"/>
    <mergeCell ref="E4:Q4"/>
    <mergeCell ref="W6:Y6"/>
    <mergeCell ref="AA9:AI9"/>
    <mergeCell ref="B10:J12"/>
    <mergeCell ref="K10:S12"/>
    <mergeCell ref="T10:Y12"/>
    <mergeCell ref="B9:O9"/>
    <mergeCell ref="P9:Y9"/>
    <mergeCell ref="R8:V8"/>
    <mergeCell ref="W7:Y7"/>
    <mergeCell ref="J7:Q7"/>
    <mergeCell ref="R7:V7"/>
    <mergeCell ref="E7:I7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0">
    <pageSetUpPr fitToPage="1"/>
  </sheetPr>
  <dimension ref="A1:AI153"/>
  <sheetViews>
    <sheetView showGridLines="0" zoomScale="75" zoomScaleNormal="75" zoomScaleSheetLayoutView="40" zoomScalePageLayoutView="40" workbookViewId="0">
      <pane ySplit="8" topLeftCell="A60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TZ-18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43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/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/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>
        <v>53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221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479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/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6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6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27"/>
      <c r="C12" s="128"/>
      <c r="D12" s="128"/>
      <c r="E12" s="128"/>
      <c r="F12" s="128"/>
      <c r="G12" s="128"/>
      <c r="H12" s="128"/>
      <c r="I12" s="128"/>
      <c r="J12" s="129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43">
        <v>41687</v>
      </c>
      <c r="C16" s="14">
        <v>13.048</v>
      </c>
      <c r="D16" s="15">
        <v>8.4009999999999998</v>
      </c>
      <c r="E16" s="15">
        <v>7.9870000000000001</v>
      </c>
      <c r="F16" s="42"/>
      <c r="G16" s="42"/>
      <c r="H16" s="42"/>
      <c r="I16" s="41">
        <v>102.53100000000001</v>
      </c>
      <c r="J16" s="40">
        <v>485</v>
      </c>
      <c r="K16" s="53">
        <f t="shared" ref="K16:K32" si="0">IF(ISBLANK(J16),"",(J16-$J$8))</f>
        <v>6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41688</v>
      </c>
      <c r="C17" s="25">
        <v>13.048999999999999</v>
      </c>
      <c r="D17" s="26">
        <v>8.4009999999999998</v>
      </c>
      <c r="E17" s="26">
        <v>7.9880000000000004</v>
      </c>
      <c r="F17" s="16"/>
      <c r="G17" s="16"/>
      <c r="H17" s="16"/>
      <c r="I17" s="17">
        <v>102.53100000000001</v>
      </c>
      <c r="J17" s="32">
        <v>492</v>
      </c>
      <c r="K17" s="18">
        <f t="shared" si="0"/>
        <v>13</v>
      </c>
      <c r="L17" s="19">
        <f t="shared" ref="L17:R61" si="2">IF(ISBLANK(C17),"",(C17-C$16)*1000)</f>
        <v>0.99999999999944578</v>
      </c>
      <c r="M17" s="19">
        <f t="shared" si="2"/>
        <v>0</v>
      </c>
      <c r="N17" s="19">
        <f t="shared" si="2"/>
        <v>1.000000000000334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0</v>
      </c>
      <c r="S17" s="27">
        <f t="shared" ref="S17:X32" si="3">IF(C17="","",((C17-C16)*1000)/($B17-$B16))</f>
        <v>0.99999999999944578</v>
      </c>
      <c r="T17" s="28">
        <f t="shared" si="3"/>
        <v>0</v>
      </c>
      <c r="U17" s="28">
        <f t="shared" si="3"/>
        <v>1.000000000000334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41689</v>
      </c>
      <c r="C18" s="25">
        <v>13.048</v>
      </c>
      <c r="D18" s="26">
        <v>8.4019999999999992</v>
      </c>
      <c r="E18" s="26">
        <v>7.9870000000000001</v>
      </c>
      <c r="F18" s="16"/>
      <c r="G18" s="16"/>
      <c r="H18" s="16"/>
      <c r="I18" s="17">
        <v>102.53100000000001</v>
      </c>
      <c r="J18" s="32">
        <v>502</v>
      </c>
      <c r="K18" s="18">
        <f t="shared" si="0"/>
        <v>23</v>
      </c>
      <c r="L18" s="19">
        <f t="shared" si="2"/>
        <v>0</v>
      </c>
      <c r="M18" s="19">
        <f t="shared" si="2"/>
        <v>0.99999999999944578</v>
      </c>
      <c r="N18" s="19">
        <f t="shared" si="2"/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0</v>
      </c>
      <c r="S18" s="27">
        <f t="shared" si="3"/>
        <v>-0.99999999999944578</v>
      </c>
      <c r="T18" s="28">
        <f t="shared" si="3"/>
        <v>0.99999999999944578</v>
      </c>
      <c r="U18" s="28">
        <f t="shared" si="3"/>
        <v>-1.000000000000334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41690</v>
      </c>
      <c r="C19" s="25">
        <v>13.048</v>
      </c>
      <c r="D19" s="26">
        <v>8.4009999999999998</v>
      </c>
      <c r="E19" s="26">
        <v>7.9880000000000004</v>
      </c>
      <c r="F19" s="16"/>
      <c r="G19" s="16"/>
      <c r="H19" s="16"/>
      <c r="I19" s="17">
        <v>102.53100000000001</v>
      </c>
      <c r="J19" s="32">
        <v>510</v>
      </c>
      <c r="K19" s="18">
        <f t="shared" si="0"/>
        <v>31</v>
      </c>
      <c r="L19" s="19">
        <f t="shared" si="2"/>
        <v>0</v>
      </c>
      <c r="M19" s="19">
        <f t="shared" si="2"/>
        <v>0</v>
      </c>
      <c r="N19" s="19">
        <f t="shared" si="2"/>
        <v>1.000000000000334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0</v>
      </c>
      <c r="S19" s="27">
        <f t="shared" si="3"/>
        <v>0</v>
      </c>
      <c r="T19" s="28">
        <f t="shared" si="3"/>
        <v>-0.99999999999944578</v>
      </c>
      <c r="U19" s="28">
        <f t="shared" si="3"/>
        <v>1.000000000000334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41691</v>
      </c>
      <c r="C20" s="25">
        <v>13.048</v>
      </c>
      <c r="D20" s="26">
        <v>8.4009999999999998</v>
      </c>
      <c r="E20" s="26">
        <v>7.9870000000000001</v>
      </c>
      <c r="F20" s="16"/>
      <c r="G20" s="16"/>
      <c r="H20" s="16"/>
      <c r="I20" s="17">
        <v>102.53</v>
      </c>
      <c r="J20" s="32">
        <v>517</v>
      </c>
      <c r="K20" s="18">
        <f t="shared" si="0"/>
        <v>38</v>
      </c>
      <c r="L20" s="19">
        <f t="shared" si="2"/>
        <v>0</v>
      </c>
      <c r="M20" s="19">
        <f t="shared" si="2"/>
        <v>0</v>
      </c>
      <c r="N20" s="19">
        <f t="shared" si="2"/>
        <v>0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-1.0000000000047748</v>
      </c>
      <c r="S20" s="27">
        <f t="shared" si="3"/>
        <v>0</v>
      </c>
      <c r="T20" s="28">
        <f t="shared" si="3"/>
        <v>0</v>
      </c>
      <c r="U20" s="28">
        <f t="shared" si="3"/>
        <v>-1.000000000000334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41694</v>
      </c>
      <c r="C21" s="25">
        <v>13.048999999999999</v>
      </c>
      <c r="D21" s="26">
        <v>8.4009999999999998</v>
      </c>
      <c r="E21" s="26">
        <v>7.9880000000000004</v>
      </c>
      <c r="F21" s="16"/>
      <c r="G21" s="16"/>
      <c r="H21" s="16"/>
      <c r="I21" s="17">
        <v>102.53</v>
      </c>
      <c r="J21" s="32">
        <v>523.5</v>
      </c>
      <c r="K21" s="18">
        <f t="shared" si="0"/>
        <v>44.5</v>
      </c>
      <c r="L21" s="19">
        <f t="shared" si="2"/>
        <v>0.99999999999944578</v>
      </c>
      <c r="M21" s="19">
        <f t="shared" si="2"/>
        <v>0</v>
      </c>
      <c r="N21" s="19">
        <f t="shared" si="2"/>
        <v>1.000000000000334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-1.0000000000047748</v>
      </c>
      <c r="S21" s="27">
        <f t="shared" si="3"/>
        <v>0.33333333333314857</v>
      </c>
      <c r="T21" s="28">
        <f t="shared" si="3"/>
        <v>0</v>
      </c>
      <c r="U21" s="28">
        <f t="shared" si="3"/>
        <v>0.33333333333344467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41695</v>
      </c>
      <c r="C22" s="25">
        <v>13.048999999999999</v>
      </c>
      <c r="D22" s="26">
        <v>8.4009999999999998</v>
      </c>
      <c r="E22" s="26">
        <v>7.9880000000000004</v>
      </c>
      <c r="F22" s="16"/>
      <c r="G22" s="16"/>
      <c r="H22" s="16"/>
      <c r="I22" s="17">
        <v>102.53</v>
      </c>
      <c r="J22" s="32">
        <v>530</v>
      </c>
      <c r="K22" s="18">
        <f t="shared" si="0"/>
        <v>51</v>
      </c>
      <c r="L22" s="19">
        <f t="shared" si="2"/>
        <v>0.99999999999944578</v>
      </c>
      <c r="M22" s="19">
        <f t="shared" si="2"/>
        <v>0</v>
      </c>
      <c r="N22" s="19">
        <f t="shared" si="2"/>
        <v>1.000000000000334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-1.0000000000047748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41696</v>
      </c>
      <c r="C23" s="25">
        <v>13.048999999999999</v>
      </c>
      <c r="D23" s="26">
        <v>8.4019999999999992</v>
      </c>
      <c r="E23" s="26">
        <v>7.9880000000000004</v>
      </c>
      <c r="F23" s="16"/>
      <c r="G23" s="16"/>
      <c r="H23" s="16"/>
      <c r="I23" s="17">
        <v>102.529</v>
      </c>
      <c r="J23" s="32">
        <v>537</v>
      </c>
      <c r="K23" s="18">
        <f t="shared" si="0"/>
        <v>58</v>
      </c>
      <c r="L23" s="19">
        <f t="shared" si="2"/>
        <v>0.99999999999944578</v>
      </c>
      <c r="M23" s="19">
        <f t="shared" si="2"/>
        <v>0.99999999999944578</v>
      </c>
      <c r="N23" s="19">
        <f t="shared" si="2"/>
        <v>1.000000000000334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-2.0000000000095497</v>
      </c>
      <c r="S23" s="27">
        <f t="shared" si="3"/>
        <v>0</v>
      </c>
      <c r="T23" s="28">
        <f t="shared" si="3"/>
        <v>0.99999999999944578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41697</v>
      </c>
      <c r="C24" s="25">
        <v>13.048999999999999</v>
      </c>
      <c r="D24" s="26">
        <v>8.4019999999999992</v>
      </c>
      <c r="E24" s="26">
        <v>7.9880000000000004</v>
      </c>
      <c r="F24" s="47"/>
      <c r="G24" s="47"/>
      <c r="H24" s="47"/>
      <c r="I24" s="57">
        <v>102.529</v>
      </c>
      <c r="J24" s="58">
        <v>547.5</v>
      </c>
      <c r="K24" s="59">
        <f t="shared" si="0"/>
        <v>68.5</v>
      </c>
      <c r="L24" s="19">
        <f t="shared" si="2"/>
        <v>0.99999999999944578</v>
      </c>
      <c r="M24" s="19">
        <f t="shared" si="2"/>
        <v>0.99999999999944578</v>
      </c>
      <c r="N24" s="19">
        <f t="shared" si="2"/>
        <v>1.000000000000334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-2.0000000000095497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41698</v>
      </c>
      <c r="C25" s="25">
        <v>13.048</v>
      </c>
      <c r="D25" s="26">
        <v>8.4019999999999992</v>
      </c>
      <c r="E25" s="26">
        <v>7.9880000000000004</v>
      </c>
      <c r="F25" s="47"/>
      <c r="G25" s="47"/>
      <c r="H25" s="47"/>
      <c r="I25" s="57">
        <v>102.529</v>
      </c>
      <c r="J25" s="58">
        <v>552</v>
      </c>
      <c r="K25" s="59">
        <f t="shared" si="0"/>
        <v>73</v>
      </c>
      <c r="L25" s="19">
        <f t="shared" si="2"/>
        <v>0</v>
      </c>
      <c r="M25" s="19">
        <f t="shared" si="2"/>
        <v>0.99999999999944578</v>
      </c>
      <c r="N25" s="19">
        <f t="shared" si="2"/>
        <v>1.000000000000334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-2.0000000000095497</v>
      </c>
      <c r="S25" s="27">
        <f t="shared" si="3"/>
        <v>-0.99999999999944578</v>
      </c>
      <c r="T25" s="28">
        <f t="shared" si="3"/>
        <v>0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41701</v>
      </c>
      <c r="C26" s="25">
        <v>13.048999999999999</v>
      </c>
      <c r="D26" s="26">
        <v>8.4019999999999992</v>
      </c>
      <c r="E26" s="26">
        <v>7.9880000000000004</v>
      </c>
      <c r="F26" s="47"/>
      <c r="G26" s="47"/>
      <c r="H26" s="47"/>
      <c r="I26" s="57">
        <v>102.529</v>
      </c>
      <c r="J26" s="58">
        <v>555.5</v>
      </c>
      <c r="K26" s="59">
        <f t="shared" si="0"/>
        <v>76.5</v>
      </c>
      <c r="L26" s="19">
        <f t="shared" si="2"/>
        <v>0.99999999999944578</v>
      </c>
      <c r="M26" s="19">
        <f t="shared" si="2"/>
        <v>0.99999999999944578</v>
      </c>
      <c r="N26" s="19">
        <f t="shared" si="2"/>
        <v>1.000000000000334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-2.0000000000095497</v>
      </c>
      <c r="S26" s="27">
        <f t="shared" si="3"/>
        <v>0.33333333333314857</v>
      </c>
      <c r="T26" s="28">
        <f t="shared" si="3"/>
        <v>0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41702</v>
      </c>
      <c r="C27" s="25">
        <v>13.048</v>
      </c>
      <c r="D27" s="26">
        <v>8.4019999999999992</v>
      </c>
      <c r="E27" s="26">
        <v>7.9880000000000004</v>
      </c>
      <c r="F27" s="47"/>
      <c r="G27" s="47"/>
      <c r="H27" s="47"/>
      <c r="I27" s="57">
        <v>102.529</v>
      </c>
      <c r="J27" s="58">
        <v>559.5</v>
      </c>
      <c r="K27" s="59">
        <f t="shared" si="0"/>
        <v>80.5</v>
      </c>
      <c r="L27" s="19">
        <f t="shared" si="2"/>
        <v>0</v>
      </c>
      <c r="M27" s="19">
        <f t="shared" si="2"/>
        <v>0.99999999999944578</v>
      </c>
      <c r="N27" s="19">
        <f t="shared" si="2"/>
        <v>1.000000000000334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-2.0000000000095497</v>
      </c>
      <c r="S27" s="27">
        <f t="shared" si="3"/>
        <v>-0.99999999999944578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41703</v>
      </c>
      <c r="C28" s="25">
        <v>13.048</v>
      </c>
      <c r="D28" s="26">
        <v>8.4019999999999992</v>
      </c>
      <c r="E28" s="26">
        <v>7.9880000000000004</v>
      </c>
      <c r="F28" s="47"/>
      <c r="G28" s="47"/>
      <c r="H28" s="47"/>
      <c r="I28" s="57">
        <v>102.529</v>
      </c>
      <c r="J28" s="58">
        <v>562.5</v>
      </c>
      <c r="K28" s="59">
        <f t="shared" si="0"/>
        <v>83.5</v>
      </c>
      <c r="L28" s="19">
        <f t="shared" si="2"/>
        <v>0</v>
      </c>
      <c r="M28" s="19">
        <f t="shared" si="2"/>
        <v>0.99999999999944578</v>
      </c>
      <c r="N28" s="19">
        <f t="shared" si="2"/>
        <v>1.000000000000334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-2.0000000000095497</v>
      </c>
      <c r="S28" s="27">
        <f t="shared" si="3"/>
        <v>0</v>
      </c>
      <c r="T28" s="28">
        <f t="shared" si="3"/>
        <v>0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41704</v>
      </c>
      <c r="C29" s="25">
        <v>13.048</v>
      </c>
      <c r="D29" s="26">
        <v>8.4019999999999992</v>
      </c>
      <c r="E29" s="26">
        <v>7.9880000000000004</v>
      </c>
      <c r="F29" s="47"/>
      <c r="G29" s="47"/>
      <c r="H29" s="47"/>
      <c r="I29" s="57">
        <v>102.529</v>
      </c>
      <c r="J29" s="58">
        <v>565</v>
      </c>
      <c r="K29" s="59">
        <f t="shared" si="0"/>
        <v>86</v>
      </c>
      <c r="L29" s="19">
        <f t="shared" si="2"/>
        <v>0</v>
      </c>
      <c r="M29" s="19">
        <f t="shared" si="2"/>
        <v>0.99999999999944578</v>
      </c>
      <c r="N29" s="19">
        <f t="shared" si="2"/>
        <v>1.000000000000334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-2.0000000000095497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41705</v>
      </c>
      <c r="C30" s="25">
        <v>13.048</v>
      </c>
      <c r="D30" s="26">
        <v>8.4009999999999998</v>
      </c>
      <c r="E30" s="26">
        <v>7.9880000000000004</v>
      </c>
      <c r="F30" s="47"/>
      <c r="G30" s="47"/>
      <c r="H30" s="47"/>
      <c r="I30" s="57">
        <v>102.529</v>
      </c>
      <c r="J30" s="58">
        <v>568.5</v>
      </c>
      <c r="K30" s="59">
        <f t="shared" si="0"/>
        <v>89.5</v>
      </c>
      <c r="L30" s="19">
        <f t="shared" si="2"/>
        <v>0</v>
      </c>
      <c r="M30" s="19">
        <f t="shared" si="2"/>
        <v>0</v>
      </c>
      <c r="N30" s="19">
        <f t="shared" si="2"/>
        <v>1.000000000000334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-2.0000000000095497</v>
      </c>
      <c r="S30" s="27">
        <f t="shared" si="3"/>
        <v>0</v>
      </c>
      <c r="T30" s="28">
        <f t="shared" si="3"/>
        <v>-0.99999999999944578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41708</v>
      </c>
      <c r="C31" s="25">
        <v>13.048</v>
      </c>
      <c r="D31" s="26">
        <v>8.4019999999999992</v>
      </c>
      <c r="E31" s="26">
        <v>7.9880000000000004</v>
      </c>
      <c r="F31" s="47"/>
      <c r="G31" s="47"/>
      <c r="H31" s="47"/>
      <c r="I31" s="57">
        <v>102.529</v>
      </c>
      <c r="J31" s="58">
        <v>576</v>
      </c>
      <c r="K31" s="59">
        <f t="shared" si="0"/>
        <v>97</v>
      </c>
      <c r="L31" s="19">
        <f t="shared" si="2"/>
        <v>0</v>
      </c>
      <c r="M31" s="19">
        <f t="shared" si="2"/>
        <v>0.99999999999944578</v>
      </c>
      <c r="N31" s="19">
        <f t="shared" si="2"/>
        <v>1.000000000000334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-2.0000000000095497</v>
      </c>
      <c r="S31" s="27">
        <f t="shared" si="3"/>
        <v>0</v>
      </c>
      <c r="T31" s="28">
        <f t="shared" si="3"/>
        <v>0.33333333333314857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41709</v>
      </c>
      <c r="C32" s="25">
        <v>13.048</v>
      </c>
      <c r="D32" s="26">
        <v>8.4019999999999992</v>
      </c>
      <c r="E32" s="26">
        <v>7.9880000000000004</v>
      </c>
      <c r="F32" s="47"/>
      <c r="G32" s="47"/>
      <c r="H32" s="47"/>
      <c r="I32" s="57">
        <v>102.529</v>
      </c>
      <c r="J32" s="58">
        <v>584</v>
      </c>
      <c r="K32" s="59">
        <f t="shared" si="0"/>
        <v>105</v>
      </c>
      <c r="L32" s="19">
        <f t="shared" si="2"/>
        <v>0</v>
      </c>
      <c r="M32" s="19">
        <f t="shared" si="2"/>
        <v>0.99999999999944578</v>
      </c>
      <c r="N32" s="19">
        <f t="shared" si="2"/>
        <v>1.000000000000334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1"/>
        <v>-2.0000000000095497</v>
      </c>
      <c r="S32" s="27">
        <f t="shared" si="3"/>
        <v>0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41710</v>
      </c>
      <c r="C33" s="25">
        <v>13.048</v>
      </c>
      <c r="D33" s="26">
        <v>8.4019999999999992</v>
      </c>
      <c r="E33" s="26">
        <v>7.9880000000000004</v>
      </c>
      <c r="F33" s="47"/>
      <c r="G33" s="47"/>
      <c r="H33" s="47"/>
      <c r="I33" s="57">
        <v>102.529</v>
      </c>
      <c r="J33" s="58">
        <v>587.5</v>
      </c>
      <c r="K33" s="59">
        <f t="shared" ref="K33:K49" si="4">IF(ISBLANK(J33),"",(J33-$J$8))</f>
        <v>108.5</v>
      </c>
      <c r="L33" s="19">
        <f t="shared" si="2"/>
        <v>0</v>
      </c>
      <c r="M33" s="19">
        <f t="shared" si="2"/>
        <v>0.99999999999944578</v>
      </c>
      <c r="N33" s="19">
        <f t="shared" si="2"/>
        <v>1.000000000000334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2"/>
        <v>-2.0000000000095497</v>
      </c>
      <c r="S33" s="27">
        <f t="shared" ref="S33:X48" si="5">IF(C33="","",((C33-C32)*1000)/($B33-$B32))</f>
        <v>0</v>
      </c>
      <c r="T33" s="28">
        <f t="shared" si="5"/>
        <v>0</v>
      </c>
      <c r="U33" s="28">
        <f t="shared" si="5"/>
        <v>0</v>
      </c>
      <c r="V33" s="28" t="str">
        <f t="shared" si="5"/>
        <v/>
      </c>
      <c r="W33" s="28" t="str">
        <f t="shared" si="5"/>
        <v/>
      </c>
      <c r="X33" s="29" t="str">
        <f t="shared" si="5"/>
        <v/>
      </c>
      <c r="Y33" s="24"/>
    </row>
    <row r="34" spans="2:25" ht="15" customHeight="1" x14ac:dyDescent="0.2">
      <c r="B34" s="31">
        <v>41711</v>
      </c>
      <c r="C34" s="25">
        <v>13.048999999999999</v>
      </c>
      <c r="D34" s="26">
        <v>8.4019999999999992</v>
      </c>
      <c r="E34" s="26">
        <v>7.9880000000000004</v>
      </c>
      <c r="F34" s="47"/>
      <c r="G34" s="47"/>
      <c r="H34" s="47"/>
      <c r="I34" s="57">
        <v>102.529</v>
      </c>
      <c r="J34" s="58">
        <v>596</v>
      </c>
      <c r="K34" s="59">
        <f t="shared" si="4"/>
        <v>117</v>
      </c>
      <c r="L34" s="19">
        <f t="shared" si="2"/>
        <v>0.99999999999944578</v>
      </c>
      <c r="M34" s="19">
        <f t="shared" si="2"/>
        <v>0.99999999999944578</v>
      </c>
      <c r="N34" s="19">
        <f t="shared" si="2"/>
        <v>1.000000000000334</v>
      </c>
      <c r="O34" s="19" t="str">
        <f t="shared" si="2"/>
        <v/>
      </c>
      <c r="P34" s="19" t="str">
        <f t="shared" si="2"/>
        <v/>
      </c>
      <c r="Q34" s="19" t="str">
        <f t="shared" si="2"/>
        <v/>
      </c>
      <c r="R34" s="19">
        <f t="shared" si="2"/>
        <v>-2.0000000000095497</v>
      </c>
      <c r="S34" s="27">
        <f t="shared" si="5"/>
        <v>0.99999999999944578</v>
      </c>
      <c r="T34" s="28">
        <f t="shared" si="5"/>
        <v>0</v>
      </c>
      <c r="U34" s="28">
        <f t="shared" si="5"/>
        <v>0</v>
      </c>
      <c r="V34" s="28" t="str">
        <f t="shared" si="5"/>
        <v/>
      </c>
      <c r="W34" s="28" t="str">
        <f t="shared" si="5"/>
        <v/>
      </c>
      <c r="X34" s="29" t="str">
        <f t="shared" si="5"/>
        <v/>
      </c>
      <c r="Y34" s="24"/>
    </row>
    <row r="35" spans="2:25" ht="15" customHeight="1" x14ac:dyDescent="0.2">
      <c r="B35" s="31">
        <v>41712</v>
      </c>
      <c r="C35" s="25">
        <v>13.048</v>
      </c>
      <c r="D35" s="26">
        <v>8.4019999999999992</v>
      </c>
      <c r="E35" s="26">
        <v>7.9880000000000004</v>
      </c>
      <c r="F35" s="47"/>
      <c r="G35" s="47"/>
      <c r="H35" s="47"/>
      <c r="I35" s="57">
        <v>102.529</v>
      </c>
      <c r="J35" s="58">
        <v>600.5</v>
      </c>
      <c r="K35" s="59">
        <f t="shared" si="4"/>
        <v>121.5</v>
      </c>
      <c r="L35" s="19">
        <f t="shared" si="2"/>
        <v>0</v>
      </c>
      <c r="M35" s="19">
        <f t="shared" si="2"/>
        <v>0.99999999999944578</v>
      </c>
      <c r="N35" s="19">
        <f t="shared" si="2"/>
        <v>1.000000000000334</v>
      </c>
      <c r="O35" s="19" t="str">
        <f t="shared" si="2"/>
        <v/>
      </c>
      <c r="P35" s="19" t="str">
        <f t="shared" si="2"/>
        <v/>
      </c>
      <c r="Q35" s="19" t="str">
        <f t="shared" si="2"/>
        <v/>
      </c>
      <c r="R35" s="19">
        <f t="shared" si="2"/>
        <v>-2.0000000000095497</v>
      </c>
      <c r="S35" s="27">
        <f t="shared" si="5"/>
        <v>-0.99999999999944578</v>
      </c>
      <c r="T35" s="28">
        <f t="shared" si="5"/>
        <v>0</v>
      </c>
      <c r="U35" s="28">
        <f t="shared" si="5"/>
        <v>0</v>
      </c>
      <c r="V35" s="28" t="str">
        <f t="shared" si="5"/>
        <v/>
      </c>
      <c r="W35" s="28" t="str">
        <f t="shared" si="5"/>
        <v/>
      </c>
      <c r="X35" s="29" t="str">
        <f t="shared" si="5"/>
        <v/>
      </c>
      <c r="Y35" s="24"/>
    </row>
    <row r="36" spans="2:25" ht="15" customHeight="1" x14ac:dyDescent="0.2">
      <c r="B36" s="31">
        <v>41715</v>
      </c>
      <c r="C36" s="25">
        <v>13.048</v>
      </c>
      <c r="D36" s="26">
        <v>8.4019999999999992</v>
      </c>
      <c r="E36" s="26">
        <v>7.9880000000000004</v>
      </c>
      <c r="F36" s="47"/>
      <c r="G36" s="47"/>
      <c r="H36" s="47"/>
      <c r="I36" s="57">
        <v>102.529</v>
      </c>
      <c r="J36" s="58">
        <v>609.5</v>
      </c>
      <c r="K36" s="59">
        <f t="shared" si="4"/>
        <v>130.5</v>
      </c>
      <c r="L36" s="19">
        <f t="shared" si="2"/>
        <v>0</v>
      </c>
      <c r="M36" s="19">
        <f t="shared" si="2"/>
        <v>0.99999999999944578</v>
      </c>
      <c r="N36" s="19">
        <f t="shared" si="2"/>
        <v>1.000000000000334</v>
      </c>
      <c r="O36" s="19" t="str">
        <f t="shared" si="2"/>
        <v/>
      </c>
      <c r="P36" s="19" t="str">
        <f t="shared" si="2"/>
        <v/>
      </c>
      <c r="Q36" s="19" t="str">
        <f t="shared" si="2"/>
        <v/>
      </c>
      <c r="R36" s="19">
        <f t="shared" si="2"/>
        <v>-2.0000000000095497</v>
      </c>
      <c r="S36" s="27">
        <f t="shared" si="5"/>
        <v>0</v>
      </c>
      <c r="T36" s="28">
        <f t="shared" si="5"/>
        <v>0</v>
      </c>
      <c r="U36" s="28">
        <f t="shared" si="5"/>
        <v>0</v>
      </c>
      <c r="V36" s="28" t="str">
        <f t="shared" si="5"/>
        <v/>
      </c>
      <c r="W36" s="28" t="str">
        <f t="shared" si="5"/>
        <v/>
      </c>
      <c r="X36" s="29" t="str">
        <f t="shared" si="5"/>
        <v/>
      </c>
      <c r="Y36" s="24"/>
    </row>
    <row r="37" spans="2:25" ht="15" customHeight="1" x14ac:dyDescent="0.2">
      <c r="B37" s="31">
        <v>41723</v>
      </c>
      <c r="C37" s="25">
        <v>13.048999999999999</v>
      </c>
      <c r="D37" s="26">
        <v>8.4019999999999992</v>
      </c>
      <c r="E37" s="26">
        <v>7.9880000000000004</v>
      </c>
      <c r="F37" s="47"/>
      <c r="G37" s="47"/>
      <c r="H37" s="47"/>
      <c r="I37" s="57">
        <v>102.529</v>
      </c>
      <c r="J37" s="32">
        <v>308</v>
      </c>
      <c r="K37" s="59">
        <f t="shared" si="4"/>
        <v>-171</v>
      </c>
      <c r="L37" s="19">
        <f t="shared" si="2"/>
        <v>0.99999999999944578</v>
      </c>
      <c r="M37" s="19">
        <f t="shared" si="2"/>
        <v>0.99999999999944578</v>
      </c>
      <c r="N37" s="19">
        <f t="shared" si="2"/>
        <v>1.000000000000334</v>
      </c>
      <c r="O37" s="19" t="str">
        <f t="shared" si="2"/>
        <v/>
      </c>
      <c r="P37" s="19" t="str">
        <f t="shared" si="2"/>
        <v/>
      </c>
      <c r="Q37" s="19" t="str">
        <f t="shared" si="2"/>
        <v/>
      </c>
      <c r="R37" s="19">
        <f t="shared" si="2"/>
        <v>-2.0000000000095497</v>
      </c>
      <c r="S37" s="27">
        <f t="shared" si="5"/>
        <v>0.12499999999993072</v>
      </c>
      <c r="T37" s="28">
        <f t="shared" si="5"/>
        <v>0</v>
      </c>
      <c r="U37" s="28">
        <f t="shared" si="5"/>
        <v>0</v>
      </c>
      <c r="V37" s="28" t="str">
        <f t="shared" si="5"/>
        <v/>
      </c>
      <c r="W37" s="28" t="str">
        <f t="shared" si="5"/>
        <v/>
      </c>
      <c r="X37" s="29" t="str">
        <f t="shared" si="5"/>
        <v/>
      </c>
      <c r="Y37" s="24" t="s">
        <v>23</v>
      </c>
    </row>
    <row r="38" spans="2:25" ht="15" customHeight="1" x14ac:dyDescent="0.2">
      <c r="B38" s="31">
        <v>41724</v>
      </c>
      <c r="C38" s="25">
        <v>13.048999999999999</v>
      </c>
      <c r="D38" s="26">
        <v>8.4019999999999992</v>
      </c>
      <c r="E38" s="26">
        <v>7.9880000000000004</v>
      </c>
      <c r="F38" s="47"/>
      <c r="G38" s="47"/>
      <c r="H38" s="47"/>
      <c r="I38" s="57">
        <v>102.529</v>
      </c>
      <c r="J38" s="32">
        <v>319</v>
      </c>
      <c r="K38" s="59">
        <f t="shared" si="4"/>
        <v>-160</v>
      </c>
      <c r="L38" s="19">
        <f t="shared" si="2"/>
        <v>0.99999999999944578</v>
      </c>
      <c r="M38" s="19">
        <f t="shared" si="2"/>
        <v>0.99999999999944578</v>
      </c>
      <c r="N38" s="19">
        <f t="shared" si="2"/>
        <v>1.000000000000334</v>
      </c>
      <c r="O38" s="19" t="str">
        <f t="shared" si="2"/>
        <v/>
      </c>
      <c r="P38" s="19" t="str">
        <f t="shared" si="2"/>
        <v/>
      </c>
      <c r="Q38" s="19" t="str">
        <f t="shared" si="2"/>
        <v/>
      </c>
      <c r="R38" s="19">
        <f t="shared" si="2"/>
        <v>-2.0000000000095497</v>
      </c>
      <c r="S38" s="27">
        <f t="shared" si="5"/>
        <v>0</v>
      </c>
      <c r="T38" s="28">
        <f t="shared" si="5"/>
        <v>0</v>
      </c>
      <c r="U38" s="28">
        <f t="shared" si="5"/>
        <v>0</v>
      </c>
      <c r="V38" s="28" t="str">
        <f t="shared" si="5"/>
        <v/>
      </c>
      <c r="W38" s="28" t="str">
        <f t="shared" si="5"/>
        <v/>
      </c>
      <c r="X38" s="29" t="str">
        <f t="shared" si="5"/>
        <v/>
      </c>
      <c r="Y38" s="24"/>
    </row>
    <row r="39" spans="2:25" ht="15" customHeight="1" x14ac:dyDescent="0.2">
      <c r="B39" s="31">
        <v>41743</v>
      </c>
      <c r="C39" s="25">
        <v>13.042999999999999</v>
      </c>
      <c r="D39" s="26">
        <v>8.3989999999999991</v>
      </c>
      <c r="E39" s="26">
        <v>7.9859999999999998</v>
      </c>
      <c r="F39" s="16">
        <v>13.536</v>
      </c>
      <c r="G39" s="16">
        <v>10.824999999999999</v>
      </c>
      <c r="H39" s="16">
        <v>10.673</v>
      </c>
      <c r="I39" s="57">
        <v>102.523</v>
      </c>
      <c r="J39" s="32">
        <v>484</v>
      </c>
      <c r="K39" s="59">
        <f t="shared" si="4"/>
        <v>5</v>
      </c>
      <c r="L39" s="19">
        <f t="shared" si="2"/>
        <v>-5.0000000000007816</v>
      </c>
      <c r="M39" s="19">
        <f t="shared" si="2"/>
        <v>-2.0000000000006679</v>
      </c>
      <c r="N39" s="19">
        <f t="shared" si="2"/>
        <v>-1.000000000000334</v>
      </c>
      <c r="O39" s="19">
        <f>IF(ISBLANK(F39),"",((F39-F$39)*1000)+L$39)</f>
        <v>-5.0000000000007816</v>
      </c>
      <c r="P39" s="19">
        <f>IF(ISBLANK(G39),"",((G39-G$39)*1000)+M$39)</f>
        <v>-2.0000000000006679</v>
      </c>
      <c r="Q39" s="19">
        <f>IF(ISBLANK(H39),"",((H39-H$39)*1000)+N$39)</f>
        <v>-1.000000000000334</v>
      </c>
      <c r="R39" s="19">
        <f t="shared" si="2"/>
        <v>-8.0000000000097771</v>
      </c>
      <c r="S39" s="27">
        <f t="shared" si="5"/>
        <v>-0.3157894736842225</v>
      </c>
      <c r="T39" s="28">
        <f t="shared" si="5"/>
        <v>-0.15789473684211125</v>
      </c>
      <c r="U39" s="28">
        <f t="shared" si="5"/>
        <v>-0.10526315789477199</v>
      </c>
      <c r="V39" s="28"/>
      <c r="W39" s="28"/>
      <c r="X39" s="29"/>
      <c r="Y39" s="24"/>
    </row>
    <row r="40" spans="2:25" ht="15" customHeight="1" x14ac:dyDescent="0.2">
      <c r="B40" s="31">
        <v>41744</v>
      </c>
      <c r="C40" s="25">
        <v>13.042999999999999</v>
      </c>
      <c r="D40" s="26">
        <v>8.3989999999999991</v>
      </c>
      <c r="E40" s="26">
        <v>7.9859999999999998</v>
      </c>
      <c r="F40" s="16">
        <v>13.536</v>
      </c>
      <c r="G40" s="16">
        <v>10.824999999999999</v>
      </c>
      <c r="H40" s="16">
        <v>10.673</v>
      </c>
      <c r="I40" s="57">
        <v>102.523</v>
      </c>
      <c r="J40" s="32">
        <v>499</v>
      </c>
      <c r="K40" s="59">
        <f t="shared" si="4"/>
        <v>20</v>
      </c>
      <c r="L40" s="19">
        <f t="shared" si="2"/>
        <v>-5.0000000000007816</v>
      </c>
      <c r="M40" s="19">
        <f t="shared" si="2"/>
        <v>-2.0000000000006679</v>
      </c>
      <c r="N40" s="19">
        <f t="shared" si="2"/>
        <v>-1.000000000000334</v>
      </c>
      <c r="O40" s="19">
        <f t="shared" ref="O40:O103" si="6">IF(ISBLANK(F40),"",((F40-F$39)*1000)+L$39)</f>
        <v>-5.0000000000007816</v>
      </c>
      <c r="P40" s="19">
        <f t="shared" ref="P40:P103" si="7">IF(ISBLANK(G40),"",((G40-G$39)*1000)+M$39)</f>
        <v>-2.0000000000006679</v>
      </c>
      <c r="Q40" s="19">
        <f t="shared" ref="Q40:Q103" si="8">IF(ISBLANK(H40),"",((H40-H$39)*1000)+N$39)</f>
        <v>-1.000000000000334</v>
      </c>
      <c r="R40" s="19">
        <f t="shared" si="2"/>
        <v>-8.0000000000097771</v>
      </c>
      <c r="S40" s="27">
        <f t="shared" si="5"/>
        <v>0</v>
      </c>
      <c r="T40" s="28">
        <f t="shared" si="5"/>
        <v>0</v>
      </c>
      <c r="U40" s="28">
        <f t="shared" si="5"/>
        <v>0</v>
      </c>
      <c r="V40" s="28">
        <f t="shared" si="5"/>
        <v>0</v>
      </c>
      <c r="W40" s="28">
        <f t="shared" si="5"/>
        <v>0</v>
      </c>
      <c r="X40" s="29">
        <f t="shared" si="5"/>
        <v>0</v>
      </c>
      <c r="Y40" s="24"/>
    </row>
    <row r="41" spans="2:25" ht="15" customHeight="1" x14ac:dyDescent="0.2">
      <c r="B41" s="31">
        <v>41745</v>
      </c>
      <c r="C41" s="64">
        <v>13.042999999999999</v>
      </c>
      <c r="D41" s="65">
        <v>8.3989999999999991</v>
      </c>
      <c r="E41" s="65">
        <v>7.9859999999999998</v>
      </c>
      <c r="F41" s="16">
        <v>13.535</v>
      </c>
      <c r="G41" s="16">
        <v>10.824</v>
      </c>
      <c r="H41" s="16">
        <v>10.672000000000001</v>
      </c>
      <c r="I41" s="57">
        <v>102.523</v>
      </c>
      <c r="J41" s="32">
        <v>516.5</v>
      </c>
      <c r="K41" s="59">
        <f t="shared" si="4"/>
        <v>37.5</v>
      </c>
      <c r="L41" s="19">
        <f t="shared" si="2"/>
        <v>-5.0000000000007816</v>
      </c>
      <c r="M41" s="19">
        <f t="shared" si="2"/>
        <v>-2.0000000000006679</v>
      </c>
      <c r="N41" s="19">
        <f t="shared" si="2"/>
        <v>-1.000000000000334</v>
      </c>
      <c r="O41" s="19">
        <f t="shared" si="6"/>
        <v>-6.0000000000002274</v>
      </c>
      <c r="P41" s="19">
        <f t="shared" si="7"/>
        <v>-3.0000000000001137</v>
      </c>
      <c r="Q41" s="19">
        <f t="shared" si="8"/>
        <v>-1.9999999999997797</v>
      </c>
      <c r="R41" s="19">
        <f t="shared" si="2"/>
        <v>-8.0000000000097771</v>
      </c>
      <c r="S41" s="27">
        <f t="shared" si="5"/>
        <v>0</v>
      </c>
      <c r="T41" s="28">
        <f t="shared" si="5"/>
        <v>0</v>
      </c>
      <c r="U41" s="28">
        <f t="shared" si="5"/>
        <v>0</v>
      </c>
      <c r="V41" s="28">
        <f t="shared" si="5"/>
        <v>-0.99999999999944578</v>
      </c>
      <c r="W41" s="28">
        <f t="shared" si="5"/>
        <v>-0.99999999999944578</v>
      </c>
      <c r="X41" s="29">
        <f t="shared" si="5"/>
        <v>-0.99999999999944578</v>
      </c>
      <c r="Y41" s="24"/>
    </row>
    <row r="42" spans="2:25" ht="15" customHeight="1" x14ac:dyDescent="0.2">
      <c r="B42" s="31">
        <v>41751</v>
      </c>
      <c r="C42" s="64">
        <v>13.042999999999999</v>
      </c>
      <c r="D42" s="65">
        <v>8.3989999999999991</v>
      </c>
      <c r="E42" s="65">
        <v>7.9859999999999998</v>
      </c>
      <c r="F42" s="16">
        <v>13.535</v>
      </c>
      <c r="G42" s="16">
        <v>10.824</v>
      </c>
      <c r="H42" s="16">
        <v>10.672000000000001</v>
      </c>
      <c r="I42" s="57">
        <v>102.523</v>
      </c>
      <c r="J42" s="32">
        <v>534.5</v>
      </c>
      <c r="K42" s="59">
        <f t="shared" si="4"/>
        <v>55.5</v>
      </c>
      <c r="L42" s="19">
        <f t="shared" si="2"/>
        <v>-5.0000000000007816</v>
      </c>
      <c r="M42" s="19">
        <f t="shared" si="2"/>
        <v>-2.0000000000006679</v>
      </c>
      <c r="N42" s="19">
        <f t="shared" si="2"/>
        <v>-1.000000000000334</v>
      </c>
      <c r="O42" s="19">
        <f t="shared" si="6"/>
        <v>-6.0000000000002274</v>
      </c>
      <c r="P42" s="19">
        <f t="shared" si="7"/>
        <v>-3.0000000000001137</v>
      </c>
      <c r="Q42" s="19">
        <f t="shared" si="8"/>
        <v>-1.9999999999997797</v>
      </c>
      <c r="R42" s="19">
        <f t="shared" si="2"/>
        <v>-8.0000000000097771</v>
      </c>
      <c r="S42" s="27">
        <f t="shared" si="5"/>
        <v>0</v>
      </c>
      <c r="T42" s="28">
        <f t="shared" si="5"/>
        <v>0</v>
      </c>
      <c r="U42" s="28">
        <f t="shared" si="5"/>
        <v>0</v>
      </c>
      <c r="V42" s="28">
        <f t="shared" si="5"/>
        <v>0</v>
      </c>
      <c r="W42" s="28">
        <f t="shared" si="5"/>
        <v>0</v>
      </c>
      <c r="X42" s="29">
        <f t="shared" si="5"/>
        <v>0</v>
      </c>
      <c r="Y42" s="24" t="s">
        <v>35</v>
      </c>
    </row>
    <row r="43" spans="2:25" ht="15" customHeight="1" x14ac:dyDescent="0.2">
      <c r="B43" s="31">
        <v>41752</v>
      </c>
      <c r="C43" s="64">
        <v>13.042999999999999</v>
      </c>
      <c r="D43" s="65">
        <v>8.3989999999999991</v>
      </c>
      <c r="E43" s="65">
        <v>7.9859999999999998</v>
      </c>
      <c r="F43" s="16">
        <v>13.536</v>
      </c>
      <c r="G43" s="16">
        <v>10.824999999999999</v>
      </c>
      <c r="H43" s="16">
        <v>10.673</v>
      </c>
      <c r="I43" s="57">
        <v>102.523</v>
      </c>
      <c r="J43" s="32">
        <v>534.5</v>
      </c>
      <c r="K43" s="59">
        <f t="shared" si="4"/>
        <v>55.5</v>
      </c>
      <c r="L43" s="19">
        <f t="shared" si="2"/>
        <v>-5.0000000000007816</v>
      </c>
      <c r="M43" s="19">
        <f t="shared" si="2"/>
        <v>-2.0000000000006679</v>
      </c>
      <c r="N43" s="19">
        <f t="shared" si="2"/>
        <v>-1.000000000000334</v>
      </c>
      <c r="O43" s="19">
        <f t="shared" si="6"/>
        <v>-5.0000000000007816</v>
      </c>
      <c r="P43" s="19">
        <f t="shared" si="7"/>
        <v>-2.0000000000006679</v>
      </c>
      <c r="Q43" s="19">
        <f t="shared" si="8"/>
        <v>-1.000000000000334</v>
      </c>
      <c r="R43" s="19">
        <f t="shared" si="2"/>
        <v>-8.0000000000097771</v>
      </c>
      <c r="S43" s="27">
        <f t="shared" si="5"/>
        <v>0</v>
      </c>
      <c r="T43" s="28">
        <f t="shared" si="5"/>
        <v>0</v>
      </c>
      <c r="U43" s="28">
        <f t="shared" si="5"/>
        <v>0</v>
      </c>
      <c r="V43" s="28">
        <f t="shared" si="5"/>
        <v>0.99999999999944578</v>
      </c>
      <c r="W43" s="28">
        <f t="shared" si="5"/>
        <v>0.99999999999944578</v>
      </c>
      <c r="X43" s="29">
        <f t="shared" si="5"/>
        <v>0.99999999999944578</v>
      </c>
      <c r="Y43" s="24"/>
    </row>
    <row r="44" spans="2:25" ht="15" customHeight="1" x14ac:dyDescent="0.2">
      <c r="B44" s="31">
        <v>41753</v>
      </c>
      <c r="C44" s="64">
        <v>13.042999999999999</v>
      </c>
      <c r="D44" s="65">
        <v>8.3989999999999991</v>
      </c>
      <c r="E44" s="65">
        <v>7.9859999999999998</v>
      </c>
      <c r="F44" s="16">
        <v>13.535</v>
      </c>
      <c r="G44" s="16">
        <v>10.824</v>
      </c>
      <c r="H44" s="16">
        <v>10.672000000000001</v>
      </c>
      <c r="I44" s="57">
        <v>102.523</v>
      </c>
      <c r="J44" s="32">
        <v>534.5</v>
      </c>
      <c r="K44" s="59">
        <f t="shared" si="4"/>
        <v>55.5</v>
      </c>
      <c r="L44" s="19">
        <f t="shared" si="2"/>
        <v>-5.0000000000007816</v>
      </c>
      <c r="M44" s="19">
        <f t="shared" si="2"/>
        <v>-2.0000000000006679</v>
      </c>
      <c r="N44" s="19">
        <f t="shared" si="2"/>
        <v>-1.000000000000334</v>
      </c>
      <c r="O44" s="19">
        <f t="shared" si="6"/>
        <v>-6.0000000000002274</v>
      </c>
      <c r="P44" s="19">
        <f t="shared" si="7"/>
        <v>-3.0000000000001137</v>
      </c>
      <c r="Q44" s="19">
        <f t="shared" si="8"/>
        <v>-1.9999999999997797</v>
      </c>
      <c r="R44" s="19">
        <f t="shared" si="2"/>
        <v>-8.0000000000097771</v>
      </c>
      <c r="S44" s="27">
        <f t="shared" si="5"/>
        <v>0</v>
      </c>
      <c r="T44" s="28">
        <f t="shared" si="5"/>
        <v>0</v>
      </c>
      <c r="U44" s="28">
        <f t="shared" si="5"/>
        <v>0</v>
      </c>
      <c r="V44" s="28">
        <f t="shared" si="5"/>
        <v>-0.99999999999944578</v>
      </c>
      <c r="W44" s="28">
        <f t="shared" si="5"/>
        <v>-0.99999999999944578</v>
      </c>
      <c r="X44" s="29">
        <f t="shared" si="5"/>
        <v>-0.99999999999944578</v>
      </c>
      <c r="Y44" s="24"/>
    </row>
    <row r="45" spans="2:25" ht="15" customHeight="1" x14ac:dyDescent="0.2">
      <c r="B45" s="31">
        <v>41754</v>
      </c>
      <c r="C45" s="64">
        <v>13.042999999999999</v>
      </c>
      <c r="D45" s="65">
        <v>8.3989999999999991</v>
      </c>
      <c r="E45" s="65">
        <v>7.9859999999999998</v>
      </c>
      <c r="F45" s="16">
        <v>13.536</v>
      </c>
      <c r="G45" s="16">
        <v>10.824999999999999</v>
      </c>
      <c r="H45" s="16">
        <v>10.673</v>
      </c>
      <c r="I45" s="57">
        <v>102.523</v>
      </c>
      <c r="J45" s="32">
        <v>534.5</v>
      </c>
      <c r="K45" s="59">
        <f t="shared" si="4"/>
        <v>55.5</v>
      </c>
      <c r="L45" s="19">
        <f t="shared" si="2"/>
        <v>-5.0000000000007816</v>
      </c>
      <c r="M45" s="19">
        <f t="shared" si="2"/>
        <v>-2.0000000000006679</v>
      </c>
      <c r="N45" s="19">
        <f t="shared" si="2"/>
        <v>-1.000000000000334</v>
      </c>
      <c r="O45" s="19">
        <f t="shared" si="6"/>
        <v>-5.0000000000007816</v>
      </c>
      <c r="P45" s="19">
        <f t="shared" si="7"/>
        <v>-2.0000000000006679</v>
      </c>
      <c r="Q45" s="19">
        <f t="shared" si="8"/>
        <v>-1.000000000000334</v>
      </c>
      <c r="R45" s="19">
        <f t="shared" si="2"/>
        <v>-8.0000000000097771</v>
      </c>
      <c r="S45" s="27">
        <f t="shared" si="5"/>
        <v>0</v>
      </c>
      <c r="T45" s="28">
        <f t="shared" si="5"/>
        <v>0</v>
      </c>
      <c r="U45" s="28">
        <f t="shared" si="5"/>
        <v>0</v>
      </c>
      <c r="V45" s="28">
        <f t="shared" si="5"/>
        <v>0.99999999999944578</v>
      </c>
      <c r="W45" s="28">
        <f t="shared" si="5"/>
        <v>0.99999999999944578</v>
      </c>
      <c r="X45" s="29">
        <f t="shared" si="5"/>
        <v>0.99999999999944578</v>
      </c>
      <c r="Y45" s="24"/>
    </row>
    <row r="46" spans="2:25" ht="15" customHeight="1" x14ac:dyDescent="0.2">
      <c r="B46" s="31">
        <v>41757</v>
      </c>
      <c r="C46" s="64">
        <v>13.042999999999999</v>
      </c>
      <c r="D46" s="65">
        <v>8.3989999999999991</v>
      </c>
      <c r="E46" s="65">
        <v>7.9859999999999998</v>
      </c>
      <c r="F46" s="16">
        <v>13.535</v>
      </c>
      <c r="G46" s="16">
        <v>10.824</v>
      </c>
      <c r="H46" s="16">
        <v>10.672000000000001</v>
      </c>
      <c r="I46" s="57">
        <v>102.523</v>
      </c>
      <c r="J46" s="32">
        <v>534.5</v>
      </c>
      <c r="K46" s="59">
        <f t="shared" si="4"/>
        <v>55.5</v>
      </c>
      <c r="L46" s="19">
        <f t="shared" si="2"/>
        <v>-5.0000000000007816</v>
      </c>
      <c r="M46" s="19">
        <f t="shared" si="2"/>
        <v>-2.0000000000006679</v>
      </c>
      <c r="N46" s="19">
        <f t="shared" si="2"/>
        <v>-1.000000000000334</v>
      </c>
      <c r="O46" s="19">
        <f t="shared" si="6"/>
        <v>-6.0000000000002274</v>
      </c>
      <c r="P46" s="19">
        <f t="shared" si="7"/>
        <v>-3.0000000000001137</v>
      </c>
      <c r="Q46" s="19">
        <f t="shared" si="8"/>
        <v>-1.9999999999997797</v>
      </c>
      <c r="R46" s="19">
        <f t="shared" si="2"/>
        <v>-8.0000000000097771</v>
      </c>
      <c r="S46" s="27">
        <f t="shared" si="5"/>
        <v>0</v>
      </c>
      <c r="T46" s="28">
        <f t="shared" si="5"/>
        <v>0</v>
      </c>
      <c r="U46" s="28">
        <f t="shared" si="5"/>
        <v>0</v>
      </c>
      <c r="V46" s="28">
        <f t="shared" si="5"/>
        <v>-0.33333333333314857</v>
      </c>
      <c r="W46" s="28">
        <f t="shared" si="5"/>
        <v>-0.33333333333314857</v>
      </c>
      <c r="X46" s="29">
        <f t="shared" si="5"/>
        <v>-0.33333333333314857</v>
      </c>
      <c r="Y46" s="24"/>
    </row>
    <row r="47" spans="2:25" ht="15" customHeight="1" x14ac:dyDescent="0.2">
      <c r="B47" s="31">
        <v>41758</v>
      </c>
      <c r="C47" s="64">
        <v>13.042999999999999</v>
      </c>
      <c r="D47" s="65">
        <v>8.3989999999999991</v>
      </c>
      <c r="E47" s="65">
        <v>7.9859999999999998</v>
      </c>
      <c r="F47" s="16">
        <v>13.535</v>
      </c>
      <c r="G47" s="16">
        <v>10.823</v>
      </c>
      <c r="H47" s="16">
        <v>10.672000000000001</v>
      </c>
      <c r="I47" s="57">
        <v>102.523</v>
      </c>
      <c r="J47" s="32">
        <v>534.5</v>
      </c>
      <c r="K47" s="59">
        <f t="shared" si="4"/>
        <v>55.5</v>
      </c>
      <c r="L47" s="19">
        <f t="shared" si="2"/>
        <v>-5.0000000000007816</v>
      </c>
      <c r="M47" s="19">
        <f t="shared" si="2"/>
        <v>-2.0000000000006679</v>
      </c>
      <c r="N47" s="19">
        <f t="shared" si="2"/>
        <v>-1.000000000000334</v>
      </c>
      <c r="O47" s="19">
        <f t="shared" si="6"/>
        <v>-6.0000000000002274</v>
      </c>
      <c r="P47" s="19">
        <f t="shared" si="7"/>
        <v>-3.9999999999995595</v>
      </c>
      <c r="Q47" s="19">
        <f t="shared" si="8"/>
        <v>-1.9999999999997797</v>
      </c>
      <c r="R47" s="19">
        <f t="shared" si="2"/>
        <v>-8.0000000000097771</v>
      </c>
      <c r="S47" s="27">
        <f t="shared" si="5"/>
        <v>0</v>
      </c>
      <c r="T47" s="28">
        <f t="shared" si="5"/>
        <v>0</v>
      </c>
      <c r="U47" s="28">
        <f t="shared" si="5"/>
        <v>0</v>
      </c>
      <c r="V47" s="28">
        <f t="shared" si="5"/>
        <v>0</v>
      </c>
      <c r="W47" s="28">
        <f t="shared" si="5"/>
        <v>-0.99999999999944578</v>
      </c>
      <c r="X47" s="29">
        <f t="shared" si="5"/>
        <v>0</v>
      </c>
      <c r="Y47" s="24"/>
    </row>
    <row r="48" spans="2:25" ht="15" customHeight="1" x14ac:dyDescent="0.2">
      <c r="B48" s="31">
        <v>41759</v>
      </c>
      <c r="C48" s="64">
        <v>13.042999999999999</v>
      </c>
      <c r="D48" s="65">
        <v>8.3989999999999991</v>
      </c>
      <c r="E48" s="65">
        <v>7.9859999999999998</v>
      </c>
      <c r="F48" s="16">
        <v>13.535</v>
      </c>
      <c r="G48" s="16">
        <v>10.824</v>
      </c>
      <c r="H48" s="16">
        <v>10.672000000000001</v>
      </c>
      <c r="I48" s="57">
        <v>102.523</v>
      </c>
      <c r="J48" s="32">
        <v>534.5</v>
      </c>
      <c r="K48" s="59">
        <f t="shared" si="4"/>
        <v>55.5</v>
      </c>
      <c r="L48" s="19">
        <f t="shared" si="2"/>
        <v>-5.0000000000007816</v>
      </c>
      <c r="M48" s="19">
        <f t="shared" si="2"/>
        <v>-2.0000000000006679</v>
      </c>
      <c r="N48" s="19">
        <f t="shared" si="2"/>
        <v>-1.000000000000334</v>
      </c>
      <c r="O48" s="19">
        <f t="shared" si="6"/>
        <v>-6.0000000000002274</v>
      </c>
      <c r="P48" s="19">
        <f t="shared" si="7"/>
        <v>-3.0000000000001137</v>
      </c>
      <c r="Q48" s="19">
        <f t="shared" si="8"/>
        <v>-1.9999999999997797</v>
      </c>
      <c r="R48" s="19">
        <f t="shared" si="2"/>
        <v>-8.0000000000097771</v>
      </c>
      <c r="S48" s="27">
        <f t="shared" si="5"/>
        <v>0</v>
      </c>
      <c r="T48" s="28">
        <f t="shared" si="5"/>
        <v>0</v>
      </c>
      <c r="U48" s="28">
        <f t="shared" si="5"/>
        <v>0</v>
      </c>
      <c r="V48" s="28">
        <f t="shared" si="5"/>
        <v>0</v>
      </c>
      <c r="W48" s="28">
        <f t="shared" si="5"/>
        <v>0.99999999999944578</v>
      </c>
      <c r="X48" s="29">
        <f t="shared" si="5"/>
        <v>0</v>
      </c>
      <c r="Y48" s="24"/>
    </row>
    <row r="49" spans="2:25" ht="15" customHeight="1" x14ac:dyDescent="0.2">
      <c r="B49" s="31">
        <v>41781</v>
      </c>
      <c r="C49" s="64">
        <v>13.042999999999999</v>
      </c>
      <c r="D49" s="65">
        <v>8.3989999999999991</v>
      </c>
      <c r="E49" s="65">
        <v>7.9859999999999998</v>
      </c>
      <c r="F49" s="16">
        <v>13.536</v>
      </c>
      <c r="G49" s="16">
        <v>10.821999999999999</v>
      </c>
      <c r="H49" s="16">
        <v>10.672000000000001</v>
      </c>
      <c r="I49" s="57">
        <v>102.523</v>
      </c>
      <c r="J49" s="58">
        <v>792</v>
      </c>
      <c r="K49" s="59">
        <f t="shared" si="4"/>
        <v>313</v>
      </c>
      <c r="L49" s="19">
        <f t="shared" si="2"/>
        <v>-5.0000000000007816</v>
      </c>
      <c r="M49" s="19">
        <f t="shared" si="2"/>
        <v>-2.0000000000006679</v>
      </c>
      <c r="N49" s="19">
        <f t="shared" si="2"/>
        <v>-1.000000000000334</v>
      </c>
      <c r="O49" s="19">
        <f t="shared" si="6"/>
        <v>-5.0000000000007816</v>
      </c>
      <c r="P49" s="19">
        <f t="shared" si="7"/>
        <v>-5.0000000000007816</v>
      </c>
      <c r="Q49" s="19">
        <f t="shared" si="8"/>
        <v>-1.9999999999997797</v>
      </c>
      <c r="R49" s="19">
        <f t="shared" si="2"/>
        <v>-8.0000000000097771</v>
      </c>
      <c r="S49" s="27">
        <f t="shared" ref="S49:X64" si="9">IF(C49="","",((C49-C48)*1000)/($B49-$B48))</f>
        <v>0</v>
      </c>
      <c r="T49" s="28">
        <f t="shared" si="9"/>
        <v>0</v>
      </c>
      <c r="U49" s="28">
        <f t="shared" si="9"/>
        <v>0</v>
      </c>
      <c r="V49" s="28">
        <f t="shared" si="9"/>
        <v>4.5454545454520261E-2</v>
      </c>
      <c r="W49" s="28">
        <f t="shared" si="9"/>
        <v>-9.0909090909121262E-2</v>
      </c>
      <c r="X49" s="29">
        <f t="shared" si="9"/>
        <v>0</v>
      </c>
      <c r="Y49" s="24"/>
    </row>
    <row r="50" spans="2:25" ht="15" customHeight="1" x14ac:dyDescent="0.2">
      <c r="B50" s="31">
        <v>41806</v>
      </c>
      <c r="C50" s="64">
        <v>13.042999999999999</v>
      </c>
      <c r="D50" s="65">
        <v>8.3989999999999991</v>
      </c>
      <c r="E50" s="65">
        <v>7.9859999999999998</v>
      </c>
      <c r="F50" s="16">
        <v>13.536</v>
      </c>
      <c r="G50" s="16">
        <v>10.821</v>
      </c>
      <c r="H50" s="16">
        <v>10.672000000000001</v>
      </c>
      <c r="I50" s="57">
        <v>102.523</v>
      </c>
      <c r="J50" s="58">
        <v>546</v>
      </c>
      <c r="K50" s="59">
        <f t="shared" ref="K50:K62" si="10">IF(ISBLANK(J50),"",(J50-$J$8))</f>
        <v>67</v>
      </c>
      <c r="L50" s="19">
        <f t="shared" si="2"/>
        <v>-5.0000000000007816</v>
      </c>
      <c r="M50" s="19">
        <f t="shared" si="2"/>
        <v>-2.0000000000006679</v>
      </c>
      <c r="N50" s="19">
        <f t="shared" si="2"/>
        <v>-1.000000000000334</v>
      </c>
      <c r="O50" s="19">
        <f t="shared" si="6"/>
        <v>-5.0000000000007816</v>
      </c>
      <c r="P50" s="19">
        <f t="shared" si="7"/>
        <v>-6.0000000000002274</v>
      </c>
      <c r="Q50" s="19">
        <f t="shared" si="8"/>
        <v>-1.9999999999997797</v>
      </c>
      <c r="R50" s="19">
        <f t="shared" si="2"/>
        <v>-8.0000000000097771</v>
      </c>
      <c r="S50" s="27">
        <f t="shared" si="9"/>
        <v>0</v>
      </c>
      <c r="T50" s="28">
        <f t="shared" si="9"/>
        <v>0</v>
      </c>
      <c r="U50" s="28">
        <f t="shared" si="9"/>
        <v>0</v>
      </c>
      <c r="V50" s="28">
        <f t="shared" si="9"/>
        <v>0</v>
      </c>
      <c r="W50" s="28">
        <f t="shared" si="9"/>
        <v>-3.9999999999977831E-2</v>
      </c>
      <c r="X50" s="29">
        <f t="shared" si="9"/>
        <v>0</v>
      </c>
      <c r="Y50" s="24" t="s">
        <v>44</v>
      </c>
    </row>
    <row r="51" spans="2:25" ht="15" customHeight="1" x14ac:dyDescent="0.2">
      <c r="B51" s="31">
        <v>41807</v>
      </c>
      <c r="C51" s="25">
        <v>13.042999999999999</v>
      </c>
      <c r="D51" s="26">
        <v>8.3989999999999991</v>
      </c>
      <c r="E51" s="26">
        <v>7.9859999999999998</v>
      </c>
      <c r="F51" s="16">
        <v>13.536</v>
      </c>
      <c r="G51" s="16">
        <v>10.821</v>
      </c>
      <c r="H51" s="16">
        <v>10.672000000000001</v>
      </c>
      <c r="I51" s="57">
        <v>102.523</v>
      </c>
      <c r="J51" s="58">
        <v>556</v>
      </c>
      <c r="K51" s="59">
        <f t="shared" si="10"/>
        <v>77</v>
      </c>
      <c r="L51" s="19">
        <f t="shared" si="2"/>
        <v>-5.0000000000007816</v>
      </c>
      <c r="M51" s="19">
        <f t="shared" si="2"/>
        <v>-2.0000000000006679</v>
      </c>
      <c r="N51" s="19">
        <f t="shared" si="2"/>
        <v>-1.000000000000334</v>
      </c>
      <c r="O51" s="19">
        <f t="shared" si="6"/>
        <v>-5.0000000000007816</v>
      </c>
      <c r="P51" s="19">
        <f t="shared" si="7"/>
        <v>-6.0000000000002274</v>
      </c>
      <c r="Q51" s="19">
        <f t="shared" si="8"/>
        <v>-1.9999999999997797</v>
      </c>
      <c r="R51" s="19">
        <f t="shared" si="2"/>
        <v>-8.0000000000097771</v>
      </c>
      <c r="S51" s="27">
        <f>IF(C51="","",((C51-C50)*1000)/($B51-$B50))</f>
        <v>0</v>
      </c>
      <c r="T51" s="28">
        <f>IF(D51="","",((D51-D50)*1000)/($B51-$B50))</f>
        <v>0</v>
      </c>
      <c r="U51" s="28">
        <f>IF(E51="","",((E51-E50)*1000)/($B51-$B50))</f>
        <v>0</v>
      </c>
      <c r="V51" s="28">
        <f t="shared" si="9"/>
        <v>0</v>
      </c>
      <c r="W51" s="28">
        <f t="shared" si="9"/>
        <v>0</v>
      </c>
      <c r="X51" s="29">
        <f t="shared" si="9"/>
        <v>0</v>
      </c>
      <c r="Y51" s="24"/>
    </row>
    <row r="52" spans="2:25" ht="15" customHeight="1" x14ac:dyDescent="0.2">
      <c r="B52" s="31">
        <v>41808</v>
      </c>
      <c r="C52" s="25">
        <v>13.042999999999999</v>
      </c>
      <c r="D52" s="26">
        <v>8.3989999999999991</v>
      </c>
      <c r="E52" s="26">
        <v>7.9859999999999998</v>
      </c>
      <c r="F52" s="16">
        <v>13.537000000000001</v>
      </c>
      <c r="G52" s="16">
        <v>10.82</v>
      </c>
      <c r="H52" s="16">
        <v>10.672000000000001</v>
      </c>
      <c r="I52" s="57">
        <v>102.523</v>
      </c>
      <c r="J52" s="58">
        <v>552</v>
      </c>
      <c r="K52" s="59">
        <f t="shared" si="10"/>
        <v>73</v>
      </c>
      <c r="L52" s="19">
        <f t="shared" si="2"/>
        <v>-5.0000000000007816</v>
      </c>
      <c r="M52" s="19">
        <f t="shared" si="2"/>
        <v>-2.0000000000006679</v>
      </c>
      <c r="N52" s="19">
        <f t="shared" si="2"/>
        <v>-1.000000000000334</v>
      </c>
      <c r="O52" s="19">
        <f t="shared" si="6"/>
        <v>-3.9999999999995595</v>
      </c>
      <c r="P52" s="19">
        <f t="shared" si="7"/>
        <v>-6.9999999999996732</v>
      </c>
      <c r="Q52" s="19">
        <f t="shared" si="8"/>
        <v>-1.9999999999997797</v>
      </c>
      <c r="R52" s="19">
        <f t="shared" si="2"/>
        <v>-8.0000000000097771</v>
      </c>
      <c r="S52" s="27">
        <f t="shared" si="9"/>
        <v>0</v>
      </c>
      <c r="T52" s="28">
        <f t="shared" si="9"/>
        <v>0</v>
      </c>
      <c r="U52" s="28">
        <f t="shared" si="9"/>
        <v>0</v>
      </c>
      <c r="V52" s="28">
        <f t="shared" si="9"/>
        <v>1.0000000000012221</v>
      </c>
      <c r="W52" s="28">
        <f t="shared" si="9"/>
        <v>-0.99999999999944578</v>
      </c>
      <c r="X52" s="29">
        <f t="shared" si="9"/>
        <v>0</v>
      </c>
      <c r="Y52" s="24"/>
    </row>
    <row r="53" spans="2:25" ht="15" customHeight="1" x14ac:dyDescent="0.2">
      <c r="B53" s="31">
        <v>41809</v>
      </c>
      <c r="C53" s="25">
        <v>13.042999999999999</v>
      </c>
      <c r="D53" s="26">
        <v>8.3989999999999991</v>
      </c>
      <c r="E53" s="26">
        <v>7.9859999999999998</v>
      </c>
      <c r="F53" s="16">
        <v>13.536</v>
      </c>
      <c r="G53" s="16">
        <v>10.821</v>
      </c>
      <c r="H53" s="16">
        <v>10.672000000000001</v>
      </c>
      <c r="I53" s="57">
        <v>102.523</v>
      </c>
      <c r="J53" s="58">
        <v>559</v>
      </c>
      <c r="K53" s="59">
        <f t="shared" si="10"/>
        <v>80</v>
      </c>
      <c r="L53" s="19">
        <f t="shared" si="2"/>
        <v>-5.0000000000007816</v>
      </c>
      <c r="M53" s="19">
        <f t="shared" si="2"/>
        <v>-2.0000000000006679</v>
      </c>
      <c r="N53" s="19">
        <f t="shared" si="2"/>
        <v>-1.000000000000334</v>
      </c>
      <c r="O53" s="19">
        <f t="shared" si="6"/>
        <v>-5.0000000000007816</v>
      </c>
      <c r="P53" s="19">
        <f t="shared" si="7"/>
        <v>-6.0000000000002274</v>
      </c>
      <c r="Q53" s="19">
        <f t="shared" si="8"/>
        <v>-1.9999999999997797</v>
      </c>
      <c r="R53" s="19">
        <f t="shared" si="2"/>
        <v>-8.0000000000097771</v>
      </c>
      <c r="S53" s="27">
        <f t="shared" si="9"/>
        <v>0</v>
      </c>
      <c r="T53" s="28">
        <f t="shared" si="9"/>
        <v>0</v>
      </c>
      <c r="U53" s="28">
        <f t="shared" si="9"/>
        <v>0</v>
      </c>
      <c r="V53" s="28">
        <f t="shared" si="9"/>
        <v>-1.0000000000012221</v>
      </c>
      <c r="W53" s="28">
        <f t="shared" si="9"/>
        <v>0.99999999999944578</v>
      </c>
      <c r="X53" s="29">
        <f t="shared" si="9"/>
        <v>0</v>
      </c>
      <c r="Y53" s="24"/>
    </row>
    <row r="54" spans="2:25" ht="15" customHeight="1" x14ac:dyDescent="0.2">
      <c r="B54" s="31">
        <v>41810</v>
      </c>
      <c r="C54" s="25">
        <v>13.044</v>
      </c>
      <c r="D54" s="26">
        <v>8.3989999999999991</v>
      </c>
      <c r="E54" s="26">
        <v>7.9859999999999998</v>
      </c>
      <c r="F54" s="16">
        <v>13.536</v>
      </c>
      <c r="G54" s="16">
        <v>10.821</v>
      </c>
      <c r="H54" s="16">
        <v>10.672000000000001</v>
      </c>
      <c r="I54" s="57">
        <v>102.523</v>
      </c>
      <c r="J54" s="58">
        <v>563</v>
      </c>
      <c r="K54" s="59">
        <f t="shared" si="10"/>
        <v>84</v>
      </c>
      <c r="L54" s="19">
        <f t="shared" si="2"/>
        <v>-3.9999999999995595</v>
      </c>
      <c r="M54" s="19">
        <f t="shared" si="2"/>
        <v>-2.0000000000006679</v>
      </c>
      <c r="N54" s="19">
        <f t="shared" si="2"/>
        <v>-1.000000000000334</v>
      </c>
      <c r="O54" s="19">
        <f t="shared" si="6"/>
        <v>-5.0000000000007816</v>
      </c>
      <c r="P54" s="19">
        <f t="shared" si="7"/>
        <v>-6.0000000000002274</v>
      </c>
      <c r="Q54" s="19">
        <f t="shared" si="8"/>
        <v>-1.9999999999997797</v>
      </c>
      <c r="R54" s="19">
        <f t="shared" si="2"/>
        <v>-8.0000000000097771</v>
      </c>
      <c r="S54" s="27">
        <f t="shared" si="9"/>
        <v>1.0000000000012221</v>
      </c>
      <c r="T54" s="28">
        <f t="shared" si="9"/>
        <v>0</v>
      </c>
      <c r="U54" s="28">
        <f t="shared" si="9"/>
        <v>0</v>
      </c>
      <c r="V54" s="28">
        <f t="shared" si="9"/>
        <v>0</v>
      </c>
      <c r="W54" s="28">
        <f t="shared" si="9"/>
        <v>0</v>
      </c>
      <c r="X54" s="29">
        <f t="shared" si="9"/>
        <v>0</v>
      </c>
      <c r="Y54" s="24"/>
    </row>
    <row r="55" spans="2:25" ht="15" customHeight="1" x14ac:dyDescent="0.2">
      <c r="B55" s="31">
        <v>41813</v>
      </c>
      <c r="C55" s="25">
        <v>13.044</v>
      </c>
      <c r="D55" s="26">
        <v>8.4</v>
      </c>
      <c r="E55" s="26">
        <v>7.9859999999999998</v>
      </c>
      <c r="F55" s="16">
        <v>13.537000000000001</v>
      </c>
      <c r="G55" s="16">
        <v>10.821</v>
      </c>
      <c r="H55" s="16">
        <v>10.672000000000001</v>
      </c>
      <c r="I55" s="57">
        <v>102.524</v>
      </c>
      <c r="J55" s="58">
        <v>574</v>
      </c>
      <c r="K55" s="59">
        <f t="shared" si="10"/>
        <v>95</v>
      </c>
      <c r="L55" s="19">
        <f t="shared" si="2"/>
        <v>-3.9999999999995595</v>
      </c>
      <c r="M55" s="19">
        <f t="shared" si="2"/>
        <v>-0.99999999999944578</v>
      </c>
      <c r="N55" s="19">
        <f t="shared" si="2"/>
        <v>-1.000000000000334</v>
      </c>
      <c r="O55" s="19">
        <f t="shared" si="6"/>
        <v>-3.9999999999995595</v>
      </c>
      <c r="P55" s="19">
        <f t="shared" si="7"/>
        <v>-6.0000000000002274</v>
      </c>
      <c r="Q55" s="19">
        <f t="shared" si="8"/>
        <v>-1.9999999999997797</v>
      </c>
      <c r="R55" s="19">
        <f t="shared" si="2"/>
        <v>-7.0000000000050022</v>
      </c>
      <c r="S55" s="27">
        <f t="shared" si="9"/>
        <v>0</v>
      </c>
      <c r="T55" s="28">
        <f t="shared" si="9"/>
        <v>0.33333333333374071</v>
      </c>
      <c r="U55" s="28">
        <f t="shared" si="9"/>
        <v>0</v>
      </c>
      <c r="V55" s="28">
        <f t="shared" si="9"/>
        <v>0.33333333333374071</v>
      </c>
      <c r="W55" s="28">
        <f t="shared" si="9"/>
        <v>0</v>
      </c>
      <c r="X55" s="29">
        <f t="shared" si="9"/>
        <v>0</v>
      </c>
      <c r="Y55" s="24"/>
    </row>
    <row r="56" spans="2:25" ht="15" customHeight="1" x14ac:dyDescent="0.2">
      <c r="B56" s="31">
        <v>41814</v>
      </c>
      <c r="C56" s="25">
        <v>13.042999999999999</v>
      </c>
      <c r="D56" s="26">
        <v>8.3989999999999991</v>
      </c>
      <c r="E56" s="26">
        <v>7.9850000000000003</v>
      </c>
      <c r="F56" s="16">
        <v>13.536</v>
      </c>
      <c r="G56" s="16">
        <v>10.82</v>
      </c>
      <c r="H56" s="16">
        <v>10.670999999999999</v>
      </c>
      <c r="I56" s="57">
        <v>102.523</v>
      </c>
      <c r="J56" s="58">
        <v>603</v>
      </c>
      <c r="K56" s="59">
        <f t="shared" si="10"/>
        <v>124</v>
      </c>
      <c r="L56" s="19">
        <f t="shared" si="2"/>
        <v>-5.0000000000007816</v>
      </c>
      <c r="M56" s="19">
        <f t="shared" si="2"/>
        <v>-2.0000000000006679</v>
      </c>
      <c r="N56" s="19">
        <f t="shared" si="2"/>
        <v>-1.9999999999997797</v>
      </c>
      <c r="O56" s="19">
        <f t="shared" si="6"/>
        <v>-5.0000000000007816</v>
      </c>
      <c r="P56" s="19">
        <f t="shared" si="7"/>
        <v>-6.9999999999996732</v>
      </c>
      <c r="Q56" s="19">
        <f t="shared" si="8"/>
        <v>-3.0000000000010019</v>
      </c>
      <c r="R56" s="19">
        <f t="shared" si="2"/>
        <v>-8.0000000000097771</v>
      </c>
      <c r="S56" s="27">
        <f t="shared" si="9"/>
        <v>-1.0000000000012221</v>
      </c>
      <c r="T56" s="28">
        <f t="shared" si="9"/>
        <v>-1.0000000000012221</v>
      </c>
      <c r="U56" s="28">
        <f t="shared" si="9"/>
        <v>-0.99999999999944578</v>
      </c>
      <c r="V56" s="28">
        <f t="shared" si="9"/>
        <v>-1.0000000000012221</v>
      </c>
      <c r="W56" s="28">
        <f t="shared" si="9"/>
        <v>-0.99999999999944578</v>
      </c>
      <c r="X56" s="29">
        <f t="shared" si="9"/>
        <v>-1.0000000000012221</v>
      </c>
      <c r="Y56" s="24"/>
    </row>
    <row r="57" spans="2:25" ht="15" customHeight="1" x14ac:dyDescent="0.2">
      <c r="B57" s="31">
        <v>41821</v>
      </c>
      <c r="C57" s="25">
        <v>13.042999999999999</v>
      </c>
      <c r="D57" s="26">
        <v>8.3989999999999991</v>
      </c>
      <c r="E57" s="26">
        <v>7.9850000000000003</v>
      </c>
      <c r="F57" s="16">
        <v>13.536</v>
      </c>
      <c r="G57" s="16">
        <v>10.82</v>
      </c>
      <c r="H57" s="16">
        <v>10.670999999999999</v>
      </c>
      <c r="I57" s="57">
        <v>102.523</v>
      </c>
      <c r="J57" s="58">
        <v>671</v>
      </c>
      <c r="K57" s="59">
        <f t="shared" si="10"/>
        <v>192</v>
      </c>
      <c r="L57" s="19">
        <f t="shared" si="2"/>
        <v>-5.0000000000007816</v>
      </c>
      <c r="M57" s="19">
        <f t="shared" si="2"/>
        <v>-2.0000000000006679</v>
      </c>
      <c r="N57" s="19">
        <f t="shared" si="2"/>
        <v>-1.9999999999997797</v>
      </c>
      <c r="O57" s="19">
        <f t="shared" si="6"/>
        <v>-5.0000000000007816</v>
      </c>
      <c r="P57" s="19">
        <f t="shared" si="7"/>
        <v>-6.9999999999996732</v>
      </c>
      <c r="Q57" s="19">
        <f t="shared" si="8"/>
        <v>-3.0000000000010019</v>
      </c>
      <c r="R57" s="19">
        <f t="shared" si="2"/>
        <v>-8.0000000000097771</v>
      </c>
      <c r="S57" s="27">
        <f t="shared" si="9"/>
        <v>0</v>
      </c>
      <c r="T57" s="28">
        <f t="shared" si="9"/>
        <v>0</v>
      </c>
      <c r="U57" s="28">
        <f t="shared" si="9"/>
        <v>0</v>
      </c>
      <c r="V57" s="28">
        <f t="shared" si="9"/>
        <v>0</v>
      </c>
      <c r="W57" s="28">
        <f t="shared" si="9"/>
        <v>0</v>
      </c>
      <c r="X57" s="29">
        <f t="shared" si="9"/>
        <v>0</v>
      </c>
      <c r="Y57" s="24"/>
    </row>
    <row r="58" spans="2:25" ht="15" customHeight="1" x14ac:dyDescent="0.2">
      <c r="B58" s="31">
        <v>41828</v>
      </c>
      <c r="C58" s="25">
        <v>13.042</v>
      </c>
      <c r="D58" s="26">
        <v>8.3989999999999991</v>
      </c>
      <c r="E58" s="26">
        <v>7.9850000000000003</v>
      </c>
      <c r="F58" s="16">
        <v>13.535</v>
      </c>
      <c r="G58" s="16">
        <v>10.821</v>
      </c>
      <c r="H58" s="16">
        <v>10.670999999999999</v>
      </c>
      <c r="I58" s="57">
        <v>102.523</v>
      </c>
      <c r="J58" s="58">
        <v>775</v>
      </c>
      <c r="K58" s="59">
        <f t="shared" si="10"/>
        <v>296</v>
      </c>
      <c r="L58" s="19">
        <f t="shared" si="2"/>
        <v>-6.0000000000002274</v>
      </c>
      <c r="M58" s="19">
        <f t="shared" si="2"/>
        <v>-2.0000000000006679</v>
      </c>
      <c r="N58" s="19">
        <f t="shared" si="2"/>
        <v>-1.9999999999997797</v>
      </c>
      <c r="O58" s="19">
        <f t="shared" si="6"/>
        <v>-6.0000000000002274</v>
      </c>
      <c r="P58" s="19">
        <f t="shared" si="7"/>
        <v>-6.0000000000002274</v>
      </c>
      <c r="Q58" s="19">
        <f t="shared" si="8"/>
        <v>-3.0000000000010019</v>
      </c>
      <c r="R58" s="19">
        <f t="shared" si="2"/>
        <v>-8.0000000000097771</v>
      </c>
      <c r="S58" s="27">
        <f t="shared" si="9"/>
        <v>-0.14285714285706369</v>
      </c>
      <c r="T58" s="28">
        <f t="shared" si="9"/>
        <v>0</v>
      </c>
      <c r="U58" s="28">
        <f t="shared" si="9"/>
        <v>0</v>
      </c>
      <c r="V58" s="28">
        <f t="shared" si="9"/>
        <v>-0.14285714285706369</v>
      </c>
      <c r="W58" s="28">
        <f t="shared" si="9"/>
        <v>0.14285714285706369</v>
      </c>
      <c r="X58" s="29">
        <f t="shared" si="9"/>
        <v>0</v>
      </c>
      <c r="Y58" s="24"/>
    </row>
    <row r="59" spans="2:25" ht="15" customHeight="1" x14ac:dyDescent="0.2">
      <c r="B59" s="31">
        <v>41835</v>
      </c>
      <c r="C59" s="25">
        <v>13.042</v>
      </c>
      <c r="D59" s="26">
        <v>8.3989999999999991</v>
      </c>
      <c r="E59" s="26">
        <v>7.9850000000000003</v>
      </c>
      <c r="F59" s="16">
        <v>13.536</v>
      </c>
      <c r="G59" s="16">
        <v>10.82</v>
      </c>
      <c r="H59" s="16">
        <v>10.67</v>
      </c>
      <c r="I59" s="57">
        <v>102.523</v>
      </c>
      <c r="J59" s="58">
        <v>857</v>
      </c>
      <c r="K59" s="59">
        <f t="shared" si="10"/>
        <v>378</v>
      </c>
      <c r="L59" s="19">
        <f t="shared" si="2"/>
        <v>-6.0000000000002274</v>
      </c>
      <c r="M59" s="19">
        <f t="shared" si="2"/>
        <v>-2.0000000000006679</v>
      </c>
      <c r="N59" s="19">
        <f t="shared" si="2"/>
        <v>-1.9999999999997797</v>
      </c>
      <c r="O59" s="19">
        <f t="shared" si="6"/>
        <v>-5.0000000000007816</v>
      </c>
      <c r="P59" s="19">
        <f t="shared" si="7"/>
        <v>-6.9999999999996732</v>
      </c>
      <c r="Q59" s="19">
        <f t="shared" si="8"/>
        <v>-4.0000000000004476</v>
      </c>
      <c r="R59" s="19">
        <f t="shared" si="2"/>
        <v>-8.0000000000097771</v>
      </c>
      <c r="S59" s="27">
        <f t="shared" si="9"/>
        <v>0</v>
      </c>
      <c r="T59" s="28">
        <f t="shared" si="9"/>
        <v>0</v>
      </c>
      <c r="U59" s="28">
        <f t="shared" si="9"/>
        <v>0</v>
      </c>
      <c r="V59" s="28">
        <f t="shared" si="9"/>
        <v>0.14285714285706369</v>
      </c>
      <c r="W59" s="28">
        <f t="shared" si="9"/>
        <v>-0.14285714285706369</v>
      </c>
      <c r="X59" s="29">
        <f t="shared" si="9"/>
        <v>-0.14285714285706369</v>
      </c>
      <c r="Y59" s="24"/>
    </row>
    <row r="60" spans="2:25" ht="15" customHeight="1" x14ac:dyDescent="0.2">
      <c r="B60" s="31">
        <v>41836</v>
      </c>
      <c r="C60" s="25">
        <v>13.042</v>
      </c>
      <c r="D60" s="26">
        <v>8.3989999999999991</v>
      </c>
      <c r="E60" s="26">
        <v>7.9850000000000003</v>
      </c>
      <c r="F60" s="16">
        <v>13.536</v>
      </c>
      <c r="G60" s="16">
        <v>10.82</v>
      </c>
      <c r="H60" s="16">
        <v>10.67</v>
      </c>
      <c r="I60" s="57">
        <v>102.523</v>
      </c>
      <c r="J60" s="58">
        <v>857</v>
      </c>
      <c r="K60" s="59">
        <f t="shared" si="10"/>
        <v>378</v>
      </c>
      <c r="L60" s="19"/>
      <c r="M60" s="19"/>
      <c r="N60" s="19"/>
      <c r="O60" s="19">
        <f t="shared" si="6"/>
        <v>-5.0000000000007816</v>
      </c>
      <c r="P60" s="19">
        <f t="shared" si="7"/>
        <v>-6.9999999999996732</v>
      </c>
      <c r="Q60" s="19">
        <f t="shared" si="8"/>
        <v>-4.0000000000004476</v>
      </c>
      <c r="R60" s="19">
        <f t="shared" si="2"/>
        <v>-8.0000000000097771</v>
      </c>
      <c r="S60" s="27">
        <f t="shared" si="9"/>
        <v>0</v>
      </c>
      <c r="T60" s="28">
        <f t="shared" si="9"/>
        <v>0</v>
      </c>
      <c r="U60" s="28">
        <f t="shared" si="9"/>
        <v>0</v>
      </c>
      <c r="V60" s="28">
        <f t="shared" si="9"/>
        <v>0</v>
      </c>
      <c r="W60" s="28">
        <f t="shared" si="9"/>
        <v>0</v>
      </c>
      <c r="X60" s="29">
        <f t="shared" si="9"/>
        <v>0</v>
      </c>
      <c r="Y60" s="24"/>
    </row>
    <row r="61" spans="2:25" ht="15" customHeight="1" x14ac:dyDescent="0.2">
      <c r="B61" s="31">
        <v>41843</v>
      </c>
      <c r="C61" s="25"/>
      <c r="D61" s="26"/>
      <c r="E61" s="26"/>
      <c r="F61" s="16">
        <v>13.535</v>
      </c>
      <c r="G61" s="16">
        <v>10.82</v>
      </c>
      <c r="H61" s="16">
        <v>10.670999999999999</v>
      </c>
      <c r="I61" s="57">
        <v>102.523</v>
      </c>
      <c r="J61" s="58">
        <v>943</v>
      </c>
      <c r="K61" s="59">
        <f t="shared" si="10"/>
        <v>464</v>
      </c>
      <c r="L61" s="19"/>
      <c r="M61" s="19"/>
      <c r="N61" s="19"/>
      <c r="O61" s="19">
        <f t="shared" si="6"/>
        <v>-6.0000000000002274</v>
      </c>
      <c r="P61" s="19">
        <f t="shared" si="7"/>
        <v>-6.9999999999996732</v>
      </c>
      <c r="Q61" s="19">
        <f t="shared" si="8"/>
        <v>-3.0000000000010019</v>
      </c>
      <c r="R61" s="19">
        <f t="shared" si="2"/>
        <v>-8.0000000000097771</v>
      </c>
      <c r="S61" s="27" t="str">
        <f t="shared" si="9"/>
        <v/>
      </c>
      <c r="T61" s="28" t="str">
        <f t="shared" si="9"/>
        <v/>
      </c>
      <c r="U61" s="28" t="str">
        <f t="shared" si="9"/>
        <v/>
      </c>
      <c r="V61" s="28">
        <f t="shared" si="9"/>
        <v>-0.14285714285706369</v>
      </c>
      <c r="W61" s="28">
        <f t="shared" si="9"/>
        <v>0</v>
      </c>
      <c r="X61" s="29">
        <f t="shared" si="9"/>
        <v>0.14285714285706369</v>
      </c>
      <c r="Y61" s="24"/>
    </row>
    <row r="62" spans="2:25" ht="15" customHeight="1" x14ac:dyDescent="0.2">
      <c r="B62" s="31">
        <v>41933</v>
      </c>
      <c r="C62" s="25"/>
      <c r="D62" s="26"/>
      <c r="E62" s="26"/>
      <c r="F62" s="16">
        <v>13.536</v>
      </c>
      <c r="G62" s="16">
        <v>10.819000000000001</v>
      </c>
      <c r="H62" s="16">
        <v>10.670999999999999</v>
      </c>
      <c r="I62" s="57">
        <v>102.523</v>
      </c>
      <c r="J62" s="58">
        <v>943</v>
      </c>
      <c r="K62" s="59">
        <f t="shared" si="10"/>
        <v>464</v>
      </c>
      <c r="L62" s="19"/>
      <c r="M62" s="19"/>
      <c r="N62" s="19"/>
      <c r="O62" s="19">
        <f t="shared" si="6"/>
        <v>-5.0000000000007816</v>
      </c>
      <c r="P62" s="19">
        <f t="shared" si="7"/>
        <v>-7.9999999999991189</v>
      </c>
      <c r="Q62" s="19">
        <f t="shared" si="8"/>
        <v>-3.0000000000010019</v>
      </c>
      <c r="R62" s="19">
        <f t="shared" ref="R62:R93" si="11">IF(ISBLANK(I62),"",(I62-I$16)*1000)</f>
        <v>-8.0000000000097771</v>
      </c>
      <c r="S62" s="27"/>
      <c r="T62" s="28"/>
      <c r="U62" s="28"/>
      <c r="V62" s="28">
        <f t="shared" si="9"/>
        <v>1.1111111111104953E-2</v>
      </c>
      <c r="W62" s="28">
        <f t="shared" si="9"/>
        <v>-1.1111111111104953E-2</v>
      </c>
      <c r="X62" s="29">
        <f t="shared" si="9"/>
        <v>0</v>
      </c>
      <c r="Y62" s="24"/>
    </row>
    <row r="63" spans="2:25" ht="15" customHeight="1" x14ac:dyDescent="0.2">
      <c r="B63" s="31">
        <v>42025</v>
      </c>
      <c r="C63" s="25">
        <v>13.042999999999999</v>
      </c>
      <c r="D63" s="26">
        <v>8.3989999999999991</v>
      </c>
      <c r="E63" s="26">
        <v>7.9850000000000003</v>
      </c>
      <c r="F63" s="16">
        <v>13.536</v>
      </c>
      <c r="G63" s="16">
        <v>10.82</v>
      </c>
      <c r="H63" s="16">
        <v>10.670999999999999</v>
      </c>
      <c r="I63" s="57">
        <v>102.523</v>
      </c>
      <c r="J63" s="58">
        <v>943</v>
      </c>
      <c r="K63" s="59">
        <f>IF(ISBLANK(J63),"",(J63-$J$8))</f>
        <v>464</v>
      </c>
      <c r="L63" s="19"/>
      <c r="M63" s="19"/>
      <c r="N63" s="19"/>
      <c r="O63" s="19">
        <f t="shared" si="6"/>
        <v>-5.0000000000007816</v>
      </c>
      <c r="P63" s="19">
        <f t="shared" si="7"/>
        <v>-6.9999999999996732</v>
      </c>
      <c r="Q63" s="19">
        <f t="shared" si="8"/>
        <v>-3.0000000000010019</v>
      </c>
      <c r="R63" s="19">
        <f t="shared" si="11"/>
        <v>-8.0000000000097771</v>
      </c>
      <c r="S63" s="27"/>
      <c r="T63" s="28"/>
      <c r="U63" s="28"/>
      <c r="V63" s="28">
        <f t="shared" si="9"/>
        <v>0</v>
      </c>
      <c r="W63" s="28">
        <f t="shared" si="9"/>
        <v>1.0869565217385279E-2</v>
      </c>
      <c r="X63" s="29">
        <f t="shared" si="9"/>
        <v>0</v>
      </c>
      <c r="Y63" s="24"/>
    </row>
    <row r="64" spans="2:25" ht="15" customHeight="1" x14ac:dyDescent="0.2">
      <c r="B64" s="31">
        <v>42109</v>
      </c>
      <c r="C64" s="25"/>
      <c r="D64" s="26"/>
      <c r="E64" s="26"/>
      <c r="F64" s="16">
        <v>13.536</v>
      </c>
      <c r="G64" s="16">
        <v>10.82</v>
      </c>
      <c r="H64" s="16">
        <v>10.670999999999999</v>
      </c>
      <c r="I64" s="57">
        <v>102.523</v>
      </c>
      <c r="J64" s="58">
        <v>943</v>
      </c>
      <c r="K64" s="18">
        <f>IF(ISBLANK(J64),"",(J64-$J$8))</f>
        <v>464</v>
      </c>
      <c r="L64" s="19"/>
      <c r="M64" s="19"/>
      <c r="N64" s="19"/>
      <c r="O64" s="19">
        <f t="shared" si="6"/>
        <v>-5.0000000000007816</v>
      </c>
      <c r="P64" s="19">
        <f t="shared" si="7"/>
        <v>-6.9999999999996732</v>
      </c>
      <c r="Q64" s="19">
        <f t="shared" si="8"/>
        <v>-3.0000000000010019</v>
      </c>
      <c r="R64" s="19">
        <f t="shared" si="11"/>
        <v>-8.0000000000097771</v>
      </c>
      <c r="S64" s="27"/>
      <c r="T64" s="28"/>
      <c r="U64" s="28"/>
      <c r="V64" s="28">
        <f t="shared" si="9"/>
        <v>0</v>
      </c>
      <c r="W64" s="28">
        <f t="shared" si="9"/>
        <v>0</v>
      </c>
      <c r="X64" s="29">
        <f t="shared" si="9"/>
        <v>0</v>
      </c>
      <c r="Y64" s="24"/>
    </row>
    <row r="65" spans="2:25" ht="15" customHeight="1" x14ac:dyDescent="0.2">
      <c r="B65" s="31">
        <v>42222</v>
      </c>
      <c r="C65" s="33"/>
      <c r="D65" s="16"/>
      <c r="E65" s="16"/>
      <c r="F65" s="16">
        <v>13.538</v>
      </c>
      <c r="G65" s="16">
        <v>10.819000000000001</v>
      </c>
      <c r="H65" s="16">
        <v>10.672000000000001</v>
      </c>
      <c r="I65" s="16">
        <v>102.52200000000001</v>
      </c>
      <c r="J65" s="32">
        <v>1278</v>
      </c>
      <c r="K65" s="18">
        <f>IF(ISBLANK(J65),"",(J65-$J$8))</f>
        <v>799</v>
      </c>
      <c r="L65" s="19"/>
      <c r="M65" s="19"/>
      <c r="N65" s="19"/>
      <c r="O65" s="19">
        <f t="shared" si="6"/>
        <v>-3.0000000000001137</v>
      </c>
      <c r="P65" s="19">
        <f t="shared" si="7"/>
        <v>-7.9999999999991189</v>
      </c>
      <c r="Q65" s="19">
        <f t="shared" si="8"/>
        <v>-1.9999999999997797</v>
      </c>
      <c r="R65" s="19">
        <f t="shared" si="11"/>
        <v>-9.0000000000003411</v>
      </c>
      <c r="S65" s="27"/>
      <c r="T65" s="28"/>
      <c r="U65" s="28"/>
      <c r="V65" s="28">
        <f t="shared" ref="S65:X80" si="12">IF(F65="","",((F65-F64)*1000)/($B65-$B64))</f>
        <v>1.7699115044253699E-2</v>
      </c>
      <c r="W65" s="28">
        <f t="shared" si="12"/>
        <v>-8.8495575221189896E-3</v>
      </c>
      <c r="X65" s="29">
        <f t="shared" si="12"/>
        <v>8.8495575221347097E-3</v>
      </c>
      <c r="Y65" s="24"/>
    </row>
    <row r="66" spans="2:25" ht="15" customHeight="1" x14ac:dyDescent="0.2">
      <c r="B66" s="31">
        <v>42326</v>
      </c>
      <c r="C66" s="25"/>
      <c r="D66" s="26"/>
      <c r="E66" s="26"/>
      <c r="F66" s="16">
        <v>13.536</v>
      </c>
      <c r="G66" s="16">
        <v>10.819000000000001</v>
      </c>
      <c r="H66" s="16">
        <v>10.67</v>
      </c>
      <c r="I66" s="16">
        <v>102.52</v>
      </c>
      <c r="J66" s="32">
        <v>2248</v>
      </c>
      <c r="K66" s="18">
        <f t="shared" ref="K66:K68" si="13">IF(ISBLANK(J66),"",(J66-$J$8))</f>
        <v>1769</v>
      </c>
      <c r="L66" s="19"/>
      <c r="M66" s="19"/>
      <c r="N66" s="19"/>
      <c r="O66" s="19">
        <f t="shared" si="6"/>
        <v>-5.0000000000007816</v>
      </c>
      <c r="P66" s="19">
        <f t="shared" si="7"/>
        <v>-7.9999999999991189</v>
      </c>
      <c r="Q66" s="19">
        <f t="shared" si="8"/>
        <v>-4.0000000000004476</v>
      </c>
      <c r="R66" s="19">
        <f t="shared" si="11"/>
        <v>-11.000000000009891</v>
      </c>
      <c r="S66" s="27"/>
      <c r="T66" s="28"/>
      <c r="U66" s="28"/>
      <c r="V66" s="28">
        <f t="shared" si="12"/>
        <v>-1.9230769230775654E-2</v>
      </c>
      <c r="W66" s="28">
        <f t="shared" si="12"/>
        <v>0</v>
      </c>
      <c r="X66" s="29">
        <f t="shared" si="12"/>
        <v>-1.9230769230775654E-2</v>
      </c>
      <c r="Y66" s="24"/>
    </row>
    <row r="67" spans="2:25" ht="15" customHeight="1" x14ac:dyDescent="0.2">
      <c r="B67" s="31">
        <v>42416</v>
      </c>
      <c r="C67" s="25">
        <v>13.042999999999999</v>
      </c>
      <c r="D67" s="26">
        <v>8.3989999999999991</v>
      </c>
      <c r="E67" s="26">
        <v>7.9859999999999998</v>
      </c>
      <c r="F67" s="16">
        <v>13.536</v>
      </c>
      <c r="G67" s="16">
        <v>10.818</v>
      </c>
      <c r="H67" s="16">
        <v>10.669</v>
      </c>
      <c r="I67" s="16">
        <v>102.52</v>
      </c>
      <c r="J67" s="58">
        <v>2519</v>
      </c>
      <c r="K67" s="18">
        <f t="shared" si="13"/>
        <v>2040</v>
      </c>
      <c r="L67" s="19"/>
      <c r="M67" s="19"/>
      <c r="N67" s="19"/>
      <c r="O67" s="19">
        <f t="shared" si="6"/>
        <v>-5.0000000000007816</v>
      </c>
      <c r="P67" s="19">
        <f t="shared" si="7"/>
        <v>-9.0000000000003411</v>
      </c>
      <c r="Q67" s="19">
        <f t="shared" si="8"/>
        <v>-4.9999999999998934</v>
      </c>
      <c r="R67" s="19">
        <f t="shared" si="11"/>
        <v>-11.000000000009891</v>
      </c>
      <c r="S67" s="27"/>
      <c r="T67" s="28"/>
      <c r="U67" s="28"/>
      <c r="V67" s="28">
        <f t="shared" si="12"/>
        <v>0</v>
      </c>
      <c r="W67" s="28">
        <f t="shared" si="12"/>
        <v>-1.1111111111124691E-2</v>
      </c>
      <c r="X67" s="29">
        <f t="shared" si="12"/>
        <v>-1.1111111111104953E-2</v>
      </c>
      <c r="Y67" s="24"/>
    </row>
    <row r="68" spans="2:25" ht="15" customHeight="1" x14ac:dyDescent="0.2">
      <c r="B68" s="31">
        <v>42529</v>
      </c>
      <c r="C68" s="25"/>
      <c r="D68" s="26"/>
      <c r="E68" s="26"/>
      <c r="F68" s="16">
        <v>13.534000000000001</v>
      </c>
      <c r="G68" s="16">
        <v>10.817</v>
      </c>
      <c r="H68" s="16">
        <v>10.67</v>
      </c>
      <c r="I68" s="16">
        <v>102.52</v>
      </c>
      <c r="J68" s="58">
        <v>2603</v>
      </c>
      <c r="K68" s="18">
        <f t="shared" si="13"/>
        <v>2124</v>
      </c>
      <c r="L68" s="19"/>
      <c r="M68" s="19"/>
      <c r="N68" s="19"/>
      <c r="O68" s="19">
        <f t="shared" si="6"/>
        <v>-6.9999999999996732</v>
      </c>
      <c r="P68" s="19">
        <f t="shared" si="7"/>
        <v>-9.9999999999997868</v>
      </c>
      <c r="Q68" s="19">
        <f t="shared" si="8"/>
        <v>-4.0000000000004476</v>
      </c>
      <c r="R68" s="19">
        <f t="shared" si="11"/>
        <v>-11.000000000009891</v>
      </c>
      <c r="S68" s="27" t="str">
        <f t="shared" si="12"/>
        <v/>
      </c>
      <c r="T68" s="28" t="str">
        <f t="shared" si="12"/>
        <v/>
      </c>
      <c r="U68" s="28" t="str">
        <f t="shared" si="12"/>
        <v/>
      </c>
      <c r="V68" s="28">
        <f t="shared" si="12"/>
        <v>-1.7699115044237979E-2</v>
      </c>
      <c r="W68" s="28">
        <f t="shared" si="12"/>
        <v>-8.8495575221189896E-3</v>
      </c>
      <c r="X68" s="29">
        <f t="shared" si="12"/>
        <v>8.8495575221189896E-3</v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ref="L69:L94" si="14">IF(ISBLANK(C69),"",(C69-C$16)*1000)</f>
        <v/>
      </c>
      <c r="M69" s="19" t="str">
        <f t="shared" ref="M69:M94" si="15">IF(ISBLANK(D69),"",(D69-D$16)*1000)</f>
        <v/>
      </c>
      <c r="N69" s="19" t="str">
        <f t="shared" ref="N69:N94" si="16">IF(ISBLANK(E69),"",(E69-E$16)*1000)</f>
        <v/>
      </c>
      <c r="O69" s="19" t="str">
        <f t="shared" si="6"/>
        <v/>
      </c>
      <c r="P69" s="19" t="str">
        <f t="shared" si="7"/>
        <v/>
      </c>
      <c r="Q69" s="19" t="str">
        <f t="shared" si="8"/>
        <v/>
      </c>
      <c r="R69" s="19" t="str">
        <f t="shared" si="11"/>
        <v/>
      </c>
      <c r="S69" s="27" t="str">
        <f t="shared" si="12"/>
        <v/>
      </c>
      <c r="T69" s="28" t="str">
        <f t="shared" si="12"/>
        <v/>
      </c>
      <c r="U69" s="28" t="str">
        <f t="shared" si="12"/>
        <v/>
      </c>
      <c r="V69" s="28" t="str">
        <f t="shared" si="12"/>
        <v/>
      </c>
      <c r="W69" s="28" t="str">
        <f t="shared" si="12"/>
        <v/>
      </c>
      <c r="X69" s="29" t="str">
        <f t="shared" si="12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4"/>
        <v/>
      </c>
      <c r="M70" s="19" t="str">
        <f t="shared" si="15"/>
        <v/>
      </c>
      <c r="N70" s="19" t="str">
        <f t="shared" si="16"/>
        <v/>
      </c>
      <c r="O70" s="19" t="str">
        <f t="shared" si="6"/>
        <v/>
      </c>
      <c r="P70" s="19" t="str">
        <f t="shared" si="7"/>
        <v/>
      </c>
      <c r="Q70" s="19" t="str">
        <f t="shared" si="8"/>
        <v/>
      </c>
      <c r="R70" s="19" t="str">
        <f t="shared" si="11"/>
        <v/>
      </c>
      <c r="S70" s="27" t="str">
        <f t="shared" si="12"/>
        <v/>
      </c>
      <c r="T70" s="28" t="str">
        <f t="shared" si="12"/>
        <v/>
      </c>
      <c r="U70" s="28" t="str">
        <f t="shared" si="12"/>
        <v/>
      </c>
      <c r="V70" s="28" t="str">
        <f t="shared" si="12"/>
        <v/>
      </c>
      <c r="W70" s="28" t="str">
        <f t="shared" si="12"/>
        <v/>
      </c>
      <c r="X70" s="29" t="str">
        <f t="shared" si="12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4"/>
        <v/>
      </c>
      <c r="M71" s="19" t="str">
        <f t="shared" si="15"/>
        <v/>
      </c>
      <c r="N71" s="19" t="str">
        <f t="shared" si="16"/>
        <v/>
      </c>
      <c r="O71" s="19" t="str">
        <f t="shared" si="6"/>
        <v/>
      </c>
      <c r="P71" s="19" t="str">
        <f t="shared" si="7"/>
        <v/>
      </c>
      <c r="Q71" s="19" t="str">
        <f t="shared" si="8"/>
        <v/>
      </c>
      <c r="R71" s="19" t="str">
        <f t="shared" si="11"/>
        <v/>
      </c>
      <c r="S71" s="27" t="str">
        <f t="shared" si="12"/>
        <v/>
      </c>
      <c r="T71" s="28" t="str">
        <f t="shared" si="12"/>
        <v/>
      </c>
      <c r="U71" s="28" t="str">
        <f t="shared" si="12"/>
        <v/>
      </c>
      <c r="V71" s="28" t="str">
        <f t="shared" si="12"/>
        <v/>
      </c>
      <c r="W71" s="28" t="str">
        <f t="shared" si="12"/>
        <v/>
      </c>
      <c r="X71" s="29" t="str">
        <f t="shared" si="12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4"/>
        <v/>
      </c>
      <c r="M72" s="19" t="str">
        <f t="shared" si="15"/>
        <v/>
      </c>
      <c r="N72" s="19" t="str">
        <f t="shared" si="16"/>
        <v/>
      </c>
      <c r="O72" s="19" t="str">
        <f t="shared" si="6"/>
        <v/>
      </c>
      <c r="P72" s="19" t="str">
        <f t="shared" si="7"/>
        <v/>
      </c>
      <c r="Q72" s="19" t="str">
        <f t="shared" si="8"/>
        <v/>
      </c>
      <c r="R72" s="19" t="str">
        <f t="shared" si="11"/>
        <v/>
      </c>
      <c r="S72" s="27" t="str">
        <f t="shared" si="12"/>
        <v/>
      </c>
      <c r="T72" s="28" t="str">
        <f t="shared" si="12"/>
        <v/>
      </c>
      <c r="U72" s="28" t="str">
        <f t="shared" si="12"/>
        <v/>
      </c>
      <c r="V72" s="28" t="str">
        <f t="shared" si="12"/>
        <v/>
      </c>
      <c r="W72" s="28" t="str">
        <f t="shared" si="12"/>
        <v/>
      </c>
      <c r="X72" s="29" t="str">
        <f t="shared" si="12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4"/>
        <v/>
      </c>
      <c r="M73" s="19" t="str">
        <f t="shared" si="15"/>
        <v/>
      </c>
      <c r="N73" s="19" t="str">
        <f t="shared" si="16"/>
        <v/>
      </c>
      <c r="O73" s="19" t="str">
        <f t="shared" si="6"/>
        <v/>
      </c>
      <c r="P73" s="19" t="str">
        <f t="shared" si="7"/>
        <v/>
      </c>
      <c r="Q73" s="19" t="str">
        <f t="shared" si="8"/>
        <v/>
      </c>
      <c r="R73" s="19" t="str">
        <f t="shared" si="11"/>
        <v/>
      </c>
      <c r="S73" s="27" t="str">
        <f t="shared" si="12"/>
        <v/>
      </c>
      <c r="T73" s="28" t="str">
        <f t="shared" si="12"/>
        <v/>
      </c>
      <c r="U73" s="28" t="str">
        <f t="shared" si="12"/>
        <v/>
      </c>
      <c r="V73" s="28" t="str">
        <f t="shared" si="12"/>
        <v/>
      </c>
      <c r="W73" s="28" t="str">
        <f t="shared" si="12"/>
        <v/>
      </c>
      <c r="X73" s="29" t="str">
        <f t="shared" si="12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4"/>
        <v/>
      </c>
      <c r="M74" s="19" t="str">
        <f t="shared" si="15"/>
        <v/>
      </c>
      <c r="N74" s="19" t="str">
        <f t="shared" si="16"/>
        <v/>
      </c>
      <c r="O74" s="19" t="str">
        <f t="shared" si="6"/>
        <v/>
      </c>
      <c r="P74" s="19" t="str">
        <f t="shared" si="7"/>
        <v/>
      </c>
      <c r="Q74" s="19" t="str">
        <f t="shared" si="8"/>
        <v/>
      </c>
      <c r="R74" s="19" t="str">
        <f t="shared" si="11"/>
        <v/>
      </c>
      <c r="S74" s="27" t="str">
        <f t="shared" si="12"/>
        <v/>
      </c>
      <c r="T74" s="28" t="str">
        <f t="shared" si="12"/>
        <v/>
      </c>
      <c r="U74" s="28" t="str">
        <f t="shared" si="12"/>
        <v/>
      </c>
      <c r="V74" s="28" t="str">
        <f t="shared" si="12"/>
        <v/>
      </c>
      <c r="W74" s="28" t="str">
        <f t="shared" si="12"/>
        <v/>
      </c>
      <c r="X74" s="29" t="str">
        <f t="shared" si="12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4"/>
        <v/>
      </c>
      <c r="M75" s="19" t="str">
        <f t="shared" si="15"/>
        <v/>
      </c>
      <c r="N75" s="19" t="str">
        <f t="shared" si="16"/>
        <v/>
      </c>
      <c r="O75" s="19" t="str">
        <f t="shared" si="6"/>
        <v/>
      </c>
      <c r="P75" s="19" t="str">
        <f t="shared" si="7"/>
        <v/>
      </c>
      <c r="Q75" s="19" t="str">
        <f t="shared" si="8"/>
        <v/>
      </c>
      <c r="R75" s="19" t="str">
        <f t="shared" si="11"/>
        <v/>
      </c>
      <c r="S75" s="27" t="str">
        <f t="shared" si="12"/>
        <v/>
      </c>
      <c r="T75" s="28" t="str">
        <f t="shared" si="12"/>
        <v/>
      </c>
      <c r="U75" s="28" t="str">
        <f t="shared" si="12"/>
        <v/>
      </c>
      <c r="V75" s="28" t="str">
        <f t="shared" si="12"/>
        <v/>
      </c>
      <c r="W75" s="28" t="str">
        <f t="shared" si="12"/>
        <v/>
      </c>
      <c r="X75" s="29" t="str">
        <f t="shared" si="12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4"/>
        <v/>
      </c>
      <c r="M76" s="19" t="str">
        <f t="shared" si="15"/>
        <v/>
      </c>
      <c r="N76" s="19" t="str">
        <f t="shared" si="16"/>
        <v/>
      </c>
      <c r="O76" s="19" t="str">
        <f t="shared" si="6"/>
        <v/>
      </c>
      <c r="P76" s="19" t="str">
        <f t="shared" si="7"/>
        <v/>
      </c>
      <c r="Q76" s="19" t="str">
        <f t="shared" si="8"/>
        <v/>
      </c>
      <c r="R76" s="19" t="str">
        <f t="shared" si="11"/>
        <v/>
      </c>
      <c r="S76" s="27" t="str">
        <f t="shared" si="12"/>
        <v/>
      </c>
      <c r="T76" s="28" t="str">
        <f t="shared" si="12"/>
        <v/>
      </c>
      <c r="U76" s="28" t="str">
        <f t="shared" si="12"/>
        <v/>
      </c>
      <c r="V76" s="28" t="str">
        <f t="shared" si="12"/>
        <v/>
      </c>
      <c r="W76" s="28" t="str">
        <f t="shared" si="12"/>
        <v/>
      </c>
      <c r="X76" s="29" t="str">
        <f t="shared" si="12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4"/>
        <v/>
      </c>
      <c r="M77" s="19" t="str">
        <f t="shared" si="15"/>
        <v/>
      </c>
      <c r="N77" s="19" t="str">
        <f t="shared" si="16"/>
        <v/>
      </c>
      <c r="O77" s="19" t="str">
        <f t="shared" si="6"/>
        <v/>
      </c>
      <c r="P77" s="19" t="str">
        <f t="shared" si="7"/>
        <v/>
      </c>
      <c r="Q77" s="19" t="str">
        <f t="shared" si="8"/>
        <v/>
      </c>
      <c r="R77" s="19" t="str">
        <f t="shared" si="11"/>
        <v/>
      </c>
      <c r="S77" s="27" t="str">
        <f t="shared" si="12"/>
        <v/>
      </c>
      <c r="T77" s="28" t="str">
        <f t="shared" si="12"/>
        <v/>
      </c>
      <c r="U77" s="28" t="str">
        <f t="shared" si="12"/>
        <v/>
      </c>
      <c r="V77" s="28" t="str">
        <f t="shared" si="12"/>
        <v/>
      </c>
      <c r="W77" s="28" t="str">
        <f t="shared" si="12"/>
        <v/>
      </c>
      <c r="X77" s="29" t="str">
        <f t="shared" si="12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4"/>
        <v/>
      </c>
      <c r="M78" s="19" t="str">
        <f t="shared" si="15"/>
        <v/>
      </c>
      <c r="N78" s="19" t="str">
        <f t="shared" si="16"/>
        <v/>
      </c>
      <c r="O78" s="19" t="str">
        <f t="shared" si="6"/>
        <v/>
      </c>
      <c r="P78" s="19" t="str">
        <f t="shared" si="7"/>
        <v/>
      </c>
      <c r="Q78" s="19" t="str">
        <f t="shared" si="8"/>
        <v/>
      </c>
      <c r="R78" s="19" t="str">
        <f t="shared" si="11"/>
        <v/>
      </c>
      <c r="S78" s="27" t="str">
        <f t="shared" si="12"/>
        <v/>
      </c>
      <c r="T78" s="28" t="str">
        <f t="shared" si="12"/>
        <v/>
      </c>
      <c r="U78" s="28" t="str">
        <f t="shared" si="12"/>
        <v/>
      </c>
      <c r="V78" s="28" t="str">
        <f t="shared" si="12"/>
        <v/>
      </c>
      <c r="W78" s="28" t="str">
        <f t="shared" si="12"/>
        <v/>
      </c>
      <c r="X78" s="29" t="str">
        <f t="shared" si="12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4"/>
        <v/>
      </c>
      <c r="M79" s="19" t="str">
        <f t="shared" si="15"/>
        <v/>
      </c>
      <c r="N79" s="19" t="str">
        <f t="shared" si="16"/>
        <v/>
      </c>
      <c r="O79" s="19" t="str">
        <f t="shared" si="6"/>
        <v/>
      </c>
      <c r="P79" s="19" t="str">
        <f t="shared" si="7"/>
        <v/>
      </c>
      <c r="Q79" s="19" t="str">
        <f t="shared" si="8"/>
        <v/>
      </c>
      <c r="R79" s="19" t="str">
        <f t="shared" si="11"/>
        <v/>
      </c>
      <c r="S79" s="27" t="str">
        <f t="shared" si="12"/>
        <v/>
      </c>
      <c r="T79" s="28" t="str">
        <f t="shared" si="12"/>
        <v/>
      </c>
      <c r="U79" s="28" t="str">
        <f t="shared" si="12"/>
        <v/>
      </c>
      <c r="V79" s="28" t="str">
        <f t="shared" si="12"/>
        <v/>
      </c>
      <c r="W79" s="28" t="str">
        <f t="shared" si="12"/>
        <v/>
      </c>
      <c r="X79" s="29" t="str">
        <f t="shared" si="12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4"/>
        <v/>
      </c>
      <c r="M80" s="19" t="str">
        <f t="shared" si="15"/>
        <v/>
      </c>
      <c r="N80" s="19" t="str">
        <f t="shared" si="16"/>
        <v/>
      </c>
      <c r="O80" s="19" t="str">
        <f t="shared" si="6"/>
        <v/>
      </c>
      <c r="P80" s="19" t="str">
        <f t="shared" si="7"/>
        <v/>
      </c>
      <c r="Q80" s="19" t="str">
        <f t="shared" si="8"/>
        <v/>
      </c>
      <c r="R80" s="19" t="str">
        <f t="shared" si="11"/>
        <v/>
      </c>
      <c r="S80" s="27" t="str">
        <f t="shared" si="12"/>
        <v/>
      </c>
      <c r="T80" s="28" t="str">
        <f t="shared" si="12"/>
        <v/>
      </c>
      <c r="U80" s="28" t="str">
        <f t="shared" si="12"/>
        <v/>
      </c>
      <c r="V80" s="28" t="str">
        <f t="shared" si="12"/>
        <v/>
      </c>
      <c r="W80" s="28" t="str">
        <f t="shared" si="12"/>
        <v/>
      </c>
      <c r="X80" s="29" t="str">
        <f t="shared" si="12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4"/>
        <v/>
      </c>
      <c r="M81" s="19" t="str">
        <f t="shared" si="15"/>
        <v/>
      </c>
      <c r="N81" s="19" t="str">
        <f t="shared" si="16"/>
        <v/>
      </c>
      <c r="O81" s="19" t="str">
        <f t="shared" si="6"/>
        <v/>
      </c>
      <c r="P81" s="19" t="str">
        <f t="shared" si="7"/>
        <v/>
      </c>
      <c r="Q81" s="19" t="str">
        <f t="shared" si="8"/>
        <v/>
      </c>
      <c r="R81" s="19" t="str">
        <f t="shared" si="11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4"/>
        <v/>
      </c>
      <c r="M82" s="19" t="str">
        <f t="shared" si="15"/>
        <v/>
      </c>
      <c r="N82" s="19" t="str">
        <f t="shared" si="16"/>
        <v/>
      </c>
      <c r="O82" s="19" t="str">
        <f t="shared" si="6"/>
        <v/>
      </c>
      <c r="P82" s="19" t="str">
        <f t="shared" si="7"/>
        <v/>
      </c>
      <c r="Q82" s="19" t="str">
        <f t="shared" si="8"/>
        <v/>
      </c>
      <c r="R82" s="19" t="str">
        <f t="shared" si="11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4"/>
        <v/>
      </c>
      <c r="M83" s="19" t="str">
        <f t="shared" si="15"/>
        <v/>
      </c>
      <c r="N83" s="19" t="str">
        <f t="shared" si="16"/>
        <v/>
      </c>
      <c r="O83" s="19" t="str">
        <f t="shared" si="6"/>
        <v/>
      </c>
      <c r="P83" s="19" t="str">
        <f t="shared" si="7"/>
        <v/>
      </c>
      <c r="Q83" s="19" t="str">
        <f t="shared" si="8"/>
        <v/>
      </c>
      <c r="R83" s="19" t="str">
        <f t="shared" si="11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4"/>
        <v/>
      </c>
      <c r="M84" s="19" t="str">
        <f t="shared" si="15"/>
        <v/>
      </c>
      <c r="N84" s="19" t="str">
        <f t="shared" si="16"/>
        <v/>
      </c>
      <c r="O84" s="19" t="str">
        <f t="shared" si="6"/>
        <v/>
      </c>
      <c r="P84" s="19" t="str">
        <f t="shared" si="7"/>
        <v/>
      </c>
      <c r="Q84" s="19" t="str">
        <f t="shared" si="8"/>
        <v/>
      </c>
      <c r="R84" s="19" t="str">
        <f t="shared" si="11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4"/>
        <v/>
      </c>
      <c r="M85" s="19" t="str">
        <f t="shared" si="15"/>
        <v/>
      </c>
      <c r="N85" s="19" t="str">
        <f t="shared" si="16"/>
        <v/>
      </c>
      <c r="O85" s="19" t="str">
        <f t="shared" si="6"/>
        <v/>
      </c>
      <c r="P85" s="19" t="str">
        <f t="shared" si="7"/>
        <v/>
      </c>
      <c r="Q85" s="19" t="str">
        <f t="shared" si="8"/>
        <v/>
      </c>
      <c r="R85" s="19" t="str">
        <f t="shared" si="11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4"/>
        <v/>
      </c>
      <c r="M86" s="19" t="str">
        <f t="shared" si="15"/>
        <v/>
      </c>
      <c r="N86" s="19" t="str">
        <f t="shared" si="16"/>
        <v/>
      </c>
      <c r="O86" s="19" t="str">
        <f t="shared" si="6"/>
        <v/>
      </c>
      <c r="P86" s="19" t="str">
        <f t="shared" si="7"/>
        <v/>
      </c>
      <c r="Q86" s="19" t="str">
        <f t="shared" si="8"/>
        <v/>
      </c>
      <c r="R86" s="19" t="str">
        <f t="shared" si="11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4"/>
        <v/>
      </c>
      <c r="M87" s="19" t="str">
        <f t="shared" si="15"/>
        <v/>
      </c>
      <c r="N87" s="19" t="str">
        <f t="shared" si="16"/>
        <v/>
      </c>
      <c r="O87" s="19" t="str">
        <f t="shared" si="6"/>
        <v/>
      </c>
      <c r="P87" s="19" t="str">
        <f t="shared" si="7"/>
        <v/>
      </c>
      <c r="Q87" s="19" t="str">
        <f t="shared" si="8"/>
        <v/>
      </c>
      <c r="R87" s="19" t="str">
        <f t="shared" si="11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4"/>
        <v/>
      </c>
      <c r="M88" s="19" t="str">
        <f t="shared" si="15"/>
        <v/>
      </c>
      <c r="N88" s="19" t="str">
        <f t="shared" si="16"/>
        <v/>
      </c>
      <c r="O88" s="19" t="str">
        <f t="shared" si="6"/>
        <v/>
      </c>
      <c r="P88" s="19" t="str">
        <f t="shared" si="7"/>
        <v/>
      </c>
      <c r="Q88" s="19" t="str">
        <f t="shared" si="8"/>
        <v/>
      </c>
      <c r="R88" s="19" t="str">
        <f t="shared" si="11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4"/>
        <v/>
      </c>
      <c r="M89" s="19" t="str">
        <f t="shared" si="15"/>
        <v/>
      </c>
      <c r="N89" s="19" t="str">
        <f t="shared" si="16"/>
        <v/>
      </c>
      <c r="O89" s="19" t="str">
        <f t="shared" si="6"/>
        <v/>
      </c>
      <c r="P89" s="19" t="str">
        <f t="shared" si="7"/>
        <v/>
      </c>
      <c r="Q89" s="19" t="str">
        <f t="shared" si="8"/>
        <v/>
      </c>
      <c r="R89" s="19" t="str">
        <f t="shared" si="11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4"/>
        <v/>
      </c>
      <c r="M90" s="19" t="str">
        <f t="shared" si="15"/>
        <v/>
      </c>
      <c r="N90" s="19" t="str">
        <f t="shared" si="16"/>
        <v/>
      </c>
      <c r="O90" s="19" t="str">
        <f t="shared" si="6"/>
        <v/>
      </c>
      <c r="P90" s="19" t="str">
        <f t="shared" si="7"/>
        <v/>
      </c>
      <c r="Q90" s="19" t="str">
        <f t="shared" si="8"/>
        <v/>
      </c>
      <c r="R90" s="19" t="str">
        <f t="shared" si="11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4"/>
        <v/>
      </c>
      <c r="M91" s="19" t="str">
        <f t="shared" si="15"/>
        <v/>
      </c>
      <c r="N91" s="19" t="str">
        <f t="shared" si="16"/>
        <v/>
      </c>
      <c r="O91" s="19" t="str">
        <f t="shared" si="6"/>
        <v/>
      </c>
      <c r="P91" s="19" t="str">
        <f t="shared" si="7"/>
        <v/>
      </c>
      <c r="Q91" s="19" t="str">
        <f t="shared" si="8"/>
        <v/>
      </c>
      <c r="R91" s="19" t="str">
        <f t="shared" si="11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4"/>
        <v/>
      </c>
      <c r="M92" s="19" t="str">
        <f t="shared" si="15"/>
        <v/>
      </c>
      <c r="N92" s="19" t="str">
        <f t="shared" si="16"/>
        <v/>
      </c>
      <c r="O92" s="19" t="str">
        <f t="shared" si="6"/>
        <v/>
      </c>
      <c r="P92" s="19" t="str">
        <f t="shared" si="7"/>
        <v/>
      </c>
      <c r="Q92" s="19" t="str">
        <f t="shared" si="8"/>
        <v/>
      </c>
      <c r="R92" s="19" t="str">
        <f t="shared" si="11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4"/>
        <v/>
      </c>
      <c r="M93" s="19" t="str">
        <f t="shared" si="15"/>
        <v/>
      </c>
      <c r="N93" s="19" t="str">
        <f t="shared" si="16"/>
        <v/>
      </c>
      <c r="O93" s="19" t="str">
        <f t="shared" si="6"/>
        <v/>
      </c>
      <c r="P93" s="19" t="str">
        <f t="shared" si="7"/>
        <v/>
      </c>
      <c r="Q93" s="19" t="str">
        <f t="shared" si="8"/>
        <v/>
      </c>
      <c r="R93" s="19" t="str">
        <f t="shared" si="11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4"/>
        <v/>
      </c>
      <c r="M94" s="19" t="str">
        <f t="shared" si="15"/>
        <v/>
      </c>
      <c r="N94" s="19" t="str">
        <f t="shared" si="16"/>
        <v/>
      </c>
      <c r="O94" s="19" t="str">
        <f t="shared" si="6"/>
        <v/>
      </c>
      <c r="P94" s="19" t="str">
        <f t="shared" si="7"/>
        <v/>
      </c>
      <c r="Q94" s="19" t="str">
        <f t="shared" si="8"/>
        <v/>
      </c>
      <c r="R94" s="19" t="str">
        <f t="shared" ref="R94:R116" si="18">IF(ISBLANK(I94),"",(I94-I$16)*1000)</f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6" si="19">IF(ISBLANK(C95),"",(C95-C$16)*1000)</f>
        <v/>
      </c>
      <c r="M95" s="19" t="str">
        <f t="shared" ref="M95:M116" si="20">IF(ISBLANK(D95),"",(D95-D$16)*1000)</f>
        <v/>
      </c>
      <c r="N95" s="19" t="str">
        <f t="shared" ref="N95:N116" si="21">IF(ISBLANK(E95),"",(E95-E$16)*1000)</f>
        <v/>
      </c>
      <c r="O95" s="19" t="str">
        <f t="shared" si="6"/>
        <v/>
      </c>
      <c r="P95" s="19" t="str">
        <f t="shared" si="7"/>
        <v/>
      </c>
      <c r="Q95" s="19" t="str">
        <f t="shared" si="8"/>
        <v/>
      </c>
      <c r="R95" s="19" t="str">
        <f t="shared" si="18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9"/>
        <v/>
      </c>
      <c r="M96" s="19" t="str">
        <f t="shared" si="20"/>
        <v/>
      </c>
      <c r="N96" s="19" t="str">
        <f t="shared" si="21"/>
        <v/>
      </c>
      <c r="O96" s="19" t="str">
        <f t="shared" si="6"/>
        <v/>
      </c>
      <c r="P96" s="19" t="str">
        <f t="shared" si="7"/>
        <v/>
      </c>
      <c r="Q96" s="19" t="str">
        <f t="shared" si="8"/>
        <v/>
      </c>
      <c r="R96" s="19" t="str">
        <f t="shared" si="18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9"/>
        <v/>
      </c>
      <c r="M97" s="19" t="str">
        <f t="shared" si="20"/>
        <v/>
      </c>
      <c r="N97" s="19" t="str">
        <f t="shared" si="21"/>
        <v/>
      </c>
      <c r="O97" s="19" t="str">
        <f t="shared" si="6"/>
        <v/>
      </c>
      <c r="P97" s="19" t="str">
        <f t="shared" si="7"/>
        <v/>
      </c>
      <c r="Q97" s="19" t="str">
        <f t="shared" si="8"/>
        <v/>
      </c>
      <c r="R97" s="19" t="str">
        <f t="shared" si="18"/>
        <v/>
      </c>
      <c r="S97" s="27" t="str">
        <f t="shared" ref="S97:X112" si="22">IF(C97="","",((C97-C96)*1000)/($B97-$B96))</f>
        <v/>
      </c>
      <c r="T97" s="28" t="str">
        <f t="shared" si="22"/>
        <v/>
      </c>
      <c r="U97" s="28" t="str">
        <f t="shared" si="22"/>
        <v/>
      </c>
      <c r="V97" s="28" t="str">
        <f t="shared" si="22"/>
        <v/>
      </c>
      <c r="W97" s="28" t="str">
        <f t="shared" si="22"/>
        <v/>
      </c>
      <c r="X97" s="29" t="str">
        <f t="shared" si="22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9"/>
        <v/>
      </c>
      <c r="M98" s="19" t="str">
        <f t="shared" si="20"/>
        <v/>
      </c>
      <c r="N98" s="19" t="str">
        <f t="shared" si="21"/>
        <v/>
      </c>
      <c r="O98" s="19" t="str">
        <f t="shared" si="6"/>
        <v/>
      </c>
      <c r="P98" s="19" t="str">
        <f t="shared" si="7"/>
        <v/>
      </c>
      <c r="Q98" s="19" t="str">
        <f t="shared" si="8"/>
        <v/>
      </c>
      <c r="R98" s="19" t="str">
        <f t="shared" si="18"/>
        <v/>
      </c>
      <c r="S98" s="27" t="str">
        <f t="shared" si="22"/>
        <v/>
      </c>
      <c r="T98" s="28" t="str">
        <f t="shared" si="22"/>
        <v/>
      </c>
      <c r="U98" s="28" t="str">
        <f t="shared" si="22"/>
        <v/>
      </c>
      <c r="V98" s="28" t="str">
        <f t="shared" si="22"/>
        <v/>
      </c>
      <c r="W98" s="28" t="str">
        <f t="shared" si="22"/>
        <v/>
      </c>
      <c r="X98" s="29" t="str">
        <f t="shared" si="22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9"/>
        <v/>
      </c>
      <c r="M99" s="19" t="str">
        <f t="shared" si="20"/>
        <v/>
      </c>
      <c r="N99" s="19" t="str">
        <f t="shared" si="21"/>
        <v/>
      </c>
      <c r="O99" s="19" t="str">
        <f t="shared" si="6"/>
        <v/>
      </c>
      <c r="P99" s="19" t="str">
        <f t="shared" si="7"/>
        <v/>
      </c>
      <c r="Q99" s="19" t="str">
        <f t="shared" si="8"/>
        <v/>
      </c>
      <c r="R99" s="19" t="str">
        <f t="shared" si="18"/>
        <v/>
      </c>
      <c r="S99" s="27" t="str">
        <f t="shared" si="22"/>
        <v/>
      </c>
      <c r="T99" s="28" t="str">
        <f t="shared" si="22"/>
        <v/>
      </c>
      <c r="U99" s="28" t="str">
        <f t="shared" si="22"/>
        <v/>
      </c>
      <c r="V99" s="28" t="str">
        <f t="shared" si="22"/>
        <v/>
      </c>
      <c r="W99" s="28" t="str">
        <f t="shared" si="22"/>
        <v/>
      </c>
      <c r="X99" s="29" t="str">
        <f t="shared" si="22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9"/>
        <v/>
      </c>
      <c r="M100" s="19" t="str">
        <f t="shared" si="20"/>
        <v/>
      </c>
      <c r="N100" s="19" t="str">
        <f t="shared" si="21"/>
        <v/>
      </c>
      <c r="O100" s="19" t="str">
        <f t="shared" si="6"/>
        <v/>
      </c>
      <c r="P100" s="19" t="str">
        <f t="shared" si="7"/>
        <v/>
      </c>
      <c r="Q100" s="19" t="str">
        <f t="shared" si="8"/>
        <v/>
      </c>
      <c r="R100" s="19" t="str">
        <f t="shared" si="18"/>
        <v/>
      </c>
      <c r="S100" s="27" t="str">
        <f t="shared" si="22"/>
        <v/>
      </c>
      <c r="T100" s="28" t="str">
        <f t="shared" si="22"/>
        <v/>
      </c>
      <c r="U100" s="28" t="str">
        <f t="shared" si="22"/>
        <v/>
      </c>
      <c r="V100" s="28" t="str">
        <f t="shared" si="22"/>
        <v/>
      </c>
      <c r="W100" s="28" t="str">
        <f t="shared" si="22"/>
        <v/>
      </c>
      <c r="X100" s="29" t="str">
        <f t="shared" si="22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9"/>
        <v/>
      </c>
      <c r="M101" s="19" t="str">
        <f t="shared" si="20"/>
        <v/>
      </c>
      <c r="N101" s="19" t="str">
        <f t="shared" si="21"/>
        <v/>
      </c>
      <c r="O101" s="19" t="str">
        <f t="shared" si="6"/>
        <v/>
      </c>
      <c r="P101" s="19" t="str">
        <f t="shared" si="7"/>
        <v/>
      </c>
      <c r="Q101" s="19" t="str">
        <f t="shared" si="8"/>
        <v/>
      </c>
      <c r="R101" s="19" t="str">
        <f t="shared" si="18"/>
        <v/>
      </c>
      <c r="S101" s="27" t="str">
        <f t="shared" si="22"/>
        <v/>
      </c>
      <c r="T101" s="28" t="str">
        <f t="shared" si="22"/>
        <v/>
      </c>
      <c r="U101" s="28" t="str">
        <f t="shared" si="22"/>
        <v/>
      </c>
      <c r="V101" s="28" t="str">
        <f t="shared" si="22"/>
        <v/>
      </c>
      <c r="W101" s="28" t="str">
        <f t="shared" si="22"/>
        <v/>
      </c>
      <c r="X101" s="29" t="str">
        <f t="shared" si="22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9"/>
        <v/>
      </c>
      <c r="M102" s="19" t="str">
        <f t="shared" si="20"/>
        <v/>
      </c>
      <c r="N102" s="19" t="str">
        <f t="shared" si="21"/>
        <v/>
      </c>
      <c r="O102" s="19" t="str">
        <f t="shared" si="6"/>
        <v/>
      </c>
      <c r="P102" s="19" t="str">
        <f t="shared" si="7"/>
        <v/>
      </c>
      <c r="Q102" s="19" t="str">
        <f t="shared" si="8"/>
        <v/>
      </c>
      <c r="R102" s="19" t="str">
        <f t="shared" si="18"/>
        <v/>
      </c>
      <c r="S102" s="27" t="str">
        <f t="shared" si="22"/>
        <v/>
      </c>
      <c r="T102" s="28" t="str">
        <f t="shared" si="22"/>
        <v/>
      </c>
      <c r="U102" s="28" t="str">
        <f t="shared" si="22"/>
        <v/>
      </c>
      <c r="V102" s="28" t="str">
        <f t="shared" si="22"/>
        <v/>
      </c>
      <c r="W102" s="28" t="str">
        <f t="shared" si="22"/>
        <v/>
      </c>
      <c r="X102" s="29" t="str">
        <f t="shared" si="22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9"/>
        <v/>
      </c>
      <c r="M103" s="19" t="str">
        <f t="shared" si="20"/>
        <v/>
      </c>
      <c r="N103" s="19" t="str">
        <f t="shared" si="21"/>
        <v/>
      </c>
      <c r="O103" s="19" t="str">
        <f t="shared" si="6"/>
        <v/>
      </c>
      <c r="P103" s="19" t="str">
        <f t="shared" si="7"/>
        <v/>
      </c>
      <c r="Q103" s="19" t="str">
        <f t="shared" si="8"/>
        <v/>
      </c>
      <c r="R103" s="19" t="str">
        <f t="shared" si="18"/>
        <v/>
      </c>
      <c r="S103" s="27" t="str">
        <f t="shared" si="22"/>
        <v/>
      </c>
      <c r="T103" s="28" t="str">
        <f t="shared" si="22"/>
        <v/>
      </c>
      <c r="U103" s="28" t="str">
        <f t="shared" si="22"/>
        <v/>
      </c>
      <c r="V103" s="28" t="str">
        <f t="shared" si="22"/>
        <v/>
      </c>
      <c r="W103" s="28" t="str">
        <f t="shared" si="22"/>
        <v/>
      </c>
      <c r="X103" s="29" t="str">
        <f t="shared" si="22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9"/>
        <v/>
      </c>
      <c r="M104" s="19" t="str">
        <f t="shared" si="20"/>
        <v/>
      </c>
      <c r="N104" s="19" t="str">
        <f t="shared" si="21"/>
        <v/>
      </c>
      <c r="O104" s="19" t="str">
        <f t="shared" ref="O104:O153" si="23">IF(ISBLANK(F104),"",((F104-F$39)*1000)+L$39)</f>
        <v/>
      </c>
      <c r="P104" s="19" t="str">
        <f t="shared" ref="P104:P153" si="24">IF(ISBLANK(G104),"",((G104-G$39)*1000)+M$39)</f>
        <v/>
      </c>
      <c r="Q104" s="19" t="str">
        <f t="shared" ref="Q104:Q153" si="25">IF(ISBLANK(H104),"",((H104-H$39)*1000)+N$39)</f>
        <v/>
      </c>
      <c r="R104" s="19" t="str">
        <f t="shared" si="18"/>
        <v/>
      </c>
      <c r="S104" s="27" t="str">
        <f t="shared" si="22"/>
        <v/>
      </c>
      <c r="T104" s="28" t="str">
        <f t="shared" si="22"/>
        <v/>
      </c>
      <c r="U104" s="28" t="str">
        <f t="shared" si="22"/>
        <v/>
      </c>
      <c r="V104" s="28" t="str">
        <f t="shared" si="22"/>
        <v/>
      </c>
      <c r="W104" s="28" t="str">
        <f t="shared" si="22"/>
        <v/>
      </c>
      <c r="X104" s="29" t="str">
        <f t="shared" si="22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9"/>
        <v/>
      </c>
      <c r="M105" s="19" t="str">
        <f t="shared" si="20"/>
        <v/>
      </c>
      <c r="N105" s="19" t="str">
        <f t="shared" si="21"/>
        <v/>
      </c>
      <c r="O105" s="19" t="str">
        <f t="shared" si="23"/>
        <v/>
      </c>
      <c r="P105" s="19" t="str">
        <f t="shared" si="24"/>
        <v/>
      </c>
      <c r="Q105" s="19" t="str">
        <f t="shared" si="25"/>
        <v/>
      </c>
      <c r="R105" s="19" t="str">
        <f t="shared" si="18"/>
        <v/>
      </c>
      <c r="S105" s="27" t="str">
        <f t="shared" si="22"/>
        <v/>
      </c>
      <c r="T105" s="28" t="str">
        <f t="shared" si="22"/>
        <v/>
      </c>
      <c r="U105" s="28" t="str">
        <f t="shared" si="22"/>
        <v/>
      </c>
      <c r="V105" s="28" t="str">
        <f t="shared" si="22"/>
        <v/>
      </c>
      <c r="W105" s="28" t="str">
        <f t="shared" si="22"/>
        <v/>
      </c>
      <c r="X105" s="29" t="str">
        <f t="shared" si="22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9"/>
        <v/>
      </c>
      <c r="M106" s="19" t="str">
        <f t="shared" si="20"/>
        <v/>
      </c>
      <c r="N106" s="19" t="str">
        <f t="shared" si="21"/>
        <v/>
      </c>
      <c r="O106" s="19" t="str">
        <f t="shared" si="23"/>
        <v/>
      </c>
      <c r="P106" s="19" t="str">
        <f t="shared" si="24"/>
        <v/>
      </c>
      <c r="Q106" s="19" t="str">
        <f t="shared" si="25"/>
        <v/>
      </c>
      <c r="R106" s="19" t="str">
        <f t="shared" si="18"/>
        <v/>
      </c>
      <c r="S106" s="27" t="str">
        <f t="shared" si="22"/>
        <v/>
      </c>
      <c r="T106" s="28" t="str">
        <f t="shared" si="22"/>
        <v/>
      </c>
      <c r="U106" s="28" t="str">
        <f t="shared" si="22"/>
        <v/>
      </c>
      <c r="V106" s="28" t="str">
        <f t="shared" si="22"/>
        <v/>
      </c>
      <c r="W106" s="28" t="str">
        <f t="shared" si="22"/>
        <v/>
      </c>
      <c r="X106" s="29" t="str">
        <f t="shared" si="22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9"/>
        <v/>
      </c>
      <c r="M107" s="19" t="str">
        <f t="shared" si="20"/>
        <v/>
      </c>
      <c r="N107" s="19" t="str">
        <f t="shared" si="21"/>
        <v/>
      </c>
      <c r="O107" s="19" t="str">
        <f t="shared" si="23"/>
        <v/>
      </c>
      <c r="P107" s="19" t="str">
        <f t="shared" si="24"/>
        <v/>
      </c>
      <c r="Q107" s="19" t="str">
        <f t="shared" si="25"/>
        <v/>
      </c>
      <c r="R107" s="19" t="str">
        <f t="shared" si="18"/>
        <v/>
      </c>
      <c r="S107" s="27" t="str">
        <f t="shared" si="22"/>
        <v/>
      </c>
      <c r="T107" s="28" t="str">
        <f t="shared" si="22"/>
        <v/>
      </c>
      <c r="U107" s="28" t="str">
        <f t="shared" si="22"/>
        <v/>
      </c>
      <c r="V107" s="28" t="str">
        <f t="shared" si="22"/>
        <v/>
      </c>
      <c r="W107" s="28" t="str">
        <f t="shared" si="22"/>
        <v/>
      </c>
      <c r="X107" s="29" t="str">
        <f t="shared" si="22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9"/>
        <v/>
      </c>
      <c r="M108" s="19" t="str">
        <f t="shared" si="20"/>
        <v/>
      </c>
      <c r="N108" s="19" t="str">
        <f t="shared" si="21"/>
        <v/>
      </c>
      <c r="O108" s="19" t="str">
        <f t="shared" si="23"/>
        <v/>
      </c>
      <c r="P108" s="19" t="str">
        <f t="shared" si="24"/>
        <v/>
      </c>
      <c r="Q108" s="19" t="str">
        <f t="shared" si="25"/>
        <v/>
      </c>
      <c r="R108" s="19" t="str">
        <f t="shared" si="18"/>
        <v/>
      </c>
      <c r="S108" s="27" t="str">
        <f t="shared" si="22"/>
        <v/>
      </c>
      <c r="T108" s="28" t="str">
        <f t="shared" si="22"/>
        <v/>
      </c>
      <c r="U108" s="28" t="str">
        <f t="shared" si="22"/>
        <v/>
      </c>
      <c r="V108" s="28" t="str">
        <f t="shared" si="22"/>
        <v/>
      </c>
      <c r="W108" s="28" t="str">
        <f t="shared" si="22"/>
        <v/>
      </c>
      <c r="X108" s="29" t="str">
        <f t="shared" si="22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9"/>
        <v/>
      </c>
      <c r="M109" s="19" t="str">
        <f t="shared" si="20"/>
        <v/>
      </c>
      <c r="N109" s="19" t="str">
        <f t="shared" si="21"/>
        <v/>
      </c>
      <c r="O109" s="19" t="str">
        <f t="shared" si="23"/>
        <v/>
      </c>
      <c r="P109" s="19" t="str">
        <f t="shared" si="24"/>
        <v/>
      </c>
      <c r="Q109" s="19" t="str">
        <f t="shared" si="25"/>
        <v/>
      </c>
      <c r="R109" s="19" t="str">
        <f t="shared" si="18"/>
        <v/>
      </c>
      <c r="S109" s="27" t="str">
        <f t="shared" si="22"/>
        <v/>
      </c>
      <c r="T109" s="28" t="str">
        <f t="shared" si="22"/>
        <v/>
      </c>
      <c r="U109" s="28" t="str">
        <f t="shared" si="22"/>
        <v/>
      </c>
      <c r="V109" s="28" t="str">
        <f t="shared" si="22"/>
        <v/>
      </c>
      <c r="W109" s="28" t="str">
        <f t="shared" si="22"/>
        <v/>
      </c>
      <c r="X109" s="29" t="str">
        <f t="shared" si="22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9"/>
        <v/>
      </c>
      <c r="M110" s="19" t="str">
        <f t="shared" si="20"/>
        <v/>
      </c>
      <c r="N110" s="19" t="str">
        <f t="shared" si="21"/>
        <v/>
      </c>
      <c r="O110" s="19" t="str">
        <f t="shared" si="23"/>
        <v/>
      </c>
      <c r="P110" s="19" t="str">
        <f t="shared" si="24"/>
        <v/>
      </c>
      <c r="Q110" s="19" t="str">
        <f t="shared" si="25"/>
        <v/>
      </c>
      <c r="R110" s="19" t="str">
        <f t="shared" si="18"/>
        <v/>
      </c>
      <c r="S110" s="27" t="str">
        <f t="shared" si="22"/>
        <v/>
      </c>
      <c r="T110" s="28" t="str">
        <f t="shared" si="22"/>
        <v/>
      </c>
      <c r="U110" s="28" t="str">
        <f t="shared" si="22"/>
        <v/>
      </c>
      <c r="V110" s="28" t="str">
        <f t="shared" si="22"/>
        <v/>
      </c>
      <c r="W110" s="28" t="str">
        <f t="shared" si="22"/>
        <v/>
      </c>
      <c r="X110" s="29" t="str">
        <f t="shared" si="22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9"/>
        <v/>
      </c>
      <c r="M111" s="19" t="str">
        <f t="shared" si="20"/>
        <v/>
      </c>
      <c r="N111" s="19" t="str">
        <f t="shared" si="21"/>
        <v/>
      </c>
      <c r="O111" s="19" t="str">
        <f t="shared" si="23"/>
        <v/>
      </c>
      <c r="P111" s="19" t="str">
        <f t="shared" si="24"/>
        <v/>
      </c>
      <c r="Q111" s="19" t="str">
        <f t="shared" si="25"/>
        <v/>
      </c>
      <c r="R111" s="19" t="str">
        <f t="shared" si="18"/>
        <v/>
      </c>
      <c r="S111" s="27" t="str">
        <f t="shared" si="22"/>
        <v/>
      </c>
      <c r="T111" s="28" t="str">
        <f t="shared" si="22"/>
        <v/>
      </c>
      <c r="U111" s="28" t="str">
        <f t="shared" si="22"/>
        <v/>
      </c>
      <c r="V111" s="28" t="str">
        <f t="shared" si="22"/>
        <v/>
      </c>
      <c r="W111" s="28" t="str">
        <f t="shared" si="22"/>
        <v/>
      </c>
      <c r="X111" s="29" t="str">
        <f t="shared" si="22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9"/>
        <v/>
      </c>
      <c r="M112" s="19" t="str">
        <f t="shared" si="20"/>
        <v/>
      </c>
      <c r="N112" s="19" t="str">
        <f t="shared" si="21"/>
        <v/>
      </c>
      <c r="O112" s="19" t="str">
        <f t="shared" si="23"/>
        <v/>
      </c>
      <c r="P112" s="19" t="str">
        <f t="shared" si="24"/>
        <v/>
      </c>
      <c r="Q112" s="19" t="str">
        <f t="shared" si="25"/>
        <v/>
      </c>
      <c r="R112" s="19" t="str">
        <f t="shared" si="18"/>
        <v/>
      </c>
      <c r="S112" s="27" t="str">
        <f t="shared" si="22"/>
        <v/>
      </c>
      <c r="T112" s="28" t="str">
        <f t="shared" si="22"/>
        <v/>
      </c>
      <c r="U112" s="28" t="str">
        <f t="shared" si="22"/>
        <v/>
      </c>
      <c r="V112" s="28" t="str">
        <f t="shared" si="22"/>
        <v/>
      </c>
      <c r="W112" s="28" t="str">
        <f t="shared" si="22"/>
        <v/>
      </c>
      <c r="X112" s="29" t="str">
        <f t="shared" si="22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9"/>
        <v/>
      </c>
      <c r="M113" s="19" t="str">
        <f t="shared" si="20"/>
        <v/>
      </c>
      <c r="N113" s="19" t="str">
        <f t="shared" si="21"/>
        <v/>
      </c>
      <c r="O113" s="19" t="str">
        <f t="shared" si="23"/>
        <v/>
      </c>
      <c r="P113" s="19" t="str">
        <f t="shared" si="24"/>
        <v/>
      </c>
      <c r="Q113" s="19" t="str">
        <f t="shared" si="25"/>
        <v/>
      </c>
      <c r="R113" s="19" t="str">
        <f t="shared" si="18"/>
        <v/>
      </c>
      <c r="S113" s="27" t="str">
        <f t="shared" ref="S113:X128" si="26">IF(C113="","",((C113-C112)*1000)/($B113-$B112))</f>
        <v/>
      </c>
      <c r="T113" s="28" t="str">
        <f t="shared" si="26"/>
        <v/>
      </c>
      <c r="U113" s="28" t="str">
        <f t="shared" si="26"/>
        <v/>
      </c>
      <c r="V113" s="28" t="str">
        <f t="shared" si="26"/>
        <v/>
      </c>
      <c r="W113" s="28" t="str">
        <f t="shared" si="26"/>
        <v/>
      </c>
      <c r="X113" s="29" t="str">
        <f t="shared" si="26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9"/>
        <v/>
      </c>
      <c r="M114" s="19" t="str">
        <f t="shared" si="20"/>
        <v/>
      </c>
      <c r="N114" s="19" t="str">
        <f t="shared" si="21"/>
        <v/>
      </c>
      <c r="O114" s="19" t="str">
        <f t="shared" si="23"/>
        <v/>
      </c>
      <c r="P114" s="19" t="str">
        <f t="shared" si="24"/>
        <v/>
      </c>
      <c r="Q114" s="19" t="str">
        <f t="shared" si="25"/>
        <v/>
      </c>
      <c r="R114" s="19" t="str">
        <f t="shared" si="18"/>
        <v/>
      </c>
      <c r="S114" s="27" t="str">
        <f t="shared" si="26"/>
        <v/>
      </c>
      <c r="T114" s="28" t="str">
        <f t="shared" si="26"/>
        <v/>
      </c>
      <c r="U114" s="28" t="str">
        <f t="shared" si="26"/>
        <v/>
      </c>
      <c r="V114" s="28" t="str">
        <f t="shared" si="26"/>
        <v/>
      </c>
      <c r="W114" s="28" t="str">
        <f t="shared" si="26"/>
        <v/>
      </c>
      <c r="X114" s="29" t="str">
        <f t="shared" si="26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9"/>
        <v/>
      </c>
      <c r="M115" s="19" t="str">
        <f t="shared" si="20"/>
        <v/>
      </c>
      <c r="N115" s="19" t="str">
        <f t="shared" si="21"/>
        <v/>
      </c>
      <c r="O115" s="19" t="str">
        <f t="shared" si="23"/>
        <v/>
      </c>
      <c r="P115" s="19" t="str">
        <f t="shared" si="24"/>
        <v/>
      </c>
      <c r="Q115" s="19" t="str">
        <f t="shared" si="25"/>
        <v/>
      </c>
      <c r="R115" s="19" t="str">
        <f t="shared" si="18"/>
        <v/>
      </c>
      <c r="S115" s="27" t="str">
        <f t="shared" si="26"/>
        <v/>
      </c>
      <c r="T115" s="28" t="str">
        <f t="shared" si="26"/>
        <v/>
      </c>
      <c r="U115" s="28" t="str">
        <f t="shared" si="26"/>
        <v/>
      </c>
      <c r="V115" s="28" t="str">
        <f t="shared" si="26"/>
        <v/>
      </c>
      <c r="W115" s="28" t="str">
        <f t="shared" si="26"/>
        <v/>
      </c>
      <c r="X115" s="29" t="str">
        <f t="shared" si="26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9"/>
        <v/>
      </c>
      <c r="M116" s="19" t="str">
        <f t="shared" si="20"/>
        <v/>
      </c>
      <c r="N116" s="19" t="str">
        <f t="shared" si="21"/>
        <v/>
      </c>
      <c r="O116" s="19" t="str">
        <f t="shared" si="23"/>
        <v/>
      </c>
      <c r="P116" s="19" t="str">
        <f t="shared" si="24"/>
        <v/>
      </c>
      <c r="Q116" s="19" t="str">
        <f t="shared" si="25"/>
        <v/>
      </c>
      <c r="R116" s="19" t="str">
        <f t="shared" si="18"/>
        <v/>
      </c>
      <c r="S116" s="27" t="str">
        <f t="shared" si="26"/>
        <v/>
      </c>
      <c r="T116" s="28" t="str">
        <f t="shared" si="26"/>
        <v/>
      </c>
      <c r="U116" s="28" t="str">
        <f t="shared" si="26"/>
        <v/>
      </c>
      <c r="V116" s="28" t="str">
        <f t="shared" si="26"/>
        <v/>
      </c>
      <c r="W116" s="28" t="str">
        <f t="shared" si="26"/>
        <v/>
      </c>
      <c r="X116" s="29" t="str">
        <f t="shared" si="26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>IF(ISBLANK(C117),"",(C117-C$16)*1000)</f>
        <v/>
      </c>
      <c r="M117" s="19" t="str">
        <f t="shared" ref="M117:R153" si="27">IF(ISBLANK(D117),"",(D117-D$16)*1000)</f>
        <v/>
      </c>
      <c r="N117" s="19" t="str">
        <f t="shared" si="27"/>
        <v/>
      </c>
      <c r="O117" s="19" t="str">
        <f t="shared" si="23"/>
        <v/>
      </c>
      <c r="P117" s="19" t="str">
        <f t="shared" si="24"/>
        <v/>
      </c>
      <c r="Q117" s="19" t="str">
        <f t="shared" si="25"/>
        <v/>
      </c>
      <c r="R117" s="19" t="str">
        <f t="shared" si="27"/>
        <v/>
      </c>
      <c r="S117" s="27" t="str">
        <f t="shared" si="26"/>
        <v/>
      </c>
      <c r="T117" s="28" t="str">
        <f t="shared" si="26"/>
        <v/>
      </c>
      <c r="U117" s="28" t="str">
        <f t="shared" si="26"/>
        <v/>
      </c>
      <c r="V117" s="28" t="str">
        <f t="shared" si="26"/>
        <v/>
      </c>
      <c r="W117" s="28" t="str">
        <f t="shared" si="26"/>
        <v/>
      </c>
      <c r="X117" s="29" t="str">
        <f t="shared" si="26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8">IF(ISBLANK(C118),"",(C118-C$16)*1000)</f>
        <v/>
      </c>
      <c r="M118" s="19" t="str">
        <f t="shared" si="27"/>
        <v/>
      </c>
      <c r="N118" s="19" t="str">
        <f t="shared" si="27"/>
        <v/>
      </c>
      <c r="O118" s="19" t="str">
        <f t="shared" si="23"/>
        <v/>
      </c>
      <c r="P118" s="19" t="str">
        <f t="shared" si="24"/>
        <v/>
      </c>
      <c r="Q118" s="19" t="str">
        <f t="shared" si="25"/>
        <v/>
      </c>
      <c r="R118" s="19" t="str">
        <f t="shared" si="27"/>
        <v/>
      </c>
      <c r="S118" s="27" t="str">
        <f t="shared" si="26"/>
        <v/>
      </c>
      <c r="T118" s="28" t="str">
        <f t="shared" si="26"/>
        <v/>
      </c>
      <c r="U118" s="28" t="str">
        <f t="shared" si="26"/>
        <v/>
      </c>
      <c r="V118" s="28" t="str">
        <f t="shared" si="26"/>
        <v/>
      </c>
      <c r="W118" s="28" t="str">
        <f t="shared" si="26"/>
        <v/>
      </c>
      <c r="X118" s="29" t="str">
        <f t="shared" si="26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8"/>
        <v/>
      </c>
      <c r="M119" s="19" t="str">
        <f t="shared" si="27"/>
        <v/>
      </c>
      <c r="N119" s="19" t="str">
        <f t="shared" si="27"/>
        <v/>
      </c>
      <c r="O119" s="19" t="str">
        <f t="shared" si="23"/>
        <v/>
      </c>
      <c r="P119" s="19" t="str">
        <f t="shared" si="24"/>
        <v/>
      </c>
      <c r="Q119" s="19" t="str">
        <f t="shared" si="25"/>
        <v/>
      </c>
      <c r="R119" s="19" t="str">
        <f t="shared" si="27"/>
        <v/>
      </c>
      <c r="S119" s="27" t="str">
        <f t="shared" si="26"/>
        <v/>
      </c>
      <c r="T119" s="28" t="str">
        <f t="shared" si="26"/>
        <v/>
      </c>
      <c r="U119" s="28" t="str">
        <f t="shared" si="26"/>
        <v/>
      </c>
      <c r="V119" s="28" t="str">
        <f t="shared" si="26"/>
        <v/>
      </c>
      <c r="W119" s="28" t="str">
        <f t="shared" si="26"/>
        <v/>
      </c>
      <c r="X119" s="29" t="str">
        <f t="shared" si="26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8"/>
        <v/>
      </c>
      <c r="M120" s="19" t="str">
        <f t="shared" si="27"/>
        <v/>
      </c>
      <c r="N120" s="19" t="str">
        <f t="shared" si="27"/>
        <v/>
      </c>
      <c r="O120" s="19" t="str">
        <f t="shared" si="23"/>
        <v/>
      </c>
      <c r="P120" s="19" t="str">
        <f t="shared" si="24"/>
        <v/>
      </c>
      <c r="Q120" s="19" t="str">
        <f t="shared" si="25"/>
        <v/>
      </c>
      <c r="R120" s="19" t="str">
        <f t="shared" si="27"/>
        <v/>
      </c>
      <c r="S120" s="27" t="str">
        <f t="shared" si="26"/>
        <v/>
      </c>
      <c r="T120" s="28" t="str">
        <f t="shared" si="26"/>
        <v/>
      </c>
      <c r="U120" s="28" t="str">
        <f t="shared" si="26"/>
        <v/>
      </c>
      <c r="V120" s="28" t="str">
        <f t="shared" si="26"/>
        <v/>
      </c>
      <c r="W120" s="28" t="str">
        <f t="shared" si="26"/>
        <v/>
      </c>
      <c r="X120" s="29" t="str">
        <f t="shared" si="26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8"/>
        <v/>
      </c>
      <c r="M121" s="19" t="str">
        <f t="shared" si="27"/>
        <v/>
      </c>
      <c r="N121" s="19" t="str">
        <f t="shared" si="27"/>
        <v/>
      </c>
      <c r="O121" s="19" t="str">
        <f t="shared" si="23"/>
        <v/>
      </c>
      <c r="P121" s="19" t="str">
        <f t="shared" si="24"/>
        <v/>
      </c>
      <c r="Q121" s="19" t="str">
        <f t="shared" si="25"/>
        <v/>
      </c>
      <c r="R121" s="19" t="str">
        <f t="shared" si="27"/>
        <v/>
      </c>
      <c r="S121" s="27" t="str">
        <f t="shared" si="26"/>
        <v/>
      </c>
      <c r="T121" s="28" t="str">
        <f t="shared" si="26"/>
        <v/>
      </c>
      <c r="U121" s="28" t="str">
        <f t="shared" si="26"/>
        <v/>
      </c>
      <c r="V121" s="28" t="str">
        <f t="shared" si="26"/>
        <v/>
      </c>
      <c r="W121" s="28" t="str">
        <f t="shared" si="26"/>
        <v/>
      </c>
      <c r="X121" s="29" t="str">
        <f t="shared" si="26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8"/>
        <v/>
      </c>
      <c r="M122" s="19" t="str">
        <f t="shared" si="27"/>
        <v/>
      </c>
      <c r="N122" s="19" t="str">
        <f t="shared" si="27"/>
        <v/>
      </c>
      <c r="O122" s="19" t="str">
        <f t="shared" si="23"/>
        <v/>
      </c>
      <c r="P122" s="19" t="str">
        <f t="shared" si="24"/>
        <v/>
      </c>
      <c r="Q122" s="19" t="str">
        <f t="shared" si="25"/>
        <v/>
      </c>
      <c r="R122" s="19" t="str">
        <f t="shared" si="27"/>
        <v/>
      </c>
      <c r="S122" s="27" t="str">
        <f t="shared" si="26"/>
        <v/>
      </c>
      <c r="T122" s="28" t="str">
        <f t="shared" si="26"/>
        <v/>
      </c>
      <c r="U122" s="28" t="str">
        <f t="shared" si="26"/>
        <v/>
      </c>
      <c r="V122" s="28" t="str">
        <f t="shared" si="26"/>
        <v/>
      </c>
      <c r="W122" s="28" t="str">
        <f t="shared" si="26"/>
        <v/>
      </c>
      <c r="X122" s="29" t="str">
        <f t="shared" si="26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8"/>
        <v/>
      </c>
      <c r="M123" s="19" t="str">
        <f t="shared" si="27"/>
        <v/>
      </c>
      <c r="N123" s="19" t="str">
        <f t="shared" si="27"/>
        <v/>
      </c>
      <c r="O123" s="19" t="str">
        <f t="shared" si="23"/>
        <v/>
      </c>
      <c r="P123" s="19" t="str">
        <f t="shared" si="24"/>
        <v/>
      </c>
      <c r="Q123" s="19" t="str">
        <f t="shared" si="25"/>
        <v/>
      </c>
      <c r="R123" s="19" t="str">
        <f t="shared" si="27"/>
        <v/>
      </c>
      <c r="S123" s="27" t="str">
        <f t="shared" si="26"/>
        <v/>
      </c>
      <c r="T123" s="28" t="str">
        <f t="shared" si="26"/>
        <v/>
      </c>
      <c r="U123" s="28" t="str">
        <f t="shared" si="26"/>
        <v/>
      </c>
      <c r="V123" s="28" t="str">
        <f t="shared" si="26"/>
        <v/>
      </c>
      <c r="W123" s="28" t="str">
        <f t="shared" si="26"/>
        <v/>
      </c>
      <c r="X123" s="29" t="str">
        <f t="shared" si="26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8"/>
        <v/>
      </c>
      <c r="M124" s="19" t="str">
        <f t="shared" si="27"/>
        <v/>
      </c>
      <c r="N124" s="19" t="str">
        <f t="shared" si="27"/>
        <v/>
      </c>
      <c r="O124" s="19" t="str">
        <f t="shared" si="23"/>
        <v/>
      </c>
      <c r="P124" s="19" t="str">
        <f t="shared" si="24"/>
        <v/>
      </c>
      <c r="Q124" s="19" t="str">
        <f t="shared" si="25"/>
        <v/>
      </c>
      <c r="R124" s="19" t="str">
        <f t="shared" si="27"/>
        <v/>
      </c>
      <c r="S124" s="27" t="str">
        <f t="shared" si="26"/>
        <v/>
      </c>
      <c r="T124" s="28" t="str">
        <f t="shared" si="26"/>
        <v/>
      </c>
      <c r="U124" s="28" t="str">
        <f t="shared" si="26"/>
        <v/>
      </c>
      <c r="V124" s="28" t="str">
        <f t="shared" si="26"/>
        <v/>
      </c>
      <c r="W124" s="28" t="str">
        <f t="shared" si="26"/>
        <v/>
      </c>
      <c r="X124" s="29" t="str">
        <f t="shared" si="26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8"/>
        <v/>
      </c>
      <c r="M125" s="19" t="str">
        <f t="shared" si="27"/>
        <v/>
      </c>
      <c r="N125" s="19" t="str">
        <f t="shared" si="27"/>
        <v/>
      </c>
      <c r="O125" s="19" t="str">
        <f t="shared" si="23"/>
        <v/>
      </c>
      <c r="P125" s="19" t="str">
        <f t="shared" si="24"/>
        <v/>
      </c>
      <c r="Q125" s="19" t="str">
        <f t="shared" si="25"/>
        <v/>
      </c>
      <c r="R125" s="19" t="str">
        <f t="shared" si="27"/>
        <v/>
      </c>
      <c r="S125" s="27" t="str">
        <f t="shared" si="26"/>
        <v/>
      </c>
      <c r="T125" s="28" t="str">
        <f t="shared" si="26"/>
        <v/>
      </c>
      <c r="U125" s="28" t="str">
        <f t="shared" si="26"/>
        <v/>
      </c>
      <c r="V125" s="28" t="str">
        <f t="shared" si="26"/>
        <v/>
      </c>
      <c r="W125" s="28" t="str">
        <f t="shared" si="26"/>
        <v/>
      </c>
      <c r="X125" s="29" t="str">
        <f t="shared" si="26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8"/>
        <v/>
      </c>
      <c r="M126" s="19" t="str">
        <f t="shared" si="27"/>
        <v/>
      </c>
      <c r="N126" s="19" t="str">
        <f t="shared" si="27"/>
        <v/>
      </c>
      <c r="O126" s="19" t="str">
        <f t="shared" si="23"/>
        <v/>
      </c>
      <c r="P126" s="19" t="str">
        <f t="shared" si="24"/>
        <v/>
      </c>
      <c r="Q126" s="19" t="str">
        <f t="shared" si="25"/>
        <v/>
      </c>
      <c r="R126" s="19" t="str">
        <f t="shared" si="27"/>
        <v/>
      </c>
      <c r="S126" s="27" t="str">
        <f t="shared" si="26"/>
        <v/>
      </c>
      <c r="T126" s="28" t="str">
        <f t="shared" si="26"/>
        <v/>
      </c>
      <c r="U126" s="28" t="str">
        <f t="shared" si="26"/>
        <v/>
      </c>
      <c r="V126" s="28" t="str">
        <f t="shared" si="26"/>
        <v/>
      </c>
      <c r="W126" s="28" t="str">
        <f t="shared" si="26"/>
        <v/>
      </c>
      <c r="X126" s="29" t="str">
        <f t="shared" si="26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8"/>
        <v/>
      </c>
      <c r="M127" s="19" t="str">
        <f t="shared" si="27"/>
        <v/>
      </c>
      <c r="N127" s="19" t="str">
        <f t="shared" si="27"/>
        <v/>
      </c>
      <c r="O127" s="19" t="str">
        <f t="shared" si="23"/>
        <v/>
      </c>
      <c r="P127" s="19" t="str">
        <f t="shared" si="24"/>
        <v/>
      </c>
      <c r="Q127" s="19" t="str">
        <f t="shared" si="25"/>
        <v/>
      </c>
      <c r="R127" s="19" t="str">
        <f t="shared" si="27"/>
        <v/>
      </c>
      <c r="S127" s="27" t="str">
        <f t="shared" si="26"/>
        <v/>
      </c>
      <c r="T127" s="28" t="str">
        <f t="shared" si="26"/>
        <v/>
      </c>
      <c r="U127" s="28" t="str">
        <f t="shared" si="26"/>
        <v/>
      </c>
      <c r="V127" s="28" t="str">
        <f t="shared" si="26"/>
        <v/>
      </c>
      <c r="W127" s="28" t="str">
        <f t="shared" si="26"/>
        <v/>
      </c>
      <c r="X127" s="29" t="str">
        <f t="shared" si="26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8"/>
        <v/>
      </c>
      <c r="M128" s="19" t="str">
        <f t="shared" si="27"/>
        <v/>
      </c>
      <c r="N128" s="19" t="str">
        <f t="shared" si="27"/>
        <v/>
      </c>
      <c r="O128" s="19" t="str">
        <f t="shared" si="23"/>
        <v/>
      </c>
      <c r="P128" s="19" t="str">
        <f t="shared" si="24"/>
        <v/>
      </c>
      <c r="Q128" s="19" t="str">
        <f t="shared" si="25"/>
        <v/>
      </c>
      <c r="R128" s="19" t="str">
        <f t="shared" si="27"/>
        <v/>
      </c>
      <c r="S128" s="27" t="str">
        <f t="shared" si="26"/>
        <v/>
      </c>
      <c r="T128" s="28" t="str">
        <f t="shared" si="26"/>
        <v/>
      </c>
      <c r="U128" s="28" t="str">
        <f t="shared" si="26"/>
        <v/>
      </c>
      <c r="V128" s="28" t="str">
        <f t="shared" si="26"/>
        <v/>
      </c>
      <c r="W128" s="28" t="str">
        <f t="shared" si="26"/>
        <v/>
      </c>
      <c r="X128" s="29" t="str">
        <f t="shared" si="26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8"/>
        <v/>
      </c>
      <c r="M129" s="19" t="str">
        <f t="shared" si="27"/>
        <v/>
      </c>
      <c r="N129" s="19" t="str">
        <f t="shared" si="27"/>
        <v/>
      </c>
      <c r="O129" s="19" t="str">
        <f t="shared" si="23"/>
        <v/>
      </c>
      <c r="P129" s="19" t="str">
        <f t="shared" si="24"/>
        <v/>
      </c>
      <c r="Q129" s="19" t="str">
        <f t="shared" si="25"/>
        <v/>
      </c>
      <c r="R129" s="19" t="str">
        <f t="shared" si="27"/>
        <v/>
      </c>
      <c r="S129" s="27" t="str">
        <f t="shared" ref="S129:X144" si="29">IF(C129="","",((C129-C128)*1000)/($B129-$B128))</f>
        <v/>
      </c>
      <c r="T129" s="28" t="str">
        <f t="shared" si="29"/>
        <v/>
      </c>
      <c r="U129" s="28" t="str">
        <f t="shared" si="29"/>
        <v/>
      </c>
      <c r="V129" s="28" t="str">
        <f t="shared" si="29"/>
        <v/>
      </c>
      <c r="W129" s="28" t="str">
        <f t="shared" si="29"/>
        <v/>
      </c>
      <c r="X129" s="29" t="str">
        <f t="shared" si="29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8"/>
        <v/>
      </c>
      <c r="M130" s="19" t="str">
        <f t="shared" si="27"/>
        <v/>
      </c>
      <c r="N130" s="19" t="str">
        <f t="shared" si="27"/>
        <v/>
      </c>
      <c r="O130" s="19" t="str">
        <f t="shared" si="23"/>
        <v/>
      </c>
      <c r="P130" s="19" t="str">
        <f t="shared" si="24"/>
        <v/>
      </c>
      <c r="Q130" s="19" t="str">
        <f t="shared" si="25"/>
        <v/>
      </c>
      <c r="R130" s="19" t="str">
        <f t="shared" si="27"/>
        <v/>
      </c>
      <c r="S130" s="27" t="str">
        <f t="shared" si="29"/>
        <v/>
      </c>
      <c r="T130" s="28" t="str">
        <f t="shared" si="29"/>
        <v/>
      </c>
      <c r="U130" s="28" t="str">
        <f t="shared" si="29"/>
        <v/>
      </c>
      <c r="V130" s="28" t="str">
        <f t="shared" si="29"/>
        <v/>
      </c>
      <c r="W130" s="28" t="str">
        <f t="shared" si="29"/>
        <v/>
      </c>
      <c r="X130" s="29" t="str">
        <f t="shared" si="29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8"/>
        <v/>
      </c>
      <c r="M131" s="19" t="str">
        <f t="shared" si="27"/>
        <v/>
      </c>
      <c r="N131" s="19" t="str">
        <f t="shared" si="27"/>
        <v/>
      </c>
      <c r="O131" s="19" t="str">
        <f t="shared" si="23"/>
        <v/>
      </c>
      <c r="P131" s="19" t="str">
        <f t="shared" si="24"/>
        <v/>
      </c>
      <c r="Q131" s="19" t="str">
        <f t="shared" si="25"/>
        <v/>
      </c>
      <c r="R131" s="19" t="str">
        <f t="shared" si="27"/>
        <v/>
      </c>
      <c r="S131" s="27" t="str">
        <f t="shared" si="29"/>
        <v/>
      </c>
      <c r="T131" s="28" t="str">
        <f t="shared" si="29"/>
        <v/>
      </c>
      <c r="U131" s="28" t="str">
        <f t="shared" si="29"/>
        <v/>
      </c>
      <c r="V131" s="28" t="str">
        <f t="shared" si="29"/>
        <v/>
      </c>
      <c r="W131" s="28" t="str">
        <f t="shared" si="29"/>
        <v/>
      </c>
      <c r="X131" s="29" t="str">
        <f t="shared" si="29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8"/>
        <v/>
      </c>
      <c r="M132" s="19" t="str">
        <f t="shared" si="27"/>
        <v/>
      </c>
      <c r="N132" s="19" t="str">
        <f t="shared" si="27"/>
        <v/>
      </c>
      <c r="O132" s="19" t="str">
        <f t="shared" si="23"/>
        <v/>
      </c>
      <c r="P132" s="19" t="str">
        <f t="shared" si="24"/>
        <v/>
      </c>
      <c r="Q132" s="19" t="str">
        <f t="shared" si="25"/>
        <v/>
      </c>
      <c r="R132" s="19" t="str">
        <f t="shared" si="27"/>
        <v/>
      </c>
      <c r="S132" s="27" t="str">
        <f t="shared" si="29"/>
        <v/>
      </c>
      <c r="T132" s="28" t="str">
        <f t="shared" si="29"/>
        <v/>
      </c>
      <c r="U132" s="28" t="str">
        <f t="shared" si="29"/>
        <v/>
      </c>
      <c r="V132" s="28" t="str">
        <f t="shared" si="29"/>
        <v/>
      </c>
      <c r="W132" s="28" t="str">
        <f t="shared" si="29"/>
        <v/>
      </c>
      <c r="X132" s="29" t="str">
        <f t="shared" si="29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8"/>
        <v/>
      </c>
      <c r="M133" s="19" t="str">
        <f t="shared" si="27"/>
        <v/>
      </c>
      <c r="N133" s="19" t="str">
        <f t="shared" si="27"/>
        <v/>
      </c>
      <c r="O133" s="19" t="str">
        <f t="shared" si="23"/>
        <v/>
      </c>
      <c r="P133" s="19" t="str">
        <f t="shared" si="24"/>
        <v/>
      </c>
      <c r="Q133" s="19" t="str">
        <f t="shared" si="25"/>
        <v/>
      </c>
      <c r="R133" s="19" t="str">
        <f t="shared" si="27"/>
        <v/>
      </c>
      <c r="S133" s="27" t="str">
        <f t="shared" si="29"/>
        <v/>
      </c>
      <c r="T133" s="28" t="str">
        <f t="shared" si="29"/>
        <v/>
      </c>
      <c r="U133" s="28" t="str">
        <f t="shared" si="29"/>
        <v/>
      </c>
      <c r="V133" s="28" t="str">
        <f t="shared" si="29"/>
        <v/>
      </c>
      <c r="W133" s="28" t="str">
        <f t="shared" si="29"/>
        <v/>
      </c>
      <c r="X133" s="29" t="str">
        <f t="shared" si="29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8"/>
        <v/>
      </c>
      <c r="M134" s="19" t="str">
        <f t="shared" si="27"/>
        <v/>
      </c>
      <c r="N134" s="19" t="str">
        <f t="shared" si="27"/>
        <v/>
      </c>
      <c r="O134" s="19" t="str">
        <f t="shared" si="23"/>
        <v/>
      </c>
      <c r="P134" s="19" t="str">
        <f t="shared" si="24"/>
        <v/>
      </c>
      <c r="Q134" s="19" t="str">
        <f t="shared" si="25"/>
        <v/>
      </c>
      <c r="R134" s="19" t="str">
        <f t="shared" si="27"/>
        <v/>
      </c>
      <c r="S134" s="27" t="str">
        <f t="shared" si="29"/>
        <v/>
      </c>
      <c r="T134" s="28" t="str">
        <f t="shared" si="29"/>
        <v/>
      </c>
      <c r="U134" s="28" t="str">
        <f t="shared" si="29"/>
        <v/>
      </c>
      <c r="V134" s="28" t="str">
        <f t="shared" si="29"/>
        <v/>
      </c>
      <c r="W134" s="28" t="str">
        <f t="shared" si="29"/>
        <v/>
      </c>
      <c r="X134" s="29" t="str">
        <f t="shared" si="29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8"/>
        <v/>
      </c>
      <c r="M135" s="19" t="str">
        <f t="shared" si="27"/>
        <v/>
      </c>
      <c r="N135" s="19" t="str">
        <f t="shared" si="27"/>
        <v/>
      </c>
      <c r="O135" s="19" t="str">
        <f t="shared" si="23"/>
        <v/>
      </c>
      <c r="P135" s="19" t="str">
        <f t="shared" si="24"/>
        <v/>
      </c>
      <c r="Q135" s="19" t="str">
        <f t="shared" si="25"/>
        <v/>
      </c>
      <c r="R135" s="19" t="str">
        <f t="shared" si="27"/>
        <v/>
      </c>
      <c r="S135" s="27" t="str">
        <f t="shared" si="29"/>
        <v/>
      </c>
      <c r="T135" s="28" t="str">
        <f t="shared" si="29"/>
        <v/>
      </c>
      <c r="U135" s="28" t="str">
        <f t="shared" si="29"/>
        <v/>
      </c>
      <c r="V135" s="28" t="str">
        <f t="shared" si="29"/>
        <v/>
      </c>
      <c r="W135" s="28" t="str">
        <f t="shared" si="29"/>
        <v/>
      </c>
      <c r="X135" s="29" t="str">
        <f t="shared" si="29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8"/>
        <v/>
      </c>
      <c r="M136" s="19" t="str">
        <f t="shared" si="27"/>
        <v/>
      </c>
      <c r="N136" s="19" t="str">
        <f t="shared" si="27"/>
        <v/>
      </c>
      <c r="O136" s="19" t="str">
        <f t="shared" si="23"/>
        <v/>
      </c>
      <c r="P136" s="19" t="str">
        <f t="shared" si="24"/>
        <v/>
      </c>
      <c r="Q136" s="19" t="str">
        <f t="shared" si="25"/>
        <v/>
      </c>
      <c r="R136" s="19" t="str">
        <f t="shared" si="27"/>
        <v/>
      </c>
      <c r="S136" s="27" t="str">
        <f t="shared" si="29"/>
        <v/>
      </c>
      <c r="T136" s="28" t="str">
        <f t="shared" si="29"/>
        <v/>
      </c>
      <c r="U136" s="28" t="str">
        <f t="shared" si="29"/>
        <v/>
      </c>
      <c r="V136" s="28" t="str">
        <f t="shared" si="29"/>
        <v/>
      </c>
      <c r="W136" s="28" t="str">
        <f t="shared" si="29"/>
        <v/>
      </c>
      <c r="X136" s="29" t="str">
        <f t="shared" si="29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8"/>
        <v/>
      </c>
      <c r="M137" s="19" t="str">
        <f t="shared" si="27"/>
        <v/>
      </c>
      <c r="N137" s="19" t="str">
        <f t="shared" si="27"/>
        <v/>
      </c>
      <c r="O137" s="19" t="str">
        <f t="shared" si="23"/>
        <v/>
      </c>
      <c r="P137" s="19" t="str">
        <f t="shared" si="24"/>
        <v/>
      </c>
      <c r="Q137" s="19" t="str">
        <f t="shared" si="25"/>
        <v/>
      </c>
      <c r="R137" s="19" t="str">
        <f t="shared" si="27"/>
        <v/>
      </c>
      <c r="S137" s="27" t="str">
        <f t="shared" si="29"/>
        <v/>
      </c>
      <c r="T137" s="28" t="str">
        <f t="shared" si="29"/>
        <v/>
      </c>
      <c r="U137" s="28" t="str">
        <f t="shared" si="29"/>
        <v/>
      </c>
      <c r="V137" s="28" t="str">
        <f t="shared" si="29"/>
        <v/>
      </c>
      <c r="W137" s="28" t="str">
        <f t="shared" si="29"/>
        <v/>
      </c>
      <c r="X137" s="29" t="str">
        <f t="shared" si="29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8"/>
        <v/>
      </c>
      <c r="M138" s="19" t="str">
        <f t="shared" si="27"/>
        <v/>
      </c>
      <c r="N138" s="19" t="str">
        <f t="shared" si="27"/>
        <v/>
      </c>
      <c r="O138" s="19" t="str">
        <f t="shared" si="23"/>
        <v/>
      </c>
      <c r="P138" s="19" t="str">
        <f t="shared" si="24"/>
        <v/>
      </c>
      <c r="Q138" s="19" t="str">
        <f t="shared" si="25"/>
        <v/>
      </c>
      <c r="R138" s="19" t="str">
        <f t="shared" si="27"/>
        <v/>
      </c>
      <c r="S138" s="27" t="str">
        <f t="shared" si="29"/>
        <v/>
      </c>
      <c r="T138" s="28" t="str">
        <f t="shared" si="29"/>
        <v/>
      </c>
      <c r="U138" s="28" t="str">
        <f t="shared" si="29"/>
        <v/>
      </c>
      <c r="V138" s="28" t="str">
        <f t="shared" si="29"/>
        <v/>
      </c>
      <c r="W138" s="28" t="str">
        <f t="shared" si="29"/>
        <v/>
      </c>
      <c r="X138" s="29" t="str">
        <f t="shared" si="29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8"/>
        <v/>
      </c>
      <c r="M139" s="19" t="str">
        <f t="shared" si="27"/>
        <v/>
      </c>
      <c r="N139" s="19" t="str">
        <f t="shared" si="27"/>
        <v/>
      </c>
      <c r="O139" s="19" t="str">
        <f t="shared" si="23"/>
        <v/>
      </c>
      <c r="P139" s="19" t="str">
        <f t="shared" si="24"/>
        <v/>
      </c>
      <c r="Q139" s="19" t="str">
        <f t="shared" si="25"/>
        <v/>
      </c>
      <c r="R139" s="19" t="str">
        <f t="shared" si="27"/>
        <v/>
      </c>
      <c r="S139" s="27" t="str">
        <f t="shared" si="29"/>
        <v/>
      </c>
      <c r="T139" s="28" t="str">
        <f t="shared" si="29"/>
        <v/>
      </c>
      <c r="U139" s="28" t="str">
        <f t="shared" si="29"/>
        <v/>
      </c>
      <c r="V139" s="28" t="str">
        <f t="shared" si="29"/>
        <v/>
      </c>
      <c r="W139" s="28" t="str">
        <f t="shared" si="29"/>
        <v/>
      </c>
      <c r="X139" s="29" t="str">
        <f t="shared" si="29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8"/>
        <v/>
      </c>
      <c r="M140" s="19" t="str">
        <f t="shared" si="27"/>
        <v/>
      </c>
      <c r="N140" s="19" t="str">
        <f t="shared" si="27"/>
        <v/>
      </c>
      <c r="O140" s="19" t="str">
        <f t="shared" si="23"/>
        <v/>
      </c>
      <c r="P140" s="19" t="str">
        <f t="shared" si="24"/>
        <v/>
      </c>
      <c r="Q140" s="19" t="str">
        <f t="shared" si="25"/>
        <v/>
      </c>
      <c r="R140" s="19" t="str">
        <f t="shared" si="27"/>
        <v/>
      </c>
      <c r="S140" s="27" t="str">
        <f t="shared" si="29"/>
        <v/>
      </c>
      <c r="T140" s="28" t="str">
        <f t="shared" si="29"/>
        <v/>
      </c>
      <c r="U140" s="28" t="str">
        <f t="shared" si="29"/>
        <v/>
      </c>
      <c r="V140" s="28" t="str">
        <f t="shared" si="29"/>
        <v/>
      </c>
      <c r="W140" s="28" t="str">
        <f t="shared" si="29"/>
        <v/>
      </c>
      <c r="X140" s="29" t="str">
        <f t="shared" si="29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8"/>
        <v/>
      </c>
      <c r="M141" s="19" t="str">
        <f t="shared" si="27"/>
        <v/>
      </c>
      <c r="N141" s="19" t="str">
        <f t="shared" si="27"/>
        <v/>
      </c>
      <c r="O141" s="19" t="str">
        <f t="shared" si="23"/>
        <v/>
      </c>
      <c r="P141" s="19" t="str">
        <f t="shared" si="24"/>
        <v/>
      </c>
      <c r="Q141" s="19" t="str">
        <f t="shared" si="25"/>
        <v/>
      </c>
      <c r="R141" s="19" t="str">
        <f t="shared" si="27"/>
        <v/>
      </c>
      <c r="S141" s="27" t="str">
        <f t="shared" si="29"/>
        <v/>
      </c>
      <c r="T141" s="28" t="str">
        <f t="shared" si="29"/>
        <v/>
      </c>
      <c r="U141" s="28" t="str">
        <f t="shared" si="29"/>
        <v/>
      </c>
      <c r="V141" s="28" t="str">
        <f t="shared" si="29"/>
        <v/>
      </c>
      <c r="W141" s="28" t="str">
        <f t="shared" si="29"/>
        <v/>
      </c>
      <c r="X141" s="29" t="str">
        <f t="shared" si="29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8"/>
        <v/>
      </c>
      <c r="M142" s="19" t="str">
        <f t="shared" si="27"/>
        <v/>
      </c>
      <c r="N142" s="19" t="str">
        <f t="shared" si="27"/>
        <v/>
      </c>
      <c r="O142" s="19" t="str">
        <f t="shared" si="23"/>
        <v/>
      </c>
      <c r="P142" s="19" t="str">
        <f t="shared" si="24"/>
        <v/>
      </c>
      <c r="Q142" s="19" t="str">
        <f t="shared" si="25"/>
        <v/>
      </c>
      <c r="R142" s="19" t="str">
        <f t="shared" si="27"/>
        <v/>
      </c>
      <c r="S142" s="27" t="str">
        <f t="shared" si="29"/>
        <v/>
      </c>
      <c r="T142" s="28" t="str">
        <f t="shared" si="29"/>
        <v/>
      </c>
      <c r="U142" s="28" t="str">
        <f t="shared" si="29"/>
        <v/>
      </c>
      <c r="V142" s="28" t="str">
        <f t="shared" si="29"/>
        <v/>
      </c>
      <c r="W142" s="28" t="str">
        <f t="shared" si="29"/>
        <v/>
      </c>
      <c r="X142" s="29" t="str">
        <f t="shared" si="29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8"/>
        <v/>
      </c>
      <c r="M143" s="19" t="str">
        <f t="shared" si="27"/>
        <v/>
      </c>
      <c r="N143" s="19" t="str">
        <f t="shared" si="27"/>
        <v/>
      </c>
      <c r="O143" s="19" t="str">
        <f t="shared" si="23"/>
        <v/>
      </c>
      <c r="P143" s="19" t="str">
        <f t="shared" si="24"/>
        <v/>
      </c>
      <c r="Q143" s="19" t="str">
        <f t="shared" si="25"/>
        <v/>
      </c>
      <c r="R143" s="19" t="str">
        <f t="shared" si="27"/>
        <v/>
      </c>
      <c r="S143" s="27" t="str">
        <f t="shared" si="29"/>
        <v/>
      </c>
      <c r="T143" s="28" t="str">
        <f t="shared" si="29"/>
        <v/>
      </c>
      <c r="U143" s="28" t="str">
        <f t="shared" si="29"/>
        <v/>
      </c>
      <c r="V143" s="28" t="str">
        <f t="shared" si="29"/>
        <v/>
      </c>
      <c r="W143" s="28" t="str">
        <f t="shared" si="29"/>
        <v/>
      </c>
      <c r="X143" s="29" t="str">
        <f t="shared" si="29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8"/>
        <v/>
      </c>
      <c r="M144" s="19" t="str">
        <f t="shared" si="27"/>
        <v/>
      </c>
      <c r="N144" s="19" t="str">
        <f t="shared" si="27"/>
        <v/>
      </c>
      <c r="O144" s="19" t="str">
        <f t="shared" si="23"/>
        <v/>
      </c>
      <c r="P144" s="19" t="str">
        <f t="shared" si="24"/>
        <v/>
      </c>
      <c r="Q144" s="19" t="str">
        <f t="shared" si="25"/>
        <v/>
      </c>
      <c r="R144" s="19" t="str">
        <f t="shared" si="27"/>
        <v/>
      </c>
      <c r="S144" s="27" t="str">
        <f t="shared" si="29"/>
        <v/>
      </c>
      <c r="T144" s="28" t="str">
        <f t="shared" si="29"/>
        <v/>
      </c>
      <c r="U144" s="28" t="str">
        <f t="shared" si="29"/>
        <v/>
      </c>
      <c r="V144" s="28" t="str">
        <f t="shared" si="29"/>
        <v/>
      </c>
      <c r="W144" s="28" t="str">
        <f t="shared" si="29"/>
        <v/>
      </c>
      <c r="X144" s="29" t="str">
        <f t="shared" si="29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8"/>
        <v/>
      </c>
      <c r="M145" s="19" t="str">
        <f t="shared" si="27"/>
        <v/>
      </c>
      <c r="N145" s="19" t="str">
        <f t="shared" si="27"/>
        <v/>
      </c>
      <c r="O145" s="19" t="str">
        <f t="shared" si="23"/>
        <v/>
      </c>
      <c r="P145" s="19" t="str">
        <f t="shared" si="24"/>
        <v/>
      </c>
      <c r="Q145" s="19" t="str">
        <f t="shared" si="25"/>
        <v/>
      </c>
      <c r="R145" s="19" t="str">
        <f t="shared" si="27"/>
        <v/>
      </c>
      <c r="S145" s="27" t="str">
        <f t="shared" ref="S145:X153" si="30">IF(C145="","",((C145-C144)*1000)/($B145-$B144))</f>
        <v/>
      </c>
      <c r="T145" s="28" t="str">
        <f t="shared" si="30"/>
        <v/>
      </c>
      <c r="U145" s="28" t="str">
        <f t="shared" si="30"/>
        <v/>
      </c>
      <c r="V145" s="28" t="str">
        <f t="shared" si="30"/>
        <v/>
      </c>
      <c r="W145" s="28" t="str">
        <f t="shared" si="30"/>
        <v/>
      </c>
      <c r="X145" s="29" t="str">
        <f t="shared" si="30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8"/>
        <v/>
      </c>
      <c r="M146" s="19" t="str">
        <f t="shared" si="27"/>
        <v/>
      </c>
      <c r="N146" s="19" t="str">
        <f t="shared" si="27"/>
        <v/>
      </c>
      <c r="O146" s="19" t="str">
        <f t="shared" si="23"/>
        <v/>
      </c>
      <c r="P146" s="19" t="str">
        <f t="shared" si="24"/>
        <v/>
      </c>
      <c r="Q146" s="19" t="str">
        <f t="shared" si="25"/>
        <v/>
      </c>
      <c r="R146" s="19" t="str">
        <f t="shared" si="27"/>
        <v/>
      </c>
      <c r="S146" s="27" t="str">
        <f t="shared" si="30"/>
        <v/>
      </c>
      <c r="T146" s="28" t="str">
        <f t="shared" si="30"/>
        <v/>
      </c>
      <c r="U146" s="28" t="str">
        <f t="shared" si="30"/>
        <v/>
      </c>
      <c r="V146" s="28" t="str">
        <f t="shared" si="30"/>
        <v/>
      </c>
      <c r="W146" s="28" t="str">
        <f t="shared" si="30"/>
        <v/>
      </c>
      <c r="X146" s="29" t="str">
        <f t="shared" si="30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8"/>
        <v/>
      </c>
      <c r="M147" s="19" t="str">
        <f t="shared" si="27"/>
        <v/>
      </c>
      <c r="N147" s="19" t="str">
        <f t="shared" si="27"/>
        <v/>
      </c>
      <c r="O147" s="19" t="str">
        <f t="shared" si="23"/>
        <v/>
      </c>
      <c r="P147" s="19" t="str">
        <f t="shared" si="24"/>
        <v/>
      </c>
      <c r="Q147" s="19" t="str">
        <f t="shared" si="25"/>
        <v/>
      </c>
      <c r="R147" s="19" t="str">
        <f t="shared" si="27"/>
        <v/>
      </c>
      <c r="S147" s="27" t="str">
        <f t="shared" si="30"/>
        <v/>
      </c>
      <c r="T147" s="28" t="str">
        <f t="shared" si="30"/>
        <v/>
      </c>
      <c r="U147" s="28" t="str">
        <f t="shared" si="30"/>
        <v/>
      </c>
      <c r="V147" s="28" t="str">
        <f t="shared" si="30"/>
        <v/>
      </c>
      <c r="W147" s="28" t="str">
        <f t="shared" si="30"/>
        <v/>
      </c>
      <c r="X147" s="29" t="str">
        <f t="shared" si="30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8"/>
        <v/>
      </c>
      <c r="M148" s="19" t="str">
        <f t="shared" si="27"/>
        <v/>
      </c>
      <c r="N148" s="19" t="str">
        <f t="shared" si="27"/>
        <v/>
      </c>
      <c r="O148" s="19" t="str">
        <f t="shared" si="23"/>
        <v/>
      </c>
      <c r="P148" s="19" t="str">
        <f t="shared" si="24"/>
        <v/>
      </c>
      <c r="Q148" s="19" t="str">
        <f t="shared" si="25"/>
        <v/>
      </c>
      <c r="R148" s="19" t="str">
        <f t="shared" si="27"/>
        <v/>
      </c>
      <c r="S148" s="27" t="str">
        <f t="shared" si="30"/>
        <v/>
      </c>
      <c r="T148" s="28" t="str">
        <f t="shared" si="30"/>
        <v/>
      </c>
      <c r="U148" s="28" t="str">
        <f t="shared" si="30"/>
        <v/>
      </c>
      <c r="V148" s="28" t="str">
        <f t="shared" si="30"/>
        <v/>
      </c>
      <c r="W148" s="28" t="str">
        <f t="shared" si="30"/>
        <v/>
      </c>
      <c r="X148" s="29" t="str">
        <f t="shared" si="30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8"/>
        <v/>
      </c>
      <c r="M149" s="19" t="str">
        <f t="shared" si="27"/>
        <v/>
      </c>
      <c r="N149" s="19" t="str">
        <f t="shared" si="27"/>
        <v/>
      </c>
      <c r="O149" s="19" t="str">
        <f t="shared" si="23"/>
        <v/>
      </c>
      <c r="P149" s="19" t="str">
        <f t="shared" si="24"/>
        <v/>
      </c>
      <c r="Q149" s="19" t="str">
        <f t="shared" si="25"/>
        <v/>
      </c>
      <c r="R149" s="19" t="str">
        <f t="shared" si="27"/>
        <v/>
      </c>
      <c r="S149" s="27" t="str">
        <f t="shared" si="30"/>
        <v/>
      </c>
      <c r="T149" s="28" t="str">
        <f t="shared" si="30"/>
        <v/>
      </c>
      <c r="U149" s="28" t="str">
        <f t="shared" si="30"/>
        <v/>
      </c>
      <c r="V149" s="28" t="str">
        <f t="shared" si="30"/>
        <v/>
      </c>
      <c r="W149" s="28" t="str">
        <f t="shared" si="30"/>
        <v/>
      </c>
      <c r="X149" s="29" t="str">
        <f t="shared" si="30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8"/>
        <v/>
      </c>
      <c r="M150" s="19" t="str">
        <f t="shared" si="27"/>
        <v/>
      </c>
      <c r="N150" s="19" t="str">
        <f t="shared" si="27"/>
        <v/>
      </c>
      <c r="O150" s="19" t="str">
        <f t="shared" si="23"/>
        <v/>
      </c>
      <c r="P150" s="19" t="str">
        <f t="shared" si="24"/>
        <v/>
      </c>
      <c r="Q150" s="19" t="str">
        <f t="shared" si="25"/>
        <v/>
      </c>
      <c r="R150" s="19" t="str">
        <f t="shared" si="27"/>
        <v/>
      </c>
      <c r="S150" s="27" t="str">
        <f t="shared" si="30"/>
        <v/>
      </c>
      <c r="T150" s="28" t="str">
        <f t="shared" si="30"/>
        <v/>
      </c>
      <c r="U150" s="28" t="str">
        <f t="shared" si="30"/>
        <v/>
      </c>
      <c r="V150" s="28" t="str">
        <f t="shared" si="30"/>
        <v/>
      </c>
      <c r="W150" s="28" t="str">
        <f t="shared" si="30"/>
        <v/>
      </c>
      <c r="X150" s="29" t="str">
        <f t="shared" si="30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8"/>
        <v/>
      </c>
      <c r="M151" s="19" t="str">
        <f t="shared" si="27"/>
        <v/>
      </c>
      <c r="N151" s="19" t="str">
        <f t="shared" si="27"/>
        <v/>
      </c>
      <c r="O151" s="19" t="str">
        <f t="shared" si="23"/>
        <v/>
      </c>
      <c r="P151" s="19" t="str">
        <f t="shared" si="24"/>
        <v/>
      </c>
      <c r="Q151" s="19" t="str">
        <f t="shared" si="25"/>
        <v/>
      </c>
      <c r="R151" s="19" t="str">
        <f t="shared" si="27"/>
        <v/>
      </c>
      <c r="S151" s="27" t="str">
        <f t="shared" si="30"/>
        <v/>
      </c>
      <c r="T151" s="28" t="str">
        <f t="shared" si="30"/>
        <v/>
      </c>
      <c r="U151" s="28" t="str">
        <f t="shared" si="30"/>
        <v/>
      </c>
      <c r="V151" s="28" t="str">
        <f t="shared" si="30"/>
        <v/>
      </c>
      <c r="W151" s="28" t="str">
        <f t="shared" si="30"/>
        <v/>
      </c>
      <c r="X151" s="29" t="str">
        <f t="shared" si="30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8"/>
        <v/>
      </c>
      <c r="M152" s="19" t="str">
        <f t="shared" si="27"/>
        <v/>
      </c>
      <c r="N152" s="19" t="str">
        <f t="shared" si="27"/>
        <v/>
      </c>
      <c r="O152" s="19" t="str">
        <f t="shared" si="23"/>
        <v/>
      </c>
      <c r="P152" s="19" t="str">
        <f t="shared" si="24"/>
        <v/>
      </c>
      <c r="Q152" s="19" t="str">
        <f t="shared" si="25"/>
        <v/>
      </c>
      <c r="R152" s="19" t="str">
        <f t="shared" si="27"/>
        <v/>
      </c>
      <c r="S152" s="27" t="str">
        <f t="shared" si="30"/>
        <v/>
      </c>
      <c r="T152" s="28" t="str">
        <f t="shared" si="30"/>
        <v/>
      </c>
      <c r="U152" s="28" t="str">
        <f t="shared" si="30"/>
        <v/>
      </c>
      <c r="V152" s="28" t="str">
        <f t="shared" si="30"/>
        <v/>
      </c>
      <c r="W152" s="28" t="str">
        <f t="shared" si="30"/>
        <v/>
      </c>
      <c r="X152" s="29" t="str">
        <f t="shared" si="30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8"/>
        <v/>
      </c>
      <c r="M153" s="19" t="str">
        <f t="shared" si="27"/>
        <v/>
      </c>
      <c r="N153" s="19" t="str">
        <f t="shared" si="27"/>
        <v/>
      </c>
      <c r="O153" s="19" t="str">
        <f t="shared" si="23"/>
        <v/>
      </c>
      <c r="P153" s="19" t="str">
        <f t="shared" si="24"/>
        <v/>
      </c>
      <c r="Q153" s="19" t="str">
        <f t="shared" si="25"/>
        <v/>
      </c>
      <c r="R153" s="19" t="str">
        <f t="shared" si="27"/>
        <v/>
      </c>
      <c r="S153" s="27" t="str">
        <f t="shared" si="30"/>
        <v/>
      </c>
      <c r="T153" s="28" t="str">
        <f t="shared" si="30"/>
        <v/>
      </c>
      <c r="U153" s="28" t="str">
        <f t="shared" si="30"/>
        <v/>
      </c>
      <c r="V153" s="28" t="str">
        <f t="shared" si="30"/>
        <v/>
      </c>
      <c r="W153" s="28" t="str">
        <f t="shared" si="30"/>
        <v/>
      </c>
      <c r="X153" s="29" t="str">
        <f t="shared" si="30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0:J12"/>
    <mergeCell ref="K10:S12"/>
    <mergeCell ref="T10:Y12"/>
    <mergeCell ref="B9:O9"/>
    <mergeCell ref="P9:Y9"/>
    <mergeCell ref="R5:V5"/>
    <mergeCell ref="E7:I7"/>
    <mergeCell ref="J7:Q7"/>
    <mergeCell ref="AA9:AI9"/>
    <mergeCell ref="R7:V7"/>
    <mergeCell ref="W7:Y7"/>
    <mergeCell ref="E6:I6"/>
    <mergeCell ref="J6:Q6"/>
    <mergeCell ref="R6:V6"/>
    <mergeCell ref="W6:Y6"/>
    <mergeCell ref="R8:V8"/>
    <mergeCell ref="J14:K14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B5:D8"/>
    <mergeCell ref="E5:I5"/>
    <mergeCell ref="W5:Y5"/>
    <mergeCell ref="J5:Q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>
    <pageSetUpPr fitToPage="1"/>
  </sheetPr>
  <dimension ref="A1:AI153"/>
  <sheetViews>
    <sheetView showGridLines="0" zoomScale="75" zoomScaleNormal="75" zoomScaleSheetLayoutView="40" zoomScalePageLayoutView="40" workbookViewId="0">
      <pane ySplit="8" topLeftCell="A51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TZ-20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45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/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/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/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260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518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46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6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6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27"/>
      <c r="C12" s="128"/>
      <c r="D12" s="128"/>
      <c r="E12" s="128"/>
      <c r="F12" s="128"/>
      <c r="G12" s="128"/>
      <c r="H12" s="128"/>
      <c r="I12" s="128"/>
      <c r="J12" s="129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4">
        <v>41695</v>
      </c>
      <c r="C16" s="35">
        <v>13.141</v>
      </c>
      <c r="D16" s="36">
        <v>8.1690000000000005</v>
      </c>
      <c r="E16" s="36">
        <v>8.2789999999999999</v>
      </c>
      <c r="F16" s="37"/>
      <c r="G16" s="37"/>
      <c r="H16" s="37"/>
      <c r="I16" s="56">
        <v>102.875</v>
      </c>
      <c r="J16" s="39">
        <v>530</v>
      </c>
      <c r="K16" s="55">
        <f>IF(ISBLANK(J16),"",(J16-$J$8))</f>
        <v>12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0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41696</v>
      </c>
      <c r="C17" s="25">
        <v>13.141</v>
      </c>
      <c r="D17" s="26">
        <v>8.1679999999999993</v>
      </c>
      <c r="E17" s="26">
        <v>8.2789999999999999</v>
      </c>
      <c r="F17" s="16"/>
      <c r="G17" s="16"/>
      <c r="H17" s="16"/>
      <c r="I17" s="54">
        <v>102.874</v>
      </c>
      <c r="J17" s="32">
        <v>537</v>
      </c>
      <c r="K17" s="18">
        <f>IF(ISBLANK(J17),"",(J17-$J$8))</f>
        <v>19</v>
      </c>
      <c r="L17" s="19">
        <f t="shared" ref="L17:R62" si="1">IF(ISBLANK(C17),"",(C17-C$16)*1000)</f>
        <v>0</v>
      </c>
      <c r="M17" s="19">
        <f t="shared" si="1"/>
        <v>-1.0000000000012221</v>
      </c>
      <c r="N17" s="19">
        <f t="shared" si="1"/>
        <v>0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0"/>
        <v>-1.0000000000047748</v>
      </c>
      <c r="S17" s="27">
        <f t="shared" ref="S17:X32" si="2">IF(C17="","",((C17-C16)*1000)/($B17-$B16))</f>
        <v>0</v>
      </c>
      <c r="T17" s="28">
        <f t="shared" si="2"/>
        <v>-1.0000000000012221</v>
      </c>
      <c r="U17" s="28">
        <f t="shared" si="2"/>
        <v>0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30"/>
    </row>
    <row r="18" spans="2:25" ht="15" customHeight="1" x14ac:dyDescent="0.2">
      <c r="B18" s="31">
        <v>41697</v>
      </c>
      <c r="C18" s="25">
        <v>13.141999999999999</v>
      </c>
      <c r="D18" s="26">
        <v>8.1690000000000005</v>
      </c>
      <c r="E18" s="26">
        <v>8.2789999999999999</v>
      </c>
      <c r="F18" s="47"/>
      <c r="G18" s="47"/>
      <c r="H18" s="47"/>
      <c r="I18" s="26">
        <v>102.874</v>
      </c>
      <c r="J18" s="58">
        <v>547.5</v>
      </c>
      <c r="K18" s="59">
        <f t="shared" ref="K18:K23" si="3">IF(ISBLANK(J18),"",(J18-$J$8))</f>
        <v>29.5</v>
      </c>
      <c r="L18" s="19">
        <f t="shared" si="1"/>
        <v>0.99999999999944578</v>
      </c>
      <c r="M18" s="19">
        <f t="shared" si="1"/>
        <v>0</v>
      </c>
      <c r="N18" s="19">
        <f t="shared" si="1"/>
        <v>0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0"/>
        <v>-1.0000000000047748</v>
      </c>
      <c r="S18" s="27">
        <f t="shared" si="2"/>
        <v>0.99999999999944578</v>
      </c>
      <c r="T18" s="28">
        <f t="shared" si="2"/>
        <v>1.0000000000012221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41698</v>
      </c>
      <c r="C19" s="25">
        <v>13.141</v>
      </c>
      <c r="D19" s="26">
        <v>8.1690000000000005</v>
      </c>
      <c r="E19" s="26">
        <v>8.2789999999999999</v>
      </c>
      <c r="F19" s="47"/>
      <c r="G19" s="47"/>
      <c r="H19" s="47"/>
      <c r="I19" s="26">
        <v>102.874</v>
      </c>
      <c r="J19" s="58">
        <v>552</v>
      </c>
      <c r="K19" s="59">
        <f t="shared" si="3"/>
        <v>34</v>
      </c>
      <c r="L19" s="19">
        <f t="shared" si="1"/>
        <v>0</v>
      </c>
      <c r="M19" s="19">
        <f t="shared" si="1"/>
        <v>0</v>
      </c>
      <c r="N19" s="19">
        <f t="shared" si="1"/>
        <v>0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0"/>
        <v>-1.0000000000047748</v>
      </c>
      <c r="S19" s="27">
        <f t="shared" si="2"/>
        <v>-0.99999999999944578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41701</v>
      </c>
      <c r="C20" s="25">
        <v>13.141</v>
      </c>
      <c r="D20" s="26">
        <v>8.1690000000000005</v>
      </c>
      <c r="E20" s="26">
        <v>8.2789999999999999</v>
      </c>
      <c r="F20" s="47"/>
      <c r="G20" s="47"/>
      <c r="H20" s="47"/>
      <c r="I20" s="26">
        <v>102.874</v>
      </c>
      <c r="J20" s="58">
        <v>555.5</v>
      </c>
      <c r="K20" s="59">
        <f t="shared" si="3"/>
        <v>37.5</v>
      </c>
      <c r="L20" s="19">
        <f t="shared" si="1"/>
        <v>0</v>
      </c>
      <c r="M20" s="19">
        <f t="shared" si="1"/>
        <v>0</v>
      </c>
      <c r="N20" s="19">
        <f t="shared" si="1"/>
        <v>0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0"/>
        <v>-1.0000000000047748</v>
      </c>
      <c r="S20" s="27">
        <f t="shared" si="2"/>
        <v>0</v>
      </c>
      <c r="T20" s="28">
        <f t="shared" si="2"/>
        <v>0</v>
      </c>
      <c r="U20" s="28">
        <f t="shared" si="2"/>
        <v>0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41702</v>
      </c>
      <c r="C21" s="25">
        <v>13.141999999999999</v>
      </c>
      <c r="D21" s="26">
        <v>8.1690000000000005</v>
      </c>
      <c r="E21" s="26">
        <v>8.2780000000000005</v>
      </c>
      <c r="F21" s="47"/>
      <c r="G21" s="47"/>
      <c r="H21" s="47"/>
      <c r="I21" s="26">
        <v>102.874</v>
      </c>
      <c r="J21" s="58">
        <v>559.5</v>
      </c>
      <c r="K21" s="59">
        <f t="shared" si="3"/>
        <v>41.5</v>
      </c>
      <c r="L21" s="19">
        <f t="shared" si="1"/>
        <v>0.99999999999944578</v>
      </c>
      <c r="M21" s="19">
        <f t="shared" si="1"/>
        <v>0</v>
      </c>
      <c r="N21" s="19">
        <f t="shared" si="1"/>
        <v>-0.99999999999944578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0"/>
        <v>-1.0000000000047748</v>
      </c>
      <c r="S21" s="27">
        <f t="shared" si="2"/>
        <v>0.99999999999944578</v>
      </c>
      <c r="T21" s="28">
        <f t="shared" si="2"/>
        <v>0</v>
      </c>
      <c r="U21" s="28">
        <f t="shared" si="2"/>
        <v>-0.99999999999944578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41703</v>
      </c>
      <c r="C22" s="25">
        <v>13.141</v>
      </c>
      <c r="D22" s="26">
        <v>8.1690000000000005</v>
      </c>
      <c r="E22" s="26">
        <v>8.2789999999999999</v>
      </c>
      <c r="F22" s="47"/>
      <c r="G22" s="47"/>
      <c r="H22" s="47"/>
      <c r="I22" s="26">
        <v>102.873</v>
      </c>
      <c r="J22" s="58">
        <v>562.5</v>
      </c>
      <c r="K22" s="59">
        <f t="shared" si="3"/>
        <v>44.5</v>
      </c>
      <c r="L22" s="19">
        <f t="shared" si="1"/>
        <v>0</v>
      </c>
      <c r="M22" s="19">
        <f t="shared" si="1"/>
        <v>0</v>
      </c>
      <c r="N22" s="19">
        <f t="shared" si="1"/>
        <v>0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0"/>
        <v>-1.9999999999953388</v>
      </c>
      <c r="S22" s="27">
        <f t="shared" si="2"/>
        <v>-0.99999999999944578</v>
      </c>
      <c r="T22" s="28">
        <f t="shared" si="2"/>
        <v>0</v>
      </c>
      <c r="U22" s="28">
        <f t="shared" si="2"/>
        <v>0.99999999999944578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41704</v>
      </c>
      <c r="C23" s="25">
        <v>13.141999999999999</v>
      </c>
      <c r="D23" s="26">
        <v>8.1690000000000005</v>
      </c>
      <c r="E23" s="26">
        <v>8.2780000000000005</v>
      </c>
      <c r="F23" s="47"/>
      <c r="G23" s="47"/>
      <c r="H23" s="47"/>
      <c r="I23" s="26">
        <v>102.873</v>
      </c>
      <c r="J23" s="58">
        <v>565</v>
      </c>
      <c r="K23" s="59">
        <f t="shared" si="3"/>
        <v>47</v>
      </c>
      <c r="L23" s="19">
        <f t="shared" si="1"/>
        <v>0.99999999999944578</v>
      </c>
      <c r="M23" s="19">
        <f t="shared" si="1"/>
        <v>0</v>
      </c>
      <c r="N23" s="19">
        <f t="shared" si="1"/>
        <v>-0.99999999999944578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0"/>
        <v>-1.9999999999953388</v>
      </c>
      <c r="S23" s="27">
        <f t="shared" si="2"/>
        <v>0.99999999999944578</v>
      </c>
      <c r="T23" s="28">
        <f t="shared" si="2"/>
        <v>0</v>
      </c>
      <c r="U23" s="28">
        <f t="shared" si="2"/>
        <v>-0.99999999999944578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41705</v>
      </c>
      <c r="C24" s="25">
        <v>13.141999999999999</v>
      </c>
      <c r="D24" s="26">
        <v>8.1690000000000005</v>
      </c>
      <c r="E24" s="26">
        <v>8.2780000000000005</v>
      </c>
      <c r="F24" s="47"/>
      <c r="G24" s="47"/>
      <c r="H24" s="47"/>
      <c r="I24" s="26">
        <v>102.874</v>
      </c>
      <c r="J24" s="58">
        <v>568.5</v>
      </c>
      <c r="K24" s="59">
        <f t="shared" ref="K24:K39" si="4">IF(ISBLANK(J24),"",(J24-$J$8))</f>
        <v>50.5</v>
      </c>
      <c r="L24" s="19">
        <f t="shared" si="1"/>
        <v>0.99999999999944578</v>
      </c>
      <c r="M24" s="19">
        <f t="shared" si="1"/>
        <v>0</v>
      </c>
      <c r="N24" s="19">
        <f t="shared" si="1"/>
        <v>-0.99999999999944578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0"/>
        <v>-1.0000000000047748</v>
      </c>
      <c r="S24" s="27">
        <f t="shared" si="2"/>
        <v>0</v>
      </c>
      <c r="T24" s="28">
        <f t="shared" si="2"/>
        <v>0</v>
      </c>
      <c r="U24" s="28">
        <f t="shared" si="2"/>
        <v>0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41708</v>
      </c>
      <c r="C25" s="25">
        <v>13.141999999999999</v>
      </c>
      <c r="D25" s="26">
        <v>8.1690000000000005</v>
      </c>
      <c r="E25" s="26">
        <v>8.2789999999999999</v>
      </c>
      <c r="F25" s="47"/>
      <c r="G25" s="47"/>
      <c r="H25" s="47"/>
      <c r="I25" s="26">
        <v>102.874</v>
      </c>
      <c r="J25" s="58">
        <v>576</v>
      </c>
      <c r="K25" s="59">
        <f t="shared" si="4"/>
        <v>58</v>
      </c>
      <c r="L25" s="19">
        <f t="shared" si="1"/>
        <v>0.99999999999944578</v>
      </c>
      <c r="M25" s="19">
        <f t="shared" si="1"/>
        <v>0</v>
      </c>
      <c r="N25" s="19">
        <f t="shared" si="1"/>
        <v>0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0"/>
        <v>-1.0000000000047748</v>
      </c>
      <c r="S25" s="27">
        <f t="shared" si="2"/>
        <v>0</v>
      </c>
      <c r="T25" s="28">
        <f t="shared" si="2"/>
        <v>0</v>
      </c>
      <c r="U25" s="28">
        <f t="shared" si="2"/>
        <v>0.33333333333314857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41709</v>
      </c>
      <c r="C26" s="25">
        <v>13.141999999999999</v>
      </c>
      <c r="D26" s="26">
        <v>8.1690000000000005</v>
      </c>
      <c r="E26" s="26">
        <v>8.2780000000000005</v>
      </c>
      <c r="F26" s="47"/>
      <c r="G26" s="47"/>
      <c r="H26" s="47"/>
      <c r="I26" s="26">
        <v>102.873</v>
      </c>
      <c r="J26" s="58">
        <v>584</v>
      </c>
      <c r="K26" s="59">
        <f t="shared" si="4"/>
        <v>66</v>
      </c>
      <c r="L26" s="19">
        <f t="shared" si="1"/>
        <v>0.99999999999944578</v>
      </c>
      <c r="M26" s="19">
        <f t="shared" si="1"/>
        <v>0</v>
      </c>
      <c r="N26" s="19">
        <f t="shared" si="1"/>
        <v>-0.99999999999944578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0"/>
        <v>-1.9999999999953388</v>
      </c>
      <c r="S26" s="27">
        <f t="shared" si="2"/>
        <v>0</v>
      </c>
      <c r="T26" s="28">
        <f t="shared" si="2"/>
        <v>0</v>
      </c>
      <c r="U26" s="28">
        <f t="shared" si="2"/>
        <v>-0.99999999999944578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41710</v>
      </c>
      <c r="C27" s="25">
        <v>13.143000000000001</v>
      </c>
      <c r="D27" s="26">
        <v>8.17</v>
      </c>
      <c r="E27" s="26">
        <v>8.2780000000000005</v>
      </c>
      <c r="F27" s="47"/>
      <c r="G27" s="47"/>
      <c r="H27" s="47"/>
      <c r="I27" s="26">
        <v>102.872</v>
      </c>
      <c r="J27" s="58">
        <v>587.5</v>
      </c>
      <c r="K27" s="59">
        <f t="shared" si="4"/>
        <v>69.5</v>
      </c>
      <c r="L27" s="19">
        <f t="shared" si="1"/>
        <v>2.0000000000006679</v>
      </c>
      <c r="M27" s="19">
        <f t="shared" si="1"/>
        <v>0.99999999999944578</v>
      </c>
      <c r="N27" s="19">
        <f t="shared" si="1"/>
        <v>-0.99999999999944578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0"/>
        <v>-3.0000000000001137</v>
      </c>
      <c r="S27" s="27">
        <f t="shared" si="2"/>
        <v>1.0000000000012221</v>
      </c>
      <c r="T27" s="28">
        <f t="shared" si="2"/>
        <v>0.99999999999944578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41711</v>
      </c>
      <c r="C28" s="25">
        <v>13.143000000000001</v>
      </c>
      <c r="D28" s="26">
        <v>8.1690000000000005</v>
      </c>
      <c r="E28" s="26">
        <v>8.2780000000000005</v>
      </c>
      <c r="F28" s="47"/>
      <c r="G28" s="47"/>
      <c r="H28" s="47"/>
      <c r="I28" s="26">
        <v>102.872</v>
      </c>
      <c r="J28" s="58">
        <v>596</v>
      </c>
      <c r="K28" s="59">
        <f t="shared" si="4"/>
        <v>78</v>
      </c>
      <c r="L28" s="19">
        <f t="shared" si="1"/>
        <v>2.0000000000006679</v>
      </c>
      <c r="M28" s="19">
        <f t="shared" si="1"/>
        <v>0</v>
      </c>
      <c r="N28" s="19">
        <f t="shared" si="1"/>
        <v>-0.99999999999944578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0"/>
        <v>-3.0000000000001137</v>
      </c>
      <c r="S28" s="27">
        <f t="shared" si="2"/>
        <v>0</v>
      </c>
      <c r="T28" s="28">
        <f t="shared" si="2"/>
        <v>-0.99999999999944578</v>
      </c>
      <c r="U28" s="28">
        <f t="shared" si="2"/>
        <v>0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41712</v>
      </c>
      <c r="C29" s="25">
        <v>13.143000000000001</v>
      </c>
      <c r="D29" s="26">
        <v>8.17</v>
      </c>
      <c r="E29" s="26">
        <v>8.2769999999999992</v>
      </c>
      <c r="F29" s="47"/>
      <c r="G29" s="47"/>
      <c r="H29" s="47"/>
      <c r="I29" s="26">
        <v>102.872</v>
      </c>
      <c r="J29" s="58">
        <v>600.5</v>
      </c>
      <c r="K29" s="59">
        <f t="shared" si="4"/>
        <v>82.5</v>
      </c>
      <c r="L29" s="19">
        <f t="shared" si="1"/>
        <v>2.0000000000006679</v>
      </c>
      <c r="M29" s="19">
        <f t="shared" si="1"/>
        <v>0.99999999999944578</v>
      </c>
      <c r="N29" s="19">
        <f t="shared" si="1"/>
        <v>-2.0000000000006679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0"/>
        <v>-3.0000000000001137</v>
      </c>
      <c r="S29" s="27">
        <f t="shared" si="2"/>
        <v>0</v>
      </c>
      <c r="T29" s="28">
        <f t="shared" si="2"/>
        <v>0.99999999999944578</v>
      </c>
      <c r="U29" s="28">
        <f t="shared" si="2"/>
        <v>-1.0000000000012221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41715</v>
      </c>
      <c r="C30" s="25">
        <v>13.143000000000001</v>
      </c>
      <c r="D30" s="26">
        <v>8.1690000000000005</v>
      </c>
      <c r="E30" s="26">
        <v>8.2780000000000005</v>
      </c>
      <c r="F30" s="47"/>
      <c r="G30" s="47"/>
      <c r="H30" s="47"/>
      <c r="I30" s="26">
        <v>102.872</v>
      </c>
      <c r="J30" s="58">
        <v>609.5</v>
      </c>
      <c r="K30" s="59">
        <f t="shared" si="4"/>
        <v>91.5</v>
      </c>
      <c r="L30" s="19">
        <f t="shared" si="1"/>
        <v>2.0000000000006679</v>
      </c>
      <c r="M30" s="19">
        <f t="shared" si="1"/>
        <v>0</v>
      </c>
      <c r="N30" s="19">
        <f t="shared" si="1"/>
        <v>-0.99999999999944578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0"/>
        <v>-3.0000000000001137</v>
      </c>
      <c r="S30" s="27">
        <f t="shared" si="2"/>
        <v>0</v>
      </c>
      <c r="T30" s="28">
        <f t="shared" si="2"/>
        <v>-0.33333333333314857</v>
      </c>
      <c r="U30" s="28">
        <f t="shared" si="2"/>
        <v>0.33333333333374071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41723</v>
      </c>
      <c r="C31" s="25">
        <v>13.143000000000001</v>
      </c>
      <c r="D31" s="26">
        <v>8.17</v>
      </c>
      <c r="E31" s="26">
        <v>8.2780000000000005</v>
      </c>
      <c r="F31" s="47"/>
      <c r="G31" s="47"/>
      <c r="H31" s="47"/>
      <c r="I31" s="26">
        <v>102.872</v>
      </c>
      <c r="J31" s="32">
        <v>308</v>
      </c>
      <c r="K31" s="59">
        <f t="shared" si="4"/>
        <v>-210</v>
      </c>
      <c r="L31" s="19">
        <f t="shared" si="1"/>
        <v>2.0000000000006679</v>
      </c>
      <c r="M31" s="19">
        <f t="shared" si="1"/>
        <v>0.99999999999944578</v>
      </c>
      <c r="N31" s="19">
        <f t="shared" si="1"/>
        <v>-0.99999999999944578</v>
      </c>
      <c r="O31" s="19" t="str">
        <f t="shared" si="0"/>
        <v/>
      </c>
      <c r="P31" s="19" t="str">
        <f t="shared" si="0"/>
        <v/>
      </c>
      <c r="Q31" s="19" t="str">
        <f t="shared" si="0"/>
        <v/>
      </c>
      <c r="R31" s="19">
        <f t="shared" si="0"/>
        <v>-3.0000000000001137</v>
      </c>
      <c r="S31" s="27">
        <f t="shared" si="2"/>
        <v>0</v>
      </c>
      <c r="T31" s="28">
        <f t="shared" si="2"/>
        <v>0.12499999999993072</v>
      </c>
      <c r="U31" s="28">
        <f t="shared" si="2"/>
        <v>0</v>
      </c>
      <c r="V31" s="28" t="str">
        <f t="shared" si="2"/>
        <v/>
      </c>
      <c r="W31" s="28" t="str">
        <f t="shared" si="2"/>
        <v/>
      </c>
      <c r="X31" s="29" t="str">
        <f t="shared" si="2"/>
        <v/>
      </c>
      <c r="Y31" s="24" t="s">
        <v>23</v>
      </c>
    </row>
    <row r="32" spans="2:25" ht="15" customHeight="1" x14ac:dyDescent="0.2">
      <c r="B32" s="31">
        <v>41724</v>
      </c>
      <c r="C32" s="25">
        <v>13.143000000000001</v>
      </c>
      <c r="D32" s="26">
        <v>8.17</v>
      </c>
      <c r="E32" s="26">
        <v>8.2780000000000005</v>
      </c>
      <c r="F32" s="47"/>
      <c r="G32" s="47"/>
      <c r="H32" s="47"/>
      <c r="I32" s="26">
        <v>102.871</v>
      </c>
      <c r="J32" s="32">
        <v>319</v>
      </c>
      <c r="K32" s="59">
        <f t="shared" si="4"/>
        <v>-199</v>
      </c>
      <c r="L32" s="19">
        <f t="shared" si="1"/>
        <v>2.0000000000006679</v>
      </c>
      <c r="M32" s="19">
        <f t="shared" si="1"/>
        <v>0.99999999999944578</v>
      </c>
      <c r="N32" s="19">
        <f t="shared" si="1"/>
        <v>-0.99999999999944578</v>
      </c>
      <c r="O32" s="19" t="str">
        <f t="shared" si="0"/>
        <v/>
      </c>
      <c r="P32" s="19" t="str">
        <f t="shared" si="0"/>
        <v/>
      </c>
      <c r="Q32" s="19" t="str">
        <f t="shared" si="0"/>
        <v/>
      </c>
      <c r="R32" s="19">
        <f t="shared" si="0"/>
        <v>-4.0000000000048885</v>
      </c>
      <c r="S32" s="27">
        <f t="shared" si="2"/>
        <v>0</v>
      </c>
      <c r="T32" s="28">
        <f t="shared" si="2"/>
        <v>0</v>
      </c>
      <c r="U32" s="28">
        <f t="shared" si="2"/>
        <v>0</v>
      </c>
      <c r="V32" s="28" t="str">
        <f t="shared" si="2"/>
        <v/>
      </c>
      <c r="W32" s="28" t="str">
        <f t="shared" si="2"/>
        <v/>
      </c>
      <c r="X32" s="29" t="str">
        <f t="shared" si="2"/>
        <v/>
      </c>
      <c r="Y32" s="24"/>
    </row>
    <row r="33" spans="2:25" ht="15" customHeight="1" x14ac:dyDescent="0.2">
      <c r="B33" s="31">
        <v>41751</v>
      </c>
      <c r="C33" s="64">
        <v>13.143000000000001</v>
      </c>
      <c r="D33" s="65">
        <v>8.17</v>
      </c>
      <c r="E33" s="65">
        <v>8.2780000000000005</v>
      </c>
      <c r="F33" s="16">
        <v>13.746</v>
      </c>
      <c r="G33" s="16">
        <v>10.545999999999999</v>
      </c>
      <c r="H33" s="16">
        <v>11.105</v>
      </c>
      <c r="I33" s="26">
        <v>102.871</v>
      </c>
      <c r="J33" s="32">
        <v>534.5</v>
      </c>
      <c r="K33" s="59">
        <f t="shared" si="4"/>
        <v>16.5</v>
      </c>
      <c r="L33" s="19">
        <f t="shared" si="1"/>
        <v>2.0000000000006679</v>
      </c>
      <c r="M33" s="19">
        <f t="shared" si="1"/>
        <v>0.99999999999944578</v>
      </c>
      <c r="N33" s="19">
        <f t="shared" si="1"/>
        <v>-0.99999999999944578</v>
      </c>
      <c r="O33" s="19">
        <f>IF(ISBLANK(F33),"",((F33-F$33)*1000)+L$32)</f>
        <v>2.0000000000006679</v>
      </c>
      <c r="P33" s="19">
        <f>IF(ISBLANK(G33),"",((G33-G$33)*1000)+M$32)</f>
        <v>0.99999999999944578</v>
      </c>
      <c r="Q33" s="19">
        <f>IF(ISBLANK(H33),"",((H33-H$33)*1000)+N$32)</f>
        <v>-0.99999999999944578</v>
      </c>
      <c r="R33" s="19">
        <f t="shared" si="1"/>
        <v>-4.0000000000048885</v>
      </c>
      <c r="S33" s="27">
        <f t="shared" ref="S33:X48" si="5">IF(C33="","",((C33-C32)*1000)/($B33-$B32))</f>
        <v>0</v>
      </c>
      <c r="T33" s="28">
        <f t="shared" si="5"/>
        <v>0</v>
      </c>
      <c r="U33" s="28">
        <f t="shared" si="5"/>
        <v>0</v>
      </c>
      <c r="V33" s="28"/>
      <c r="W33" s="28"/>
      <c r="X33" s="29"/>
      <c r="Y33" s="24" t="s">
        <v>35</v>
      </c>
    </row>
    <row r="34" spans="2:25" ht="15" customHeight="1" x14ac:dyDescent="0.2">
      <c r="B34" s="31">
        <v>41752</v>
      </c>
      <c r="C34" s="64">
        <v>13.143000000000001</v>
      </c>
      <c r="D34" s="65">
        <v>8.17</v>
      </c>
      <c r="E34" s="65">
        <v>8.2780000000000005</v>
      </c>
      <c r="F34" s="16">
        <v>13.744</v>
      </c>
      <c r="G34" s="16">
        <v>10.544</v>
      </c>
      <c r="H34" s="16">
        <v>11.103999999999999</v>
      </c>
      <c r="I34" s="26">
        <v>102.871</v>
      </c>
      <c r="J34" s="32">
        <v>534.5</v>
      </c>
      <c r="K34" s="59">
        <f t="shared" si="4"/>
        <v>16.5</v>
      </c>
      <c r="L34" s="19">
        <f t="shared" si="1"/>
        <v>2.0000000000006679</v>
      </c>
      <c r="M34" s="19">
        <f t="shared" si="1"/>
        <v>0.99999999999944578</v>
      </c>
      <c r="N34" s="19">
        <f t="shared" si="1"/>
        <v>-0.99999999999944578</v>
      </c>
      <c r="O34" s="19">
        <f t="shared" ref="O34:O40" si="6">IF(ISBLANK(F34),"",((F34-F$33)*1000)+L$32)</f>
        <v>0</v>
      </c>
      <c r="P34" s="19">
        <f t="shared" ref="P34:P40" si="7">IF(ISBLANK(G34),"",((G34-G$33)*1000)+M$32)</f>
        <v>-0.99999999999944578</v>
      </c>
      <c r="Q34" s="19">
        <f t="shared" ref="Q34:Q97" si="8">IF(ISBLANK(H34),"",((H34-H$33)*1000)+N$32)</f>
        <v>-2.0000000000006679</v>
      </c>
      <c r="R34" s="19">
        <f t="shared" si="1"/>
        <v>-4.0000000000048885</v>
      </c>
      <c r="S34" s="27">
        <f t="shared" si="5"/>
        <v>0</v>
      </c>
      <c r="T34" s="28">
        <f t="shared" si="5"/>
        <v>0</v>
      </c>
      <c r="U34" s="28">
        <f t="shared" si="5"/>
        <v>0</v>
      </c>
      <c r="V34" s="28">
        <f t="shared" si="5"/>
        <v>-2.0000000000006679</v>
      </c>
      <c r="W34" s="28">
        <f t="shared" si="5"/>
        <v>-1.9999999999988916</v>
      </c>
      <c r="X34" s="29">
        <f t="shared" si="5"/>
        <v>-1.0000000000012221</v>
      </c>
      <c r="Y34" s="24"/>
    </row>
    <row r="35" spans="2:25" ht="15" customHeight="1" x14ac:dyDescent="0.2">
      <c r="B35" s="31">
        <v>41753</v>
      </c>
      <c r="C35" s="64">
        <v>13.143000000000001</v>
      </c>
      <c r="D35" s="65">
        <v>8.17</v>
      </c>
      <c r="E35" s="65">
        <v>8.2780000000000005</v>
      </c>
      <c r="F35" s="16">
        <v>13.743</v>
      </c>
      <c r="G35" s="16">
        <v>10.545</v>
      </c>
      <c r="H35" s="16">
        <v>11.103</v>
      </c>
      <c r="I35" s="26">
        <v>102.871</v>
      </c>
      <c r="J35" s="32">
        <v>534.5</v>
      </c>
      <c r="K35" s="59">
        <f t="shared" si="4"/>
        <v>16.5</v>
      </c>
      <c r="L35" s="19">
        <f t="shared" si="1"/>
        <v>2.0000000000006679</v>
      </c>
      <c r="M35" s="19">
        <f t="shared" si="1"/>
        <v>0.99999999999944578</v>
      </c>
      <c r="N35" s="19">
        <f t="shared" si="1"/>
        <v>-0.99999999999944578</v>
      </c>
      <c r="O35" s="19">
        <f t="shared" si="6"/>
        <v>-0.99999999999944578</v>
      </c>
      <c r="P35" s="19">
        <f t="shared" si="7"/>
        <v>0</v>
      </c>
      <c r="Q35" s="19">
        <f t="shared" si="8"/>
        <v>-3.0000000000001137</v>
      </c>
      <c r="R35" s="19">
        <f t="shared" si="1"/>
        <v>-4.0000000000048885</v>
      </c>
      <c r="S35" s="27">
        <f t="shared" si="5"/>
        <v>0</v>
      </c>
      <c r="T35" s="28">
        <f t="shared" si="5"/>
        <v>0</v>
      </c>
      <c r="U35" s="28">
        <f t="shared" si="5"/>
        <v>0</v>
      </c>
      <c r="V35" s="28">
        <f t="shared" si="5"/>
        <v>-0.99999999999944578</v>
      </c>
      <c r="W35" s="28">
        <f t="shared" si="5"/>
        <v>0.99999999999944578</v>
      </c>
      <c r="X35" s="29">
        <f t="shared" si="5"/>
        <v>-0.99999999999944578</v>
      </c>
      <c r="Y35" s="24"/>
    </row>
    <row r="36" spans="2:25" ht="15" customHeight="1" x14ac:dyDescent="0.2">
      <c r="B36" s="31">
        <v>41754</v>
      </c>
      <c r="C36" s="64">
        <v>13.143000000000001</v>
      </c>
      <c r="D36" s="65">
        <v>8.17</v>
      </c>
      <c r="E36" s="65">
        <v>8.2780000000000005</v>
      </c>
      <c r="F36" s="16">
        <v>13.743</v>
      </c>
      <c r="G36" s="16">
        <v>10.544</v>
      </c>
      <c r="H36" s="16">
        <v>11.103</v>
      </c>
      <c r="I36" s="26">
        <v>102.871</v>
      </c>
      <c r="J36" s="32">
        <v>534.5</v>
      </c>
      <c r="K36" s="59">
        <f t="shared" si="4"/>
        <v>16.5</v>
      </c>
      <c r="L36" s="19">
        <f t="shared" si="1"/>
        <v>2.0000000000006679</v>
      </c>
      <c r="M36" s="19">
        <f t="shared" si="1"/>
        <v>0.99999999999944578</v>
      </c>
      <c r="N36" s="19">
        <f t="shared" si="1"/>
        <v>-0.99999999999944578</v>
      </c>
      <c r="O36" s="19">
        <f t="shared" si="6"/>
        <v>-0.99999999999944578</v>
      </c>
      <c r="P36" s="19">
        <f t="shared" si="7"/>
        <v>-0.99999999999944578</v>
      </c>
      <c r="Q36" s="19">
        <f t="shared" si="8"/>
        <v>-3.0000000000001137</v>
      </c>
      <c r="R36" s="19">
        <f t="shared" si="1"/>
        <v>-4.0000000000048885</v>
      </c>
      <c r="S36" s="27">
        <f t="shared" si="5"/>
        <v>0</v>
      </c>
      <c r="T36" s="28">
        <f t="shared" si="5"/>
        <v>0</v>
      </c>
      <c r="U36" s="28">
        <f t="shared" si="5"/>
        <v>0</v>
      </c>
      <c r="V36" s="28">
        <f t="shared" si="5"/>
        <v>0</v>
      </c>
      <c r="W36" s="28">
        <f t="shared" si="5"/>
        <v>-0.99999999999944578</v>
      </c>
      <c r="X36" s="29">
        <f t="shared" si="5"/>
        <v>0</v>
      </c>
      <c r="Y36" s="24"/>
    </row>
    <row r="37" spans="2:25" ht="15" customHeight="1" x14ac:dyDescent="0.2">
      <c r="B37" s="31">
        <v>41757</v>
      </c>
      <c r="C37" s="64">
        <v>13.143000000000001</v>
      </c>
      <c r="D37" s="65">
        <v>8.17</v>
      </c>
      <c r="E37" s="65">
        <v>8.2780000000000005</v>
      </c>
      <c r="F37" s="16">
        <v>13.742000000000001</v>
      </c>
      <c r="G37" s="16">
        <v>10.542999999999999</v>
      </c>
      <c r="H37" s="16">
        <v>11.103</v>
      </c>
      <c r="I37" s="26">
        <v>102.871</v>
      </c>
      <c r="J37" s="32">
        <v>534.5</v>
      </c>
      <c r="K37" s="59">
        <f t="shared" si="4"/>
        <v>16.5</v>
      </c>
      <c r="L37" s="19">
        <f t="shared" si="1"/>
        <v>2.0000000000006679</v>
      </c>
      <c r="M37" s="19">
        <f t="shared" si="1"/>
        <v>0.99999999999944578</v>
      </c>
      <c r="N37" s="19">
        <f t="shared" si="1"/>
        <v>-0.99999999999944578</v>
      </c>
      <c r="O37" s="19">
        <f t="shared" si="6"/>
        <v>-1.9999999999988916</v>
      </c>
      <c r="P37" s="19">
        <f t="shared" si="7"/>
        <v>-2.0000000000006679</v>
      </c>
      <c r="Q37" s="19">
        <f t="shared" si="8"/>
        <v>-3.0000000000001137</v>
      </c>
      <c r="R37" s="19">
        <f t="shared" si="1"/>
        <v>-4.0000000000048885</v>
      </c>
      <c r="S37" s="27">
        <f t="shared" si="5"/>
        <v>0</v>
      </c>
      <c r="T37" s="28">
        <f t="shared" si="5"/>
        <v>0</v>
      </c>
      <c r="U37" s="28">
        <f t="shared" si="5"/>
        <v>0</v>
      </c>
      <c r="V37" s="28">
        <f t="shared" si="5"/>
        <v>-0.33333333333314857</v>
      </c>
      <c r="W37" s="28">
        <f t="shared" si="5"/>
        <v>-0.33333333333374071</v>
      </c>
      <c r="X37" s="29">
        <f t="shared" si="5"/>
        <v>0</v>
      </c>
      <c r="Y37" s="24"/>
    </row>
    <row r="38" spans="2:25" ht="15" customHeight="1" x14ac:dyDescent="0.2">
      <c r="B38" s="31">
        <v>41758</v>
      </c>
      <c r="C38" s="64">
        <v>13.143000000000001</v>
      </c>
      <c r="D38" s="65">
        <v>8.17</v>
      </c>
      <c r="E38" s="65">
        <v>8.2780000000000005</v>
      </c>
      <c r="F38" s="16">
        <v>13.742000000000001</v>
      </c>
      <c r="G38" s="16">
        <v>10.544</v>
      </c>
      <c r="H38" s="16">
        <v>11.103</v>
      </c>
      <c r="I38" s="26">
        <v>102.871</v>
      </c>
      <c r="J38" s="32">
        <v>534.5</v>
      </c>
      <c r="K38" s="59">
        <f t="shared" si="4"/>
        <v>16.5</v>
      </c>
      <c r="L38" s="19">
        <f t="shared" si="1"/>
        <v>2.0000000000006679</v>
      </c>
      <c r="M38" s="19">
        <f t="shared" si="1"/>
        <v>0.99999999999944578</v>
      </c>
      <c r="N38" s="19">
        <f t="shared" si="1"/>
        <v>-0.99999999999944578</v>
      </c>
      <c r="O38" s="19">
        <f t="shared" si="6"/>
        <v>-1.9999999999988916</v>
      </c>
      <c r="P38" s="19">
        <f t="shared" si="7"/>
        <v>-0.99999999999944578</v>
      </c>
      <c r="Q38" s="19">
        <f t="shared" si="8"/>
        <v>-3.0000000000001137</v>
      </c>
      <c r="R38" s="19">
        <f t="shared" si="1"/>
        <v>-4.0000000000048885</v>
      </c>
      <c r="S38" s="27">
        <f t="shared" si="5"/>
        <v>0</v>
      </c>
      <c r="T38" s="28">
        <f t="shared" si="5"/>
        <v>0</v>
      </c>
      <c r="U38" s="28">
        <f t="shared" si="5"/>
        <v>0</v>
      </c>
      <c r="V38" s="28">
        <f t="shared" si="5"/>
        <v>0</v>
      </c>
      <c r="W38" s="28">
        <f t="shared" si="5"/>
        <v>1.0000000000012221</v>
      </c>
      <c r="X38" s="29">
        <f t="shared" si="5"/>
        <v>0</v>
      </c>
      <c r="Y38" s="24"/>
    </row>
    <row r="39" spans="2:25" ht="15" customHeight="1" x14ac:dyDescent="0.2">
      <c r="B39" s="31">
        <v>41759</v>
      </c>
      <c r="C39" s="64">
        <v>13.143000000000001</v>
      </c>
      <c r="D39" s="65">
        <v>8.17</v>
      </c>
      <c r="E39" s="65">
        <v>8.2780000000000005</v>
      </c>
      <c r="F39" s="16">
        <v>13.742000000000001</v>
      </c>
      <c r="G39" s="16">
        <v>10.544</v>
      </c>
      <c r="H39" s="16">
        <v>11.103</v>
      </c>
      <c r="I39" s="26">
        <v>102.871</v>
      </c>
      <c r="J39" s="32">
        <v>534.5</v>
      </c>
      <c r="K39" s="59">
        <f t="shared" si="4"/>
        <v>16.5</v>
      </c>
      <c r="L39" s="19">
        <f t="shared" si="1"/>
        <v>2.0000000000006679</v>
      </c>
      <c r="M39" s="19">
        <f t="shared" si="1"/>
        <v>0.99999999999944578</v>
      </c>
      <c r="N39" s="19">
        <f t="shared" si="1"/>
        <v>-0.99999999999944578</v>
      </c>
      <c r="O39" s="19">
        <f t="shared" si="6"/>
        <v>-1.9999999999988916</v>
      </c>
      <c r="P39" s="19">
        <f t="shared" si="7"/>
        <v>-0.99999999999944578</v>
      </c>
      <c r="Q39" s="19">
        <f t="shared" si="8"/>
        <v>-3.0000000000001137</v>
      </c>
      <c r="R39" s="19">
        <f t="shared" si="1"/>
        <v>-4.0000000000048885</v>
      </c>
      <c r="S39" s="27">
        <f t="shared" si="5"/>
        <v>0</v>
      </c>
      <c r="T39" s="28">
        <f t="shared" si="5"/>
        <v>0</v>
      </c>
      <c r="U39" s="28">
        <f t="shared" si="5"/>
        <v>0</v>
      </c>
      <c r="V39" s="28">
        <f t="shared" si="5"/>
        <v>0</v>
      </c>
      <c r="W39" s="28">
        <f t="shared" si="5"/>
        <v>0</v>
      </c>
      <c r="X39" s="29">
        <f t="shared" si="5"/>
        <v>0</v>
      </c>
      <c r="Y39" s="24"/>
    </row>
    <row r="40" spans="2:25" ht="15" customHeight="1" x14ac:dyDescent="0.2">
      <c r="B40" s="31">
        <v>41781</v>
      </c>
      <c r="C40" s="64">
        <v>13.143000000000001</v>
      </c>
      <c r="D40" s="65">
        <v>8.17</v>
      </c>
      <c r="E40" s="65">
        <v>8.2780000000000005</v>
      </c>
      <c r="F40" s="16">
        <v>13.742000000000001</v>
      </c>
      <c r="G40" s="16">
        <v>10.544</v>
      </c>
      <c r="H40" s="16">
        <v>11.103999999999999</v>
      </c>
      <c r="I40" s="26">
        <v>102.872</v>
      </c>
      <c r="J40" s="58">
        <v>792</v>
      </c>
      <c r="K40" s="59">
        <f t="shared" ref="K40:K53" si="9">IF(ISBLANK(J40),"",(J40-$J$8))</f>
        <v>274</v>
      </c>
      <c r="L40" s="19">
        <f t="shared" si="1"/>
        <v>2.0000000000006679</v>
      </c>
      <c r="M40" s="19">
        <f t="shared" si="1"/>
        <v>0.99999999999944578</v>
      </c>
      <c r="N40" s="19">
        <f t="shared" si="1"/>
        <v>-0.99999999999944578</v>
      </c>
      <c r="O40" s="19">
        <f t="shared" si="6"/>
        <v>-1.9999999999988916</v>
      </c>
      <c r="P40" s="19">
        <f t="shared" si="7"/>
        <v>-0.99999999999944578</v>
      </c>
      <c r="Q40" s="19">
        <f t="shared" si="8"/>
        <v>-2.0000000000006679</v>
      </c>
      <c r="R40" s="19">
        <f t="shared" si="1"/>
        <v>-3.0000000000001137</v>
      </c>
      <c r="S40" s="27">
        <f t="shared" si="5"/>
        <v>0</v>
      </c>
      <c r="T40" s="28">
        <f t="shared" si="5"/>
        <v>0</v>
      </c>
      <c r="U40" s="28">
        <f t="shared" si="5"/>
        <v>0</v>
      </c>
      <c r="V40" s="28">
        <f t="shared" si="5"/>
        <v>0</v>
      </c>
      <c r="W40" s="28">
        <f t="shared" si="5"/>
        <v>0</v>
      </c>
      <c r="X40" s="29">
        <f t="shared" si="5"/>
        <v>4.5454545454520261E-2</v>
      </c>
      <c r="Y40" s="24"/>
    </row>
    <row r="41" spans="2:25" ht="15" customHeight="1" x14ac:dyDescent="0.2">
      <c r="B41" s="31">
        <v>41806</v>
      </c>
      <c r="C41" s="64">
        <v>13.143000000000001</v>
      </c>
      <c r="D41" s="65">
        <v>8.17</v>
      </c>
      <c r="E41" s="65">
        <v>8.2780000000000005</v>
      </c>
      <c r="F41" s="80">
        <v>13.76</v>
      </c>
      <c r="G41" s="80">
        <v>10.548999999999999</v>
      </c>
      <c r="H41" s="16">
        <v>11.103999999999999</v>
      </c>
      <c r="I41" s="26">
        <v>102.872</v>
      </c>
      <c r="J41" s="58">
        <v>546</v>
      </c>
      <c r="K41" s="59">
        <f t="shared" si="9"/>
        <v>28</v>
      </c>
      <c r="L41" s="19">
        <f t="shared" si="1"/>
        <v>2.0000000000006679</v>
      </c>
      <c r="M41" s="19">
        <f t="shared" si="1"/>
        <v>0.99999999999944578</v>
      </c>
      <c r="N41" s="19">
        <f t="shared" si="1"/>
        <v>-0.99999999999944578</v>
      </c>
      <c r="O41" s="81">
        <f>IF(ISBLANK(F41),"",((F41-F$41)*1000)+O$40)</f>
        <v>-1.9999999999988916</v>
      </c>
      <c r="P41" s="81">
        <f>IF(ISBLANK(G41),"",((G41-G$41)*1000)+P$40)</f>
        <v>-0.99999999999944578</v>
      </c>
      <c r="Q41" s="19">
        <f t="shared" si="8"/>
        <v>-2.0000000000006679</v>
      </c>
      <c r="R41" s="19">
        <f t="shared" si="1"/>
        <v>-3.0000000000001137</v>
      </c>
      <c r="S41" s="27">
        <f t="shared" si="5"/>
        <v>0</v>
      </c>
      <c r="T41" s="28">
        <f t="shared" si="5"/>
        <v>0</v>
      </c>
      <c r="U41" s="28">
        <f t="shared" si="5"/>
        <v>0</v>
      </c>
      <c r="V41" s="28">
        <f t="shared" si="5"/>
        <v>0.71999999999995623</v>
      </c>
      <c r="W41" s="28">
        <f t="shared" si="5"/>
        <v>0.19999999999996021</v>
      </c>
      <c r="X41" s="29">
        <f t="shared" si="5"/>
        <v>0</v>
      </c>
      <c r="Y41" s="24" t="s">
        <v>47</v>
      </c>
    </row>
    <row r="42" spans="2:25" ht="15" customHeight="1" x14ac:dyDescent="0.2">
      <c r="B42" s="31">
        <v>41807</v>
      </c>
      <c r="C42" s="25">
        <v>13.144</v>
      </c>
      <c r="D42" s="26">
        <v>8.1690000000000005</v>
      </c>
      <c r="E42" s="26">
        <v>8.2789999999999999</v>
      </c>
      <c r="F42" s="47">
        <v>13.759</v>
      </c>
      <c r="G42" s="47">
        <v>10.548999999999999</v>
      </c>
      <c r="H42" s="16">
        <v>11.103999999999999</v>
      </c>
      <c r="I42" s="26">
        <v>102.872</v>
      </c>
      <c r="J42" s="58">
        <v>556</v>
      </c>
      <c r="K42" s="59">
        <f t="shared" si="9"/>
        <v>38</v>
      </c>
      <c r="L42" s="19">
        <f t="shared" si="1"/>
        <v>3.0000000000001137</v>
      </c>
      <c r="M42" s="19">
        <f t="shared" si="1"/>
        <v>0</v>
      </c>
      <c r="N42" s="19">
        <f t="shared" si="1"/>
        <v>0</v>
      </c>
      <c r="O42" s="19">
        <f t="shared" ref="O42:O105" si="10">IF(ISBLANK(F42),"",((F42-F$41)*1000)+O$40)</f>
        <v>-2.9999999999983373</v>
      </c>
      <c r="P42" s="19">
        <f t="shared" ref="P42:P105" si="11">IF(ISBLANK(G42),"",((G42-G$41)*1000)+P$40)</f>
        <v>-0.99999999999944578</v>
      </c>
      <c r="Q42" s="19">
        <f t="shared" si="8"/>
        <v>-2.0000000000006679</v>
      </c>
      <c r="R42" s="19">
        <f t="shared" si="1"/>
        <v>-3.0000000000001137</v>
      </c>
      <c r="S42" s="27"/>
      <c r="T42" s="28"/>
      <c r="U42" s="28"/>
      <c r="V42" s="28">
        <f t="shared" si="5"/>
        <v>-0.99999999999944578</v>
      </c>
      <c r="W42" s="28">
        <f t="shared" si="5"/>
        <v>0</v>
      </c>
      <c r="X42" s="29">
        <f t="shared" si="5"/>
        <v>0</v>
      </c>
      <c r="Y42" s="24"/>
    </row>
    <row r="43" spans="2:25" ht="15" customHeight="1" x14ac:dyDescent="0.2">
      <c r="B43" s="31">
        <v>41808</v>
      </c>
      <c r="C43" s="82">
        <v>13.135999999999999</v>
      </c>
      <c r="D43" s="26">
        <v>8.17</v>
      </c>
      <c r="E43" s="45">
        <v>8.2720000000000002</v>
      </c>
      <c r="F43" s="47">
        <v>13.759</v>
      </c>
      <c r="G43" s="47">
        <v>10.548</v>
      </c>
      <c r="H43" s="16">
        <v>11.103</v>
      </c>
      <c r="I43" s="26">
        <v>102.872</v>
      </c>
      <c r="J43" s="58">
        <v>552</v>
      </c>
      <c r="K43" s="59">
        <f t="shared" si="9"/>
        <v>34</v>
      </c>
      <c r="L43" s="19">
        <f t="shared" si="1"/>
        <v>-5.0000000000007816</v>
      </c>
      <c r="M43" s="19">
        <f t="shared" si="1"/>
        <v>0.99999999999944578</v>
      </c>
      <c r="N43" s="19">
        <f t="shared" si="1"/>
        <v>-6.9999999999996732</v>
      </c>
      <c r="O43" s="19">
        <f t="shared" si="10"/>
        <v>-2.9999999999983373</v>
      </c>
      <c r="P43" s="19">
        <f t="shared" si="11"/>
        <v>-1.9999999999988916</v>
      </c>
      <c r="Q43" s="19">
        <f t="shared" si="8"/>
        <v>-3.0000000000001137</v>
      </c>
      <c r="R43" s="19">
        <f t="shared" si="1"/>
        <v>-3.0000000000001137</v>
      </c>
      <c r="S43" s="27">
        <f t="shared" si="5"/>
        <v>-8.0000000000008953</v>
      </c>
      <c r="T43" s="28">
        <f t="shared" si="5"/>
        <v>0.99999999999944578</v>
      </c>
      <c r="U43" s="28">
        <f t="shared" si="5"/>
        <v>-6.9999999999996732</v>
      </c>
      <c r="V43" s="28">
        <f t="shared" si="5"/>
        <v>0</v>
      </c>
      <c r="W43" s="28">
        <f t="shared" si="5"/>
        <v>-0.99999999999944578</v>
      </c>
      <c r="X43" s="29">
        <f t="shared" si="5"/>
        <v>-0.99999999999944578</v>
      </c>
      <c r="Y43" s="24" t="s">
        <v>48</v>
      </c>
    </row>
    <row r="44" spans="2:25" ht="15" customHeight="1" x14ac:dyDescent="0.2">
      <c r="B44" s="31">
        <v>41809</v>
      </c>
      <c r="C44" s="25">
        <v>13.135999999999999</v>
      </c>
      <c r="D44" s="26">
        <v>8.1690000000000005</v>
      </c>
      <c r="E44" s="26">
        <v>8.2710000000000008</v>
      </c>
      <c r="F44" s="47">
        <v>13.76</v>
      </c>
      <c r="G44" s="47">
        <v>10.548999999999999</v>
      </c>
      <c r="H44" s="16">
        <v>11.103999999999999</v>
      </c>
      <c r="I44" s="26">
        <v>102.873</v>
      </c>
      <c r="J44" s="58">
        <v>559</v>
      </c>
      <c r="K44" s="59">
        <f t="shared" si="9"/>
        <v>41</v>
      </c>
      <c r="L44" s="19">
        <f t="shared" si="1"/>
        <v>-5.0000000000007816</v>
      </c>
      <c r="M44" s="19">
        <f t="shared" si="1"/>
        <v>0</v>
      </c>
      <c r="N44" s="19">
        <f t="shared" si="1"/>
        <v>-7.9999999999991189</v>
      </c>
      <c r="O44" s="19">
        <f t="shared" si="10"/>
        <v>-1.9999999999988916</v>
      </c>
      <c r="P44" s="19">
        <f t="shared" si="11"/>
        <v>-0.99999999999944578</v>
      </c>
      <c r="Q44" s="19">
        <f t="shared" si="8"/>
        <v>-2.0000000000006679</v>
      </c>
      <c r="R44" s="19">
        <f t="shared" si="1"/>
        <v>-1.9999999999953388</v>
      </c>
      <c r="S44" s="27">
        <f t="shared" si="5"/>
        <v>0</v>
      </c>
      <c r="T44" s="28">
        <f t="shared" si="5"/>
        <v>-0.99999999999944578</v>
      </c>
      <c r="U44" s="28">
        <f t="shared" si="5"/>
        <v>-0.99999999999944578</v>
      </c>
      <c r="V44" s="28">
        <f t="shared" si="5"/>
        <v>0.99999999999944578</v>
      </c>
      <c r="W44" s="28">
        <f t="shared" si="5"/>
        <v>0.99999999999944578</v>
      </c>
      <c r="X44" s="29">
        <f t="shared" si="5"/>
        <v>0.99999999999944578</v>
      </c>
      <c r="Y44" s="24"/>
    </row>
    <row r="45" spans="2:25" ht="15" customHeight="1" x14ac:dyDescent="0.2">
      <c r="B45" s="31">
        <v>41810</v>
      </c>
      <c r="C45" s="25">
        <v>13.135999999999999</v>
      </c>
      <c r="D45" s="26">
        <v>8.17</v>
      </c>
      <c r="E45" s="26">
        <v>8.2720000000000002</v>
      </c>
      <c r="F45" s="47">
        <v>13.759</v>
      </c>
      <c r="G45" s="47">
        <v>10.548</v>
      </c>
      <c r="H45" s="16">
        <v>11.103</v>
      </c>
      <c r="I45" s="26">
        <v>102.872</v>
      </c>
      <c r="J45" s="58">
        <v>563</v>
      </c>
      <c r="K45" s="59">
        <f t="shared" si="9"/>
        <v>45</v>
      </c>
      <c r="L45" s="19">
        <f t="shared" si="1"/>
        <v>-5.0000000000007816</v>
      </c>
      <c r="M45" s="19">
        <f t="shared" si="1"/>
        <v>0.99999999999944578</v>
      </c>
      <c r="N45" s="19">
        <f t="shared" si="1"/>
        <v>-6.9999999999996732</v>
      </c>
      <c r="O45" s="19">
        <f t="shared" si="10"/>
        <v>-2.9999999999983373</v>
      </c>
      <c r="P45" s="19">
        <f t="shared" si="11"/>
        <v>-1.9999999999988916</v>
      </c>
      <c r="Q45" s="19">
        <f t="shared" si="8"/>
        <v>-3.0000000000001137</v>
      </c>
      <c r="R45" s="19">
        <f t="shared" si="1"/>
        <v>-3.0000000000001137</v>
      </c>
      <c r="S45" s="27">
        <f t="shared" si="5"/>
        <v>0</v>
      </c>
      <c r="T45" s="28">
        <f t="shared" si="5"/>
        <v>0.99999999999944578</v>
      </c>
      <c r="U45" s="28">
        <f t="shared" si="5"/>
        <v>0.99999999999944578</v>
      </c>
      <c r="V45" s="28">
        <f t="shared" si="5"/>
        <v>-0.99999999999944578</v>
      </c>
      <c r="W45" s="28">
        <f t="shared" si="5"/>
        <v>-0.99999999999944578</v>
      </c>
      <c r="X45" s="29">
        <f t="shared" si="5"/>
        <v>-0.99999999999944578</v>
      </c>
      <c r="Y45" s="24"/>
    </row>
    <row r="46" spans="2:25" ht="15" customHeight="1" x14ac:dyDescent="0.2">
      <c r="B46" s="31">
        <v>41813</v>
      </c>
      <c r="C46" s="25">
        <v>13.135999999999999</v>
      </c>
      <c r="D46" s="26">
        <v>8.1690000000000005</v>
      </c>
      <c r="E46" s="26">
        <v>8.2710000000000008</v>
      </c>
      <c r="F46" s="47">
        <v>13.76</v>
      </c>
      <c r="G46" s="47">
        <v>10.548</v>
      </c>
      <c r="H46" s="16">
        <v>11.103</v>
      </c>
      <c r="I46" s="26">
        <v>102.872</v>
      </c>
      <c r="J46" s="58">
        <v>574</v>
      </c>
      <c r="K46" s="59">
        <f t="shared" si="9"/>
        <v>56</v>
      </c>
      <c r="L46" s="19">
        <f t="shared" si="1"/>
        <v>-5.0000000000007816</v>
      </c>
      <c r="M46" s="19">
        <f t="shared" si="1"/>
        <v>0</v>
      </c>
      <c r="N46" s="19">
        <f t="shared" si="1"/>
        <v>-7.9999999999991189</v>
      </c>
      <c r="O46" s="19">
        <f t="shared" si="10"/>
        <v>-1.9999999999988916</v>
      </c>
      <c r="P46" s="19">
        <f t="shared" si="11"/>
        <v>-1.9999999999988916</v>
      </c>
      <c r="Q46" s="19">
        <f t="shared" si="8"/>
        <v>-3.0000000000001137</v>
      </c>
      <c r="R46" s="19">
        <f t="shared" si="1"/>
        <v>-3.0000000000001137</v>
      </c>
      <c r="S46" s="27">
        <f t="shared" si="5"/>
        <v>0</v>
      </c>
      <c r="T46" s="28">
        <f t="shared" si="5"/>
        <v>-0.33333333333314857</v>
      </c>
      <c r="U46" s="28">
        <f t="shared" si="5"/>
        <v>-0.33333333333314857</v>
      </c>
      <c r="V46" s="28">
        <f t="shared" si="5"/>
        <v>0.33333333333314857</v>
      </c>
      <c r="W46" s="28">
        <f t="shared" si="5"/>
        <v>0</v>
      </c>
      <c r="X46" s="29">
        <f t="shared" si="5"/>
        <v>0</v>
      </c>
      <c r="Y46" s="24"/>
    </row>
    <row r="47" spans="2:25" ht="15" customHeight="1" x14ac:dyDescent="0.2">
      <c r="B47" s="31">
        <v>41814</v>
      </c>
      <c r="C47" s="64">
        <v>13.135999999999999</v>
      </c>
      <c r="D47" s="26">
        <v>8.17</v>
      </c>
      <c r="E47" s="65">
        <v>8.2710000000000008</v>
      </c>
      <c r="F47" s="83">
        <v>13.76</v>
      </c>
      <c r="G47" s="47">
        <v>10.547000000000001</v>
      </c>
      <c r="H47" s="83">
        <v>11.103</v>
      </c>
      <c r="I47" s="26">
        <v>102.873</v>
      </c>
      <c r="J47" s="58">
        <v>603</v>
      </c>
      <c r="K47" s="59">
        <f t="shared" si="9"/>
        <v>85</v>
      </c>
      <c r="L47" s="19">
        <f t="shared" si="1"/>
        <v>-5.0000000000007816</v>
      </c>
      <c r="M47" s="19">
        <f t="shared" si="1"/>
        <v>0.99999999999944578</v>
      </c>
      <c r="N47" s="19">
        <f t="shared" si="1"/>
        <v>-7.9999999999991189</v>
      </c>
      <c r="O47" s="19">
        <f t="shared" si="10"/>
        <v>-1.9999999999988916</v>
      </c>
      <c r="P47" s="19">
        <f t="shared" si="11"/>
        <v>-2.9999999999983373</v>
      </c>
      <c r="Q47" s="19">
        <f t="shared" si="8"/>
        <v>-3.0000000000001137</v>
      </c>
      <c r="R47" s="19">
        <f t="shared" si="1"/>
        <v>-1.9999999999953388</v>
      </c>
      <c r="S47" s="27">
        <f t="shared" si="5"/>
        <v>0</v>
      </c>
      <c r="T47" s="28">
        <f t="shared" si="5"/>
        <v>0.99999999999944578</v>
      </c>
      <c r="U47" s="28">
        <f t="shared" si="5"/>
        <v>0</v>
      </c>
      <c r="V47" s="28">
        <f t="shared" si="5"/>
        <v>0</v>
      </c>
      <c r="W47" s="28">
        <f t="shared" si="5"/>
        <v>-0.99999999999944578</v>
      </c>
      <c r="X47" s="29">
        <f t="shared" si="5"/>
        <v>0</v>
      </c>
      <c r="Y47" s="24" t="s">
        <v>49</v>
      </c>
    </row>
    <row r="48" spans="2:25" ht="15" customHeight="1" x14ac:dyDescent="0.2">
      <c r="B48" s="31">
        <v>41821</v>
      </c>
      <c r="C48" s="64">
        <v>13.135999999999999</v>
      </c>
      <c r="D48" s="26">
        <v>8.1690000000000005</v>
      </c>
      <c r="E48" s="65">
        <v>8.2710000000000008</v>
      </c>
      <c r="F48" s="47">
        <v>13.759</v>
      </c>
      <c r="G48" s="47">
        <v>10.547000000000001</v>
      </c>
      <c r="H48" s="47">
        <v>11.103</v>
      </c>
      <c r="I48" s="26">
        <v>102.872</v>
      </c>
      <c r="J48" s="58">
        <v>671</v>
      </c>
      <c r="K48" s="59">
        <f t="shared" si="9"/>
        <v>153</v>
      </c>
      <c r="L48" s="19">
        <f t="shared" si="1"/>
        <v>-5.0000000000007816</v>
      </c>
      <c r="M48" s="19">
        <f t="shared" si="1"/>
        <v>0</v>
      </c>
      <c r="N48" s="19">
        <f t="shared" si="1"/>
        <v>-7.9999999999991189</v>
      </c>
      <c r="O48" s="19">
        <f t="shared" si="10"/>
        <v>-2.9999999999983373</v>
      </c>
      <c r="P48" s="19">
        <f t="shared" si="11"/>
        <v>-2.9999999999983373</v>
      </c>
      <c r="Q48" s="19">
        <f t="shared" si="8"/>
        <v>-3.0000000000001137</v>
      </c>
      <c r="R48" s="19">
        <f t="shared" si="1"/>
        <v>-3.0000000000001137</v>
      </c>
      <c r="S48" s="27">
        <f t="shared" si="5"/>
        <v>0</v>
      </c>
      <c r="T48" s="28">
        <f t="shared" si="5"/>
        <v>-0.14285714285706369</v>
      </c>
      <c r="U48" s="28">
        <f t="shared" si="5"/>
        <v>0</v>
      </c>
      <c r="V48" s="28">
        <f t="shared" si="5"/>
        <v>-0.14285714285706369</v>
      </c>
      <c r="W48" s="28">
        <f t="shared" si="5"/>
        <v>0</v>
      </c>
      <c r="X48" s="29">
        <f t="shared" si="5"/>
        <v>0</v>
      </c>
      <c r="Y48" s="24"/>
    </row>
    <row r="49" spans="2:25" ht="15" customHeight="1" x14ac:dyDescent="0.2">
      <c r="B49" s="31">
        <v>41828</v>
      </c>
      <c r="C49" s="64">
        <v>13.134</v>
      </c>
      <c r="D49" s="26">
        <v>8.1690000000000005</v>
      </c>
      <c r="E49" s="65">
        <v>8.2710000000000008</v>
      </c>
      <c r="F49" s="47">
        <v>13.76</v>
      </c>
      <c r="G49" s="47">
        <v>10.547000000000001</v>
      </c>
      <c r="H49" s="47">
        <v>11.103</v>
      </c>
      <c r="I49" s="26">
        <v>102.873</v>
      </c>
      <c r="J49" s="58">
        <v>775</v>
      </c>
      <c r="K49" s="59">
        <f t="shared" si="9"/>
        <v>257</v>
      </c>
      <c r="L49" s="19">
        <f t="shared" si="1"/>
        <v>-6.9999999999996732</v>
      </c>
      <c r="M49" s="19">
        <f t="shared" si="1"/>
        <v>0</v>
      </c>
      <c r="N49" s="19">
        <f t="shared" si="1"/>
        <v>-7.9999999999991189</v>
      </c>
      <c r="O49" s="19">
        <f t="shared" si="10"/>
        <v>-1.9999999999988916</v>
      </c>
      <c r="P49" s="19">
        <f t="shared" si="11"/>
        <v>-2.9999999999983373</v>
      </c>
      <c r="Q49" s="19">
        <f t="shared" si="8"/>
        <v>-3.0000000000001137</v>
      </c>
      <c r="R49" s="19">
        <f t="shared" si="1"/>
        <v>-1.9999999999953388</v>
      </c>
      <c r="S49" s="27">
        <f t="shared" ref="S49:X64" si="12">IF(C49="","",((C49-C48)*1000)/($B49-$B48))</f>
        <v>-0.28571428571412738</v>
      </c>
      <c r="T49" s="28">
        <f t="shared" si="12"/>
        <v>0</v>
      </c>
      <c r="U49" s="28">
        <f t="shared" si="12"/>
        <v>0</v>
      </c>
      <c r="V49" s="28">
        <f t="shared" si="12"/>
        <v>0.14285714285706369</v>
      </c>
      <c r="W49" s="28">
        <f t="shared" si="12"/>
        <v>0</v>
      </c>
      <c r="X49" s="29">
        <f t="shared" si="12"/>
        <v>0</v>
      </c>
      <c r="Y49" s="24"/>
    </row>
    <row r="50" spans="2:25" ht="15" customHeight="1" x14ac:dyDescent="0.2">
      <c r="B50" s="31">
        <v>41835</v>
      </c>
      <c r="C50" s="64">
        <v>13.135</v>
      </c>
      <c r="D50" s="26">
        <v>8.1690000000000005</v>
      </c>
      <c r="E50" s="65">
        <v>8.2710000000000008</v>
      </c>
      <c r="F50" s="47">
        <v>13.759</v>
      </c>
      <c r="G50" s="47">
        <v>10.545999999999999</v>
      </c>
      <c r="H50" s="47">
        <v>11.103</v>
      </c>
      <c r="I50" s="26">
        <v>102.872</v>
      </c>
      <c r="J50" s="58">
        <v>857</v>
      </c>
      <c r="K50" s="59">
        <f t="shared" si="9"/>
        <v>339</v>
      </c>
      <c r="L50" s="19">
        <f t="shared" si="1"/>
        <v>-6.0000000000002274</v>
      </c>
      <c r="M50" s="19">
        <f t="shared" si="1"/>
        <v>0</v>
      </c>
      <c r="N50" s="19">
        <f t="shared" si="1"/>
        <v>-7.9999999999991189</v>
      </c>
      <c r="O50" s="19">
        <f t="shared" si="10"/>
        <v>-2.9999999999983373</v>
      </c>
      <c r="P50" s="19">
        <f t="shared" si="11"/>
        <v>-3.9999999999995595</v>
      </c>
      <c r="Q50" s="19">
        <f t="shared" si="8"/>
        <v>-3.0000000000001137</v>
      </c>
      <c r="R50" s="19">
        <f t="shared" si="1"/>
        <v>-3.0000000000001137</v>
      </c>
      <c r="S50" s="27">
        <f t="shared" si="12"/>
        <v>0.14285714285706369</v>
      </c>
      <c r="T50" s="28">
        <f t="shared" si="12"/>
        <v>0</v>
      </c>
      <c r="U50" s="28">
        <f t="shared" si="12"/>
        <v>0</v>
      </c>
      <c r="V50" s="28">
        <f t="shared" si="12"/>
        <v>-0.14285714285706369</v>
      </c>
      <c r="W50" s="28">
        <f t="shared" si="12"/>
        <v>-0.14285714285731746</v>
      </c>
      <c r="X50" s="29">
        <f t="shared" si="12"/>
        <v>0</v>
      </c>
      <c r="Y50" s="24"/>
    </row>
    <row r="51" spans="2:25" ht="15" customHeight="1" x14ac:dyDescent="0.2">
      <c r="B51" s="31">
        <v>41836</v>
      </c>
      <c r="C51" s="64">
        <v>13.135</v>
      </c>
      <c r="D51" s="26">
        <v>8.1690000000000005</v>
      </c>
      <c r="E51" s="65">
        <v>8.2710000000000008</v>
      </c>
      <c r="F51" s="47">
        <v>13.759</v>
      </c>
      <c r="G51" s="47">
        <v>10.545999999999999</v>
      </c>
      <c r="H51" s="47">
        <v>11.103</v>
      </c>
      <c r="I51" s="26">
        <v>102.872</v>
      </c>
      <c r="J51" s="58">
        <v>857</v>
      </c>
      <c r="K51" s="59">
        <f t="shared" si="9"/>
        <v>339</v>
      </c>
      <c r="L51" s="19">
        <f t="shared" si="1"/>
        <v>-6.0000000000002274</v>
      </c>
      <c r="M51" s="19">
        <f t="shared" si="1"/>
        <v>0</v>
      </c>
      <c r="N51" s="19">
        <f t="shared" si="1"/>
        <v>-7.9999999999991189</v>
      </c>
      <c r="O51" s="19">
        <f t="shared" si="10"/>
        <v>-2.9999999999983373</v>
      </c>
      <c r="P51" s="19">
        <f t="shared" si="11"/>
        <v>-3.9999999999995595</v>
      </c>
      <c r="Q51" s="19">
        <f t="shared" si="8"/>
        <v>-3.0000000000001137</v>
      </c>
      <c r="R51" s="19">
        <f t="shared" si="1"/>
        <v>-3.0000000000001137</v>
      </c>
      <c r="S51" s="27">
        <f t="shared" si="12"/>
        <v>0</v>
      </c>
      <c r="T51" s="28">
        <f t="shared" si="12"/>
        <v>0</v>
      </c>
      <c r="U51" s="28">
        <f t="shared" si="12"/>
        <v>0</v>
      </c>
      <c r="V51" s="28">
        <f t="shared" si="12"/>
        <v>0</v>
      </c>
      <c r="W51" s="28">
        <f t="shared" si="12"/>
        <v>0</v>
      </c>
      <c r="X51" s="29">
        <f t="shared" si="12"/>
        <v>0</v>
      </c>
      <c r="Y51" s="24"/>
    </row>
    <row r="52" spans="2:25" ht="15" customHeight="1" x14ac:dyDescent="0.2">
      <c r="B52" s="31">
        <v>41843</v>
      </c>
      <c r="C52" s="64"/>
      <c r="D52" s="26"/>
      <c r="E52" s="65"/>
      <c r="F52" s="47">
        <v>13.757999999999999</v>
      </c>
      <c r="G52" s="47">
        <v>10.545</v>
      </c>
      <c r="H52" s="47">
        <v>11.103</v>
      </c>
      <c r="I52" s="26">
        <v>102.872</v>
      </c>
      <c r="J52" s="58">
        <v>943</v>
      </c>
      <c r="K52" s="59">
        <f t="shared" si="9"/>
        <v>425</v>
      </c>
      <c r="L52" s="19" t="str">
        <f t="shared" si="1"/>
        <v/>
      </c>
      <c r="M52" s="19" t="str">
        <f t="shared" si="1"/>
        <v/>
      </c>
      <c r="N52" s="19" t="str">
        <f t="shared" si="1"/>
        <v/>
      </c>
      <c r="O52" s="19">
        <f t="shared" si="10"/>
        <v>-3.9999999999995595</v>
      </c>
      <c r="P52" s="19">
        <f t="shared" si="11"/>
        <v>-4.9999999999990052</v>
      </c>
      <c r="Q52" s="19">
        <f t="shared" si="8"/>
        <v>-3.0000000000001137</v>
      </c>
      <c r="R52" s="19">
        <f t="shared" si="1"/>
        <v>-3.0000000000001137</v>
      </c>
      <c r="S52" s="27" t="str">
        <f t="shared" si="12"/>
        <v/>
      </c>
      <c r="T52" s="28" t="str">
        <f t="shared" si="12"/>
        <v/>
      </c>
      <c r="U52" s="28" t="str">
        <f t="shared" si="12"/>
        <v/>
      </c>
      <c r="V52" s="28">
        <f t="shared" si="12"/>
        <v>-0.14285714285731746</v>
      </c>
      <c r="W52" s="28">
        <f t="shared" si="12"/>
        <v>-0.14285714285706369</v>
      </c>
      <c r="X52" s="29">
        <f t="shared" si="12"/>
        <v>0</v>
      </c>
      <c r="Y52" s="24"/>
    </row>
    <row r="53" spans="2:25" ht="15" customHeight="1" x14ac:dyDescent="0.2">
      <c r="B53" s="31">
        <v>41933</v>
      </c>
      <c r="C53" s="64"/>
      <c r="D53" s="26"/>
      <c r="E53" s="65"/>
      <c r="F53" s="75">
        <v>13.757999999999999</v>
      </c>
      <c r="G53" s="75">
        <v>10.545</v>
      </c>
      <c r="H53" s="75">
        <v>11.103</v>
      </c>
      <c r="I53" s="76">
        <v>102.871</v>
      </c>
      <c r="J53" s="58">
        <v>943</v>
      </c>
      <c r="K53" s="59">
        <f t="shared" si="9"/>
        <v>425</v>
      </c>
      <c r="L53" s="19" t="str">
        <f t="shared" si="1"/>
        <v/>
      </c>
      <c r="M53" s="19" t="str">
        <f t="shared" si="1"/>
        <v/>
      </c>
      <c r="N53" s="19" t="str">
        <f t="shared" si="1"/>
        <v/>
      </c>
      <c r="O53" s="19">
        <f t="shared" si="10"/>
        <v>-3.9999999999995595</v>
      </c>
      <c r="P53" s="19">
        <f t="shared" si="11"/>
        <v>-4.9999999999990052</v>
      </c>
      <c r="Q53" s="19">
        <f t="shared" si="8"/>
        <v>-3.0000000000001137</v>
      </c>
      <c r="R53" s="19">
        <f t="shared" si="1"/>
        <v>-4.0000000000048885</v>
      </c>
      <c r="S53" s="27" t="str">
        <f t="shared" si="12"/>
        <v/>
      </c>
      <c r="T53" s="28" t="str">
        <f t="shared" si="12"/>
        <v/>
      </c>
      <c r="U53" s="28" t="str">
        <f t="shared" si="12"/>
        <v/>
      </c>
      <c r="V53" s="28">
        <f t="shared" si="12"/>
        <v>0</v>
      </c>
      <c r="W53" s="28">
        <f t="shared" si="12"/>
        <v>0</v>
      </c>
      <c r="X53" s="29">
        <f t="shared" si="12"/>
        <v>0</v>
      </c>
      <c r="Y53" s="24"/>
    </row>
    <row r="54" spans="2:25" ht="15" customHeight="1" x14ac:dyDescent="0.2">
      <c r="B54" s="31">
        <v>42025</v>
      </c>
      <c r="C54" s="64"/>
      <c r="D54" s="26"/>
      <c r="E54" s="65"/>
      <c r="F54" s="75">
        <v>13.757999999999999</v>
      </c>
      <c r="G54" s="75">
        <v>10.545</v>
      </c>
      <c r="H54" s="75">
        <v>11.103</v>
      </c>
      <c r="I54" s="76">
        <v>102.871</v>
      </c>
      <c r="J54" s="58">
        <v>943</v>
      </c>
      <c r="K54" s="59">
        <f>IF(ISBLANK(J54),"",(J54-$J$8))</f>
        <v>425</v>
      </c>
      <c r="L54" s="19" t="str">
        <f t="shared" si="1"/>
        <v/>
      </c>
      <c r="M54" s="19" t="str">
        <f t="shared" si="1"/>
        <v/>
      </c>
      <c r="N54" s="19" t="str">
        <f t="shared" si="1"/>
        <v/>
      </c>
      <c r="O54" s="19">
        <f t="shared" si="10"/>
        <v>-3.9999999999995595</v>
      </c>
      <c r="P54" s="19">
        <f t="shared" si="11"/>
        <v>-4.9999999999990052</v>
      </c>
      <c r="Q54" s="19">
        <f t="shared" si="8"/>
        <v>-3.0000000000001137</v>
      </c>
      <c r="R54" s="19">
        <f t="shared" si="1"/>
        <v>-4.0000000000048885</v>
      </c>
      <c r="S54" s="27" t="str">
        <f t="shared" si="12"/>
        <v/>
      </c>
      <c r="T54" s="28" t="str">
        <f t="shared" si="12"/>
        <v/>
      </c>
      <c r="U54" s="28" t="str">
        <f t="shared" si="12"/>
        <v/>
      </c>
      <c r="V54" s="28">
        <f t="shared" si="12"/>
        <v>0</v>
      </c>
      <c r="W54" s="28">
        <f t="shared" si="12"/>
        <v>0</v>
      </c>
      <c r="X54" s="29">
        <f t="shared" si="12"/>
        <v>0</v>
      </c>
      <c r="Y54" s="24"/>
    </row>
    <row r="55" spans="2:25" ht="15" customHeight="1" x14ac:dyDescent="0.2">
      <c r="B55" s="31">
        <v>42109</v>
      </c>
      <c r="C55" s="25"/>
      <c r="D55" s="26"/>
      <c r="E55" s="26"/>
      <c r="F55" s="75">
        <v>13.757999999999999</v>
      </c>
      <c r="G55" s="47">
        <v>10.545999999999999</v>
      </c>
      <c r="H55" s="75">
        <v>11.103</v>
      </c>
      <c r="I55" s="26">
        <v>102.872</v>
      </c>
      <c r="J55" s="58">
        <v>943</v>
      </c>
      <c r="K55" s="18">
        <f>IF(ISBLANK(J55),"",(J55-$J$8))</f>
        <v>425</v>
      </c>
      <c r="L55" s="19" t="str">
        <f t="shared" si="1"/>
        <v/>
      </c>
      <c r="M55" s="19" t="str">
        <f t="shared" si="1"/>
        <v/>
      </c>
      <c r="N55" s="19" t="str">
        <f t="shared" si="1"/>
        <v/>
      </c>
      <c r="O55" s="19">
        <f t="shared" si="10"/>
        <v>-3.9999999999995595</v>
      </c>
      <c r="P55" s="19">
        <f t="shared" si="11"/>
        <v>-3.9999999999995595</v>
      </c>
      <c r="Q55" s="19">
        <f t="shared" si="8"/>
        <v>-3.0000000000001137</v>
      </c>
      <c r="R55" s="19">
        <f t="shared" si="1"/>
        <v>-3.0000000000001137</v>
      </c>
      <c r="S55" s="27" t="str">
        <f t="shared" si="12"/>
        <v/>
      </c>
      <c r="T55" s="28" t="str">
        <f t="shared" si="12"/>
        <v/>
      </c>
      <c r="U55" s="28" t="str">
        <f t="shared" si="12"/>
        <v/>
      </c>
      <c r="V55" s="28">
        <f t="shared" si="12"/>
        <v>0</v>
      </c>
      <c r="W55" s="28">
        <f t="shared" si="12"/>
        <v>1.1904761904755307E-2</v>
      </c>
      <c r="X55" s="29">
        <f t="shared" si="12"/>
        <v>0</v>
      </c>
      <c r="Y55" s="24"/>
    </row>
    <row r="56" spans="2:25" ht="15" customHeight="1" x14ac:dyDescent="0.2">
      <c r="B56" s="31">
        <v>42222</v>
      </c>
      <c r="C56" s="73"/>
      <c r="D56" s="71"/>
      <c r="E56" s="71"/>
      <c r="F56" s="75">
        <v>13.757999999999999</v>
      </c>
      <c r="G56" s="16">
        <v>10.545</v>
      </c>
      <c r="H56" s="75">
        <v>11.103</v>
      </c>
      <c r="I56" s="16">
        <v>102.871</v>
      </c>
      <c r="J56" s="32">
        <v>1278</v>
      </c>
      <c r="K56" s="18">
        <f t="shared" ref="K56:K81" si="13">IF(ISBLANK(J56),"",(J56-$J$8))</f>
        <v>760</v>
      </c>
      <c r="L56" s="19" t="str">
        <f t="shared" si="1"/>
        <v/>
      </c>
      <c r="M56" s="19" t="str">
        <f t="shared" si="1"/>
        <v/>
      </c>
      <c r="N56" s="19" t="str">
        <f t="shared" si="1"/>
        <v/>
      </c>
      <c r="O56" s="19">
        <f t="shared" si="10"/>
        <v>-3.9999999999995595</v>
      </c>
      <c r="P56" s="19">
        <f t="shared" si="11"/>
        <v>-4.9999999999990052</v>
      </c>
      <c r="Q56" s="19">
        <f t="shared" si="8"/>
        <v>-3.0000000000001137</v>
      </c>
      <c r="R56" s="19">
        <f t="shared" si="1"/>
        <v>-4.0000000000048885</v>
      </c>
      <c r="S56" s="27" t="str">
        <f t="shared" si="12"/>
        <v/>
      </c>
      <c r="T56" s="28" t="str">
        <f t="shared" si="12"/>
        <v/>
      </c>
      <c r="U56" s="28" t="str">
        <f t="shared" si="12"/>
        <v/>
      </c>
      <c r="V56" s="28">
        <f t="shared" si="12"/>
        <v>0</v>
      </c>
      <c r="W56" s="28">
        <f t="shared" si="12"/>
        <v>-8.8495575221189896E-3</v>
      </c>
      <c r="X56" s="29">
        <f t="shared" si="12"/>
        <v>0</v>
      </c>
      <c r="Y56" s="24"/>
    </row>
    <row r="57" spans="2:25" ht="15" customHeight="1" x14ac:dyDescent="0.2">
      <c r="B57" s="31">
        <v>42326</v>
      </c>
      <c r="C57" s="25"/>
      <c r="D57" s="26"/>
      <c r="E57" s="26"/>
      <c r="F57" s="75">
        <v>13.757999999999999</v>
      </c>
      <c r="G57" s="16">
        <v>10.545</v>
      </c>
      <c r="H57" s="75">
        <v>11.103</v>
      </c>
      <c r="I57" s="16">
        <v>102.871</v>
      </c>
      <c r="J57" s="32">
        <v>2248</v>
      </c>
      <c r="K57" s="18">
        <f t="shared" si="13"/>
        <v>1730</v>
      </c>
      <c r="L57" s="19" t="str">
        <f t="shared" si="1"/>
        <v/>
      </c>
      <c r="M57" s="19" t="str">
        <f t="shared" si="1"/>
        <v/>
      </c>
      <c r="N57" s="19" t="str">
        <f t="shared" si="1"/>
        <v/>
      </c>
      <c r="O57" s="19">
        <f t="shared" si="10"/>
        <v>-3.9999999999995595</v>
      </c>
      <c r="P57" s="19">
        <f t="shared" si="11"/>
        <v>-4.9999999999990052</v>
      </c>
      <c r="Q57" s="19">
        <f t="shared" si="8"/>
        <v>-3.0000000000001137</v>
      </c>
      <c r="R57" s="19">
        <f t="shared" si="1"/>
        <v>-4.0000000000048885</v>
      </c>
      <c r="S57" s="27" t="str">
        <f t="shared" si="12"/>
        <v/>
      </c>
      <c r="T57" s="28" t="str">
        <f t="shared" si="12"/>
        <v/>
      </c>
      <c r="U57" s="28" t="str">
        <f t="shared" si="12"/>
        <v/>
      </c>
      <c r="V57" s="28">
        <f t="shared" si="12"/>
        <v>0</v>
      </c>
      <c r="W57" s="28">
        <f t="shared" si="12"/>
        <v>0</v>
      </c>
      <c r="X57" s="29">
        <f t="shared" si="12"/>
        <v>0</v>
      </c>
      <c r="Y57" s="24"/>
    </row>
    <row r="58" spans="2:25" ht="15" customHeight="1" x14ac:dyDescent="0.2">
      <c r="B58" s="31">
        <v>42416</v>
      </c>
      <c r="C58" s="25"/>
      <c r="D58" s="26"/>
      <c r="E58" s="26"/>
      <c r="F58" s="75">
        <v>13.757999999999999</v>
      </c>
      <c r="G58" s="16">
        <v>10.545999999999999</v>
      </c>
      <c r="H58" s="75">
        <v>11.103</v>
      </c>
      <c r="I58" s="16">
        <v>102.871</v>
      </c>
      <c r="J58" s="58">
        <v>2519</v>
      </c>
      <c r="K58" s="18">
        <f t="shared" si="13"/>
        <v>2001</v>
      </c>
      <c r="L58" s="19" t="str">
        <f t="shared" si="1"/>
        <v/>
      </c>
      <c r="M58" s="19" t="str">
        <f t="shared" si="1"/>
        <v/>
      </c>
      <c r="N58" s="19" t="str">
        <f t="shared" si="1"/>
        <v/>
      </c>
      <c r="O58" s="19">
        <f t="shared" si="10"/>
        <v>-3.9999999999995595</v>
      </c>
      <c r="P58" s="19">
        <f t="shared" si="11"/>
        <v>-3.9999999999995595</v>
      </c>
      <c r="Q58" s="19">
        <f t="shared" si="8"/>
        <v>-3.0000000000001137</v>
      </c>
      <c r="R58" s="19">
        <f t="shared" si="1"/>
        <v>-4.0000000000048885</v>
      </c>
      <c r="S58" s="27" t="str">
        <f t="shared" si="12"/>
        <v/>
      </c>
      <c r="T58" s="28" t="str">
        <f t="shared" si="12"/>
        <v/>
      </c>
      <c r="U58" s="28" t="str">
        <f t="shared" si="12"/>
        <v/>
      </c>
      <c r="V58" s="28">
        <f t="shared" si="12"/>
        <v>0</v>
      </c>
      <c r="W58" s="28">
        <f t="shared" si="12"/>
        <v>1.1111111111104953E-2</v>
      </c>
      <c r="X58" s="29">
        <f t="shared" si="12"/>
        <v>0</v>
      </c>
      <c r="Y58" s="24"/>
    </row>
    <row r="59" spans="2:25" ht="15" customHeight="1" x14ac:dyDescent="0.2">
      <c r="B59" s="31">
        <v>42529</v>
      </c>
      <c r="C59" s="25"/>
      <c r="D59" s="26"/>
      <c r="E59" s="26"/>
      <c r="F59" s="75">
        <v>13.757999999999999</v>
      </c>
      <c r="G59" s="16">
        <v>10.545999999999999</v>
      </c>
      <c r="H59" s="75">
        <v>11.103</v>
      </c>
      <c r="I59" s="16">
        <v>102.871</v>
      </c>
      <c r="J59" s="58">
        <v>2603</v>
      </c>
      <c r="K59" s="18">
        <f t="shared" si="13"/>
        <v>2085</v>
      </c>
      <c r="L59" s="19" t="str">
        <f t="shared" si="1"/>
        <v/>
      </c>
      <c r="M59" s="19" t="str">
        <f t="shared" si="1"/>
        <v/>
      </c>
      <c r="N59" s="19" t="str">
        <f t="shared" si="1"/>
        <v/>
      </c>
      <c r="O59" s="19">
        <f t="shared" si="10"/>
        <v>-3.9999999999995595</v>
      </c>
      <c r="P59" s="19">
        <f t="shared" si="11"/>
        <v>-3.9999999999995595</v>
      </c>
      <c r="Q59" s="19">
        <f t="shared" si="8"/>
        <v>-3.0000000000001137</v>
      </c>
      <c r="R59" s="19">
        <f t="shared" si="1"/>
        <v>-4.0000000000048885</v>
      </c>
      <c r="S59" s="27" t="str">
        <f t="shared" si="12"/>
        <v/>
      </c>
      <c r="T59" s="28" t="str">
        <f t="shared" si="12"/>
        <v/>
      </c>
      <c r="U59" s="28" t="str">
        <f t="shared" si="12"/>
        <v/>
      </c>
      <c r="V59" s="28">
        <f t="shared" si="12"/>
        <v>0</v>
      </c>
      <c r="W59" s="28">
        <f t="shared" si="12"/>
        <v>0</v>
      </c>
      <c r="X59" s="29">
        <f t="shared" si="12"/>
        <v>0</v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13"/>
        <v/>
      </c>
      <c r="L60" s="19" t="str">
        <f t="shared" si="1"/>
        <v/>
      </c>
      <c r="M60" s="19" t="str">
        <f t="shared" si="1"/>
        <v/>
      </c>
      <c r="N60" s="19" t="str">
        <f t="shared" si="1"/>
        <v/>
      </c>
      <c r="O60" s="19" t="str">
        <f t="shared" si="10"/>
        <v/>
      </c>
      <c r="P60" s="19" t="str">
        <f t="shared" si="11"/>
        <v/>
      </c>
      <c r="Q60" s="19" t="str">
        <f t="shared" si="8"/>
        <v/>
      </c>
      <c r="R60" s="19" t="str">
        <f t="shared" si="1"/>
        <v/>
      </c>
      <c r="S60" s="27" t="str">
        <f t="shared" si="12"/>
        <v/>
      </c>
      <c r="T60" s="28" t="str">
        <f t="shared" si="12"/>
        <v/>
      </c>
      <c r="U60" s="28" t="str">
        <f t="shared" si="12"/>
        <v/>
      </c>
      <c r="V60" s="28" t="str">
        <f t="shared" si="12"/>
        <v/>
      </c>
      <c r="W60" s="28" t="str">
        <f t="shared" si="12"/>
        <v/>
      </c>
      <c r="X60" s="29" t="str">
        <f t="shared" si="12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13"/>
        <v/>
      </c>
      <c r="L61" s="19" t="str">
        <f t="shared" si="1"/>
        <v/>
      </c>
      <c r="M61" s="19" t="str">
        <f t="shared" si="1"/>
        <v/>
      </c>
      <c r="N61" s="19" t="str">
        <f t="shared" si="1"/>
        <v/>
      </c>
      <c r="O61" s="19" t="str">
        <f t="shared" si="10"/>
        <v/>
      </c>
      <c r="P61" s="19" t="str">
        <f t="shared" si="11"/>
        <v/>
      </c>
      <c r="Q61" s="19" t="str">
        <f t="shared" si="8"/>
        <v/>
      </c>
      <c r="R61" s="19" t="str">
        <f t="shared" si="1"/>
        <v/>
      </c>
      <c r="S61" s="27" t="str">
        <f t="shared" si="12"/>
        <v/>
      </c>
      <c r="T61" s="28" t="str">
        <f t="shared" si="12"/>
        <v/>
      </c>
      <c r="U61" s="28" t="str">
        <f t="shared" si="12"/>
        <v/>
      </c>
      <c r="V61" s="28" t="str">
        <f t="shared" si="12"/>
        <v/>
      </c>
      <c r="W61" s="28" t="str">
        <f t="shared" si="12"/>
        <v/>
      </c>
      <c r="X61" s="29" t="str">
        <f t="shared" si="12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13"/>
        <v/>
      </c>
      <c r="L62" s="19" t="str">
        <f t="shared" si="1"/>
        <v/>
      </c>
      <c r="M62" s="19" t="str">
        <f t="shared" si="1"/>
        <v/>
      </c>
      <c r="N62" s="19" t="str">
        <f t="shared" si="1"/>
        <v/>
      </c>
      <c r="O62" s="19" t="str">
        <f t="shared" si="10"/>
        <v/>
      </c>
      <c r="P62" s="19" t="str">
        <f t="shared" si="11"/>
        <v/>
      </c>
      <c r="Q62" s="19" t="str">
        <f t="shared" si="8"/>
        <v/>
      </c>
      <c r="R62" s="19" t="str">
        <f t="shared" ref="R62:R93" si="14">IF(ISBLANK(I62),"",(I62-I$16)*1000)</f>
        <v/>
      </c>
      <c r="S62" s="27" t="str">
        <f t="shared" si="12"/>
        <v/>
      </c>
      <c r="T62" s="28" t="str">
        <f t="shared" si="12"/>
        <v/>
      </c>
      <c r="U62" s="28" t="str">
        <f t="shared" si="12"/>
        <v/>
      </c>
      <c r="V62" s="28" t="str">
        <f t="shared" si="12"/>
        <v/>
      </c>
      <c r="W62" s="28" t="str">
        <f t="shared" si="12"/>
        <v/>
      </c>
      <c r="X62" s="29" t="str">
        <f t="shared" si="12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13"/>
        <v/>
      </c>
      <c r="L63" s="19" t="str">
        <f t="shared" ref="L63:L94" si="15">IF(ISBLANK(C63),"",(C63-C$16)*1000)</f>
        <v/>
      </c>
      <c r="M63" s="19" t="str">
        <f t="shared" ref="M63:M94" si="16">IF(ISBLANK(D63),"",(D63-D$16)*1000)</f>
        <v/>
      </c>
      <c r="N63" s="19" t="str">
        <f t="shared" ref="N63:N94" si="17">IF(ISBLANK(E63),"",(E63-E$16)*1000)</f>
        <v/>
      </c>
      <c r="O63" s="19" t="str">
        <f t="shared" si="10"/>
        <v/>
      </c>
      <c r="P63" s="19" t="str">
        <f t="shared" si="11"/>
        <v/>
      </c>
      <c r="Q63" s="19" t="str">
        <f t="shared" si="8"/>
        <v/>
      </c>
      <c r="R63" s="19" t="str">
        <f t="shared" si="14"/>
        <v/>
      </c>
      <c r="S63" s="27" t="str">
        <f t="shared" si="12"/>
        <v/>
      </c>
      <c r="T63" s="28" t="str">
        <f t="shared" si="12"/>
        <v/>
      </c>
      <c r="U63" s="28" t="str">
        <f t="shared" si="12"/>
        <v/>
      </c>
      <c r="V63" s="28" t="str">
        <f t="shared" si="12"/>
        <v/>
      </c>
      <c r="W63" s="28" t="str">
        <f t="shared" si="12"/>
        <v/>
      </c>
      <c r="X63" s="29" t="str">
        <f t="shared" si="12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13"/>
        <v/>
      </c>
      <c r="L64" s="19" t="str">
        <f t="shared" si="15"/>
        <v/>
      </c>
      <c r="M64" s="19" t="str">
        <f t="shared" si="16"/>
        <v/>
      </c>
      <c r="N64" s="19" t="str">
        <f t="shared" si="17"/>
        <v/>
      </c>
      <c r="O64" s="19" t="str">
        <f t="shared" si="10"/>
        <v/>
      </c>
      <c r="P64" s="19" t="str">
        <f t="shared" si="11"/>
        <v/>
      </c>
      <c r="Q64" s="19" t="str">
        <f t="shared" si="8"/>
        <v/>
      </c>
      <c r="R64" s="19" t="str">
        <f t="shared" si="14"/>
        <v/>
      </c>
      <c r="S64" s="27" t="str">
        <f t="shared" si="12"/>
        <v/>
      </c>
      <c r="T64" s="28" t="str">
        <f t="shared" si="12"/>
        <v/>
      </c>
      <c r="U64" s="28" t="str">
        <f t="shared" si="12"/>
        <v/>
      </c>
      <c r="V64" s="28" t="str">
        <f t="shared" si="12"/>
        <v/>
      </c>
      <c r="W64" s="28" t="str">
        <f t="shared" si="12"/>
        <v/>
      </c>
      <c r="X64" s="29" t="str">
        <f t="shared" si="12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3"/>
        <v/>
      </c>
      <c r="L65" s="19" t="str">
        <f t="shared" si="15"/>
        <v/>
      </c>
      <c r="M65" s="19" t="str">
        <f t="shared" si="16"/>
        <v/>
      </c>
      <c r="N65" s="19" t="str">
        <f t="shared" si="17"/>
        <v/>
      </c>
      <c r="O65" s="19" t="str">
        <f t="shared" si="10"/>
        <v/>
      </c>
      <c r="P65" s="19" t="str">
        <f t="shared" si="11"/>
        <v/>
      </c>
      <c r="Q65" s="19" t="str">
        <f t="shared" si="8"/>
        <v/>
      </c>
      <c r="R65" s="19" t="str">
        <f t="shared" si="14"/>
        <v/>
      </c>
      <c r="S65" s="27" t="str">
        <f t="shared" ref="S65:X80" si="18">IF(C65="","",((C65-C64)*1000)/($B65-$B64))</f>
        <v/>
      </c>
      <c r="T65" s="28" t="str">
        <f t="shared" si="18"/>
        <v/>
      </c>
      <c r="U65" s="28" t="str">
        <f t="shared" si="18"/>
        <v/>
      </c>
      <c r="V65" s="28" t="str">
        <f t="shared" si="18"/>
        <v/>
      </c>
      <c r="W65" s="28" t="str">
        <f t="shared" si="18"/>
        <v/>
      </c>
      <c r="X65" s="29" t="str">
        <f t="shared" si="18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3"/>
        <v/>
      </c>
      <c r="L66" s="19" t="str">
        <f t="shared" si="15"/>
        <v/>
      </c>
      <c r="M66" s="19" t="str">
        <f t="shared" si="16"/>
        <v/>
      </c>
      <c r="N66" s="19" t="str">
        <f t="shared" si="17"/>
        <v/>
      </c>
      <c r="O66" s="19" t="str">
        <f t="shared" si="10"/>
        <v/>
      </c>
      <c r="P66" s="19" t="str">
        <f t="shared" si="11"/>
        <v/>
      </c>
      <c r="Q66" s="19" t="str">
        <f t="shared" si="8"/>
        <v/>
      </c>
      <c r="R66" s="19" t="str">
        <f t="shared" si="14"/>
        <v/>
      </c>
      <c r="S66" s="27" t="str">
        <f t="shared" si="18"/>
        <v/>
      </c>
      <c r="T66" s="28" t="str">
        <f t="shared" si="18"/>
        <v/>
      </c>
      <c r="U66" s="28" t="str">
        <f t="shared" si="18"/>
        <v/>
      </c>
      <c r="V66" s="28" t="str">
        <f t="shared" si="18"/>
        <v/>
      </c>
      <c r="W66" s="28" t="str">
        <f t="shared" si="18"/>
        <v/>
      </c>
      <c r="X66" s="29" t="str">
        <f t="shared" si="18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3"/>
        <v/>
      </c>
      <c r="L67" s="19" t="str">
        <f t="shared" si="15"/>
        <v/>
      </c>
      <c r="M67" s="19" t="str">
        <f t="shared" si="16"/>
        <v/>
      </c>
      <c r="N67" s="19" t="str">
        <f t="shared" si="17"/>
        <v/>
      </c>
      <c r="O67" s="19" t="str">
        <f t="shared" si="10"/>
        <v/>
      </c>
      <c r="P67" s="19" t="str">
        <f t="shared" si="11"/>
        <v/>
      </c>
      <c r="Q67" s="19" t="str">
        <f t="shared" si="8"/>
        <v/>
      </c>
      <c r="R67" s="19" t="str">
        <f t="shared" si="14"/>
        <v/>
      </c>
      <c r="S67" s="27" t="str">
        <f t="shared" si="18"/>
        <v/>
      </c>
      <c r="T67" s="28" t="str">
        <f t="shared" si="18"/>
        <v/>
      </c>
      <c r="U67" s="28" t="str">
        <f t="shared" si="18"/>
        <v/>
      </c>
      <c r="V67" s="28" t="str">
        <f t="shared" si="18"/>
        <v/>
      </c>
      <c r="W67" s="28" t="str">
        <f t="shared" si="18"/>
        <v/>
      </c>
      <c r="X67" s="29" t="str">
        <f t="shared" si="18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3"/>
        <v/>
      </c>
      <c r="L68" s="19" t="str">
        <f t="shared" si="15"/>
        <v/>
      </c>
      <c r="M68" s="19" t="str">
        <f t="shared" si="16"/>
        <v/>
      </c>
      <c r="N68" s="19" t="str">
        <f t="shared" si="17"/>
        <v/>
      </c>
      <c r="O68" s="19" t="str">
        <f t="shared" si="10"/>
        <v/>
      </c>
      <c r="P68" s="19" t="str">
        <f t="shared" si="11"/>
        <v/>
      </c>
      <c r="Q68" s="19" t="str">
        <f t="shared" si="8"/>
        <v/>
      </c>
      <c r="R68" s="19" t="str">
        <f t="shared" si="14"/>
        <v/>
      </c>
      <c r="S68" s="27" t="str">
        <f t="shared" si="18"/>
        <v/>
      </c>
      <c r="T68" s="28" t="str">
        <f t="shared" si="18"/>
        <v/>
      </c>
      <c r="U68" s="28" t="str">
        <f t="shared" si="18"/>
        <v/>
      </c>
      <c r="V68" s="28" t="str">
        <f t="shared" si="18"/>
        <v/>
      </c>
      <c r="W68" s="28" t="str">
        <f t="shared" si="18"/>
        <v/>
      </c>
      <c r="X68" s="29" t="str">
        <f t="shared" si="18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3"/>
        <v/>
      </c>
      <c r="L69" s="19" t="str">
        <f t="shared" si="15"/>
        <v/>
      </c>
      <c r="M69" s="19" t="str">
        <f t="shared" si="16"/>
        <v/>
      </c>
      <c r="N69" s="19" t="str">
        <f t="shared" si="17"/>
        <v/>
      </c>
      <c r="O69" s="19" t="str">
        <f t="shared" si="10"/>
        <v/>
      </c>
      <c r="P69" s="19" t="str">
        <f t="shared" si="11"/>
        <v/>
      </c>
      <c r="Q69" s="19" t="str">
        <f t="shared" si="8"/>
        <v/>
      </c>
      <c r="R69" s="19" t="str">
        <f t="shared" si="14"/>
        <v/>
      </c>
      <c r="S69" s="27" t="str">
        <f t="shared" si="18"/>
        <v/>
      </c>
      <c r="T69" s="28" t="str">
        <f t="shared" si="18"/>
        <v/>
      </c>
      <c r="U69" s="28" t="str">
        <f t="shared" si="18"/>
        <v/>
      </c>
      <c r="V69" s="28" t="str">
        <f t="shared" si="18"/>
        <v/>
      </c>
      <c r="W69" s="28" t="str">
        <f t="shared" si="18"/>
        <v/>
      </c>
      <c r="X69" s="29" t="str">
        <f t="shared" si="18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3"/>
        <v/>
      </c>
      <c r="L70" s="19" t="str">
        <f t="shared" si="15"/>
        <v/>
      </c>
      <c r="M70" s="19" t="str">
        <f t="shared" si="16"/>
        <v/>
      </c>
      <c r="N70" s="19" t="str">
        <f t="shared" si="17"/>
        <v/>
      </c>
      <c r="O70" s="19" t="str">
        <f t="shared" si="10"/>
        <v/>
      </c>
      <c r="P70" s="19" t="str">
        <f t="shared" si="11"/>
        <v/>
      </c>
      <c r="Q70" s="19" t="str">
        <f t="shared" si="8"/>
        <v/>
      </c>
      <c r="R70" s="19" t="str">
        <f t="shared" si="14"/>
        <v/>
      </c>
      <c r="S70" s="27" t="str">
        <f t="shared" si="18"/>
        <v/>
      </c>
      <c r="T70" s="28" t="str">
        <f t="shared" si="18"/>
        <v/>
      </c>
      <c r="U70" s="28" t="str">
        <f t="shared" si="18"/>
        <v/>
      </c>
      <c r="V70" s="28" t="str">
        <f t="shared" si="18"/>
        <v/>
      </c>
      <c r="W70" s="28" t="str">
        <f t="shared" si="18"/>
        <v/>
      </c>
      <c r="X70" s="29" t="str">
        <f t="shared" si="18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3"/>
        <v/>
      </c>
      <c r="L71" s="19" t="str">
        <f t="shared" si="15"/>
        <v/>
      </c>
      <c r="M71" s="19" t="str">
        <f t="shared" si="16"/>
        <v/>
      </c>
      <c r="N71" s="19" t="str">
        <f t="shared" si="17"/>
        <v/>
      </c>
      <c r="O71" s="19" t="str">
        <f t="shared" si="10"/>
        <v/>
      </c>
      <c r="P71" s="19" t="str">
        <f t="shared" si="11"/>
        <v/>
      </c>
      <c r="Q71" s="19" t="str">
        <f t="shared" si="8"/>
        <v/>
      </c>
      <c r="R71" s="19" t="str">
        <f t="shared" si="14"/>
        <v/>
      </c>
      <c r="S71" s="27" t="str">
        <f t="shared" si="18"/>
        <v/>
      </c>
      <c r="T71" s="28" t="str">
        <f t="shared" si="18"/>
        <v/>
      </c>
      <c r="U71" s="28" t="str">
        <f t="shared" si="18"/>
        <v/>
      </c>
      <c r="V71" s="28" t="str">
        <f t="shared" si="18"/>
        <v/>
      </c>
      <c r="W71" s="28" t="str">
        <f t="shared" si="18"/>
        <v/>
      </c>
      <c r="X71" s="29" t="str">
        <f t="shared" si="18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3"/>
        <v/>
      </c>
      <c r="L72" s="19" t="str">
        <f t="shared" si="15"/>
        <v/>
      </c>
      <c r="M72" s="19" t="str">
        <f t="shared" si="16"/>
        <v/>
      </c>
      <c r="N72" s="19" t="str">
        <f t="shared" si="17"/>
        <v/>
      </c>
      <c r="O72" s="19" t="str">
        <f t="shared" si="10"/>
        <v/>
      </c>
      <c r="P72" s="19" t="str">
        <f t="shared" si="11"/>
        <v/>
      </c>
      <c r="Q72" s="19" t="str">
        <f t="shared" si="8"/>
        <v/>
      </c>
      <c r="R72" s="19" t="str">
        <f t="shared" si="14"/>
        <v/>
      </c>
      <c r="S72" s="27" t="str">
        <f t="shared" si="18"/>
        <v/>
      </c>
      <c r="T72" s="28" t="str">
        <f t="shared" si="18"/>
        <v/>
      </c>
      <c r="U72" s="28" t="str">
        <f t="shared" si="18"/>
        <v/>
      </c>
      <c r="V72" s="28" t="str">
        <f t="shared" si="18"/>
        <v/>
      </c>
      <c r="W72" s="28" t="str">
        <f t="shared" si="18"/>
        <v/>
      </c>
      <c r="X72" s="29" t="str">
        <f t="shared" si="18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3"/>
        <v/>
      </c>
      <c r="L73" s="19" t="str">
        <f t="shared" si="15"/>
        <v/>
      </c>
      <c r="M73" s="19" t="str">
        <f t="shared" si="16"/>
        <v/>
      </c>
      <c r="N73" s="19" t="str">
        <f t="shared" si="17"/>
        <v/>
      </c>
      <c r="O73" s="19" t="str">
        <f t="shared" si="10"/>
        <v/>
      </c>
      <c r="P73" s="19" t="str">
        <f t="shared" si="11"/>
        <v/>
      </c>
      <c r="Q73" s="19" t="str">
        <f t="shared" si="8"/>
        <v/>
      </c>
      <c r="R73" s="19" t="str">
        <f t="shared" si="14"/>
        <v/>
      </c>
      <c r="S73" s="27" t="str">
        <f t="shared" si="18"/>
        <v/>
      </c>
      <c r="T73" s="28" t="str">
        <f t="shared" si="18"/>
        <v/>
      </c>
      <c r="U73" s="28" t="str">
        <f t="shared" si="18"/>
        <v/>
      </c>
      <c r="V73" s="28" t="str">
        <f t="shared" si="18"/>
        <v/>
      </c>
      <c r="W73" s="28" t="str">
        <f t="shared" si="18"/>
        <v/>
      </c>
      <c r="X73" s="29" t="str">
        <f t="shared" si="18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3"/>
        <v/>
      </c>
      <c r="L74" s="19" t="str">
        <f t="shared" si="15"/>
        <v/>
      </c>
      <c r="M74" s="19" t="str">
        <f t="shared" si="16"/>
        <v/>
      </c>
      <c r="N74" s="19" t="str">
        <f t="shared" si="17"/>
        <v/>
      </c>
      <c r="O74" s="19" t="str">
        <f t="shared" si="10"/>
        <v/>
      </c>
      <c r="P74" s="19" t="str">
        <f t="shared" si="11"/>
        <v/>
      </c>
      <c r="Q74" s="19" t="str">
        <f t="shared" si="8"/>
        <v/>
      </c>
      <c r="R74" s="19" t="str">
        <f t="shared" si="14"/>
        <v/>
      </c>
      <c r="S74" s="27" t="str">
        <f t="shared" si="18"/>
        <v/>
      </c>
      <c r="T74" s="28" t="str">
        <f t="shared" si="18"/>
        <v/>
      </c>
      <c r="U74" s="28" t="str">
        <f t="shared" si="18"/>
        <v/>
      </c>
      <c r="V74" s="28" t="str">
        <f t="shared" si="18"/>
        <v/>
      </c>
      <c r="W74" s="28" t="str">
        <f t="shared" si="18"/>
        <v/>
      </c>
      <c r="X74" s="29" t="str">
        <f t="shared" si="18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3"/>
        <v/>
      </c>
      <c r="L75" s="19" t="str">
        <f t="shared" si="15"/>
        <v/>
      </c>
      <c r="M75" s="19" t="str">
        <f t="shared" si="16"/>
        <v/>
      </c>
      <c r="N75" s="19" t="str">
        <f t="shared" si="17"/>
        <v/>
      </c>
      <c r="O75" s="19" t="str">
        <f t="shared" si="10"/>
        <v/>
      </c>
      <c r="P75" s="19" t="str">
        <f t="shared" si="11"/>
        <v/>
      </c>
      <c r="Q75" s="19" t="str">
        <f t="shared" si="8"/>
        <v/>
      </c>
      <c r="R75" s="19" t="str">
        <f t="shared" si="14"/>
        <v/>
      </c>
      <c r="S75" s="27" t="str">
        <f t="shared" si="18"/>
        <v/>
      </c>
      <c r="T75" s="28" t="str">
        <f t="shared" si="18"/>
        <v/>
      </c>
      <c r="U75" s="28" t="str">
        <f t="shared" si="18"/>
        <v/>
      </c>
      <c r="V75" s="28" t="str">
        <f t="shared" si="18"/>
        <v/>
      </c>
      <c r="W75" s="28" t="str">
        <f t="shared" si="18"/>
        <v/>
      </c>
      <c r="X75" s="29" t="str">
        <f t="shared" si="18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3"/>
        <v/>
      </c>
      <c r="L76" s="19" t="str">
        <f t="shared" si="15"/>
        <v/>
      </c>
      <c r="M76" s="19" t="str">
        <f t="shared" si="16"/>
        <v/>
      </c>
      <c r="N76" s="19" t="str">
        <f t="shared" si="17"/>
        <v/>
      </c>
      <c r="O76" s="19" t="str">
        <f t="shared" si="10"/>
        <v/>
      </c>
      <c r="P76" s="19" t="str">
        <f t="shared" si="11"/>
        <v/>
      </c>
      <c r="Q76" s="19" t="str">
        <f t="shared" si="8"/>
        <v/>
      </c>
      <c r="R76" s="19" t="str">
        <f t="shared" si="14"/>
        <v/>
      </c>
      <c r="S76" s="27" t="str">
        <f t="shared" si="18"/>
        <v/>
      </c>
      <c r="T76" s="28" t="str">
        <f t="shared" si="18"/>
        <v/>
      </c>
      <c r="U76" s="28" t="str">
        <f t="shared" si="18"/>
        <v/>
      </c>
      <c r="V76" s="28" t="str">
        <f t="shared" si="18"/>
        <v/>
      </c>
      <c r="W76" s="28" t="str">
        <f t="shared" si="18"/>
        <v/>
      </c>
      <c r="X76" s="29" t="str">
        <f t="shared" si="18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3"/>
        <v/>
      </c>
      <c r="L77" s="19" t="str">
        <f t="shared" si="15"/>
        <v/>
      </c>
      <c r="M77" s="19" t="str">
        <f t="shared" si="16"/>
        <v/>
      </c>
      <c r="N77" s="19" t="str">
        <f t="shared" si="17"/>
        <v/>
      </c>
      <c r="O77" s="19" t="str">
        <f t="shared" si="10"/>
        <v/>
      </c>
      <c r="P77" s="19" t="str">
        <f t="shared" si="11"/>
        <v/>
      </c>
      <c r="Q77" s="19" t="str">
        <f t="shared" si="8"/>
        <v/>
      </c>
      <c r="R77" s="19" t="str">
        <f t="shared" si="14"/>
        <v/>
      </c>
      <c r="S77" s="27" t="str">
        <f t="shared" si="18"/>
        <v/>
      </c>
      <c r="T77" s="28" t="str">
        <f t="shared" si="18"/>
        <v/>
      </c>
      <c r="U77" s="28" t="str">
        <f t="shared" si="18"/>
        <v/>
      </c>
      <c r="V77" s="28" t="str">
        <f t="shared" si="18"/>
        <v/>
      </c>
      <c r="W77" s="28" t="str">
        <f t="shared" si="18"/>
        <v/>
      </c>
      <c r="X77" s="29" t="str">
        <f t="shared" si="18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3"/>
        <v/>
      </c>
      <c r="L78" s="19" t="str">
        <f t="shared" si="15"/>
        <v/>
      </c>
      <c r="M78" s="19" t="str">
        <f t="shared" si="16"/>
        <v/>
      </c>
      <c r="N78" s="19" t="str">
        <f t="shared" si="17"/>
        <v/>
      </c>
      <c r="O78" s="19" t="str">
        <f t="shared" si="10"/>
        <v/>
      </c>
      <c r="P78" s="19" t="str">
        <f t="shared" si="11"/>
        <v/>
      </c>
      <c r="Q78" s="19" t="str">
        <f t="shared" si="8"/>
        <v/>
      </c>
      <c r="R78" s="19" t="str">
        <f t="shared" si="14"/>
        <v/>
      </c>
      <c r="S78" s="27" t="str">
        <f t="shared" si="18"/>
        <v/>
      </c>
      <c r="T78" s="28" t="str">
        <f t="shared" si="18"/>
        <v/>
      </c>
      <c r="U78" s="28" t="str">
        <f t="shared" si="18"/>
        <v/>
      </c>
      <c r="V78" s="28" t="str">
        <f t="shared" si="18"/>
        <v/>
      </c>
      <c r="W78" s="28" t="str">
        <f t="shared" si="18"/>
        <v/>
      </c>
      <c r="X78" s="29" t="str">
        <f t="shared" si="18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3"/>
        <v/>
      </c>
      <c r="L79" s="19" t="str">
        <f t="shared" si="15"/>
        <v/>
      </c>
      <c r="M79" s="19" t="str">
        <f t="shared" si="16"/>
        <v/>
      </c>
      <c r="N79" s="19" t="str">
        <f t="shared" si="17"/>
        <v/>
      </c>
      <c r="O79" s="19" t="str">
        <f t="shared" si="10"/>
        <v/>
      </c>
      <c r="P79" s="19" t="str">
        <f t="shared" si="11"/>
        <v/>
      </c>
      <c r="Q79" s="19" t="str">
        <f t="shared" si="8"/>
        <v/>
      </c>
      <c r="R79" s="19" t="str">
        <f t="shared" si="14"/>
        <v/>
      </c>
      <c r="S79" s="27" t="str">
        <f t="shared" si="18"/>
        <v/>
      </c>
      <c r="T79" s="28" t="str">
        <f t="shared" si="18"/>
        <v/>
      </c>
      <c r="U79" s="28" t="str">
        <f t="shared" si="18"/>
        <v/>
      </c>
      <c r="V79" s="28" t="str">
        <f t="shared" si="18"/>
        <v/>
      </c>
      <c r="W79" s="28" t="str">
        <f t="shared" si="18"/>
        <v/>
      </c>
      <c r="X79" s="29" t="str">
        <f t="shared" si="18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3"/>
        <v/>
      </c>
      <c r="L80" s="19" t="str">
        <f t="shared" si="15"/>
        <v/>
      </c>
      <c r="M80" s="19" t="str">
        <f t="shared" si="16"/>
        <v/>
      </c>
      <c r="N80" s="19" t="str">
        <f t="shared" si="17"/>
        <v/>
      </c>
      <c r="O80" s="19" t="str">
        <f t="shared" si="10"/>
        <v/>
      </c>
      <c r="P80" s="19" t="str">
        <f t="shared" si="11"/>
        <v/>
      </c>
      <c r="Q80" s="19" t="str">
        <f t="shared" si="8"/>
        <v/>
      </c>
      <c r="R80" s="19" t="str">
        <f t="shared" si="14"/>
        <v/>
      </c>
      <c r="S80" s="27" t="str">
        <f t="shared" si="18"/>
        <v/>
      </c>
      <c r="T80" s="28" t="str">
        <f t="shared" si="18"/>
        <v/>
      </c>
      <c r="U80" s="28" t="str">
        <f t="shared" si="18"/>
        <v/>
      </c>
      <c r="V80" s="28" t="str">
        <f t="shared" si="18"/>
        <v/>
      </c>
      <c r="W80" s="28" t="str">
        <f t="shared" si="18"/>
        <v/>
      </c>
      <c r="X80" s="29" t="str">
        <f t="shared" si="18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3"/>
        <v/>
      </c>
      <c r="L81" s="19" t="str">
        <f t="shared" si="15"/>
        <v/>
      </c>
      <c r="M81" s="19" t="str">
        <f t="shared" si="16"/>
        <v/>
      </c>
      <c r="N81" s="19" t="str">
        <f t="shared" si="17"/>
        <v/>
      </c>
      <c r="O81" s="19" t="str">
        <f t="shared" si="10"/>
        <v/>
      </c>
      <c r="P81" s="19" t="str">
        <f t="shared" si="11"/>
        <v/>
      </c>
      <c r="Q81" s="19" t="str">
        <f t="shared" si="8"/>
        <v/>
      </c>
      <c r="R81" s="19" t="str">
        <f t="shared" si="14"/>
        <v/>
      </c>
      <c r="S81" s="27" t="str">
        <f t="shared" ref="S81:X96" si="19">IF(C81="","",((C81-C80)*1000)/($B81-$B80))</f>
        <v/>
      </c>
      <c r="T81" s="28" t="str">
        <f t="shared" si="19"/>
        <v/>
      </c>
      <c r="U81" s="28" t="str">
        <f t="shared" si="19"/>
        <v/>
      </c>
      <c r="V81" s="28" t="str">
        <f t="shared" si="19"/>
        <v/>
      </c>
      <c r="W81" s="28" t="str">
        <f t="shared" si="19"/>
        <v/>
      </c>
      <c r="X81" s="29" t="str">
        <f t="shared" si="19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ref="K82:K145" si="20">IF(ISBLANK(J82),"",(J82-$J$8))</f>
        <v/>
      </c>
      <c r="L82" s="19" t="str">
        <f t="shared" si="15"/>
        <v/>
      </c>
      <c r="M82" s="19" t="str">
        <f t="shared" si="16"/>
        <v/>
      </c>
      <c r="N82" s="19" t="str">
        <f t="shared" si="17"/>
        <v/>
      </c>
      <c r="O82" s="19" t="str">
        <f t="shared" si="10"/>
        <v/>
      </c>
      <c r="P82" s="19" t="str">
        <f t="shared" si="11"/>
        <v/>
      </c>
      <c r="Q82" s="19" t="str">
        <f t="shared" si="8"/>
        <v/>
      </c>
      <c r="R82" s="19" t="str">
        <f t="shared" si="14"/>
        <v/>
      </c>
      <c r="S82" s="27" t="str">
        <f t="shared" si="19"/>
        <v/>
      </c>
      <c r="T82" s="28" t="str">
        <f t="shared" si="19"/>
        <v/>
      </c>
      <c r="U82" s="28" t="str">
        <f t="shared" si="19"/>
        <v/>
      </c>
      <c r="V82" s="28" t="str">
        <f t="shared" si="19"/>
        <v/>
      </c>
      <c r="W82" s="28" t="str">
        <f t="shared" si="19"/>
        <v/>
      </c>
      <c r="X82" s="29" t="str">
        <f t="shared" si="19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20"/>
        <v/>
      </c>
      <c r="L83" s="19" t="str">
        <f t="shared" si="15"/>
        <v/>
      </c>
      <c r="M83" s="19" t="str">
        <f t="shared" si="16"/>
        <v/>
      </c>
      <c r="N83" s="19" t="str">
        <f t="shared" si="17"/>
        <v/>
      </c>
      <c r="O83" s="19" t="str">
        <f t="shared" si="10"/>
        <v/>
      </c>
      <c r="P83" s="19" t="str">
        <f t="shared" si="11"/>
        <v/>
      </c>
      <c r="Q83" s="19" t="str">
        <f t="shared" si="8"/>
        <v/>
      </c>
      <c r="R83" s="19" t="str">
        <f t="shared" si="14"/>
        <v/>
      </c>
      <c r="S83" s="27" t="str">
        <f t="shared" si="19"/>
        <v/>
      </c>
      <c r="T83" s="28" t="str">
        <f t="shared" si="19"/>
        <v/>
      </c>
      <c r="U83" s="28" t="str">
        <f t="shared" si="19"/>
        <v/>
      </c>
      <c r="V83" s="28" t="str">
        <f t="shared" si="19"/>
        <v/>
      </c>
      <c r="W83" s="28" t="str">
        <f t="shared" si="19"/>
        <v/>
      </c>
      <c r="X83" s="29" t="str">
        <f t="shared" si="19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20"/>
        <v/>
      </c>
      <c r="L84" s="19" t="str">
        <f t="shared" si="15"/>
        <v/>
      </c>
      <c r="M84" s="19" t="str">
        <f t="shared" si="16"/>
        <v/>
      </c>
      <c r="N84" s="19" t="str">
        <f t="shared" si="17"/>
        <v/>
      </c>
      <c r="O84" s="19" t="str">
        <f t="shared" si="10"/>
        <v/>
      </c>
      <c r="P84" s="19" t="str">
        <f t="shared" si="11"/>
        <v/>
      </c>
      <c r="Q84" s="19" t="str">
        <f t="shared" si="8"/>
        <v/>
      </c>
      <c r="R84" s="19" t="str">
        <f t="shared" si="14"/>
        <v/>
      </c>
      <c r="S84" s="27" t="str">
        <f t="shared" si="19"/>
        <v/>
      </c>
      <c r="T84" s="28" t="str">
        <f t="shared" si="19"/>
        <v/>
      </c>
      <c r="U84" s="28" t="str">
        <f t="shared" si="19"/>
        <v/>
      </c>
      <c r="V84" s="28" t="str">
        <f t="shared" si="19"/>
        <v/>
      </c>
      <c r="W84" s="28" t="str">
        <f t="shared" si="19"/>
        <v/>
      </c>
      <c r="X84" s="29" t="str">
        <f t="shared" si="19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20"/>
        <v/>
      </c>
      <c r="L85" s="19" t="str">
        <f t="shared" si="15"/>
        <v/>
      </c>
      <c r="M85" s="19" t="str">
        <f t="shared" si="16"/>
        <v/>
      </c>
      <c r="N85" s="19" t="str">
        <f t="shared" si="17"/>
        <v/>
      </c>
      <c r="O85" s="19" t="str">
        <f t="shared" si="10"/>
        <v/>
      </c>
      <c r="P85" s="19" t="str">
        <f t="shared" si="11"/>
        <v/>
      </c>
      <c r="Q85" s="19" t="str">
        <f t="shared" si="8"/>
        <v/>
      </c>
      <c r="R85" s="19" t="str">
        <f t="shared" si="14"/>
        <v/>
      </c>
      <c r="S85" s="27" t="str">
        <f t="shared" si="19"/>
        <v/>
      </c>
      <c r="T85" s="28" t="str">
        <f t="shared" si="19"/>
        <v/>
      </c>
      <c r="U85" s="28" t="str">
        <f t="shared" si="19"/>
        <v/>
      </c>
      <c r="V85" s="28" t="str">
        <f t="shared" si="19"/>
        <v/>
      </c>
      <c r="W85" s="28" t="str">
        <f t="shared" si="19"/>
        <v/>
      </c>
      <c r="X85" s="29" t="str">
        <f t="shared" si="19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20"/>
        <v/>
      </c>
      <c r="L86" s="19" t="str">
        <f t="shared" si="15"/>
        <v/>
      </c>
      <c r="M86" s="19" t="str">
        <f t="shared" si="16"/>
        <v/>
      </c>
      <c r="N86" s="19" t="str">
        <f t="shared" si="17"/>
        <v/>
      </c>
      <c r="O86" s="19" t="str">
        <f t="shared" si="10"/>
        <v/>
      </c>
      <c r="P86" s="19" t="str">
        <f t="shared" si="11"/>
        <v/>
      </c>
      <c r="Q86" s="19" t="str">
        <f t="shared" si="8"/>
        <v/>
      </c>
      <c r="R86" s="19" t="str">
        <f t="shared" si="14"/>
        <v/>
      </c>
      <c r="S86" s="27" t="str">
        <f t="shared" si="19"/>
        <v/>
      </c>
      <c r="T86" s="28" t="str">
        <f t="shared" si="19"/>
        <v/>
      </c>
      <c r="U86" s="28" t="str">
        <f t="shared" si="19"/>
        <v/>
      </c>
      <c r="V86" s="28" t="str">
        <f t="shared" si="19"/>
        <v/>
      </c>
      <c r="W86" s="28" t="str">
        <f t="shared" si="19"/>
        <v/>
      </c>
      <c r="X86" s="29" t="str">
        <f t="shared" si="19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20"/>
        <v/>
      </c>
      <c r="L87" s="19" t="str">
        <f t="shared" si="15"/>
        <v/>
      </c>
      <c r="M87" s="19" t="str">
        <f t="shared" si="16"/>
        <v/>
      </c>
      <c r="N87" s="19" t="str">
        <f t="shared" si="17"/>
        <v/>
      </c>
      <c r="O87" s="19" t="str">
        <f t="shared" si="10"/>
        <v/>
      </c>
      <c r="P87" s="19" t="str">
        <f t="shared" si="11"/>
        <v/>
      </c>
      <c r="Q87" s="19" t="str">
        <f t="shared" si="8"/>
        <v/>
      </c>
      <c r="R87" s="19" t="str">
        <f t="shared" si="14"/>
        <v/>
      </c>
      <c r="S87" s="27" t="str">
        <f t="shared" si="19"/>
        <v/>
      </c>
      <c r="T87" s="28" t="str">
        <f t="shared" si="19"/>
        <v/>
      </c>
      <c r="U87" s="28" t="str">
        <f t="shared" si="19"/>
        <v/>
      </c>
      <c r="V87" s="28" t="str">
        <f t="shared" si="19"/>
        <v/>
      </c>
      <c r="W87" s="28" t="str">
        <f t="shared" si="19"/>
        <v/>
      </c>
      <c r="X87" s="29" t="str">
        <f t="shared" si="19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20"/>
        <v/>
      </c>
      <c r="L88" s="19" t="str">
        <f t="shared" si="15"/>
        <v/>
      </c>
      <c r="M88" s="19" t="str">
        <f t="shared" si="16"/>
        <v/>
      </c>
      <c r="N88" s="19" t="str">
        <f t="shared" si="17"/>
        <v/>
      </c>
      <c r="O88" s="19" t="str">
        <f t="shared" si="10"/>
        <v/>
      </c>
      <c r="P88" s="19" t="str">
        <f t="shared" si="11"/>
        <v/>
      </c>
      <c r="Q88" s="19" t="str">
        <f t="shared" si="8"/>
        <v/>
      </c>
      <c r="R88" s="19" t="str">
        <f t="shared" si="14"/>
        <v/>
      </c>
      <c r="S88" s="27" t="str">
        <f t="shared" si="19"/>
        <v/>
      </c>
      <c r="T88" s="28" t="str">
        <f t="shared" si="19"/>
        <v/>
      </c>
      <c r="U88" s="28" t="str">
        <f t="shared" si="19"/>
        <v/>
      </c>
      <c r="V88" s="28" t="str">
        <f t="shared" si="19"/>
        <v/>
      </c>
      <c r="W88" s="28" t="str">
        <f t="shared" si="19"/>
        <v/>
      </c>
      <c r="X88" s="29" t="str">
        <f t="shared" si="19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20"/>
        <v/>
      </c>
      <c r="L89" s="19" t="str">
        <f t="shared" si="15"/>
        <v/>
      </c>
      <c r="M89" s="19" t="str">
        <f t="shared" si="16"/>
        <v/>
      </c>
      <c r="N89" s="19" t="str">
        <f t="shared" si="17"/>
        <v/>
      </c>
      <c r="O89" s="19" t="str">
        <f t="shared" si="10"/>
        <v/>
      </c>
      <c r="P89" s="19" t="str">
        <f t="shared" si="11"/>
        <v/>
      </c>
      <c r="Q89" s="19" t="str">
        <f t="shared" si="8"/>
        <v/>
      </c>
      <c r="R89" s="19" t="str">
        <f t="shared" si="14"/>
        <v/>
      </c>
      <c r="S89" s="27" t="str">
        <f t="shared" si="19"/>
        <v/>
      </c>
      <c r="T89" s="28" t="str">
        <f t="shared" si="19"/>
        <v/>
      </c>
      <c r="U89" s="28" t="str">
        <f t="shared" si="19"/>
        <v/>
      </c>
      <c r="V89" s="28" t="str">
        <f t="shared" si="19"/>
        <v/>
      </c>
      <c r="W89" s="28" t="str">
        <f t="shared" si="19"/>
        <v/>
      </c>
      <c r="X89" s="29" t="str">
        <f t="shared" si="19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20"/>
        <v/>
      </c>
      <c r="L90" s="19" t="str">
        <f t="shared" si="15"/>
        <v/>
      </c>
      <c r="M90" s="19" t="str">
        <f t="shared" si="16"/>
        <v/>
      </c>
      <c r="N90" s="19" t="str">
        <f t="shared" si="17"/>
        <v/>
      </c>
      <c r="O90" s="19" t="str">
        <f t="shared" si="10"/>
        <v/>
      </c>
      <c r="P90" s="19" t="str">
        <f t="shared" si="11"/>
        <v/>
      </c>
      <c r="Q90" s="19" t="str">
        <f t="shared" si="8"/>
        <v/>
      </c>
      <c r="R90" s="19" t="str">
        <f t="shared" si="14"/>
        <v/>
      </c>
      <c r="S90" s="27" t="str">
        <f t="shared" si="19"/>
        <v/>
      </c>
      <c r="T90" s="28" t="str">
        <f t="shared" si="19"/>
        <v/>
      </c>
      <c r="U90" s="28" t="str">
        <f t="shared" si="19"/>
        <v/>
      </c>
      <c r="V90" s="28" t="str">
        <f t="shared" si="19"/>
        <v/>
      </c>
      <c r="W90" s="28" t="str">
        <f t="shared" si="19"/>
        <v/>
      </c>
      <c r="X90" s="29" t="str">
        <f t="shared" si="19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20"/>
        <v/>
      </c>
      <c r="L91" s="19" t="str">
        <f t="shared" si="15"/>
        <v/>
      </c>
      <c r="M91" s="19" t="str">
        <f t="shared" si="16"/>
        <v/>
      </c>
      <c r="N91" s="19" t="str">
        <f t="shared" si="17"/>
        <v/>
      </c>
      <c r="O91" s="19" t="str">
        <f t="shared" si="10"/>
        <v/>
      </c>
      <c r="P91" s="19" t="str">
        <f t="shared" si="11"/>
        <v/>
      </c>
      <c r="Q91" s="19" t="str">
        <f t="shared" si="8"/>
        <v/>
      </c>
      <c r="R91" s="19" t="str">
        <f t="shared" si="14"/>
        <v/>
      </c>
      <c r="S91" s="27" t="str">
        <f t="shared" si="19"/>
        <v/>
      </c>
      <c r="T91" s="28" t="str">
        <f t="shared" si="19"/>
        <v/>
      </c>
      <c r="U91" s="28" t="str">
        <f t="shared" si="19"/>
        <v/>
      </c>
      <c r="V91" s="28" t="str">
        <f t="shared" si="19"/>
        <v/>
      </c>
      <c r="W91" s="28" t="str">
        <f t="shared" si="19"/>
        <v/>
      </c>
      <c r="X91" s="29" t="str">
        <f t="shared" si="19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20"/>
        <v/>
      </c>
      <c r="L92" s="19" t="str">
        <f t="shared" si="15"/>
        <v/>
      </c>
      <c r="M92" s="19" t="str">
        <f t="shared" si="16"/>
        <v/>
      </c>
      <c r="N92" s="19" t="str">
        <f t="shared" si="17"/>
        <v/>
      </c>
      <c r="O92" s="19" t="str">
        <f t="shared" si="10"/>
        <v/>
      </c>
      <c r="P92" s="19" t="str">
        <f t="shared" si="11"/>
        <v/>
      </c>
      <c r="Q92" s="19" t="str">
        <f t="shared" si="8"/>
        <v/>
      </c>
      <c r="R92" s="19" t="str">
        <f t="shared" si="14"/>
        <v/>
      </c>
      <c r="S92" s="27" t="str">
        <f t="shared" si="19"/>
        <v/>
      </c>
      <c r="T92" s="28" t="str">
        <f t="shared" si="19"/>
        <v/>
      </c>
      <c r="U92" s="28" t="str">
        <f t="shared" si="19"/>
        <v/>
      </c>
      <c r="V92" s="28" t="str">
        <f t="shared" si="19"/>
        <v/>
      </c>
      <c r="W92" s="28" t="str">
        <f t="shared" si="19"/>
        <v/>
      </c>
      <c r="X92" s="29" t="str">
        <f t="shared" si="19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20"/>
        <v/>
      </c>
      <c r="L93" s="19" t="str">
        <f t="shared" si="15"/>
        <v/>
      </c>
      <c r="M93" s="19" t="str">
        <f t="shared" si="16"/>
        <v/>
      </c>
      <c r="N93" s="19" t="str">
        <f t="shared" si="17"/>
        <v/>
      </c>
      <c r="O93" s="19" t="str">
        <f t="shared" si="10"/>
        <v/>
      </c>
      <c r="P93" s="19" t="str">
        <f t="shared" si="11"/>
        <v/>
      </c>
      <c r="Q93" s="19" t="str">
        <f t="shared" si="8"/>
        <v/>
      </c>
      <c r="R93" s="19" t="str">
        <f t="shared" si="14"/>
        <v/>
      </c>
      <c r="S93" s="27" t="str">
        <f t="shared" si="19"/>
        <v/>
      </c>
      <c r="T93" s="28" t="str">
        <f t="shared" si="19"/>
        <v/>
      </c>
      <c r="U93" s="28" t="str">
        <f t="shared" si="19"/>
        <v/>
      </c>
      <c r="V93" s="28" t="str">
        <f t="shared" si="19"/>
        <v/>
      </c>
      <c r="W93" s="28" t="str">
        <f t="shared" si="19"/>
        <v/>
      </c>
      <c r="X93" s="29" t="str">
        <f t="shared" si="19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20"/>
        <v/>
      </c>
      <c r="L94" s="19" t="str">
        <f t="shared" si="15"/>
        <v/>
      </c>
      <c r="M94" s="19" t="str">
        <f t="shared" si="16"/>
        <v/>
      </c>
      <c r="N94" s="19" t="str">
        <f t="shared" si="17"/>
        <v/>
      </c>
      <c r="O94" s="19" t="str">
        <f t="shared" si="10"/>
        <v/>
      </c>
      <c r="P94" s="19" t="str">
        <f t="shared" si="11"/>
        <v/>
      </c>
      <c r="Q94" s="19" t="str">
        <f t="shared" si="8"/>
        <v/>
      </c>
      <c r="R94" s="19" t="str">
        <f t="shared" ref="R94:R116" si="21">IF(ISBLANK(I94),"",(I94-I$16)*1000)</f>
        <v/>
      </c>
      <c r="S94" s="27" t="str">
        <f t="shared" si="19"/>
        <v/>
      </c>
      <c r="T94" s="28" t="str">
        <f t="shared" si="19"/>
        <v/>
      </c>
      <c r="U94" s="28" t="str">
        <f t="shared" si="19"/>
        <v/>
      </c>
      <c r="V94" s="28" t="str">
        <f t="shared" si="19"/>
        <v/>
      </c>
      <c r="W94" s="28" t="str">
        <f t="shared" si="19"/>
        <v/>
      </c>
      <c r="X94" s="29" t="str">
        <f t="shared" si="19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20"/>
        <v/>
      </c>
      <c r="L95" s="19" t="str">
        <f t="shared" ref="L95:L116" si="22">IF(ISBLANK(C95),"",(C95-C$16)*1000)</f>
        <v/>
      </c>
      <c r="M95" s="19" t="str">
        <f t="shared" ref="M95:M116" si="23">IF(ISBLANK(D95),"",(D95-D$16)*1000)</f>
        <v/>
      </c>
      <c r="N95" s="19" t="str">
        <f t="shared" ref="N95:N116" si="24">IF(ISBLANK(E95),"",(E95-E$16)*1000)</f>
        <v/>
      </c>
      <c r="O95" s="19" t="str">
        <f t="shared" si="10"/>
        <v/>
      </c>
      <c r="P95" s="19" t="str">
        <f t="shared" si="11"/>
        <v/>
      </c>
      <c r="Q95" s="19" t="str">
        <f t="shared" si="8"/>
        <v/>
      </c>
      <c r="R95" s="19" t="str">
        <f t="shared" si="21"/>
        <v/>
      </c>
      <c r="S95" s="27" t="str">
        <f t="shared" si="19"/>
        <v/>
      </c>
      <c r="T95" s="28" t="str">
        <f t="shared" si="19"/>
        <v/>
      </c>
      <c r="U95" s="28" t="str">
        <f t="shared" si="19"/>
        <v/>
      </c>
      <c r="V95" s="28" t="str">
        <f t="shared" si="19"/>
        <v/>
      </c>
      <c r="W95" s="28" t="str">
        <f t="shared" si="19"/>
        <v/>
      </c>
      <c r="X95" s="29" t="str">
        <f t="shared" si="19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20"/>
        <v/>
      </c>
      <c r="L96" s="19" t="str">
        <f t="shared" si="22"/>
        <v/>
      </c>
      <c r="M96" s="19" t="str">
        <f t="shared" si="23"/>
        <v/>
      </c>
      <c r="N96" s="19" t="str">
        <f t="shared" si="24"/>
        <v/>
      </c>
      <c r="O96" s="19" t="str">
        <f t="shared" si="10"/>
        <v/>
      </c>
      <c r="P96" s="19" t="str">
        <f t="shared" si="11"/>
        <v/>
      </c>
      <c r="Q96" s="19" t="str">
        <f t="shared" si="8"/>
        <v/>
      </c>
      <c r="R96" s="19" t="str">
        <f t="shared" si="21"/>
        <v/>
      </c>
      <c r="S96" s="27" t="str">
        <f t="shared" si="19"/>
        <v/>
      </c>
      <c r="T96" s="28" t="str">
        <f t="shared" si="19"/>
        <v/>
      </c>
      <c r="U96" s="28" t="str">
        <f t="shared" si="19"/>
        <v/>
      </c>
      <c r="V96" s="28" t="str">
        <f t="shared" si="19"/>
        <v/>
      </c>
      <c r="W96" s="28" t="str">
        <f t="shared" si="19"/>
        <v/>
      </c>
      <c r="X96" s="29" t="str">
        <f t="shared" si="19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20"/>
        <v/>
      </c>
      <c r="L97" s="19" t="str">
        <f t="shared" si="22"/>
        <v/>
      </c>
      <c r="M97" s="19" t="str">
        <f t="shared" si="23"/>
        <v/>
      </c>
      <c r="N97" s="19" t="str">
        <f t="shared" si="24"/>
        <v/>
      </c>
      <c r="O97" s="19" t="str">
        <f t="shared" si="10"/>
        <v/>
      </c>
      <c r="P97" s="19" t="str">
        <f t="shared" si="11"/>
        <v/>
      </c>
      <c r="Q97" s="19" t="str">
        <f t="shared" si="8"/>
        <v/>
      </c>
      <c r="R97" s="19" t="str">
        <f t="shared" si="21"/>
        <v/>
      </c>
      <c r="S97" s="27" t="str">
        <f t="shared" ref="S97:X112" si="25">IF(C97="","",((C97-C96)*1000)/($B97-$B96))</f>
        <v/>
      </c>
      <c r="T97" s="28" t="str">
        <f t="shared" si="25"/>
        <v/>
      </c>
      <c r="U97" s="28" t="str">
        <f t="shared" si="25"/>
        <v/>
      </c>
      <c r="V97" s="28" t="str">
        <f t="shared" si="25"/>
        <v/>
      </c>
      <c r="W97" s="28" t="str">
        <f t="shared" si="25"/>
        <v/>
      </c>
      <c r="X97" s="29" t="str">
        <f t="shared" si="25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20"/>
        <v/>
      </c>
      <c r="L98" s="19" t="str">
        <f t="shared" si="22"/>
        <v/>
      </c>
      <c r="M98" s="19" t="str">
        <f t="shared" si="23"/>
        <v/>
      </c>
      <c r="N98" s="19" t="str">
        <f t="shared" si="24"/>
        <v/>
      </c>
      <c r="O98" s="19" t="str">
        <f t="shared" si="10"/>
        <v/>
      </c>
      <c r="P98" s="19" t="str">
        <f t="shared" si="11"/>
        <v/>
      </c>
      <c r="Q98" s="19" t="str">
        <f t="shared" ref="Q98:Q153" si="26">IF(ISBLANK(H98),"",((H98-H$33)*1000)+N$32)</f>
        <v/>
      </c>
      <c r="R98" s="19" t="str">
        <f t="shared" si="21"/>
        <v/>
      </c>
      <c r="S98" s="27" t="str">
        <f t="shared" si="25"/>
        <v/>
      </c>
      <c r="T98" s="28" t="str">
        <f t="shared" si="25"/>
        <v/>
      </c>
      <c r="U98" s="28" t="str">
        <f t="shared" si="25"/>
        <v/>
      </c>
      <c r="V98" s="28" t="str">
        <f t="shared" si="25"/>
        <v/>
      </c>
      <c r="W98" s="28" t="str">
        <f t="shared" si="25"/>
        <v/>
      </c>
      <c r="X98" s="29" t="str">
        <f t="shared" si="25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20"/>
        <v/>
      </c>
      <c r="L99" s="19" t="str">
        <f t="shared" si="22"/>
        <v/>
      </c>
      <c r="M99" s="19" t="str">
        <f t="shared" si="23"/>
        <v/>
      </c>
      <c r="N99" s="19" t="str">
        <f t="shared" si="24"/>
        <v/>
      </c>
      <c r="O99" s="19" t="str">
        <f t="shared" si="10"/>
        <v/>
      </c>
      <c r="P99" s="19" t="str">
        <f t="shared" si="11"/>
        <v/>
      </c>
      <c r="Q99" s="19" t="str">
        <f t="shared" si="26"/>
        <v/>
      </c>
      <c r="R99" s="19" t="str">
        <f t="shared" si="21"/>
        <v/>
      </c>
      <c r="S99" s="27" t="str">
        <f t="shared" si="25"/>
        <v/>
      </c>
      <c r="T99" s="28" t="str">
        <f t="shared" si="25"/>
        <v/>
      </c>
      <c r="U99" s="28" t="str">
        <f t="shared" si="25"/>
        <v/>
      </c>
      <c r="V99" s="28" t="str">
        <f t="shared" si="25"/>
        <v/>
      </c>
      <c r="W99" s="28" t="str">
        <f t="shared" si="25"/>
        <v/>
      </c>
      <c r="X99" s="29" t="str">
        <f t="shared" si="25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20"/>
        <v/>
      </c>
      <c r="L100" s="19" t="str">
        <f t="shared" si="22"/>
        <v/>
      </c>
      <c r="M100" s="19" t="str">
        <f t="shared" si="23"/>
        <v/>
      </c>
      <c r="N100" s="19" t="str">
        <f t="shared" si="24"/>
        <v/>
      </c>
      <c r="O100" s="19" t="str">
        <f t="shared" si="10"/>
        <v/>
      </c>
      <c r="P100" s="19" t="str">
        <f t="shared" si="11"/>
        <v/>
      </c>
      <c r="Q100" s="19" t="str">
        <f t="shared" si="26"/>
        <v/>
      </c>
      <c r="R100" s="19" t="str">
        <f t="shared" si="21"/>
        <v/>
      </c>
      <c r="S100" s="27" t="str">
        <f t="shared" si="25"/>
        <v/>
      </c>
      <c r="T100" s="28" t="str">
        <f t="shared" si="25"/>
        <v/>
      </c>
      <c r="U100" s="28" t="str">
        <f t="shared" si="25"/>
        <v/>
      </c>
      <c r="V100" s="28" t="str">
        <f t="shared" si="25"/>
        <v/>
      </c>
      <c r="W100" s="28" t="str">
        <f t="shared" si="25"/>
        <v/>
      </c>
      <c r="X100" s="29" t="str">
        <f t="shared" si="25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20"/>
        <v/>
      </c>
      <c r="L101" s="19" t="str">
        <f t="shared" si="22"/>
        <v/>
      </c>
      <c r="M101" s="19" t="str">
        <f t="shared" si="23"/>
        <v/>
      </c>
      <c r="N101" s="19" t="str">
        <f t="shared" si="24"/>
        <v/>
      </c>
      <c r="O101" s="19" t="str">
        <f t="shared" si="10"/>
        <v/>
      </c>
      <c r="P101" s="19" t="str">
        <f t="shared" si="11"/>
        <v/>
      </c>
      <c r="Q101" s="19" t="str">
        <f t="shared" si="26"/>
        <v/>
      </c>
      <c r="R101" s="19" t="str">
        <f t="shared" si="21"/>
        <v/>
      </c>
      <c r="S101" s="27" t="str">
        <f t="shared" si="25"/>
        <v/>
      </c>
      <c r="T101" s="28" t="str">
        <f t="shared" si="25"/>
        <v/>
      </c>
      <c r="U101" s="28" t="str">
        <f t="shared" si="25"/>
        <v/>
      </c>
      <c r="V101" s="28" t="str">
        <f t="shared" si="25"/>
        <v/>
      </c>
      <c r="W101" s="28" t="str">
        <f t="shared" si="25"/>
        <v/>
      </c>
      <c r="X101" s="29" t="str">
        <f t="shared" si="25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20"/>
        <v/>
      </c>
      <c r="L102" s="19" t="str">
        <f t="shared" si="22"/>
        <v/>
      </c>
      <c r="M102" s="19" t="str">
        <f t="shared" si="23"/>
        <v/>
      </c>
      <c r="N102" s="19" t="str">
        <f t="shared" si="24"/>
        <v/>
      </c>
      <c r="O102" s="19" t="str">
        <f t="shared" si="10"/>
        <v/>
      </c>
      <c r="P102" s="19" t="str">
        <f t="shared" si="11"/>
        <v/>
      </c>
      <c r="Q102" s="19" t="str">
        <f t="shared" si="26"/>
        <v/>
      </c>
      <c r="R102" s="19" t="str">
        <f t="shared" si="21"/>
        <v/>
      </c>
      <c r="S102" s="27" t="str">
        <f t="shared" si="25"/>
        <v/>
      </c>
      <c r="T102" s="28" t="str">
        <f t="shared" si="25"/>
        <v/>
      </c>
      <c r="U102" s="28" t="str">
        <f t="shared" si="25"/>
        <v/>
      </c>
      <c r="V102" s="28" t="str">
        <f t="shared" si="25"/>
        <v/>
      </c>
      <c r="W102" s="28" t="str">
        <f t="shared" si="25"/>
        <v/>
      </c>
      <c r="X102" s="29" t="str">
        <f t="shared" si="25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20"/>
        <v/>
      </c>
      <c r="L103" s="19" t="str">
        <f t="shared" si="22"/>
        <v/>
      </c>
      <c r="M103" s="19" t="str">
        <f t="shared" si="23"/>
        <v/>
      </c>
      <c r="N103" s="19" t="str">
        <f t="shared" si="24"/>
        <v/>
      </c>
      <c r="O103" s="19" t="str">
        <f t="shared" si="10"/>
        <v/>
      </c>
      <c r="P103" s="19" t="str">
        <f t="shared" si="11"/>
        <v/>
      </c>
      <c r="Q103" s="19" t="str">
        <f t="shared" si="26"/>
        <v/>
      </c>
      <c r="R103" s="19" t="str">
        <f t="shared" si="21"/>
        <v/>
      </c>
      <c r="S103" s="27" t="str">
        <f t="shared" si="25"/>
        <v/>
      </c>
      <c r="T103" s="28" t="str">
        <f t="shared" si="25"/>
        <v/>
      </c>
      <c r="U103" s="28" t="str">
        <f t="shared" si="25"/>
        <v/>
      </c>
      <c r="V103" s="28" t="str">
        <f t="shared" si="25"/>
        <v/>
      </c>
      <c r="W103" s="28" t="str">
        <f t="shared" si="25"/>
        <v/>
      </c>
      <c r="X103" s="29" t="str">
        <f t="shared" si="25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20"/>
        <v/>
      </c>
      <c r="L104" s="19" t="str">
        <f t="shared" si="22"/>
        <v/>
      </c>
      <c r="M104" s="19" t="str">
        <f t="shared" si="23"/>
        <v/>
      </c>
      <c r="N104" s="19" t="str">
        <f t="shared" si="24"/>
        <v/>
      </c>
      <c r="O104" s="19" t="str">
        <f t="shared" si="10"/>
        <v/>
      </c>
      <c r="P104" s="19" t="str">
        <f t="shared" si="11"/>
        <v/>
      </c>
      <c r="Q104" s="19" t="str">
        <f t="shared" si="26"/>
        <v/>
      </c>
      <c r="R104" s="19" t="str">
        <f t="shared" si="21"/>
        <v/>
      </c>
      <c r="S104" s="27" t="str">
        <f t="shared" si="25"/>
        <v/>
      </c>
      <c r="T104" s="28" t="str">
        <f t="shared" si="25"/>
        <v/>
      </c>
      <c r="U104" s="28" t="str">
        <f t="shared" si="25"/>
        <v/>
      </c>
      <c r="V104" s="28" t="str">
        <f t="shared" si="25"/>
        <v/>
      </c>
      <c r="W104" s="28" t="str">
        <f t="shared" si="25"/>
        <v/>
      </c>
      <c r="X104" s="29" t="str">
        <f t="shared" si="25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20"/>
        <v/>
      </c>
      <c r="L105" s="19" t="str">
        <f t="shared" si="22"/>
        <v/>
      </c>
      <c r="M105" s="19" t="str">
        <f t="shared" si="23"/>
        <v/>
      </c>
      <c r="N105" s="19" t="str">
        <f t="shared" si="24"/>
        <v/>
      </c>
      <c r="O105" s="19" t="str">
        <f t="shared" si="10"/>
        <v/>
      </c>
      <c r="P105" s="19" t="str">
        <f t="shared" si="11"/>
        <v/>
      </c>
      <c r="Q105" s="19" t="str">
        <f t="shared" si="26"/>
        <v/>
      </c>
      <c r="R105" s="19" t="str">
        <f t="shared" si="21"/>
        <v/>
      </c>
      <c r="S105" s="27" t="str">
        <f t="shared" si="25"/>
        <v/>
      </c>
      <c r="T105" s="28" t="str">
        <f t="shared" si="25"/>
        <v/>
      </c>
      <c r="U105" s="28" t="str">
        <f t="shared" si="25"/>
        <v/>
      </c>
      <c r="V105" s="28" t="str">
        <f t="shared" si="25"/>
        <v/>
      </c>
      <c r="W105" s="28" t="str">
        <f t="shared" si="25"/>
        <v/>
      </c>
      <c r="X105" s="29" t="str">
        <f t="shared" si="25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20"/>
        <v/>
      </c>
      <c r="L106" s="19" t="str">
        <f t="shared" si="22"/>
        <v/>
      </c>
      <c r="M106" s="19" t="str">
        <f t="shared" si="23"/>
        <v/>
      </c>
      <c r="N106" s="19" t="str">
        <f t="shared" si="24"/>
        <v/>
      </c>
      <c r="O106" s="19" t="str">
        <f t="shared" ref="O106:O153" si="27">IF(ISBLANK(F106),"",((F106-F$41)*1000)+O$40)</f>
        <v/>
      </c>
      <c r="P106" s="19" t="str">
        <f t="shared" ref="P106:P153" si="28">IF(ISBLANK(G106),"",((G106-G$41)*1000)+P$40)</f>
        <v/>
      </c>
      <c r="Q106" s="19" t="str">
        <f t="shared" si="26"/>
        <v/>
      </c>
      <c r="R106" s="19" t="str">
        <f t="shared" si="21"/>
        <v/>
      </c>
      <c r="S106" s="27" t="str">
        <f t="shared" si="25"/>
        <v/>
      </c>
      <c r="T106" s="28" t="str">
        <f t="shared" si="25"/>
        <v/>
      </c>
      <c r="U106" s="28" t="str">
        <f t="shared" si="25"/>
        <v/>
      </c>
      <c r="V106" s="28" t="str">
        <f t="shared" si="25"/>
        <v/>
      </c>
      <c r="W106" s="28" t="str">
        <f t="shared" si="25"/>
        <v/>
      </c>
      <c r="X106" s="29" t="str">
        <f t="shared" si="25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20"/>
        <v/>
      </c>
      <c r="L107" s="19" t="str">
        <f t="shared" si="22"/>
        <v/>
      </c>
      <c r="M107" s="19" t="str">
        <f t="shared" si="23"/>
        <v/>
      </c>
      <c r="N107" s="19" t="str">
        <f t="shared" si="24"/>
        <v/>
      </c>
      <c r="O107" s="19" t="str">
        <f t="shared" si="27"/>
        <v/>
      </c>
      <c r="P107" s="19" t="str">
        <f t="shared" si="28"/>
        <v/>
      </c>
      <c r="Q107" s="19" t="str">
        <f t="shared" si="26"/>
        <v/>
      </c>
      <c r="R107" s="19" t="str">
        <f t="shared" si="21"/>
        <v/>
      </c>
      <c r="S107" s="27" t="str">
        <f t="shared" si="25"/>
        <v/>
      </c>
      <c r="T107" s="28" t="str">
        <f t="shared" si="25"/>
        <v/>
      </c>
      <c r="U107" s="28" t="str">
        <f t="shared" si="25"/>
        <v/>
      </c>
      <c r="V107" s="28" t="str">
        <f t="shared" si="25"/>
        <v/>
      </c>
      <c r="W107" s="28" t="str">
        <f t="shared" si="25"/>
        <v/>
      </c>
      <c r="X107" s="29" t="str">
        <f t="shared" si="25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20"/>
        <v/>
      </c>
      <c r="L108" s="19" t="str">
        <f t="shared" si="22"/>
        <v/>
      </c>
      <c r="M108" s="19" t="str">
        <f t="shared" si="23"/>
        <v/>
      </c>
      <c r="N108" s="19" t="str">
        <f t="shared" si="24"/>
        <v/>
      </c>
      <c r="O108" s="19" t="str">
        <f t="shared" si="27"/>
        <v/>
      </c>
      <c r="P108" s="19" t="str">
        <f t="shared" si="28"/>
        <v/>
      </c>
      <c r="Q108" s="19" t="str">
        <f t="shared" si="26"/>
        <v/>
      </c>
      <c r="R108" s="19" t="str">
        <f t="shared" si="21"/>
        <v/>
      </c>
      <c r="S108" s="27" t="str">
        <f t="shared" si="25"/>
        <v/>
      </c>
      <c r="T108" s="28" t="str">
        <f t="shared" si="25"/>
        <v/>
      </c>
      <c r="U108" s="28" t="str">
        <f t="shared" si="25"/>
        <v/>
      </c>
      <c r="V108" s="28" t="str">
        <f t="shared" si="25"/>
        <v/>
      </c>
      <c r="W108" s="28" t="str">
        <f t="shared" si="25"/>
        <v/>
      </c>
      <c r="X108" s="29" t="str">
        <f t="shared" si="25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20"/>
        <v/>
      </c>
      <c r="L109" s="19" t="str">
        <f t="shared" si="22"/>
        <v/>
      </c>
      <c r="M109" s="19" t="str">
        <f t="shared" si="23"/>
        <v/>
      </c>
      <c r="N109" s="19" t="str">
        <f t="shared" si="24"/>
        <v/>
      </c>
      <c r="O109" s="19" t="str">
        <f t="shared" si="27"/>
        <v/>
      </c>
      <c r="P109" s="19" t="str">
        <f t="shared" si="28"/>
        <v/>
      </c>
      <c r="Q109" s="19" t="str">
        <f t="shared" si="26"/>
        <v/>
      </c>
      <c r="R109" s="19" t="str">
        <f t="shared" si="21"/>
        <v/>
      </c>
      <c r="S109" s="27" t="str">
        <f t="shared" si="25"/>
        <v/>
      </c>
      <c r="T109" s="28" t="str">
        <f t="shared" si="25"/>
        <v/>
      </c>
      <c r="U109" s="28" t="str">
        <f t="shared" si="25"/>
        <v/>
      </c>
      <c r="V109" s="28" t="str">
        <f t="shared" si="25"/>
        <v/>
      </c>
      <c r="W109" s="28" t="str">
        <f t="shared" si="25"/>
        <v/>
      </c>
      <c r="X109" s="29" t="str">
        <f t="shared" si="25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20"/>
        <v/>
      </c>
      <c r="L110" s="19" t="str">
        <f t="shared" si="22"/>
        <v/>
      </c>
      <c r="M110" s="19" t="str">
        <f t="shared" si="23"/>
        <v/>
      </c>
      <c r="N110" s="19" t="str">
        <f t="shared" si="24"/>
        <v/>
      </c>
      <c r="O110" s="19" t="str">
        <f t="shared" si="27"/>
        <v/>
      </c>
      <c r="P110" s="19" t="str">
        <f t="shared" si="28"/>
        <v/>
      </c>
      <c r="Q110" s="19" t="str">
        <f t="shared" si="26"/>
        <v/>
      </c>
      <c r="R110" s="19" t="str">
        <f t="shared" si="21"/>
        <v/>
      </c>
      <c r="S110" s="27" t="str">
        <f t="shared" si="25"/>
        <v/>
      </c>
      <c r="T110" s="28" t="str">
        <f t="shared" si="25"/>
        <v/>
      </c>
      <c r="U110" s="28" t="str">
        <f t="shared" si="25"/>
        <v/>
      </c>
      <c r="V110" s="28" t="str">
        <f t="shared" si="25"/>
        <v/>
      </c>
      <c r="W110" s="28" t="str">
        <f t="shared" si="25"/>
        <v/>
      </c>
      <c r="X110" s="29" t="str">
        <f t="shared" si="25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20"/>
        <v/>
      </c>
      <c r="L111" s="19" t="str">
        <f t="shared" si="22"/>
        <v/>
      </c>
      <c r="M111" s="19" t="str">
        <f t="shared" si="23"/>
        <v/>
      </c>
      <c r="N111" s="19" t="str">
        <f t="shared" si="24"/>
        <v/>
      </c>
      <c r="O111" s="19" t="str">
        <f t="shared" si="27"/>
        <v/>
      </c>
      <c r="P111" s="19" t="str">
        <f t="shared" si="28"/>
        <v/>
      </c>
      <c r="Q111" s="19" t="str">
        <f t="shared" si="26"/>
        <v/>
      </c>
      <c r="R111" s="19" t="str">
        <f t="shared" si="21"/>
        <v/>
      </c>
      <c r="S111" s="27" t="str">
        <f t="shared" si="25"/>
        <v/>
      </c>
      <c r="T111" s="28" t="str">
        <f t="shared" si="25"/>
        <v/>
      </c>
      <c r="U111" s="28" t="str">
        <f t="shared" si="25"/>
        <v/>
      </c>
      <c r="V111" s="28" t="str">
        <f t="shared" si="25"/>
        <v/>
      </c>
      <c r="W111" s="28" t="str">
        <f t="shared" si="25"/>
        <v/>
      </c>
      <c r="X111" s="29" t="str">
        <f t="shared" si="25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20"/>
        <v/>
      </c>
      <c r="L112" s="19" t="str">
        <f t="shared" si="22"/>
        <v/>
      </c>
      <c r="M112" s="19" t="str">
        <f t="shared" si="23"/>
        <v/>
      </c>
      <c r="N112" s="19" t="str">
        <f t="shared" si="24"/>
        <v/>
      </c>
      <c r="O112" s="19" t="str">
        <f t="shared" si="27"/>
        <v/>
      </c>
      <c r="P112" s="19" t="str">
        <f t="shared" si="28"/>
        <v/>
      </c>
      <c r="Q112" s="19" t="str">
        <f t="shared" si="26"/>
        <v/>
      </c>
      <c r="R112" s="19" t="str">
        <f t="shared" si="21"/>
        <v/>
      </c>
      <c r="S112" s="27" t="str">
        <f t="shared" si="25"/>
        <v/>
      </c>
      <c r="T112" s="28" t="str">
        <f t="shared" si="25"/>
        <v/>
      </c>
      <c r="U112" s="28" t="str">
        <f t="shared" si="25"/>
        <v/>
      </c>
      <c r="V112" s="28" t="str">
        <f t="shared" si="25"/>
        <v/>
      </c>
      <c r="W112" s="28" t="str">
        <f t="shared" si="25"/>
        <v/>
      </c>
      <c r="X112" s="29" t="str">
        <f t="shared" si="25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20"/>
        <v/>
      </c>
      <c r="L113" s="19" t="str">
        <f t="shared" si="22"/>
        <v/>
      </c>
      <c r="M113" s="19" t="str">
        <f t="shared" si="23"/>
        <v/>
      </c>
      <c r="N113" s="19" t="str">
        <f t="shared" si="24"/>
        <v/>
      </c>
      <c r="O113" s="19" t="str">
        <f t="shared" si="27"/>
        <v/>
      </c>
      <c r="P113" s="19" t="str">
        <f t="shared" si="28"/>
        <v/>
      </c>
      <c r="Q113" s="19" t="str">
        <f t="shared" si="26"/>
        <v/>
      </c>
      <c r="R113" s="19" t="str">
        <f t="shared" si="21"/>
        <v/>
      </c>
      <c r="S113" s="27" t="str">
        <f t="shared" ref="S113:X128" si="29">IF(C113="","",((C113-C112)*1000)/($B113-$B112))</f>
        <v/>
      </c>
      <c r="T113" s="28" t="str">
        <f t="shared" si="29"/>
        <v/>
      </c>
      <c r="U113" s="28" t="str">
        <f t="shared" si="29"/>
        <v/>
      </c>
      <c r="V113" s="28" t="str">
        <f t="shared" si="29"/>
        <v/>
      </c>
      <c r="W113" s="28" t="str">
        <f t="shared" si="29"/>
        <v/>
      </c>
      <c r="X113" s="29" t="str">
        <f t="shared" si="29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20"/>
        <v/>
      </c>
      <c r="L114" s="19" t="str">
        <f t="shared" si="22"/>
        <v/>
      </c>
      <c r="M114" s="19" t="str">
        <f t="shared" si="23"/>
        <v/>
      </c>
      <c r="N114" s="19" t="str">
        <f t="shared" si="24"/>
        <v/>
      </c>
      <c r="O114" s="19" t="str">
        <f t="shared" si="27"/>
        <v/>
      </c>
      <c r="P114" s="19" t="str">
        <f t="shared" si="28"/>
        <v/>
      </c>
      <c r="Q114" s="19" t="str">
        <f t="shared" si="26"/>
        <v/>
      </c>
      <c r="R114" s="19" t="str">
        <f t="shared" si="21"/>
        <v/>
      </c>
      <c r="S114" s="27" t="str">
        <f t="shared" si="29"/>
        <v/>
      </c>
      <c r="T114" s="28" t="str">
        <f t="shared" si="29"/>
        <v/>
      </c>
      <c r="U114" s="28" t="str">
        <f t="shared" si="29"/>
        <v/>
      </c>
      <c r="V114" s="28" t="str">
        <f t="shared" si="29"/>
        <v/>
      </c>
      <c r="W114" s="28" t="str">
        <f t="shared" si="29"/>
        <v/>
      </c>
      <c r="X114" s="29" t="str">
        <f t="shared" si="29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20"/>
        <v/>
      </c>
      <c r="L115" s="19" t="str">
        <f t="shared" si="22"/>
        <v/>
      </c>
      <c r="M115" s="19" t="str">
        <f t="shared" si="23"/>
        <v/>
      </c>
      <c r="N115" s="19" t="str">
        <f t="shared" si="24"/>
        <v/>
      </c>
      <c r="O115" s="19" t="str">
        <f t="shared" si="27"/>
        <v/>
      </c>
      <c r="P115" s="19" t="str">
        <f t="shared" si="28"/>
        <v/>
      </c>
      <c r="Q115" s="19" t="str">
        <f t="shared" si="26"/>
        <v/>
      </c>
      <c r="R115" s="19" t="str">
        <f t="shared" si="21"/>
        <v/>
      </c>
      <c r="S115" s="27" t="str">
        <f t="shared" si="29"/>
        <v/>
      </c>
      <c r="T115" s="28" t="str">
        <f t="shared" si="29"/>
        <v/>
      </c>
      <c r="U115" s="28" t="str">
        <f t="shared" si="29"/>
        <v/>
      </c>
      <c r="V115" s="28" t="str">
        <f t="shared" si="29"/>
        <v/>
      </c>
      <c r="W115" s="28" t="str">
        <f t="shared" si="29"/>
        <v/>
      </c>
      <c r="X115" s="29" t="str">
        <f t="shared" si="29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20"/>
        <v/>
      </c>
      <c r="L116" s="19" t="str">
        <f t="shared" si="22"/>
        <v/>
      </c>
      <c r="M116" s="19" t="str">
        <f t="shared" si="23"/>
        <v/>
      </c>
      <c r="N116" s="19" t="str">
        <f t="shared" si="24"/>
        <v/>
      </c>
      <c r="O116" s="19" t="str">
        <f t="shared" si="27"/>
        <v/>
      </c>
      <c r="P116" s="19" t="str">
        <f t="shared" si="28"/>
        <v/>
      </c>
      <c r="Q116" s="19" t="str">
        <f t="shared" si="26"/>
        <v/>
      </c>
      <c r="R116" s="19" t="str">
        <f t="shared" si="21"/>
        <v/>
      </c>
      <c r="S116" s="27" t="str">
        <f t="shared" si="29"/>
        <v/>
      </c>
      <c r="T116" s="28" t="str">
        <f t="shared" si="29"/>
        <v/>
      </c>
      <c r="U116" s="28" t="str">
        <f t="shared" si="29"/>
        <v/>
      </c>
      <c r="V116" s="28" t="str">
        <f t="shared" si="29"/>
        <v/>
      </c>
      <c r="W116" s="28" t="str">
        <f t="shared" si="29"/>
        <v/>
      </c>
      <c r="X116" s="29" t="str">
        <f t="shared" si="29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20"/>
        <v/>
      </c>
      <c r="L117" s="19" t="str">
        <f>IF(ISBLANK(C117),"",(C117-C$16)*1000)</f>
        <v/>
      </c>
      <c r="M117" s="19" t="str">
        <f t="shared" ref="M117:R153" si="30">IF(ISBLANK(D117),"",(D117-D$16)*1000)</f>
        <v/>
      </c>
      <c r="N117" s="19" t="str">
        <f t="shared" si="30"/>
        <v/>
      </c>
      <c r="O117" s="19" t="str">
        <f t="shared" si="27"/>
        <v/>
      </c>
      <c r="P117" s="19" t="str">
        <f t="shared" si="28"/>
        <v/>
      </c>
      <c r="Q117" s="19" t="str">
        <f t="shared" si="26"/>
        <v/>
      </c>
      <c r="R117" s="19" t="str">
        <f t="shared" si="30"/>
        <v/>
      </c>
      <c r="S117" s="27" t="str">
        <f t="shared" si="29"/>
        <v/>
      </c>
      <c r="T117" s="28" t="str">
        <f t="shared" si="29"/>
        <v/>
      </c>
      <c r="U117" s="28" t="str">
        <f t="shared" si="29"/>
        <v/>
      </c>
      <c r="V117" s="28" t="str">
        <f t="shared" si="29"/>
        <v/>
      </c>
      <c r="W117" s="28" t="str">
        <f t="shared" si="29"/>
        <v/>
      </c>
      <c r="X117" s="29" t="str">
        <f t="shared" si="29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20"/>
        <v/>
      </c>
      <c r="L118" s="19" t="str">
        <f t="shared" ref="L118:L153" si="31">IF(ISBLANK(C118),"",(C118-C$16)*1000)</f>
        <v/>
      </c>
      <c r="M118" s="19" t="str">
        <f t="shared" si="30"/>
        <v/>
      </c>
      <c r="N118" s="19" t="str">
        <f t="shared" si="30"/>
        <v/>
      </c>
      <c r="O118" s="19" t="str">
        <f t="shared" si="27"/>
        <v/>
      </c>
      <c r="P118" s="19" t="str">
        <f t="shared" si="28"/>
        <v/>
      </c>
      <c r="Q118" s="19" t="str">
        <f t="shared" si="26"/>
        <v/>
      </c>
      <c r="R118" s="19" t="str">
        <f t="shared" si="30"/>
        <v/>
      </c>
      <c r="S118" s="27" t="str">
        <f t="shared" si="29"/>
        <v/>
      </c>
      <c r="T118" s="28" t="str">
        <f t="shared" si="29"/>
        <v/>
      </c>
      <c r="U118" s="28" t="str">
        <f t="shared" si="29"/>
        <v/>
      </c>
      <c r="V118" s="28" t="str">
        <f t="shared" si="29"/>
        <v/>
      </c>
      <c r="W118" s="28" t="str">
        <f t="shared" si="29"/>
        <v/>
      </c>
      <c r="X118" s="29" t="str">
        <f t="shared" si="29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20"/>
        <v/>
      </c>
      <c r="L119" s="19" t="str">
        <f t="shared" si="31"/>
        <v/>
      </c>
      <c r="M119" s="19" t="str">
        <f t="shared" si="30"/>
        <v/>
      </c>
      <c r="N119" s="19" t="str">
        <f t="shared" si="30"/>
        <v/>
      </c>
      <c r="O119" s="19" t="str">
        <f t="shared" si="27"/>
        <v/>
      </c>
      <c r="P119" s="19" t="str">
        <f t="shared" si="28"/>
        <v/>
      </c>
      <c r="Q119" s="19" t="str">
        <f t="shared" si="26"/>
        <v/>
      </c>
      <c r="R119" s="19" t="str">
        <f t="shared" si="30"/>
        <v/>
      </c>
      <c r="S119" s="27" t="str">
        <f t="shared" si="29"/>
        <v/>
      </c>
      <c r="T119" s="28" t="str">
        <f t="shared" si="29"/>
        <v/>
      </c>
      <c r="U119" s="28" t="str">
        <f t="shared" si="29"/>
        <v/>
      </c>
      <c r="V119" s="28" t="str">
        <f t="shared" si="29"/>
        <v/>
      </c>
      <c r="W119" s="28" t="str">
        <f t="shared" si="29"/>
        <v/>
      </c>
      <c r="X119" s="29" t="str">
        <f t="shared" si="29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20"/>
        <v/>
      </c>
      <c r="L120" s="19" t="str">
        <f t="shared" si="31"/>
        <v/>
      </c>
      <c r="M120" s="19" t="str">
        <f t="shared" si="30"/>
        <v/>
      </c>
      <c r="N120" s="19" t="str">
        <f t="shared" si="30"/>
        <v/>
      </c>
      <c r="O120" s="19" t="str">
        <f t="shared" si="27"/>
        <v/>
      </c>
      <c r="P120" s="19" t="str">
        <f t="shared" si="28"/>
        <v/>
      </c>
      <c r="Q120" s="19" t="str">
        <f t="shared" si="26"/>
        <v/>
      </c>
      <c r="R120" s="19" t="str">
        <f t="shared" si="30"/>
        <v/>
      </c>
      <c r="S120" s="27" t="str">
        <f t="shared" si="29"/>
        <v/>
      </c>
      <c r="T120" s="28" t="str">
        <f t="shared" si="29"/>
        <v/>
      </c>
      <c r="U120" s="28" t="str">
        <f t="shared" si="29"/>
        <v/>
      </c>
      <c r="V120" s="28" t="str">
        <f t="shared" si="29"/>
        <v/>
      </c>
      <c r="W120" s="28" t="str">
        <f t="shared" si="29"/>
        <v/>
      </c>
      <c r="X120" s="29" t="str">
        <f t="shared" si="29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20"/>
        <v/>
      </c>
      <c r="L121" s="19" t="str">
        <f t="shared" si="31"/>
        <v/>
      </c>
      <c r="M121" s="19" t="str">
        <f t="shared" si="30"/>
        <v/>
      </c>
      <c r="N121" s="19" t="str">
        <f t="shared" si="30"/>
        <v/>
      </c>
      <c r="O121" s="19" t="str">
        <f t="shared" si="27"/>
        <v/>
      </c>
      <c r="P121" s="19" t="str">
        <f t="shared" si="28"/>
        <v/>
      </c>
      <c r="Q121" s="19" t="str">
        <f t="shared" si="26"/>
        <v/>
      </c>
      <c r="R121" s="19" t="str">
        <f t="shared" si="30"/>
        <v/>
      </c>
      <c r="S121" s="27" t="str">
        <f t="shared" si="29"/>
        <v/>
      </c>
      <c r="T121" s="28" t="str">
        <f t="shared" si="29"/>
        <v/>
      </c>
      <c r="U121" s="28" t="str">
        <f t="shared" si="29"/>
        <v/>
      </c>
      <c r="V121" s="28" t="str">
        <f t="shared" si="29"/>
        <v/>
      </c>
      <c r="W121" s="28" t="str">
        <f t="shared" si="29"/>
        <v/>
      </c>
      <c r="X121" s="29" t="str">
        <f t="shared" si="29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20"/>
        <v/>
      </c>
      <c r="L122" s="19" t="str">
        <f t="shared" si="31"/>
        <v/>
      </c>
      <c r="M122" s="19" t="str">
        <f t="shared" si="30"/>
        <v/>
      </c>
      <c r="N122" s="19" t="str">
        <f t="shared" si="30"/>
        <v/>
      </c>
      <c r="O122" s="19" t="str">
        <f t="shared" si="27"/>
        <v/>
      </c>
      <c r="P122" s="19" t="str">
        <f t="shared" si="28"/>
        <v/>
      </c>
      <c r="Q122" s="19" t="str">
        <f t="shared" si="26"/>
        <v/>
      </c>
      <c r="R122" s="19" t="str">
        <f t="shared" si="30"/>
        <v/>
      </c>
      <c r="S122" s="27" t="str">
        <f t="shared" si="29"/>
        <v/>
      </c>
      <c r="T122" s="28" t="str">
        <f t="shared" si="29"/>
        <v/>
      </c>
      <c r="U122" s="28" t="str">
        <f t="shared" si="29"/>
        <v/>
      </c>
      <c r="V122" s="28" t="str">
        <f t="shared" si="29"/>
        <v/>
      </c>
      <c r="W122" s="28" t="str">
        <f t="shared" si="29"/>
        <v/>
      </c>
      <c r="X122" s="29" t="str">
        <f t="shared" si="29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20"/>
        <v/>
      </c>
      <c r="L123" s="19" t="str">
        <f t="shared" si="31"/>
        <v/>
      </c>
      <c r="M123" s="19" t="str">
        <f t="shared" si="30"/>
        <v/>
      </c>
      <c r="N123" s="19" t="str">
        <f t="shared" si="30"/>
        <v/>
      </c>
      <c r="O123" s="19" t="str">
        <f t="shared" si="27"/>
        <v/>
      </c>
      <c r="P123" s="19" t="str">
        <f t="shared" si="28"/>
        <v/>
      </c>
      <c r="Q123" s="19" t="str">
        <f t="shared" si="26"/>
        <v/>
      </c>
      <c r="R123" s="19" t="str">
        <f t="shared" si="30"/>
        <v/>
      </c>
      <c r="S123" s="27" t="str">
        <f t="shared" si="29"/>
        <v/>
      </c>
      <c r="T123" s="28" t="str">
        <f t="shared" si="29"/>
        <v/>
      </c>
      <c r="U123" s="28" t="str">
        <f t="shared" si="29"/>
        <v/>
      </c>
      <c r="V123" s="28" t="str">
        <f t="shared" si="29"/>
        <v/>
      </c>
      <c r="W123" s="28" t="str">
        <f t="shared" si="29"/>
        <v/>
      </c>
      <c r="X123" s="29" t="str">
        <f t="shared" si="29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20"/>
        <v/>
      </c>
      <c r="L124" s="19" t="str">
        <f t="shared" si="31"/>
        <v/>
      </c>
      <c r="M124" s="19" t="str">
        <f t="shared" si="30"/>
        <v/>
      </c>
      <c r="N124" s="19" t="str">
        <f t="shared" si="30"/>
        <v/>
      </c>
      <c r="O124" s="19" t="str">
        <f t="shared" si="27"/>
        <v/>
      </c>
      <c r="P124" s="19" t="str">
        <f t="shared" si="28"/>
        <v/>
      </c>
      <c r="Q124" s="19" t="str">
        <f t="shared" si="26"/>
        <v/>
      </c>
      <c r="R124" s="19" t="str">
        <f t="shared" si="30"/>
        <v/>
      </c>
      <c r="S124" s="27" t="str">
        <f t="shared" si="29"/>
        <v/>
      </c>
      <c r="T124" s="28" t="str">
        <f t="shared" si="29"/>
        <v/>
      </c>
      <c r="U124" s="28" t="str">
        <f t="shared" si="29"/>
        <v/>
      </c>
      <c r="V124" s="28" t="str">
        <f t="shared" si="29"/>
        <v/>
      </c>
      <c r="W124" s="28" t="str">
        <f t="shared" si="29"/>
        <v/>
      </c>
      <c r="X124" s="29" t="str">
        <f t="shared" si="29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20"/>
        <v/>
      </c>
      <c r="L125" s="19" t="str">
        <f t="shared" si="31"/>
        <v/>
      </c>
      <c r="M125" s="19" t="str">
        <f t="shared" si="30"/>
        <v/>
      </c>
      <c r="N125" s="19" t="str">
        <f t="shared" si="30"/>
        <v/>
      </c>
      <c r="O125" s="19" t="str">
        <f t="shared" si="27"/>
        <v/>
      </c>
      <c r="P125" s="19" t="str">
        <f t="shared" si="28"/>
        <v/>
      </c>
      <c r="Q125" s="19" t="str">
        <f t="shared" si="26"/>
        <v/>
      </c>
      <c r="R125" s="19" t="str">
        <f t="shared" si="30"/>
        <v/>
      </c>
      <c r="S125" s="27" t="str">
        <f t="shared" si="29"/>
        <v/>
      </c>
      <c r="T125" s="28" t="str">
        <f t="shared" si="29"/>
        <v/>
      </c>
      <c r="U125" s="28" t="str">
        <f t="shared" si="29"/>
        <v/>
      </c>
      <c r="V125" s="28" t="str">
        <f t="shared" si="29"/>
        <v/>
      </c>
      <c r="W125" s="28" t="str">
        <f t="shared" si="29"/>
        <v/>
      </c>
      <c r="X125" s="29" t="str">
        <f t="shared" si="29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20"/>
        <v/>
      </c>
      <c r="L126" s="19" t="str">
        <f t="shared" si="31"/>
        <v/>
      </c>
      <c r="M126" s="19" t="str">
        <f t="shared" si="30"/>
        <v/>
      </c>
      <c r="N126" s="19" t="str">
        <f t="shared" si="30"/>
        <v/>
      </c>
      <c r="O126" s="19" t="str">
        <f t="shared" si="27"/>
        <v/>
      </c>
      <c r="P126" s="19" t="str">
        <f t="shared" si="28"/>
        <v/>
      </c>
      <c r="Q126" s="19" t="str">
        <f t="shared" si="26"/>
        <v/>
      </c>
      <c r="R126" s="19" t="str">
        <f t="shared" si="30"/>
        <v/>
      </c>
      <c r="S126" s="27" t="str">
        <f t="shared" si="29"/>
        <v/>
      </c>
      <c r="T126" s="28" t="str">
        <f t="shared" si="29"/>
        <v/>
      </c>
      <c r="U126" s="28" t="str">
        <f t="shared" si="29"/>
        <v/>
      </c>
      <c r="V126" s="28" t="str">
        <f t="shared" si="29"/>
        <v/>
      </c>
      <c r="W126" s="28" t="str">
        <f t="shared" si="29"/>
        <v/>
      </c>
      <c r="X126" s="29" t="str">
        <f t="shared" si="29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20"/>
        <v/>
      </c>
      <c r="L127" s="19" t="str">
        <f t="shared" si="31"/>
        <v/>
      </c>
      <c r="M127" s="19" t="str">
        <f t="shared" si="30"/>
        <v/>
      </c>
      <c r="N127" s="19" t="str">
        <f t="shared" si="30"/>
        <v/>
      </c>
      <c r="O127" s="19" t="str">
        <f t="shared" si="27"/>
        <v/>
      </c>
      <c r="P127" s="19" t="str">
        <f t="shared" si="28"/>
        <v/>
      </c>
      <c r="Q127" s="19" t="str">
        <f t="shared" si="26"/>
        <v/>
      </c>
      <c r="R127" s="19" t="str">
        <f t="shared" si="30"/>
        <v/>
      </c>
      <c r="S127" s="27" t="str">
        <f t="shared" si="29"/>
        <v/>
      </c>
      <c r="T127" s="28" t="str">
        <f t="shared" si="29"/>
        <v/>
      </c>
      <c r="U127" s="28" t="str">
        <f t="shared" si="29"/>
        <v/>
      </c>
      <c r="V127" s="28" t="str">
        <f t="shared" si="29"/>
        <v/>
      </c>
      <c r="W127" s="28" t="str">
        <f t="shared" si="29"/>
        <v/>
      </c>
      <c r="X127" s="29" t="str">
        <f t="shared" si="29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20"/>
        <v/>
      </c>
      <c r="L128" s="19" t="str">
        <f t="shared" si="31"/>
        <v/>
      </c>
      <c r="M128" s="19" t="str">
        <f t="shared" si="30"/>
        <v/>
      </c>
      <c r="N128" s="19" t="str">
        <f t="shared" si="30"/>
        <v/>
      </c>
      <c r="O128" s="19" t="str">
        <f t="shared" si="27"/>
        <v/>
      </c>
      <c r="P128" s="19" t="str">
        <f t="shared" si="28"/>
        <v/>
      </c>
      <c r="Q128" s="19" t="str">
        <f t="shared" si="26"/>
        <v/>
      </c>
      <c r="R128" s="19" t="str">
        <f t="shared" si="30"/>
        <v/>
      </c>
      <c r="S128" s="27" t="str">
        <f t="shared" si="29"/>
        <v/>
      </c>
      <c r="T128" s="28" t="str">
        <f t="shared" si="29"/>
        <v/>
      </c>
      <c r="U128" s="28" t="str">
        <f t="shared" si="29"/>
        <v/>
      </c>
      <c r="V128" s="28" t="str">
        <f t="shared" si="29"/>
        <v/>
      </c>
      <c r="W128" s="28" t="str">
        <f t="shared" si="29"/>
        <v/>
      </c>
      <c r="X128" s="29" t="str">
        <f t="shared" si="29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20"/>
        <v/>
      </c>
      <c r="L129" s="19" t="str">
        <f t="shared" si="31"/>
        <v/>
      </c>
      <c r="M129" s="19" t="str">
        <f t="shared" si="30"/>
        <v/>
      </c>
      <c r="N129" s="19" t="str">
        <f t="shared" si="30"/>
        <v/>
      </c>
      <c r="O129" s="19" t="str">
        <f t="shared" si="27"/>
        <v/>
      </c>
      <c r="P129" s="19" t="str">
        <f t="shared" si="28"/>
        <v/>
      </c>
      <c r="Q129" s="19" t="str">
        <f t="shared" si="26"/>
        <v/>
      </c>
      <c r="R129" s="19" t="str">
        <f t="shared" si="30"/>
        <v/>
      </c>
      <c r="S129" s="27" t="str">
        <f t="shared" ref="S129:X144" si="32">IF(C129="","",((C129-C128)*1000)/($B129-$B128))</f>
        <v/>
      </c>
      <c r="T129" s="28" t="str">
        <f t="shared" si="32"/>
        <v/>
      </c>
      <c r="U129" s="28" t="str">
        <f t="shared" si="32"/>
        <v/>
      </c>
      <c r="V129" s="28" t="str">
        <f t="shared" si="32"/>
        <v/>
      </c>
      <c r="W129" s="28" t="str">
        <f t="shared" si="32"/>
        <v/>
      </c>
      <c r="X129" s="29" t="str">
        <f t="shared" si="3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20"/>
        <v/>
      </c>
      <c r="L130" s="19" t="str">
        <f t="shared" si="31"/>
        <v/>
      </c>
      <c r="M130" s="19" t="str">
        <f t="shared" si="30"/>
        <v/>
      </c>
      <c r="N130" s="19" t="str">
        <f t="shared" si="30"/>
        <v/>
      </c>
      <c r="O130" s="19" t="str">
        <f t="shared" si="27"/>
        <v/>
      </c>
      <c r="P130" s="19" t="str">
        <f t="shared" si="28"/>
        <v/>
      </c>
      <c r="Q130" s="19" t="str">
        <f t="shared" si="26"/>
        <v/>
      </c>
      <c r="R130" s="19" t="str">
        <f t="shared" si="30"/>
        <v/>
      </c>
      <c r="S130" s="27" t="str">
        <f t="shared" si="32"/>
        <v/>
      </c>
      <c r="T130" s="28" t="str">
        <f t="shared" si="32"/>
        <v/>
      </c>
      <c r="U130" s="28" t="str">
        <f t="shared" si="32"/>
        <v/>
      </c>
      <c r="V130" s="28" t="str">
        <f t="shared" si="32"/>
        <v/>
      </c>
      <c r="W130" s="28" t="str">
        <f t="shared" si="32"/>
        <v/>
      </c>
      <c r="X130" s="29" t="str">
        <f t="shared" si="3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20"/>
        <v/>
      </c>
      <c r="L131" s="19" t="str">
        <f t="shared" si="31"/>
        <v/>
      </c>
      <c r="M131" s="19" t="str">
        <f t="shared" si="30"/>
        <v/>
      </c>
      <c r="N131" s="19" t="str">
        <f t="shared" si="30"/>
        <v/>
      </c>
      <c r="O131" s="19" t="str">
        <f t="shared" si="27"/>
        <v/>
      </c>
      <c r="P131" s="19" t="str">
        <f t="shared" si="28"/>
        <v/>
      </c>
      <c r="Q131" s="19" t="str">
        <f t="shared" si="26"/>
        <v/>
      </c>
      <c r="R131" s="19" t="str">
        <f t="shared" si="30"/>
        <v/>
      </c>
      <c r="S131" s="27" t="str">
        <f t="shared" si="32"/>
        <v/>
      </c>
      <c r="T131" s="28" t="str">
        <f t="shared" si="32"/>
        <v/>
      </c>
      <c r="U131" s="28" t="str">
        <f t="shared" si="32"/>
        <v/>
      </c>
      <c r="V131" s="28" t="str">
        <f t="shared" si="32"/>
        <v/>
      </c>
      <c r="W131" s="28" t="str">
        <f t="shared" si="32"/>
        <v/>
      </c>
      <c r="X131" s="29" t="str">
        <f t="shared" si="3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20"/>
        <v/>
      </c>
      <c r="L132" s="19" t="str">
        <f t="shared" si="31"/>
        <v/>
      </c>
      <c r="M132" s="19" t="str">
        <f t="shared" si="30"/>
        <v/>
      </c>
      <c r="N132" s="19" t="str">
        <f t="shared" si="30"/>
        <v/>
      </c>
      <c r="O132" s="19" t="str">
        <f t="shared" si="27"/>
        <v/>
      </c>
      <c r="P132" s="19" t="str">
        <f t="shared" si="28"/>
        <v/>
      </c>
      <c r="Q132" s="19" t="str">
        <f t="shared" si="26"/>
        <v/>
      </c>
      <c r="R132" s="19" t="str">
        <f t="shared" si="30"/>
        <v/>
      </c>
      <c r="S132" s="27" t="str">
        <f t="shared" si="32"/>
        <v/>
      </c>
      <c r="T132" s="28" t="str">
        <f t="shared" si="32"/>
        <v/>
      </c>
      <c r="U132" s="28" t="str">
        <f t="shared" si="32"/>
        <v/>
      </c>
      <c r="V132" s="28" t="str">
        <f t="shared" si="32"/>
        <v/>
      </c>
      <c r="W132" s="28" t="str">
        <f t="shared" si="32"/>
        <v/>
      </c>
      <c r="X132" s="29" t="str">
        <f t="shared" si="3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20"/>
        <v/>
      </c>
      <c r="L133" s="19" t="str">
        <f t="shared" si="31"/>
        <v/>
      </c>
      <c r="M133" s="19" t="str">
        <f t="shared" si="30"/>
        <v/>
      </c>
      <c r="N133" s="19" t="str">
        <f t="shared" si="30"/>
        <v/>
      </c>
      <c r="O133" s="19" t="str">
        <f t="shared" si="27"/>
        <v/>
      </c>
      <c r="P133" s="19" t="str">
        <f t="shared" si="28"/>
        <v/>
      </c>
      <c r="Q133" s="19" t="str">
        <f t="shared" si="26"/>
        <v/>
      </c>
      <c r="R133" s="19" t="str">
        <f t="shared" si="30"/>
        <v/>
      </c>
      <c r="S133" s="27" t="str">
        <f t="shared" si="32"/>
        <v/>
      </c>
      <c r="T133" s="28" t="str">
        <f t="shared" si="32"/>
        <v/>
      </c>
      <c r="U133" s="28" t="str">
        <f t="shared" si="32"/>
        <v/>
      </c>
      <c r="V133" s="28" t="str">
        <f t="shared" si="32"/>
        <v/>
      </c>
      <c r="W133" s="28" t="str">
        <f t="shared" si="32"/>
        <v/>
      </c>
      <c r="X133" s="29" t="str">
        <f t="shared" si="3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20"/>
        <v/>
      </c>
      <c r="L134" s="19" t="str">
        <f t="shared" si="31"/>
        <v/>
      </c>
      <c r="M134" s="19" t="str">
        <f t="shared" si="30"/>
        <v/>
      </c>
      <c r="N134" s="19" t="str">
        <f t="shared" si="30"/>
        <v/>
      </c>
      <c r="O134" s="19" t="str">
        <f t="shared" si="27"/>
        <v/>
      </c>
      <c r="P134" s="19" t="str">
        <f t="shared" si="28"/>
        <v/>
      </c>
      <c r="Q134" s="19" t="str">
        <f t="shared" si="26"/>
        <v/>
      </c>
      <c r="R134" s="19" t="str">
        <f t="shared" si="30"/>
        <v/>
      </c>
      <c r="S134" s="27" t="str">
        <f t="shared" si="32"/>
        <v/>
      </c>
      <c r="T134" s="28" t="str">
        <f t="shared" si="32"/>
        <v/>
      </c>
      <c r="U134" s="28" t="str">
        <f t="shared" si="32"/>
        <v/>
      </c>
      <c r="V134" s="28" t="str">
        <f t="shared" si="32"/>
        <v/>
      </c>
      <c r="W134" s="28" t="str">
        <f t="shared" si="32"/>
        <v/>
      </c>
      <c r="X134" s="29" t="str">
        <f t="shared" si="3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20"/>
        <v/>
      </c>
      <c r="L135" s="19" t="str">
        <f t="shared" si="31"/>
        <v/>
      </c>
      <c r="M135" s="19" t="str">
        <f t="shared" si="30"/>
        <v/>
      </c>
      <c r="N135" s="19" t="str">
        <f t="shared" si="30"/>
        <v/>
      </c>
      <c r="O135" s="19" t="str">
        <f t="shared" si="27"/>
        <v/>
      </c>
      <c r="P135" s="19" t="str">
        <f t="shared" si="28"/>
        <v/>
      </c>
      <c r="Q135" s="19" t="str">
        <f t="shared" si="26"/>
        <v/>
      </c>
      <c r="R135" s="19" t="str">
        <f t="shared" si="30"/>
        <v/>
      </c>
      <c r="S135" s="27" t="str">
        <f t="shared" si="32"/>
        <v/>
      </c>
      <c r="T135" s="28" t="str">
        <f t="shared" si="32"/>
        <v/>
      </c>
      <c r="U135" s="28" t="str">
        <f t="shared" si="32"/>
        <v/>
      </c>
      <c r="V135" s="28" t="str">
        <f t="shared" si="32"/>
        <v/>
      </c>
      <c r="W135" s="28" t="str">
        <f t="shared" si="32"/>
        <v/>
      </c>
      <c r="X135" s="29" t="str">
        <f t="shared" si="3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20"/>
        <v/>
      </c>
      <c r="L136" s="19" t="str">
        <f t="shared" si="31"/>
        <v/>
      </c>
      <c r="M136" s="19" t="str">
        <f t="shared" si="30"/>
        <v/>
      </c>
      <c r="N136" s="19" t="str">
        <f t="shared" si="30"/>
        <v/>
      </c>
      <c r="O136" s="19" t="str">
        <f t="shared" si="27"/>
        <v/>
      </c>
      <c r="P136" s="19" t="str">
        <f t="shared" si="28"/>
        <v/>
      </c>
      <c r="Q136" s="19" t="str">
        <f t="shared" si="26"/>
        <v/>
      </c>
      <c r="R136" s="19" t="str">
        <f t="shared" si="30"/>
        <v/>
      </c>
      <c r="S136" s="27" t="str">
        <f t="shared" si="32"/>
        <v/>
      </c>
      <c r="T136" s="28" t="str">
        <f t="shared" si="32"/>
        <v/>
      </c>
      <c r="U136" s="28" t="str">
        <f t="shared" si="32"/>
        <v/>
      </c>
      <c r="V136" s="28" t="str">
        <f t="shared" si="32"/>
        <v/>
      </c>
      <c r="W136" s="28" t="str">
        <f t="shared" si="32"/>
        <v/>
      </c>
      <c r="X136" s="29" t="str">
        <f t="shared" si="3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20"/>
        <v/>
      </c>
      <c r="L137" s="19" t="str">
        <f t="shared" si="31"/>
        <v/>
      </c>
      <c r="M137" s="19" t="str">
        <f t="shared" si="30"/>
        <v/>
      </c>
      <c r="N137" s="19" t="str">
        <f t="shared" si="30"/>
        <v/>
      </c>
      <c r="O137" s="19" t="str">
        <f t="shared" si="27"/>
        <v/>
      </c>
      <c r="P137" s="19" t="str">
        <f t="shared" si="28"/>
        <v/>
      </c>
      <c r="Q137" s="19" t="str">
        <f t="shared" si="26"/>
        <v/>
      </c>
      <c r="R137" s="19" t="str">
        <f t="shared" si="30"/>
        <v/>
      </c>
      <c r="S137" s="27" t="str">
        <f t="shared" si="32"/>
        <v/>
      </c>
      <c r="T137" s="28" t="str">
        <f t="shared" si="32"/>
        <v/>
      </c>
      <c r="U137" s="28" t="str">
        <f t="shared" si="32"/>
        <v/>
      </c>
      <c r="V137" s="28" t="str">
        <f t="shared" si="32"/>
        <v/>
      </c>
      <c r="W137" s="28" t="str">
        <f t="shared" si="32"/>
        <v/>
      </c>
      <c r="X137" s="29" t="str">
        <f t="shared" si="3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20"/>
        <v/>
      </c>
      <c r="L138" s="19" t="str">
        <f t="shared" si="31"/>
        <v/>
      </c>
      <c r="M138" s="19" t="str">
        <f t="shared" si="30"/>
        <v/>
      </c>
      <c r="N138" s="19" t="str">
        <f t="shared" si="30"/>
        <v/>
      </c>
      <c r="O138" s="19" t="str">
        <f t="shared" si="27"/>
        <v/>
      </c>
      <c r="P138" s="19" t="str">
        <f t="shared" si="28"/>
        <v/>
      </c>
      <c r="Q138" s="19" t="str">
        <f t="shared" si="26"/>
        <v/>
      </c>
      <c r="R138" s="19" t="str">
        <f t="shared" si="30"/>
        <v/>
      </c>
      <c r="S138" s="27" t="str">
        <f t="shared" si="32"/>
        <v/>
      </c>
      <c r="T138" s="28" t="str">
        <f t="shared" si="32"/>
        <v/>
      </c>
      <c r="U138" s="28" t="str">
        <f t="shared" si="32"/>
        <v/>
      </c>
      <c r="V138" s="28" t="str">
        <f t="shared" si="32"/>
        <v/>
      </c>
      <c r="W138" s="28" t="str">
        <f t="shared" si="32"/>
        <v/>
      </c>
      <c r="X138" s="29" t="str">
        <f t="shared" si="3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20"/>
        <v/>
      </c>
      <c r="L139" s="19" t="str">
        <f t="shared" si="31"/>
        <v/>
      </c>
      <c r="M139" s="19" t="str">
        <f t="shared" si="30"/>
        <v/>
      </c>
      <c r="N139" s="19" t="str">
        <f t="shared" si="30"/>
        <v/>
      </c>
      <c r="O139" s="19" t="str">
        <f t="shared" si="27"/>
        <v/>
      </c>
      <c r="P139" s="19" t="str">
        <f t="shared" si="28"/>
        <v/>
      </c>
      <c r="Q139" s="19" t="str">
        <f t="shared" si="26"/>
        <v/>
      </c>
      <c r="R139" s="19" t="str">
        <f t="shared" si="30"/>
        <v/>
      </c>
      <c r="S139" s="27" t="str">
        <f t="shared" si="32"/>
        <v/>
      </c>
      <c r="T139" s="28" t="str">
        <f t="shared" si="32"/>
        <v/>
      </c>
      <c r="U139" s="28" t="str">
        <f t="shared" si="32"/>
        <v/>
      </c>
      <c r="V139" s="28" t="str">
        <f t="shared" si="32"/>
        <v/>
      </c>
      <c r="W139" s="28" t="str">
        <f t="shared" si="32"/>
        <v/>
      </c>
      <c r="X139" s="29" t="str">
        <f t="shared" si="3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20"/>
        <v/>
      </c>
      <c r="L140" s="19" t="str">
        <f t="shared" si="31"/>
        <v/>
      </c>
      <c r="M140" s="19" t="str">
        <f t="shared" si="30"/>
        <v/>
      </c>
      <c r="N140" s="19" t="str">
        <f t="shared" si="30"/>
        <v/>
      </c>
      <c r="O140" s="19" t="str">
        <f t="shared" si="27"/>
        <v/>
      </c>
      <c r="P140" s="19" t="str">
        <f t="shared" si="28"/>
        <v/>
      </c>
      <c r="Q140" s="19" t="str">
        <f t="shared" si="26"/>
        <v/>
      </c>
      <c r="R140" s="19" t="str">
        <f t="shared" si="30"/>
        <v/>
      </c>
      <c r="S140" s="27" t="str">
        <f t="shared" si="32"/>
        <v/>
      </c>
      <c r="T140" s="28" t="str">
        <f t="shared" si="32"/>
        <v/>
      </c>
      <c r="U140" s="28" t="str">
        <f t="shared" si="32"/>
        <v/>
      </c>
      <c r="V140" s="28" t="str">
        <f t="shared" si="32"/>
        <v/>
      </c>
      <c r="W140" s="28" t="str">
        <f t="shared" si="32"/>
        <v/>
      </c>
      <c r="X140" s="29" t="str">
        <f t="shared" si="3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20"/>
        <v/>
      </c>
      <c r="L141" s="19" t="str">
        <f t="shared" si="31"/>
        <v/>
      </c>
      <c r="M141" s="19" t="str">
        <f t="shared" si="30"/>
        <v/>
      </c>
      <c r="N141" s="19" t="str">
        <f t="shared" si="30"/>
        <v/>
      </c>
      <c r="O141" s="19" t="str">
        <f t="shared" si="27"/>
        <v/>
      </c>
      <c r="P141" s="19" t="str">
        <f t="shared" si="28"/>
        <v/>
      </c>
      <c r="Q141" s="19" t="str">
        <f t="shared" si="26"/>
        <v/>
      </c>
      <c r="R141" s="19" t="str">
        <f t="shared" si="30"/>
        <v/>
      </c>
      <c r="S141" s="27" t="str">
        <f t="shared" si="32"/>
        <v/>
      </c>
      <c r="T141" s="28" t="str">
        <f t="shared" si="32"/>
        <v/>
      </c>
      <c r="U141" s="28" t="str">
        <f t="shared" si="32"/>
        <v/>
      </c>
      <c r="V141" s="28" t="str">
        <f t="shared" si="32"/>
        <v/>
      </c>
      <c r="W141" s="28" t="str">
        <f t="shared" si="32"/>
        <v/>
      </c>
      <c r="X141" s="29" t="str">
        <f t="shared" si="3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20"/>
        <v/>
      </c>
      <c r="L142" s="19" t="str">
        <f t="shared" si="31"/>
        <v/>
      </c>
      <c r="M142" s="19" t="str">
        <f t="shared" si="30"/>
        <v/>
      </c>
      <c r="N142" s="19" t="str">
        <f t="shared" si="30"/>
        <v/>
      </c>
      <c r="O142" s="19" t="str">
        <f t="shared" si="27"/>
        <v/>
      </c>
      <c r="P142" s="19" t="str">
        <f t="shared" si="28"/>
        <v/>
      </c>
      <c r="Q142" s="19" t="str">
        <f t="shared" si="26"/>
        <v/>
      </c>
      <c r="R142" s="19" t="str">
        <f t="shared" si="30"/>
        <v/>
      </c>
      <c r="S142" s="27" t="str">
        <f t="shared" si="32"/>
        <v/>
      </c>
      <c r="T142" s="28" t="str">
        <f t="shared" si="32"/>
        <v/>
      </c>
      <c r="U142" s="28" t="str">
        <f t="shared" si="32"/>
        <v/>
      </c>
      <c r="V142" s="28" t="str">
        <f t="shared" si="32"/>
        <v/>
      </c>
      <c r="W142" s="28" t="str">
        <f t="shared" si="32"/>
        <v/>
      </c>
      <c r="X142" s="29" t="str">
        <f t="shared" si="3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20"/>
        <v/>
      </c>
      <c r="L143" s="19" t="str">
        <f t="shared" si="31"/>
        <v/>
      </c>
      <c r="M143" s="19" t="str">
        <f t="shared" si="30"/>
        <v/>
      </c>
      <c r="N143" s="19" t="str">
        <f t="shared" si="30"/>
        <v/>
      </c>
      <c r="O143" s="19" t="str">
        <f t="shared" si="27"/>
        <v/>
      </c>
      <c r="P143" s="19" t="str">
        <f t="shared" si="28"/>
        <v/>
      </c>
      <c r="Q143" s="19" t="str">
        <f t="shared" si="26"/>
        <v/>
      </c>
      <c r="R143" s="19" t="str">
        <f t="shared" si="30"/>
        <v/>
      </c>
      <c r="S143" s="27" t="str">
        <f t="shared" si="32"/>
        <v/>
      </c>
      <c r="T143" s="28" t="str">
        <f t="shared" si="32"/>
        <v/>
      </c>
      <c r="U143" s="28" t="str">
        <f t="shared" si="32"/>
        <v/>
      </c>
      <c r="V143" s="28" t="str">
        <f t="shared" si="32"/>
        <v/>
      </c>
      <c r="W143" s="28" t="str">
        <f t="shared" si="32"/>
        <v/>
      </c>
      <c r="X143" s="29" t="str">
        <f t="shared" si="3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20"/>
        <v/>
      </c>
      <c r="L144" s="19" t="str">
        <f t="shared" si="31"/>
        <v/>
      </c>
      <c r="M144" s="19" t="str">
        <f t="shared" si="30"/>
        <v/>
      </c>
      <c r="N144" s="19" t="str">
        <f t="shared" si="30"/>
        <v/>
      </c>
      <c r="O144" s="19" t="str">
        <f t="shared" si="27"/>
        <v/>
      </c>
      <c r="P144" s="19" t="str">
        <f t="shared" si="28"/>
        <v/>
      </c>
      <c r="Q144" s="19" t="str">
        <f t="shared" si="26"/>
        <v/>
      </c>
      <c r="R144" s="19" t="str">
        <f t="shared" si="30"/>
        <v/>
      </c>
      <c r="S144" s="27" t="str">
        <f t="shared" si="32"/>
        <v/>
      </c>
      <c r="T144" s="28" t="str">
        <f t="shared" si="32"/>
        <v/>
      </c>
      <c r="U144" s="28" t="str">
        <f t="shared" si="32"/>
        <v/>
      </c>
      <c r="V144" s="28" t="str">
        <f t="shared" si="32"/>
        <v/>
      </c>
      <c r="W144" s="28" t="str">
        <f t="shared" si="32"/>
        <v/>
      </c>
      <c r="X144" s="29" t="str">
        <f t="shared" si="3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20"/>
        <v/>
      </c>
      <c r="L145" s="19" t="str">
        <f t="shared" si="31"/>
        <v/>
      </c>
      <c r="M145" s="19" t="str">
        <f t="shared" si="30"/>
        <v/>
      </c>
      <c r="N145" s="19" t="str">
        <f t="shared" si="30"/>
        <v/>
      </c>
      <c r="O145" s="19" t="str">
        <f t="shared" si="27"/>
        <v/>
      </c>
      <c r="P145" s="19" t="str">
        <f t="shared" si="28"/>
        <v/>
      </c>
      <c r="Q145" s="19" t="str">
        <f t="shared" si="26"/>
        <v/>
      </c>
      <c r="R145" s="19" t="str">
        <f t="shared" si="30"/>
        <v/>
      </c>
      <c r="S145" s="27" t="str">
        <f t="shared" ref="S145:X153" si="33">IF(C145="","",((C145-C144)*1000)/($B145-$B144))</f>
        <v/>
      </c>
      <c r="T145" s="28" t="str">
        <f t="shared" si="33"/>
        <v/>
      </c>
      <c r="U145" s="28" t="str">
        <f t="shared" si="33"/>
        <v/>
      </c>
      <c r="V145" s="28" t="str">
        <f t="shared" si="33"/>
        <v/>
      </c>
      <c r="W145" s="28" t="str">
        <f t="shared" si="33"/>
        <v/>
      </c>
      <c r="X145" s="29" t="str">
        <f t="shared" si="33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ref="K146:K153" si="34">IF(ISBLANK(J146),"",(J146-$J$8))</f>
        <v/>
      </c>
      <c r="L146" s="19" t="str">
        <f t="shared" si="31"/>
        <v/>
      </c>
      <c r="M146" s="19" t="str">
        <f t="shared" si="30"/>
        <v/>
      </c>
      <c r="N146" s="19" t="str">
        <f t="shared" si="30"/>
        <v/>
      </c>
      <c r="O146" s="19" t="str">
        <f t="shared" si="27"/>
        <v/>
      </c>
      <c r="P146" s="19" t="str">
        <f t="shared" si="28"/>
        <v/>
      </c>
      <c r="Q146" s="19" t="str">
        <f t="shared" si="26"/>
        <v/>
      </c>
      <c r="R146" s="19" t="str">
        <f t="shared" si="30"/>
        <v/>
      </c>
      <c r="S146" s="27" t="str">
        <f t="shared" si="33"/>
        <v/>
      </c>
      <c r="T146" s="28" t="str">
        <f t="shared" si="33"/>
        <v/>
      </c>
      <c r="U146" s="28" t="str">
        <f t="shared" si="33"/>
        <v/>
      </c>
      <c r="V146" s="28" t="str">
        <f t="shared" si="33"/>
        <v/>
      </c>
      <c r="W146" s="28" t="str">
        <f t="shared" si="33"/>
        <v/>
      </c>
      <c r="X146" s="29" t="str">
        <f t="shared" si="33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34"/>
        <v/>
      </c>
      <c r="L147" s="19" t="str">
        <f t="shared" si="31"/>
        <v/>
      </c>
      <c r="M147" s="19" t="str">
        <f t="shared" si="30"/>
        <v/>
      </c>
      <c r="N147" s="19" t="str">
        <f t="shared" si="30"/>
        <v/>
      </c>
      <c r="O147" s="19" t="str">
        <f t="shared" si="27"/>
        <v/>
      </c>
      <c r="P147" s="19" t="str">
        <f t="shared" si="28"/>
        <v/>
      </c>
      <c r="Q147" s="19" t="str">
        <f t="shared" si="26"/>
        <v/>
      </c>
      <c r="R147" s="19" t="str">
        <f t="shared" si="30"/>
        <v/>
      </c>
      <c r="S147" s="27" t="str">
        <f t="shared" si="33"/>
        <v/>
      </c>
      <c r="T147" s="28" t="str">
        <f t="shared" si="33"/>
        <v/>
      </c>
      <c r="U147" s="28" t="str">
        <f t="shared" si="33"/>
        <v/>
      </c>
      <c r="V147" s="28" t="str">
        <f t="shared" si="33"/>
        <v/>
      </c>
      <c r="W147" s="28" t="str">
        <f t="shared" si="33"/>
        <v/>
      </c>
      <c r="X147" s="29" t="str">
        <f t="shared" si="33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34"/>
        <v/>
      </c>
      <c r="L148" s="19" t="str">
        <f t="shared" si="31"/>
        <v/>
      </c>
      <c r="M148" s="19" t="str">
        <f t="shared" si="30"/>
        <v/>
      </c>
      <c r="N148" s="19" t="str">
        <f t="shared" si="30"/>
        <v/>
      </c>
      <c r="O148" s="19" t="str">
        <f t="shared" si="27"/>
        <v/>
      </c>
      <c r="P148" s="19" t="str">
        <f t="shared" si="28"/>
        <v/>
      </c>
      <c r="Q148" s="19" t="str">
        <f t="shared" si="26"/>
        <v/>
      </c>
      <c r="R148" s="19" t="str">
        <f t="shared" si="30"/>
        <v/>
      </c>
      <c r="S148" s="27" t="str">
        <f t="shared" si="33"/>
        <v/>
      </c>
      <c r="T148" s="28" t="str">
        <f t="shared" si="33"/>
        <v/>
      </c>
      <c r="U148" s="28" t="str">
        <f t="shared" si="33"/>
        <v/>
      </c>
      <c r="V148" s="28" t="str">
        <f t="shared" si="33"/>
        <v/>
      </c>
      <c r="W148" s="28" t="str">
        <f t="shared" si="33"/>
        <v/>
      </c>
      <c r="X148" s="29" t="str">
        <f t="shared" si="33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34"/>
        <v/>
      </c>
      <c r="L149" s="19" t="str">
        <f t="shared" si="31"/>
        <v/>
      </c>
      <c r="M149" s="19" t="str">
        <f t="shared" si="30"/>
        <v/>
      </c>
      <c r="N149" s="19" t="str">
        <f t="shared" si="30"/>
        <v/>
      </c>
      <c r="O149" s="19" t="str">
        <f t="shared" si="27"/>
        <v/>
      </c>
      <c r="P149" s="19" t="str">
        <f t="shared" si="28"/>
        <v/>
      </c>
      <c r="Q149" s="19" t="str">
        <f t="shared" si="26"/>
        <v/>
      </c>
      <c r="R149" s="19" t="str">
        <f t="shared" si="30"/>
        <v/>
      </c>
      <c r="S149" s="27" t="str">
        <f t="shared" si="33"/>
        <v/>
      </c>
      <c r="T149" s="28" t="str">
        <f t="shared" si="33"/>
        <v/>
      </c>
      <c r="U149" s="28" t="str">
        <f t="shared" si="33"/>
        <v/>
      </c>
      <c r="V149" s="28" t="str">
        <f t="shared" si="33"/>
        <v/>
      </c>
      <c r="W149" s="28" t="str">
        <f t="shared" si="33"/>
        <v/>
      </c>
      <c r="X149" s="29" t="str">
        <f t="shared" si="33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34"/>
        <v/>
      </c>
      <c r="L150" s="19" t="str">
        <f t="shared" si="31"/>
        <v/>
      </c>
      <c r="M150" s="19" t="str">
        <f t="shared" si="30"/>
        <v/>
      </c>
      <c r="N150" s="19" t="str">
        <f t="shared" si="30"/>
        <v/>
      </c>
      <c r="O150" s="19" t="str">
        <f t="shared" si="27"/>
        <v/>
      </c>
      <c r="P150" s="19" t="str">
        <f t="shared" si="28"/>
        <v/>
      </c>
      <c r="Q150" s="19" t="str">
        <f t="shared" si="26"/>
        <v/>
      </c>
      <c r="R150" s="19" t="str">
        <f t="shared" si="30"/>
        <v/>
      </c>
      <c r="S150" s="27" t="str">
        <f t="shared" si="33"/>
        <v/>
      </c>
      <c r="T150" s="28" t="str">
        <f t="shared" si="33"/>
        <v/>
      </c>
      <c r="U150" s="28" t="str">
        <f t="shared" si="33"/>
        <v/>
      </c>
      <c r="V150" s="28" t="str">
        <f t="shared" si="33"/>
        <v/>
      </c>
      <c r="W150" s="28" t="str">
        <f t="shared" si="33"/>
        <v/>
      </c>
      <c r="X150" s="29" t="str">
        <f t="shared" si="33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34"/>
        <v/>
      </c>
      <c r="L151" s="19" t="str">
        <f t="shared" si="31"/>
        <v/>
      </c>
      <c r="M151" s="19" t="str">
        <f t="shared" si="30"/>
        <v/>
      </c>
      <c r="N151" s="19" t="str">
        <f t="shared" si="30"/>
        <v/>
      </c>
      <c r="O151" s="19" t="str">
        <f t="shared" si="27"/>
        <v/>
      </c>
      <c r="P151" s="19" t="str">
        <f t="shared" si="28"/>
        <v/>
      </c>
      <c r="Q151" s="19" t="str">
        <f t="shared" si="26"/>
        <v/>
      </c>
      <c r="R151" s="19" t="str">
        <f t="shared" si="30"/>
        <v/>
      </c>
      <c r="S151" s="27" t="str">
        <f t="shared" si="33"/>
        <v/>
      </c>
      <c r="T151" s="28" t="str">
        <f t="shared" si="33"/>
        <v/>
      </c>
      <c r="U151" s="28" t="str">
        <f t="shared" si="33"/>
        <v/>
      </c>
      <c r="V151" s="28" t="str">
        <f t="shared" si="33"/>
        <v/>
      </c>
      <c r="W151" s="28" t="str">
        <f t="shared" si="33"/>
        <v/>
      </c>
      <c r="X151" s="29" t="str">
        <f t="shared" si="33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34"/>
        <v/>
      </c>
      <c r="L152" s="19" t="str">
        <f t="shared" si="31"/>
        <v/>
      </c>
      <c r="M152" s="19" t="str">
        <f t="shared" si="30"/>
        <v/>
      </c>
      <c r="N152" s="19" t="str">
        <f t="shared" si="30"/>
        <v/>
      </c>
      <c r="O152" s="19" t="str">
        <f t="shared" si="27"/>
        <v/>
      </c>
      <c r="P152" s="19" t="str">
        <f t="shared" si="28"/>
        <v/>
      </c>
      <c r="Q152" s="19" t="str">
        <f t="shared" si="26"/>
        <v/>
      </c>
      <c r="R152" s="19" t="str">
        <f t="shared" si="30"/>
        <v/>
      </c>
      <c r="S152" s="27" t="str">
        <f t="shared" si="33"/>
        <v/>
      </c>
      <c r="T152" s="28" t="str">
        <f t="shared" si="33"/>
        <v/>
      </c>
      <c r="U152" s="28" t="str">
        <f t="shared" si="33"/>
        <v/>
      </c>
      <c r="V152" s="28" t="str">
        <f t="shared" si="33"/>
        <v/>
      </c>
      <c r="W152" s="28" t="str">
        <f t="shared" si="33"/>
        <v/>
      </c>
      <c r="X152" s="29" t="str">
        <f t="shared" si="33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34"/>
        <v/>
      </c>
      <c r="L153" s="19" t="str">
        <f t="shared" si="31"/>
        <v/>
      </c>
      <c r="M153" s="19" t="str">
        <f t="shared" si="30"/>
        <v/>
      </c>
      <c r="N153" s="19" t="str">
        <f t="shared" si="30"/>
        <v/>
      </c>
      <c r="O153" s="19" t="str">
        <f t="shared" si="27"/>
        <v/>
      </c>
      <c r="P153" s="19" t="str">
        <f t="shared" si="28"/>
        <v/>
      </c>
      <c r="Q153" s="19" t="str">
        <f t="shared" si="26"/>
        <v/>
      </c>
      <c r="R153" s="19" t="str">
        <f t="shared" si="30"/>
        <v/>
      </c>
      <c r="S153" s="27" t="str">
        <f t="shared" si="33"/>
        <v/>
      </c>
      <c r="T153" s="28" t="str">
        <f t="shared" si="33"/>
        <v/>
      </c>
      <c r="U153" s="28" t="str">
        <f t="shared" si="33"/>
        <v/>
      </c>
      <c r="V153" s="28" t="str">
        <f t="shared" si="33"/>
        <v/>
      </c>
      <c r="W153" s="28" t="str">
        <f t="shared" si="33"/>
        <v/>
      </c>
      <c r="X153" s="29" t="str">
        <f t="shared" si="33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0:J12"/>
    <mergeCell ref="K10:S12"/>
    <mergeCell ref="T10:Y12"/>
    <mergeCell ref="B9:O9"/>
    <mergeCell ref="P9:Y9"/>
    <mergeCell ref="R5:V5"/>
    <mergeCell ref="E7:I7"/>
    <mergeCell ref="J7:Q7"/>
    <mergeCell ref="AA9:AI9"/>
    <mergeCell ref="R7:V7"/>
    <mergeCell ref="W7:Y7"/>
    <mergeCell ref="E6:I6"/>
    <mergeCell ref="J6:Q6"/>
    <mergeCell ref="R6:V6"/>
    <mergeCell ref="W6:Y6"/>
    <mergeCell ref="R8:V8"/>
    <mergeCell ref="J14:K14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B5:D8"/>
    <mergeCell ref="E5:I5"/>
    <mergeCell ref="W5:Y5"/>
    <mergeCell ref="J5:Q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4">
    <tabColor theme="3" tint="0.79998168889431442"/>
    <pageSetUpPr fitToPage="1"/>
  </sheetPr>
  <dimension ref="A1:AI153"/>
  <sheetViews>
    <sheetView showGridLines="0" zoomScale="75" zoomScaleNormal="75" zoomScaleSheetLayoutView="40" zoomScalePageLayoutView="40" workbookViewId="0">
      <pane ySplit="8" topLeftCell="A44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TZ-22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/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41701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41704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/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300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558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50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6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6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27"/>
      <c r="C12" s="128"/>
      <c r="D12" s="128"/>
      <c r="E12" s="128"/>
      <c r="F12" s="128"/>
      <c r="G12" s="128"/>
      <c r="H12" s="128"/>
      <c r="I12" s="128"/>
      <c r="J12" s="129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43">
        <v>41705</v>
      </c>
      <c r="C16" s="14">
        <v>12.433999999999999</v>
      </c>
      <c r="D16" s="15">
        <v>7.4660000000000002</v>
      </c>
      <c r="E16" s="15">
        <v>7.5419999999999998</v>
      </c>
      <c r="F16" s="60"/>
      <c r="G16" s="60"/>
      <c r="H16" s="60"/>
      <c r="I16" s="61">
        <v>102.524</v>
      </c>
      <c r="J16" s="62">
        <v>568.5</v>
      </c>
      <c r="K16" s="63">
        <f t="shared" ref="K16:K31" si="0">IF(ISBLANK(J16),"",(J16-$J$8))</f>
        <v>10.5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 t="s">
        <v>51</v>
      </c>
    </row>
    <row r="17" spans="2:25" ht="15" customHeight="1" x14ac:dyDescent="0.2">
      <c r="B17" s="31">
        <v>41708</v>
      </c>
      <c r="C17" s="26">
        <v>12.433999999999999</v>
      </c>
      <c r="D17" s="26">
        <v>7.4640000000000004</v>
      </c>
      <c r="E17" s="26">
        <v>7.5419999999999998</v>
      </c>
      <c r="F17" s="47"/>
      <c r="G17" s="47"/>
      <c r="H17" s="47"/>
      <c r="I17" s="57">
        <v>102.52200000000001</v>
      </c>
      <c r="J17" s="58">
        <v>576</v>
      </c>
      <c r="K17" s="59">
        <f t="shared" si="0"/>
        <v>18</v>
      </c>
      <c r="L17" s="19">
        <f t="shared" ref="L17:Q62" si="2">IF(ISBLANK(C17),"",(C17-C$16)*1000)</f>
        <v>0</v>
      </c>
      <c r="M17" s="19">
        <f t="shared" si="2"/>
        <v>-1.9999999999997797</v>
      </c>
      <c r="N17" s="19">
        <f t="shared" si="2"/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-1.9999999999953388</v>
      </c>
      <c r="S17" s="27">
        <f t="shared" ref="S17:X32" si="3">IF(C17="","",((C17-C16)*1000)/($B17-$B16))</f>
        <v>0</v>
      </c>
      <c r="T17" s="28">
        <f t="shared" si="3"/>
        <v>-0.66666666666659324</v>
      </c>
      <c r="U17" s="28">
        <f t="shared" si="3"/>
        <v>0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41709</v>
      </c>
      <c r="C18" s="26">
        <v>12.433</v>
      </c>
      <c r="D18" s="26">
        <v>7.4640000000000004</v>
      </c>
      <c r="E18" s="26">
        <v>7.5419999999999998</v>
      </c>
      <c r="F18" s="47"/>
      <c r="G18" s="47"/>
      <c r="H18" s="47"/>
      <c r="I18" s="57">
        <v>102.52200000000001</v>
      </c>
      <c r="J18" s="58">
        <v>584</v>
      </c>
      <c r="K18" s="59">
        <f t="shared" si="0"/>
        <v>26</v>
      </c>
      <c r="L18" s="19">
        <f t="shared" si="2"/>
        <v>-0.99999999999944578</v>
      </c>
      <c r="M18" s="19">
        <f t="shared" si="2"/>
        <v>-1.9999999999997797</v>
      </c>
      <c r="N18" s="19">
        <f t="shared" si="2"/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-1.9999999999953388</v>
      </c>
      <c r="S18" s="27">
        <f t="shared" si="3"/>
        <v>-0.99999999999944578</v>
      </c>
      <c r="T18" s="28">
        <f t="shared" si="3"/>
        <v>0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41710</v>
      </c>
      <c r="C19" s="26">
        <v>12.433999999999999</v>
      </c>
      <c r="D19" s="26">
        <v>7.4640000000000004</v>
      </c>
      <c r="E19" s="26">
        <v>7.5410000000000004</v>
      </c>
      <c r="F19" s="47"/>
      <c r="G19" s="47"/>
      <c r="H19" s="47"/>
      <c r="I19" s="57">
        <v>102.521</v>
      </c>
      <c r="J19" s="58">
        <v>587.5</v>
      </c>
      <c r="K19" s="59">
        <f t="shared" si="0"/>
        <v>29.5</v>
      </c>
      <c r="L19" s="19">
        <f t="shared" si="2"/>
        <v>0</v>
      </c>
      <c r="M19" s="19">
        <f t="shared" si="2"/>
        <v>-1.9999999999997797</v>
      </c>
      <c r="N19" s="19">
        <f t="shared" si="2"/>
        <v>-0.99999999999944578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-3.0000000000001137</v>
      </c>
      <c r="S19" s="27">
        <f t="shared" si="3"/>
        <v>0.99999999999944578</v>
      </c>
      <c r="T19" s="28">
        <f t="shared" si="3"/>
        <v>0</v>
      </c>
      <c r="U19" s="28">
        <f t="shared" si="3"/>
        <v>-0.99999999999944578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41711</v>
      </c>
      <c r="C20" s="26">
        <v>12.433999999999999</v>
      </c>
      <c r="D20" s="26">
        <v>7.4640000000000004</v>
      </c>
      <c r="E20" s="26">
        <v>7.5410000000000004</v>
      </c>
      <c r="F20" s="47"/>
      <c r="G20" s="47"/>
      <c r="H20" s="47"/>
      <c r="I20" s="57">
        <v>102.521</v>
      </c>
      <c r="J20" s="58">
        <v>596</v>
      </c>
      <c r="K20" s="59">
        <f t="shared" si="0"/>
        <v>38</v>
      </c>
      <c r="L20" s="19">
        <f t="shared" si="2"/>
        <v>0</v>
      </c>
      <c r="M20" s="19">
        <f t="shared" si="2"/>
        <v>-1.9999999999997797</v>
      </c>
      <c r="N20" s="19">
        <f t="shared" si="2"/>
        <v>-0.99999999999944578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-3.0000000000001137</v>
      </c>
      <c r="S20" s="27">
        <f t="shared" si="3"/>
        <v>0</v>
      </c>
      <c r="T20" s="28">
        <f t="shared" si="3"/>
        <v>0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41712</v>
      </c>
      <c r="C21" s="26">
        <v>12.433</v>
      </c>
      <c r="D21" s="26">
        <v>7.4640000000000004</v>
      </c>
      <c r="E21" s="26">
        <v>7.5419999999999998</v>
      </c>
      <c r="F21" s="47"/>
      <c r="G21" s="47"/>
      <c r="H21" s="47"/>
      <c r="I21" s="57">
        <v>102.52</v>
      </c>
      <c r="J21" s="58">
        <v>600.5</v>
      </c>
      <c r="K21" s="59">
        <f t="shared" si="0"/>
        <v>42.5</v>
      </c>
      <c r="L21" s="19">
        <f t="shared" si="2"/>
        <v>-0.99999999999944578</v>
      </c>
      <c r="M21" s="19">
        <f t="shared" si="2"/>
        <v>-1.9999999999997797</v>
      </c>
      <c r="N21" s="19">
        <f t="shared" si="2"/>
        <v>0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-4.0000000000048885</v>
      </c>
      <c r="S21" s="27">
        <f t="shared" si="3"/>
        <v>-0.99999999999944578</v>
      </c>
      <c r="T21" s="28">
        <f t="shared" si="3"/>
        <v>0</v>
      </c>
      <c r="U21" s="28">
        <f t="shared" si="3"/>
        <v>0.99999999999944578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41715</v>
      </c>
      <c r="C22" s="26">
        <v>12.433999999999999</v>
      </c>
      <c r="D22" s="26">
        <v>7.4640000000000004</v>
      </c>
      <c r="E22" s="26">
        <v>7.5410000000000004</v>
      </c>
      <c r="F22" s="47"/>
      <c r="G22" s="47"/>
      <c r="H22" s="47"/>
      <c r="I22" s="57">
        <v>102.52</v>
      </c>
      <c r="J22" s="58">
        <v>609.5</v>
      </c>
      <c r="K22" s="59">
        <f t="shared" si="0"/>
        <v>51.5</v>
      </c>
      <c r="L22" s="19">
        <f t="shared" si="2"/>
        <v>0</v>
      </c>
      <c r="M22" s="19">
        <f t="shared" si="2"/>
        <v>-1.9999999999997797</v>
      </c>
      <c r="N22" s="19">
        <f t="shared" si="2"/>
        <v>-0.99999999999944578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-4.0000000000048885</v>
      </c>
      <c r="S22" s="27">
        <f t="shared" si="3"/>
        <v>0.33333333333314857</v>
      </c>
      <c r="T22" s="28">
        <f t="shared" si="3"/>
        <v>0</v>
      </c>
      <c r="U22" s="28">
        <f t="shared" si="3"/>
        <v>-0.33333333333314857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41723</v>
      </c>
      <c r="C23" s="26">
        <v>12.433999999999999</v>
      </c>
      <c r="D23" s="26">
        <v>7.4640000000000004</v>
      </c>
      <c r="E23" s="26">
        <v>7.5419999999999998</v>
      </c>
      <c r="F23" s="47"/>
      <c r="G23" s="47"/>
      <c r="H23" s="47"/>
      <c r="I23" s="57">
        <v>102.52</v>
      </c>
      <c r="J23" s="58">
        <v>609.5</v>
      </c>
      <c r="K23" s="59">
        <f t="shared" si="0"/>
        <v>51.5</v>
      </c>
      <c r="L23" s="19">
        <f t="shared" si="2"/>
        <v>0</v>
      </c>
      <c r="M23" s="19">
        <f t="shared" si="2"/>
        <v>-1.9999999999997797</v>
      </c>
      <c r="N23" s="19">
        <f t="shared" si="2"/>
        <v>0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-4.0000000000048885</v>
      </c>
      <c r="S23" s="27">
        <f t="shared" si="3"/>
        <v>0</v>
      </c>
      <c r="T23" s="28">
        <f t="shared" si="3"/>
        <v>0</v>
      </c>
      <c r="U23" s="28">
        <f t="shared" si="3"/>
        <v>0.12499999999993072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 t="s">
        <v>23</v>
      </c>
    </row>
    <row r="24" spans="2:25" ht="15" customHeight="1" x14ac:dyDescent="0.2">
      <c r="B24" s="31">
        <v>41724</v>
      </c>
      <c r="C24" s="26">
        <v>12.433999999999999</v>
      </c>
      <c r="D24" s="26">
        <v>7.4640000000000004</v>
      </c>
      <c r="E24" s="26">
        <v>7.5410000000000004</v>
      </c>
      <c r="F24" s="47"/>
      <c r="G24" s="47"/>
      <c r="H24" s="47"/>
      <c r="I24" s="67">
        <v>102.51900000000001</v>
      </c>
      <c r="J24" s="58">
        <v>609.5</v>
      </c>
      <c r="K24" s="59">
        <f t="shared" si="0"/>
        <v>51.5</v>
      </c>
      <c r="L24" s="19">
        <f t="shared" si="2"/>
        <v>0</v>
      </c>
      <c r="M24" s="19">
        <f t="shared" si="2"/>
        <v>-1.9999999999997797</v>
      </c>
      <c r="N24" s="19">
        <f t="shared" si="2"/>
        <v>-0.99999999999944578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-4.9999999999954525</v>
      </c>
      <c r="S24" s="27">
        <f t="shared" si="3"/>
        <v>0</v>
      </c>
      <c r="T24" s="28">
        <f t="shared" si="3"/>
        <v>0</v>
      </c>
      <c r="U24" s="28">
        <f t="shared" si="3"/>
        <v>-0.99999999999944578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41744</v>
      </c>
      <c r="C25" s="26">
        <v>12.433999999999999</v>
      </c>
      <c r="D25" s="26">
        <v>7.4630000000000001</v>
      </c>
      <c r="E25" s="26">
        <v>7.5410000000000004</v>
      </c>
      <c r="F25" s="47"/>
      <c r="G25" s="47"/>
      <c r="H25" s="47"/>
      <c r="I25" s="67">
        <v>102.509</v>
      </c>
      <c r="J25" s="58">
        <v>609.5</v>
      </c>
      <c r="K25" s="59">
        <f t="shared" si="0"/>
        <v>51.5</v>
      </c>
      <c r="L25" s="19">
        <f t="shared" si="2"/>
        <v>0</v>
      </c>
      <c r="M25" s="19">
        <f t="shared" si="2"/>
        <v>-3.0000000000001137</v>
      </c>
      <c r="N25" s="19">
        <f t="shared" si="2"/>
        <v>-0.99999999999944578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>IF(ISBLANK(I25),"",(I25-I$16)*1000+10)</f>
        <v>-5.0000000000005684</v>
      </c>
      <c r="S25" s="27">
        <f t="shared" si="3"/>
        <v>0</v>
      </c>
      <c r="T25" s="28">
        <f t="shared" si="3"/>
        <v>-5.0000000000016698E-2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41752</v>
      </c>
      <c r="C26" s="26">
        <v>12.433999999999999</v>
      </c>
      <c r="D26" s="26">
        <v>7.4640000000000004</v>
      </c>
      <c r="E26" s="26">
        <v>7.5410000000000004</v>
      </c>
      <c r="F26" s="47"/>
      <c r="G26" s="47"/>
      <c r="H26" s="47"/>
      <c r="I26" s="57">
        <v>102.51</v>
      </c>
      <c r="J26" s="58">
        <v>609.5</v>
      </c>
      <c r="K26" s="59">
        <f t="shared" si="0"/>
        <v>51.5</v>
      </c>
      <c r="L26" s="19">
        <f t="shared" si="2"/>
        <v>0</v>
      </c>
      <c r="M26" s="19">
        <f t="shared" si="2"/>
        <v>-1.9999999999997797</v>
      </c>
      <c r="N26" s="19">
        <f t="shared" si="2"/>
        <v>-0.99999999999944578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ref="R26:R89" si="4">IF(ISBLANK(I26),"",(I26-I$16)*1000+10)</f>
        <v>-3.9999999999957936</v>
      </c>
      <c r="S26" s="27">
        <f t="shared" si="3"/>
        <v>0</v>
      </c>
      <c r="T26" s="28">
        <f t="shared" si="3"/>
        <v>0.12500000000004174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 t="s">
        <v>35</v>
      </c>
    </row>
    <row r="27" spans="2:25" ht="15" customHeight="1" x14ac:dyDescent="0.2">
      <c r="B27" s="31">
        <v>41753</v>
      </c>
      <c r="C27" s="26">
        <v>12.433999999999999</v>
      </c>
      <c r="D27" s="26">
        <v>7.4640000000000004</v>
      </c>
      <c r="E27" s="26">
        <v>7.5410000000000004</v>
      </c>
      <c r="F27" s="47"/>
      <c r="G27" s="47"/>
      <c r="H27" s="47"/>
      <c r="I27" s="57">
        <v>102.509</v>
      </c>
      <c r="J27" s="58">
        <v>609.5</v>
      </c>
      <c r="K27" s="59">
        <f t="shared" si="0"/>
        <v>51.5</v>
      </c>
      <c r="L27" s="19">
        <f t="shared" si="2"/>
        <v>0</v>
      </c>
      <c r="M27" s="19">
        <f t="shared" si="2"/>
        <v>-1.9999999999997797</v>
      </c>
      <c r="N27" s="19">
        <f t="shared" si="2"/>
        <v>-0.99999999999944578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4"/>
        <v>-5.0000000000005684</v>
      </c>
      <c r="S27" s="27">
        <f t="shared" si="3"/>
        <v>0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41754</v>
      </c>
      <c r="C28" s="26">
        <v>12.433999999999999</v>
      </c>
      <c r="D28" s="26">
        <v>7.4640000000000004</v>
      </c>
      <c r="E28" s="26">
        <v>7.5419999999999998</v>
      </c>
      <c r="F28" s="47"/>
      <c r="G28" s="47"/>
      <c r="H28" s="47"/>
      <c r="I28" s="57">
        <v>102.509</v>
      </c>
      <c r="J28" s="58">
        <v>609.5</v>
      </c>
      <c r="K28" s="59">
        <f t="shared" si="0"/>
        <v>51.5</v>
      </c>
      <c r="L28" s="19">
        <f t="shared" si="2"/>
        <v>0</v>
      </c>
      <c r="M28" s="19">
        <f t="shared" si="2"/>
        <v>-1.9999999999997797</v>
      </c>
      <c r="N28" s="19">
        <f t="shared" si="2"/>
        <v>0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4"/>
        <v>-5.0000000000005684</v>
      </c>
      <c r="S28" s="27">
        <f t="shared" si="3"/>
        <v>0</v>
      </c>
      <c r="T28" s="28">
        <f t="shared" si="3"/>
        <v>0</v>
      </c>
      <c r="U28" s="28">
        <f t="shared" si="3"/>
        <v>0.99999999999944578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41757</v>
      </c>
      <c r="C29" s="26">
        <v>12.433999999999999</v>
      </c>
      <c r="D29" s="26">
        <v>7.4630000000000001</v>
      </c>
      <c r="E29" s="26">
        <v>7.5410000000000004</v>
      </c>
      <c r="F29" s="47"/>
      <c r="G29" s="47"/>
      <c r="H29" s="47"/>
      <c r="I29" s="57">
        <v>102.509</v>
      </c>
      <c r="J29" s="58">
        <v>613.5</v>
      </c>
      <c r="K29" s="59">
        <f t="shared" si="0"/>
        <v>55.5</v>
      </c>
      <c r="L29" s="19">
        <f t="shared" si="2"/>
        <v>0</v>
      </c>
      <c r="M29" s="19">
        <f t="shared" si="2"/>
        <v>-3.0000000000001137</v>
      </c>
      <c r="N29" s="19">
        <f t="shared" si="2"/>
        <v>-0.99999999999944578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4"/>
        <v>-5.0000000000005684</v>
      </c>
      <c r="S29" s="27">
        <f t="shared" si="3"/>
        <v>0</v>
      </c>
      <c r="T29" s="28">
        <f t="shared" si="3"/>
        <v>-0.33333333333344467</v>
      </c>
      <c r="U29" s="28">
        <f t="shared" si="3"/>
        <v>-0.33333333333314857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41758</v>
      </c>
      <c r="C30" s="26">
        <v>12.433999999999999</v>
      </c>
      <c r="D30" s="26">
        <v>7.4640000000000004</v>
      </c>
      <c r="E30" s="26">
        <v>7.5410000000000004</v>
      </c>
      <c r="F30" s="47"/>
      <c r="G30" s="47"/>
      <c r="H30" s="47"/>
      <c r="I30" s="57">
        <v>102.509</v>
      </c>
      <c r="J30" s="58">
        <v>616.5</v>
      </c>
      <c r="K30" s="59">
        <f t="shared" si="0"/>
        <v>58.5</v>
      </c>
      <c r="L30" s="19">
        <f t="shared" si="2"/>
        <v>0</v>
      </c>
      <c r="M30" s="19">
        <f t="shared" si="2"/>
        <v>-1.9999999999997797</v>
      </c>
      <c r="N30" s="19">
        <f t="shared" si="2"/>
        <v>-0.99999999999944578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4"/>
        <v>-5.0000000000005684</v>
      </c>
      <c r="S30" s="27">
        <f t="shared" si="3"/>
        <v>0</v>
      </c>
      <c r="T30" s="28">
        <f t="shared" si="3"/>
        <v>1.000000000000334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41759</v>
      </c>
      <c r="C31" s="26">
        <v>12.433999999999999</v>
      </c>
      <c r="D31" s="26">
        <v>7.4640000000000004</v>
      </c>
      <c r="E31" s="26">
        <v>7.5410000000000004</v>
      </c>
      <c r="F31" s="47"/>
      <c r="G31" s="47"/>
      <c r="H31" s="47"/>
      <c r="I31" s="57">
        <v>102.508</v>
      </c>
      <c r="J31" s="58">
        <v>623</v>
      </c>
      <c r="K31" s="59">
        <f t="shared" si="0"/>
        <v>65</v>
      </c>
      <c r="L31" s="19">
        <f t="shared" si="2"/>
        <v>0</v>
      </c>
      <c r="M31" s="19">
        <f t="shared" si="2"/>
        <v>-1.9999999999997797</v>
      </c>
      <c r="N31" s="19">
        <f t="shared" si="2"/>
        <v>-0.99999999999944578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4"/>
        <v>-6.0000000000053433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41764</v>
      </c>
      <c r="C32" s="26">
        <v>12.435</v>
      </c>
      <c r="D32" s="26">
        <v>7.4640000000000004</v>
      </c>
      <c r="E32" s="26">
        <v>7.5410000000000004</v>
      </c>
      <c r="F32" s="47"/>
      <c r="G32" s="47"/>
      <c r="H32" s="47"/>
      <c r="I32" s="57">
        <v>102.508</v>
      </c>
      <c r="J32" s="58">
        <v>659</v>
      </c>
      <c r="K32" s="59">
        <f t="shared" ref="K32:K49" si="5">IF(ISBLANK(J32),"",(J32-$J$8))</f>
        <v>101</v>
      </c>
      <c r="L32" s="19">
        <f t="shared" si="2"/>
        <v>1.0000000000012221</v>
      </c>
      <c r="M32" s="19">
        <f t="shared" si="2"/>
        <v>-1.9999999999997797</v>
      </c>
      <c r="N32" s="19">
        <f t="shared" si="2"/>
        <v>-0.99999999999944578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4"/>
        <v>-6.0000000000053433</v>
      </c>
      <c r="S32" s="27">
        <f t="shared" si="3"/>
        <v>0.20000000000024443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41765</v>
      </c>
      <c r="C33" s="26">
        <v>12.433999999999999</v>
      </c>
      <c r="D33" s="26">
        <v>7.4640000000000004</v>
      </c>
      <c r="E33" s="26">
        <v>7.5410000000000004</v>
      </c>
      <c r="F33" s="47"/>
      <c r="G33" s="47"/>
      <c r="H33" s="47"/>
      <c r="I33" s="57">
        <v>102.508</v>
      </c>
      <c r="J33" s="58">
        <v>668</v>
      </c>
      <c r="K33" s="59">
        <f t="shared" si="5"/>
        <v>110</v>
      </c>
      <c r="L33" s="19">
        <f t="shared" si="2"/>
        <v>0</v>
      </c>
      <c r="M33" s="19">
        <f t="shared" si="2"/>
        <v>-1.9999999999997797</v>
      </c>
      <c r="N33" s="19">
        <f t="shared" si="2"/>
        <v>-0.99999999999944578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4"/>
        <v>-6.0000000000053433</v>
      </c>
      <c r="S33" s="27">
        <f t="shared" ref="S33:X48" si="6">IF(C33="","",((C33-C32)*1000)/($B33-$B32))</f>
        <v>-1.0000000000012221</v>
      </c>
      <c r="T33" s="28">
        <f t="shared" si="6"/>
        <v>0</v>
      </c>
      <c r="U33" s="28">
        <f t="shared" si="6"/>
        <v>0</v>
      </c>
      <c r="V33" s="28" t="str">
        <f t="shared" si="6"/>
        <v/>
      </c>
      <c r="W33" s="28" t="str">
        <f t="shared" si="6"/>
        <v/>
      </c>
      <c r="X33" s="29" t="str">
        <f t="shared" si="6"/>
        <v/>
      </c>
      <c r="Y33" s="24"/>
    </row>
    <row r="34" spans="2:25" ht="15" customHeight="1" x14ac:dyDescent="0.2">
      <c r="B34" s="31">
        <v>41766</v>
      </c>
      <c r="C34" s="26">
        <v>12.435</v>
      </c>
      <c r="D34" s="26">
        <v>7.4640000000000004</v>
      </c>
      <c r="E34" s="26">
        <v>7.5419999999999998</v>
      </c>
      <c r="F34" s="47"/>
      <c r="G34" s="47"/>
      <c r="H34" s="47"/>
      <c r="I34" s="57">
        <v>102.509</v>
      </c>
      <c r="J34" s="58">
        <v>677</v>
      </c>
      <c r="K34" s="59">
        <f t="shared" si="5"/>
        <v>119</v>
      </c>
      <c r="L34" s="19">
        <f t="shared" si="2"/>
        <v>1.0000000000012221</v>
      </c>
      <c r="M34" s="19">
        <f t="shared" si="2"/>
        <v>-1.9999999999997797</v>
      </c>
      <c r="N34" s="19">
        <f t="shared" si="2"/>
        <v>0</v>
      </c>
      <c r="O34" s="19" t="str">
        <f t="shared" si="2"/>
        <v/>
      </c>
      <c r="P34" s="19" t="str">
        <f t="shared" si="2"/>
        <v/>
      </c>
      <c r="Q34" s="19" t="str">
        <f t="shared" si="2"/>
        <v/>
      </c>
      <c r="R34" s="19">
        <f t="shared" si="4"/>
        <v>-5.0000000000005684</v>
      </c>
      <c r="S34" s="27">
        <f t="shared" si="6"/>
        <v>1.0000000000012221</v>
      </c>
      <c r="T34" s="28">
        <f t="shared" si="6"/>
        <v>0</v>
      </c>
      <c r="U34" s="28">
        <f t="shared" si="6"/>
        <v>0.99999999999944578</v>
      </c>
      <c r="V34" s="28" t="str">
        <f t="shared" si="6"/>
        <v/>
      </c>
      <c r="W34" s="28" t="str">
        <f t="shared" si="6"/>
        <v/>
      </c>
      <c r="X34" s="29" t="str">
        <f t="shared" si="6"/>
        <v/>
      </c>
      <c r="Y34" s="24"/>
    </row>
    <row r="35" spans="2:25" ht="15" customHeight="1" x14ac:dyDescent="0.2">
      <c r="B35" s="31">
        <v>41781</v>
      </c>
      <c r="C35" s="26">
        <v>12.435</v>
      </c>
      <c r="D35" s="26">
        <v>7.4640000000000004</v>
      </c>
      <c r="E35" s="26">
        <v>7.5419999999999998</v>
      </c>
      <c r="F35" s="47"/>
      <c r="G35" s="47"/>
      <c r="H35" s="47"/>
      <c r="I35" s="57">
        <v>102.51</v>
      </c>
      <c r="J35" s="58">
        <v>792</v>
      </c>
      <c r="K35" s="59">
        <f t="shared" si="5"/>
        <v>234</v>
      </c>
      <c r="L35" s="19">
        <f t="shared" si="2"/>
        <v>1.0000000000012221</v>
      </c>
      <c r="M35" s="19">
        <f t="shared" si="2"/>
        <v>-1.9999999999997797</v>
      </c>
      <c r="N35" s="19">
        <f t="shared" si="2"/>
        <v>0</v>
      </c>
      <c r="O35" s="19" t="str">
        <f t="shared" si="2"/>
        <v/>
      </c>
      <c r="P35" s="19" t="str">
        <f t="shared" si="2"/>
        <v/>
      </c>
      <c r="Q35" s="19" t="str">
        <f t="shared" si="2"/>
        <v/>
      </c>
      <c r="R35" s="19">
        <f t="shared" si="4"/>
        <v>-3.9999999999957936</v>
      </c>
      <c r="S35" s="27">
        <f t="shared" si="6"/>
        <v>0</v>
      </c>
      <c r="T35" s="28">
        <f t="shared" si="6"/>
        <v>0</v>
      </c>
      <c r="U35" s="28">
        <f t="shared" si="6"/>
        <v>0</v>
      </c>
      <c r="V35" s="28" t="str">
        <f t="shared" si="6"/>
        <v/>
      </c>
      <c r="W35" s="28" t="str">
        <f t="shared" si="6"/>
        <v/>
      </c>
      <c r="X35" s="29" t="str">
        <f t="shared" si="6"/>
        <v/>
      </c>
      <c r="Y35" s="24"/>
    </row>
    <row r="36" spans="2:25" ht="15" customHeight="1" x14ac:dyDescent="0.2">
      <c r="B36" s="31">
        <v>41806</v>
      </c>
      <c r="C36" s="26">
        <v>12.430999999999999</v>
      </c>
      <c r="D36" s="26">
        <v>7.4640000000000004</v>
      </c>
      <c r="E36" s="26">
        <v>7.54</v>
      </c>
      <c r="F36" s="47"/>
      <c r="G36" s="47"/>
      <c r="H36" s="47"/>
      <c r="I36" s="57">
        <v>102.51</v>
      </c>
      <c r="J36" s="58">
        <v>546</v>
      </c>
      <c r="K36" s="59">
        <f t="shared" si="5"/>
        <v>-12</v>
      </c>
      <c r="L36" s="19">
        <f t="shared" si="2"/>
        <v>-3.0000000000001137</v>
      </c>
      <c r="M36" s="19">
        <f t="shared" si="2"/>
        <v>-1.9999999999997797</v>
      </c>
      <c r="N36" s="19">
        <f t="shared" si="2"/>
        <v>-1.9999999999997797</v>
      </c>
      <c r="O36" s="19" t="str">
        <f t="shared" si="2"/>
        <v/>
      </c>
      <c r="P36" s="19" t="str">
        <f t="shared" si="2"/>
        <v/>
      </c>
      <c r="Q36" s="19" t="str">
        <f t="shared" si="2"/>
        <v/>
      </c>
      <c r="R36" s="19">
        <f t="shared" si="4"/>
        <v>-3.9999999999957936</v>
      </c>
      <c r="S36" s="27">
        <f t="shared" si="6"/>
        <v>-0.16000000000005343</v>
      </c>
      <c r="T36" s="28">
        <f t="shared" si="6"/>
        <v>0</v>
      </c>
      <c r="U36" s="28">
        <f t="shared" si="6"/>
        <v>-7.9999999999991189E-2</v>
      </c>
      <c r="V36" s="28" t="str">
        <f t="shared" si="6"/>
        <v/>
      </c>
      <c r="W36" s="28" t="str">
        <f t="shared" si="6"/>
        <v/>
      </c>
      <c r="X36" s="29" t="str">
        <f t="shared" si="6"/>
        <v/>
      </c>
      <c r="Y36" s="24" t="s">
        <v>44</v>
      </c>
    </row>
    <row r="37" spans="2:25" ht="15" customHeight="1" x14ac:dyDescent="0.2">
      <c r="B37" s="31">
        <v>41807</v>
      </c>
      <c r="C37" s="26">
        <v>12.432</v>
      </c>
      <c r="D37" s="26">
        <v>7.4630000000000001</v>
      </c>
      <c r="E37" s="26">
        <v>7.5410000000000004</v>
      </c>
      <c r="F37" s="47"/>
      <c r="G37" s="47"/>
      <c r="H37" s="47"/>
      <c r="I37" s="57">
        <v>102.509</v>
      </c>
      <c r="J37" s="58">
        <v>556</v>
      </c>
      <c r="K37" s="59">
        <f t="shared" si="5"/>
        <v>-2</v>
      </c>
      <c r="L37" s="19">
        <f t="shared" si="2"/>
        <v>-1.9999999999988916</v>
      </c>
      <c r="M37" s="19">
        <f t="shared" si="2"/>
        <v>-3.0000000000001137</v>
      </c>
      <c r="N37" s="19">
        <f t="shared" si="2"/>
        <v>-0.99999999999944578</v>
      </c>
      <c r="O37" s="19" t="str">
        <f t="shared" si="2"/>
        <v/>
      </c>
      <c r="P37" s="19" t="str">
        <f t="shared" si="2"/>
        <v/>
      </c>
      <c r="Q37" s="19" t="str">
        <f t="shared" si="2"/>
        <v/>
      </c>
      <c r="R37" s="19">
        <f t="shared" si="4"/>
        <v>-5.0000000000005684</v>
      </c>
      <c r="S37" s="27">
        <f t="shared" si="6"/>
        <v>1.0000000000012221</v>
      </c>
      <c r="T37" s="28">
        <f t="shared" si="6"/>
        <v>-1.000000000000334</v>
      </c>
      <c r="U37" s="28">
        <f t="shared" si="6"/>
        <v>1.000000000000334</v>
      </c>
      <c r="V37" s="28" t="str">
        <f t="shared" si="6"/>
        <v/>
      </c>
      <c r="W37" s="28" t="str">
        <f t="shared" si="6"/>
        <v/>
      </c>
      <c r="X37" s="29" t="str">
        <f t="shared" si="6"/>
        <v/>
      </c>
      <c r="Y37" s="24"/>
    </row>
    <row r="38" spans="2:25" ht="15" customHeight="1" x14ac:dyDescent="0.2">
      <c r="B38" s="31">
        <v>41808</v>
      </c>
      <c r="C38" s="26">
        <v>12.433</v>
      </c>
      <c r="D38" s="26">
        <v>7.4640000000000004</v>
      </c>
      <c r="E38" s="26">
        <v>7.5410000000000004</v>
      </c>
      <c r="F38" s="47"/>
      <c r="G38" s="47"/>
      <c r="H38" s="47"/>
      <c r="I38" s="57">
        <v>102.509</v>
      </c>
      <c r="J38" s="58">
        <v>552</v>
      </c>
      <c r="K38" s="59">
        <f t="shared" si="5"/>
        <v>-6</v>
      </c>
      <c r="L38" s="19">
        <f t="shared" si="2"/>
        <v>-0.99999999999944578</v>
      </c>
      <c r="M38" s="19">
        <f t="shared" si="2"/>
        <v>-1.9999999999997797</v>
      </c>
      <c r="N38" s="19">
        <f t="shared" si="2"/>
        <v>-0.99999999999944578</v>
      </c>
      <c r="O38" s="19" t="str">
        <f t="shared" si="2"/>
        <v/>
      </c>
      <c r="P38" s="19" t="str">
        <f t="shared" si="2"/>
        <v/>
      </c>
      <c r="Q38" s="19" t="str">
        <f t="shared" si="2"/>
        <v/>
      </c>
      <c r="R38" s="19">
        <f t="shared" si="4"/>
        <v>-5.0000000000005684</v>
      </c>
      <c r="S38" s="27">
        <f t="shared" si="6"/>
        <v>0.99999999999944578</v>
      </c>
      <c r="T38" s="28">
        <f t="shared" si="6"/>
        <v>1.000000000000334</v>
      </c>
      <c r="U38" s="28">
        <f t="shared" si="6"/>
        <v>0</v>
      </c>
      <c r="V38" s="28" t="str">
        <f t="shared" si="6"/>
        <v/>
      </c>
      <c r="W38" s="28" t="str">
        <f t="shared" si="6"/>
        <v/>
      </c>
      <c r="X38" s="29" t="str">
        <f t="shared" si="6"/>
        <v/>
      </c>
      <c r="Y38" s="24"/>
    </row>
    <row r="39" spans="2:25" ht="15" customHeight="1" x14ac:dyDescent="0.2">
      <c r="B39" s="31">
        <v>41809</v>
      </c>
      <c r="C39" s="26">
        <v>12.432</v>
      </c>
      <c r="D39" s="26">
        <v>7.4630000000000001</v>
      </c>
      <c r="E39" s="26">
        <v>7.5410000000000004</v>
      </c>
      <c r="F39" s="47"/>
      <c r="G39" s="47"/>
      <c r="H39" s="47"/>
      <c r="I39" s="57">
        <v>102.51</v>
      </c>
      <c r="J39" s="58">
        <v>559</v>
      </c>
      <c r="K39" s="59">
        <f t="shared" si="5"/>
        <v>1</v>
      </c>
      <c r="L39" s="19">
        <f t="shared" si="2"/>
        <v>-1.9999999999988916</v>
      </c>
      <c r="M39" s="19">
        <f t="shared" si="2"/>
        <v>-3.0000000000001137</v>
      </c>
      <c r="N39" s="19">
        <f t="shared" si="2"/>
        <v>-0.99999999999944578</v>
      </c>
      <c r="O39" s="19" t="str">
        <f t="shared" si="2"/>
        <v/>
      </c>
      <c r="P39" s="19" t="str">
        <f t="shared" si="2"/>
        <v/>
      </c>
      <c r="Q39" s="19" t="str">
        <f t="shared" si="2"/>
        <v/>
      </c>
      <c r="R39" s="19">
        <f t="shared" si="4"/>
        <v>-3.9999999999957936</v>
      </c>
      <c r="S39" s="27">
        <f t="shared" si="6"/>
        <v>-0.99999999999944578</v>
      </c>
      <c r="T39" s="28">
        <f t="shared" si="6"/>
        <v>-1.000000000000334</v>
      </c>
      <c r="U39" s="28">
        <f t="shared" si="6"/>
        <v>0</v>
      </c>
      <c r="V39" s="28" t="str">
        <f t="shared" si="6"/>
        <v/>
      </c>
      <c r="W39" s="28" t="str">
        <f t="shared" si="6"/>
        <v/>
      </c>
      <c r="X39" s="29" t="str">
        <f t="shared" si="6"/>
        <v/>
      </c>
      <c r="Y39" s="24"/>
    </row>
    <row r="40" spans="2:25" ht="15" customHeight="1" x14ac:dyDescent="0.2">
      <c r="B40" s="31">
        <v>41810</v>
      </c>
      <c r="C40" s="26">
        <v>12.433</v>
      </c>
      <c r="D40" s="26">
        <v>7.4630000000000001</v>
      </c>
      <c r="E40" s="26">
        <v>7.5419999999999998</v>
      </c>
      <c r="F40" s="47"/>
      <c r="G40" s="47"/>
      <c r="H40" s="47"/>
      <c r="I40" s="57">
        <v>102.509</v>
      </c>
      <c r="J40" s="58">
        <v>563</v>
      </c>
      <c r="K40" s="59">
        <f t="shared" si="5"/>
        <v>5</v>
      </c>
      <c r="L40" s="19">
        <f t="shared" si="2"/>
        <v>-0.99999999999944578</v>
      </c>
      <c r="M40" s="19">
        <f t="shared" si="2"/>
        <v>-3.0000000000001137</v>
      </c>
      <c r="N40" s="19">
        <f t="shared" si="2"/>
        <v>0</v>
      </c>
      <c r="O40" s="19" t="str">
        <f t="shared" si="2"/>
        <v/>
      </c>
      <c r="P40" s="19" t="str">
        <f t="shared" si="2"/>
        <v/>
      </c>
      <c r="Q40" s="19" t="str">
        <f t="shared" si="2"/>
        <v/>
      </c>
      <c r="R40" s="19">
        <f t="shared" si="4"/>
        <v>-5.0000000000005684</v>
      </c>
      <c r="S40" s="27">
        <f t="shared" si="6"/>
        <v>0.99999999999944578</v>
      </c>
      <c r="T40" s="28">
        <f t="shared" si="6"/>
        <v>0</v>
      </c>
      <c r="U40" s="28">
        <f t="shared" si="6"/>
        <v>0.99999999999944578</v>
      </c>
      <c r="V40" s="28" t="str">
        <f t="shared" si="6"/>
        <v/>
      </c>
      <c r="W40" s="28" t="str">
        <f t="shared" si="6"/>
        <v/>
      </c>
      <c r="X40" s="29" t="str">
        <f t="shared" si="6"/>
        <v/>
      </c>
      <c r="Y40" s="24"/>
    </row>
    <row r="41" spans="2:25" ht="15" customHeight="1" x14ac:dyDescent="0.2">
      <c r="B41" s="31">
        <v>41813</v>
      </c>
      <c r="C41" s="26">
        <v>12.433</v>
      </c>
      <c r="D41" s="26">
        <v>7.4630000000000001</v>
      </c>
      <c r="E41" s="26">
        <v>7.5419999999999998</v>
      </c>
      <c r="F41" s="47">
        <v>13.352</v>
      </c>
      <c r="G41" s="47">
        <v>10.074</v>
      </c>
      <c r="H41" s="47">
        <v>10.242000000000001</v>
      </c>
      <c r="I41" s="57">
        <v>102.509</v>
      </c>
      <c r="J41" s="58">
        <v>574</v>
      </c>
      <c r="K41" s="59">
        <f t="shared" si="5"/>
        <v>16</v>
      </c>
      <c r="L41" s="19">
        <f t="shared" si="2"/>
        <v>-0.99999999999944578</v>
      </c>
      <c r="M41" s="19">
        <f t="shared" si="2"/>
        <v>-3.0000000000001137</v>
      </c>
      <c r="N41" s="19">
        <f t="shared" si="2"/>
        <v>0</v>
      </c>
      <c r="O41" s="19">
        <f>IF(ISBLANK(F41),"",((F41-F$41)*1000)+L$41)</f>
        <v>-0.99999999999944578</v>
      </c>
      <c r="P41" s="19">
        <f>IF(ISBLANK(G41),"",((G41-G$41)*1000)+M$41)</f>
        <v>-3.0000000000001137</v>
      </c>
      <c r="Q41" s="19">
        <f>IF(ISBLANK(H41),"",((H41-H$41)*1000)+N$41)</f>
        <v>0</v>
      </c>
      <c r="R41" s="19">
        <f t="shared" si="4"/>
        <v>-5.0000000000005684</v>
      </c>
      <c r="S41" s="27">
        <f t="shared" si="6"/>
        <v>0</v>
      </c>
      <c r="T41" s="28">
        <f t="shared" si="6"/>
        <v>0</v>
      </c>
      <c r="U41" s="28">
        <f t="shared" si="6"/>
        <v>0</v>
      </c>
      <c r="V41" s="28"/>
      <c r="W41" s="28"/>
      <c r="X41" s="29"/>
      <c r="Y41" s="24"/>
    </row>
    <row r="42" spans="2:25" ht="15" customHeight="1" x14ac:dyDescent="0.2">
      <c r="B42" s="31">
        <v>41814</v>
      </c>
      <c r="C42" s="26">
        <v>12.432</v>
      </c>
      <c r="D42" s="26">
        <v>7.4630000000000001</v>
      </c>
      <c r="E42" s="26">
        <v>7.5419999999999998</v>
      </c>
      <c r="F42" s="47">
        <v>13.351000000000001</v>
      </c>
      <c r="G42" s="47">
        <v>10.074</v>
      </c>
      <c r="H42" s="47">
        <v>10.242000000000001</v>
      </c>
      <c r="I42" s="57">
        <v>102.509</v>
      </c>
      <c r="J42" s="58">
        <v>603</v>
      </c>
      <c r="K42" s="59">
        <f t="shared" si="5"/>
        <v>45</v>
      </c>
      <c r="L42" s="19">
        <f t="shared" si="2"/>
        <v>-1.9999999999988916</v>
      </c>
      <c r="M42" s="19">
        <f t="shared" si="2"/>
        <v>-3.0000000000001137</v>
      </c>
      <c r="N42" s="19">
        <f t="shared" si="2"/>
        <v>0</v>
      </c>
      <c r="O42" s="19">
        <f t="shared" ref="O42:O105" si="7">IF(ISBLANK(F42),"",((F42-F$41)*1000)+L$41)</f>
        <v>-1.9999999999988916</v>
      </c>
      <c r="P42" s="19">
        <f t="shared" ref="P42:P105" si="8">IF(ISBLANK(G42),"",((G42-G$41)*1000)+M$41)</f>
        <v>-3.0000000000001137</v>
      </c>
      <c r="Q42" s="19">
        <f t="shared" ref="Q42:Q105" si="9">IF(ISBLANK(H42),"",((H42-H$41)*1000)+N$41)</f>
        <v>0</v>
      </c>
      <c r="R42" s="19">
        <f t="shared" si="4"/>
        <v>-5.0000000000005684</v>
      </c>
      <c r="S42" s="27">
        <f t="shared" si="6"/>
        <v>-0.99999999999944578</v>
      </c>
      <c r="T42" s="28">
        <f t="shared" si="6"/>
        <v>0</v>
      </c>
      <c r="U42" s="28">
        <f t="shared" si="6"/>
        <v>0</v>
      </c>
      <c r="V42" s="28">
        <f t="shared" si="6"/>
        <v>-0.99999999999944578</v>
      </c>
      <c r="W42" s="28">
        <f t="shared" si="6"/>
        <v>0</v>
      </c>
      <c r="X42" s="29">
        <f t="shared" si="6"/>
        <v>0</v>
      </c>
      <c r="Y42" s="24"/>
    </row>
    <row r="43" spans="2:25" ht="15" customHeight="1" x14ac:dyDescent="0.2">
      <c r="B43" s="31">
        <v>41815</v>
      </c>
      <c r="C43" s="26">
        <v>12.433</v>
      </c>
      <c r="D43" s="26">
        <v>7.4630000000000001</v>
      </c>
      <c r="E43" s="26">
        <v>7.5419999999999998</v>
      </c>
      <c r="F43" s="47">
        <v>13.352</v>
      </c>
      <c r="G43" s="47">
        <v>10.073</v>
      </c>
      <c r="H43" s="47">
        <v>10.242000000000001</v>
      </c>
      <c r="I43" s="57">
        <v>102.509</v>
      </c>
      <c r="J43" s="58">
        <v>603</v>
      </c>
      <c r="K43" s="59">
        <f t="shared" si="5"/>
        <v>45</v>
      </c>
      <c r="L43" s="19">
        <f t="shared" si="2"/>
        <v>-0.99999999999944578</v>
      </c>
      <c r="M43" s="19">
        <f t="shared" si="2"/>
        <v>-3.0000000000001137</v>
      </c>
      <c r="N43" s="19">
        <f t="shared" si="2"/>
        <v>0</v>
      </c>
      <c r="O43" s="19">
        <f t="shared" si="7"/>
        <v>-0.99999999999944578</v>
      </c>
      <c r="P43" s="19">
        <f t="shared" si="8"/>
        <v>-3.9999999999995595</v>
      </c>
      <c r="Q43" s="19">
        <f t="shared" si="9"/>
        <v>0</v>
      </c>
      <c r="R43" s="19">
        <f t="shared" si="4"/>
        <v>-5.0000000000005684</v>
      </c>
      <c r="S43" s="27">
        <f t="shared" si="6"/>
        <v>0.99999999999944578</v>
      </c>
      <c r="T43" s="28">
        <f t="shared" si="6"/>
        <v>0</v>
      </c>
      <c r="U43" s="28">
        <f t="shared" si="6"/>
        <v>0</v>
      </c>
      <c r="V43" s="28">
        <f t="shared" si="6"/>
        <v>0.99999999999944578</v>
      </c>
      <c r="W43" s="28">
        <f t="shared" si="6"/>
        <v>-0.99999999999944578</v>
      </c>
      <c r="X43" s="29">
        <f t="shared" si="6"/>
        <v>0</v>
      </c>
      <c r="Y43" s="24"/>
    </row>
    <row r="44" spans="2:25" ht="15" customHeight="1" x14ac:dyDescent="0.2">
      <c r="B44" s="31">
        <v>41820</v>
      </c>
      <c r="C44" s="26">
        <v>12.433</v>
      </c>
      <c r="D44" s="26">
        <v>7.4630000000000001</v>
      </c>
      <c r="E44" s="26">
        <v>7.5419999999999998</v>
      </c>
      <c r="F44" s="47">
        <v>13.351000000000001</v>
      </c>
      <c r="G44" s="47">
        <v>10.074</v>
      </c>
      <c r="H44" s="47">
        <v>10.242000000000001</v>
      </c>
      <c r="I44" s="57">
        <v>102.509</v>
      </c>
      <c r="J44" s="58">
        <v>645</v>
      </c>
      <c r="K44" s="59">
        <f t="shared" si="5"/>
        <v>87</v>
      </c>
      <c r="L44" s="19">
        <f t="shared" si="2"/>
        <v>-0.99999999999944578</v>
      </c>
      <c r="M44" s="19">
        <f t="shared" si="2"/>
        <v>-3.0000000000001137</v>
      </c>
      <c r="N44" s="19">
        <f t="shared" si="2"/>
        <v>0</v>
      </c>
      <c r="O44" s="19">
        <f t="shared" si="7"/>
        <v>-1.9999999999988916</v>
      </c>
      <c r="P44" s="19">
        <f t="shared" si="8"/>
        <v>-3.0000000000001137</v>
      </c>
      <c r="Q44" s="19">
        <f t="shared" si="9"/>
        <v>0</v>
      </c>
      <c r="R44" s="19">
        <f t="shared" si="4"/>
        <v>-5.0000000000005684</v>
      </c>
      <c r="S44" s="27">
        <f t="shared" si="6"/>
        <v>0</v>
      </c>
      <c r="T44" s="28">
        <f t="shared" si="6"/>
        <v>0</v>
      </c>
      <c r="U44" s="28">
        <f t="shared" si="6"/>
        <v>0</v>
      </c>
      <c r="V44" s="28">
        <f t="shared" si="6"/>
        <v>-0.19999999999988916</v>
      </c>
      <c r="W44" s="28">
        <f t="shared" si="6"/>
        <v>0.19999999999988916</v>
      </c>
      <c r="X44" s="29">
        <f t="shared" si="6"/>
        <v>0</v>
      </c>
      <c r="Y44" s="24"/>
    </row>
    <row r="45" spans="2:25" ht="15" customHeight="1" x14ac:dyDescent="0.2">
      <c r="B45" s="31">
        <v>41821</v>
      </c>
      <c r="C45" s="26">
        <v>12.433</v>
      </c>
      <c r="D45" s="26">
        <v>7.4640000000000004</v>
      </c>
      <c r="E45" s="26">
        <v>7.5410000000000004</v>
      </c>
      <c r="F45" s="47">
        <v>13.352</v>
      </c>
      <c r="G45" s="47">
        <v>10.074</v>
      </c>
      <c r="H45" s="47">
        <v>10.243</v>
      </c>
      <c r="I45" s="57">
        <v>102.509</v>
      </c>
      <c r="J45" s="58">
        <v>671</v>
      </c>
      <c r="K45" s="59">
        <f t="shared" si="5"/>
        <v>113</v>
      </c>
      <c r="L45" s="19">
        <f t="shared" si="2"/>
        <v>-0.99999999999944578</v>
      </c>
      <c r="M45" s="19">
        <f t="shared" si="2"/>
        <v>-1.9999999999997797</v>
      </c>
      <c r="N45" s="19">
        <f t="shared" si="2"/>
        <v>-0.99999999999944578</v>
      </c>
      <c r="O45" s="19">
        <f t="shared" si="7"/>
        <v>-0.99999999999944578</v>
      </c>
      <c r="P45" s="19">
        <f t="shared" si="8"/>
        <v>-3.0000000000001137</v>
      </c>
      <c r="Q45" s="19">
        <f t="shared" si="9"/>
        <v>0.99999999999944578</v>
      </c>
      <c r="R45" s="19">
        <f t="shared" si="4"/>
        <v>-5.0000000000005684</v>
      </c>
      <c r="S45" s="27">
        <f t="shared" si="6"/>
        <v>0</v>
      </c>
      <c r="T45" s="28">
        <f t="shared" si="6"/>
        <v>1.000000000000334</v>
      </c>
      <c r="U45" s="28">
        <f t="shared" si="6"/>
        <v>-0.99999999999944578</v>
      </c>
      <c r="V45" s="28">
        <f t="shared" si="6"/>
        <v>0.99999999999944578</v>
      </c>
      <c r="W45" s="28">
        <f t="shared" si="6"/>
        <v>0</v>
      </c>
      <c r="X45" s="29">
        <f t="shared" si="6"/>
        <v>0.99999999999944578</v>
      </c>
      <c r="Y45" s="24"/>
    </row>
    <row r="46" spans="2:25" ht="15" customHeight="1" x14ac:dyDescent="0.2">
      <c r="B46" s="31">
        <v>41828</v>
      </c>
      <c r="C46" s="26">
        <v>12.433</v>
      </c>
      <c r="D46" s="26">
        <v>7.4630000000000001</v>
      </c>
      <c r="E46" s="26">
        <v>7.5419999999999998</v>
      </c>
      <c r="F46" s="47">
        <v>13.351000000000001</v>
      </c>
      <c r="G46" s="47">
        <v>10.074</v>
      </c>
      <c r="H46" s="47">
        <v>10.242000000000001</v>
      </c>
      <c r="I46" s="57">
        <v>102.51</v>
      </c>
      <c r="J46" s="58">
        <v>775</v>
      </c>
      <c r="K46" s="59">
        <f t="shared" si="5"/>
        <v>217</v>
      </c>
      <c r="L46" s="19">
        <f t="shared" si="2"/>
        <v>-0.99999999999944578</v>
      </c>
      <c r="M46" s="19">
        <f t="shared" si="2"/>
        <v>-3.0000000000001137</v>
      </c>
      <c r="N46" s="19">
        <f t="shared" si="2"/>
        <v>0</v>
      </c>
      <c r="O46" s="19">
        <f t="shared" si="7"/>
        <v>-1.9999999999988916</v>
      </c>
      <c r="P46" s="19">
        <f t="shared" si="8"/>
        <v>-3.0000000000001137</v>
      </c>
      <c r="Q46" s="19">
        <f t="shared" si="9"/>
        <v>0</v>
      </c>
      <c r="R46" s="19">
        <f t="shared" si="4"/>
        <v>-3.9999999999957936</v>
      </c>
      <c r="S46" s="27">
        <f t="shared" si="6"/>
        <v>0</v>
      </c>
      <c r="T46" s="28">
        <f t="shared" si="6"/>
        <v>-0.14285714285719056</v>
      </c>
      <c r="U46" s="28">
        <f t="shared" si="6"/>
        <v>0.14285714285706369</v>
      </c>
      <c r="V46" s="28">
        <f t="shared" si="6"/>
        <v>-0.14285714285706369</v>
      </c>
      <c r="W46" s="28">
        <f t="shared" si="6"/>
        <v>0</v>
      </c>
      <c r="X46" s="29">
        <f t="shared" si="6"/>
        <v>-0.14285714285706369</v>
      </c>
      <c r="Y46" s="24"/>
    </row>
    <row r="47" spans="2:25" ht="15" customHeight="1" x14ac:dyDescent="0.2">
      <c r="B47" s="31">
        <v>41835</v>
      </c>
      <c r="C47" s="26">
        <v>12.433</v>
      </c>
      <c r="D47" s="26">
        <v>7.4630000000000001</v>
      </c>
      <c r="E47" s="26">
        <v>7.5410000000000004</v>
      </c>
      <c r="F47" s="47">
        <v>13.351000000000001</v>
      </c>
      <c r="G47" s="47">
        <v>10.074</v>
      </c>
      <c r="H47" s="47">
        <v>10.242000000000001</v>
      </c>
      <c r="I47" s="57">
        <v>102.509</v>
      </c>
      <c r="J47" s="58">
        <v>857</v>
      </c>
      <c r="K47" s="59">
        <f t="shared" si="5"/>
        <v>299</v>
      </c>
      <c r="L47" s="19">
        <f t="shared" si="2"/>
        <v>-0.99999999999944578</v>
      </c>
      <c r="M47" s="19">
        <f t="shared" si="2"/>
        <v>-3.0000000000001137</v>
      </c>
      <c r="N47" s="19">
        <f t="shared" si="2"/>
        <v>-0.99999999999944578</v>
      </c>
      <c r="O47" s="19">
        <f t="shared" si="7"/>
        <v>-1.9999999999988916</v>
      </c>
      <c r="P47" s="19">
        <f t="shared" si="8"/>
        <v>-3.0000000000001137</v>
      </c>
      <c r="Q47" s="19">
        <f t="shared" si="9"/>
        <v>0</v>
      </c>
      <c r="R47" s="19">
        <f t="shared" si="4"/>
        <v>-5.0000000000005684</v>
      </c>
      <c r="S47" s="27">
        <f t="shared" si="6"/>
        <v>0</v>
      </c>
      <c r="T47" s="28">
        <f t="shared" si="6"/>
        <v>0</v>
      </c>
      <c r="U47" s="28">
        <f t="shared" si="6"/>
        <v>-0.14285714285706369</v>
      </c>
      <c r="V47" s="28">
        <f t="shared" si="6"/>
        <v>0</v>
      </c>
      <c r="W47" s="28">
        <f t="shared" si="6"/>
        <v>0</v>
      </c>
      <c r="X47" s="29">
        <f t="shared" si="6"/>
        <v>0</v>
      </c>
      <c r="Y47" s="24"/>
    </row>
    <row r="48" spans="2:25" ht="15" customHeight="1" x14ac:dyDescent="0.2">
      <c r="B48" s="31">
        <v>41879</v>
      </c>
      <c r="C48" s="26"/>
      <c r="D48" s="26"/>
      <c r="E48" s="26"/>
      <c r="F48" s="47">
        <v>13.351000000000001</v>
      </c>
      <c r="G48" s="47">
        <v>10.073</v>
      </c>
      <c r="H48" s="47">
        <v>10.242000000000001</v>
      </c>
      <c r="I48" s="57">
        <v>102.509</v>
      </c>
      <c r="J48" s="58">
        <v>943</v>
      </c>
      <c r="K48" s="59">
        <f t="shared" si="5"/>
        <v>385</v>
      </c>
      <c r="L48" s="19" t="str">
        <f t="shared" si="2"/>
        <v/>
      </c>
      <c r="M48" s="19" t="str">
        <f t="shared" si="2"/>
        <v/>
      </c>
      <c r="N48" s="19" t="str">
        <f t="shared" si="2"/>
        <v/>
      </c>
      <c r="O48" s="19">
        <f t="shared" si="7"/>
        <v>-1.9999999999988916</v>
      </c>
      <c r="P48" s="19">
        <f t="shared" si="8"/>
        <v>-3.9999999999995595</v>
      </c>
      <c r="Q48" s="19">
        <f t="shared" si="9"/>
        <v>0</v>
      </c>
      <c r="R48" s="19">
        <f t="shared" si="4"/>
        <v>-5.0000000000005684</v>
      </c>
      <c r="S48" s="27" t="str">
        <f t="shared" si="6"/>
        <v/>
      </c>
      <c r="T48" s="28" t="str">
        <f t="shared" si="6"/>
        <v/>
      </c>
      <c r="U48" s="28" t="str">
        <f t="shared" si="6"/>
        <v/>
      </c>
      <c r="V48" s="28">
        <f t="shared" si="6"/>
        <v>0</v>
      </c>
      <c r="W48" s="28">
        <f t="shared" si="6"/>
        <v>-2.272727272726013E-2</v>
      </c>
      <c r="X48" s="29">
        <f t="shared" si="6"/>
        <v>0</v>
      </c>
      <c r="Y48" s="24"/>
    </row>
    <row r="49" spans="2:25" ht="15" customHeight="1" x14ac:dyDescent="0.2">
      <c r="B49" s="31">
        <v>41913</v>
      </c>
      <c r="C49" s="26"/>
      <c r="D49" s="26"/>
      <c r="E49" s="26"/>
      <c r="F49" s="47">
        <v>13.352</v>
      </c>
      <c r="G49" s="47">
        <v>10.074</v>
      </c>
      <c r="H49" s="47">
        <v>10.243</v>
      </c>
      <c r="I49" s="57">
        <v>102.509</v>
      </c>
      <c r="J49" s="58">
        <v>943</v>
      </c>
      <c r="K49" s="59">
        <f t="shared" si="5"/>
        <v>385</v>
      </c>
      <c r="L49" s="19" t="str">
        <f t="shared" si="2"/>
        <v/>
      </c>
      <c r="M49" s="19" t="str">
        <f t="shared" si="2"/>
        <v/>
      </c>
      <c r="N49" s="19" t="str">
        <f t="shared" si="2"/>
        <v/>
      </c>
      <c r="O49" s="19">
        <f t="shared" si="7"/>
        <v>-0.99999999999944578</v>
      </c>
      <c r="P49" s="19">
        <f t="shared" si="8"/>
        <v>-3.0000000000001137</v>
      </c>
      <c r="Q49" s="19">
        <f t="shared" si="9"/>
        <v>0.99999999999944578</v>
      </c>
      <c r="R49" s="19">
        <f t="shared" si="4"/>
        <v>-5.0000000000005684</v>
      </c>
      <c r="S49" s="27" t="str">
        <f t="shared" ref="S49:X64" si="10">IF(C49="","",((C49-C48)*1000)/($B49-$B48))</f>
        <v/>
      </c>
      <c r="T49" s="28" t="str">
        <f t="shared" si="10"/>
        <v/>
      </c>
      <c r="U49" s="28" t="str">
        <f t="shared" si="10"/>
        <v/>
      </c>
      <c r="V49" s="28">
        <f t="shared" si="10"/>
        <v>2.9411764705866053E-2</v>
      </c>
      <c r="W49" s="28">
        <f t="shared" si="10"/>
        <v>2.9411764705866053E-2</v>
      </c>
      <c r="X49" s="29">
        <f t="shared" si="10"/>
        <v>2.9411764705866053E-2</v>
      </c>
      <c r="Y49" s="24"/>
    </row>
    <row r="50" spans="2:25" ht="15" customHeight="1" x14ac:dyDescent="0.2">
      <c r="B50" s="31">
        <v>42032</v>
      </c>
      <c r="C50" s="26"/>
      <c r="D50" s="26"/>
      <c r="E50" s="26"/>
      <c r="F50" s="47">
        <v>13.353</v>
      </c>
      <c r="G50" s="47">
        <v>10.074999999999999</v>
      </c>
      <c r="H50" s="47">
        <v>10.243</v>
      </c>
      <c r="I50" s="57">
        <v>102.509</v>
      </c>
      <c r="J50" s="58">
        <v>943</v>
      </c>
      <c r="K50" s="59">
        <f>IF(ISBLANK(J50),"",(J50-$J$8))</f>
        <v>385</v>
      </c>
      <c r="L50" s="19" t="str">
        <f t="shared" si="2"/>
        <v/>
      </c>
      <c r="M50" s="19" t="str">
        <f t="shared" si="2"/>
        <v/>
      </c>
      <c r="N50" s="19" t="str">
        <f t="shared" si="2"/>
        <v/>
      </c>
      <c r="O50" s="19">
        <f t="shared" si="7"/>
        <v>0</v>
      </c>
      <c r="P50" s="19">
        <f t="shared" si="8"/>
        <v>-2.0000000000006679</v>
      </c>
      <c r="Q50" s="19">
        <f t="shared" si="9"/>
        <v>0.99999999999944578</v>
      </c>
      <c r="R50" s="19">
        <f t="shared" si="4"/>
        <v>-5.0000000000005684</v>
      </c>
      <c r="S50" s="27" t="str">
        <f t="shared" si="10"/>
        <v/>
      </c>
      <c r="T50" s="28" t="str">
        <f t="shared" si="10"/>
        <v/>
      </c>
      <c r="U50" s="28" t="str">
        <f t="shared" si="10"/>
        <v/>
      </c>
      <c r="V50" s="28">
        <f t="shared" si="10"/>
        <v>8.403361344533157E-3</v>
      </c>
      <c r="W50" s="28">
        <f t="shared" si="10"/>
        <v>8.403361344533157E-3</v>
      </c>
      <c r="X50" s="29">
        <f t="shared" si="10"/>
        <v>0</v>
      </c>
      <c r="Y50" s="24"/>
    </row>
    <row r="51" spans="2:25" ht="15" customHeight="1" x14ac:dyDescent="0.2">
      <c r="B51" s="31">
        <v>42121</v>
      </c>
      <c r="C51" s="25"/>
      <c r="D51" s="26"/>
      <c r="E51" s="26"/>
      <c r="F51" s="47">
        <v>13.353</v>
      </c>
      <c r="G51" s="47">
        <v>10.074</v>
      </c>
      <c r="H51" s="47">
        <v>10.243</v>
      </c>
      <c r="I51" s="57">
        <v>102.509</v>
      </c>
      <c r="J51" s="58">
        <v>943</v>
      </c>
      <c r="K51" s="18">
        <f>IF(ISBLANK(J51),"",(J51-$J$8))</f>
        <v>385</v>
      </c>
      <c r="L51" s="19" t="str">
        <f t="shared" si="2"/>
        <v/>
      </c>
      <c r="M51" s="19" t="str">
        <f t="shared" si="2"/>
        <v/>
      </c>
      <c r="N51" s="19" t="str">
        <f t="shared" si="2"/>
        <v/>
      </c>
      <c r="O51" s="19">
        <f t="shared" si="7"/>
        <v>0</v>
      </c>
      <c r="P51" s="19">
        <f t="shared" si="8"/>
        <v>-3.0000000000001137</v>
      </c>
      <c r="Q51" s="19">
        <f t="shared" si="9"/>
        <v>0.99999999999944578</v>
      </c>
      <c r="R51" s="19">
        <f t="shared" si="4"/>
        <v>-5.0000000000005684</v>
      </c>
      <c r="S51" s="27" t="str">
        <f t="shared" si="10"/>
        <v/>
      </c>
      <c r="T51" s="28" t="str">
        <f t="shared" si="10"/>
        <v/>
      </c>
      <c r="U51" s="28" t="str">
        <f t="shared" si="10"/>
        <v/>
      </c>
      <c r="V51" s="28">
        <f t="shared" si="10"/>
        <v>0</v>
      </c>
      <c r="W51" s="28">
        <f t="shared" si="10"/>
        <v>-1.1235955056173547E-2</v>
      </c>
      <c r="X51" s="29">
        <f t="shared" si="10"/>
        <v>0</v>
      </c>
      <c r="Y51" s="24"/>
    </row>
    <row r="52" spans="2:25" ht="15" customHeight="1" x14ac:dyDescent="0.2">
      <c r="B52" s="31">
        <v>42222</v>
      </c>
      <c r="C52" s="33"/>
      <c r="D52" s="16"/>
      <c r="E52" s="16"/>
      <c r="F52" s="16">
        <v>13.352</v>
      </c>
      <c r="G52" s="16">
        <v>10.074</v>
      </c>
      <c r="H52" s="16">
        <v>10.242000000000001</v>
      </c>
      <c r="I52" s="16">
        <v>102.51</v>
      </c>
      <c r="J52" s="32">
        <v>1278</v>
      </c>
      <c r="K52" s="18">
        <f t="shared" ref="K52:K86" si="11">IF(ISBLANK(J52),"",(J52-$J$8))</f>
        <v>720</v>
      </c>
      <c r="L52" s="19" t="str">
        <f t="shared" si="2"/>
        <v/>
      </c>
      <c r="M52" s="19" t="str">
        <f t="shared" si="2"/>
        <v/>
      </c>
      <c r="N52" s="19" t="str">
        <f t="shared" si="2"/>
        <v/>
      </c>
      <c r="O52" s="19">
        <f t="shared" si="7"/>
        <v>-0.99999999999944578</v>
      </c>
      <c r="P52" s="19">
        <f t="shared" si="8"/>
        <v>-3.0000000000001137</v>
      </c>
      <c r="Q52" s="19">
        <f t="shared" si="9"/>
        <v>0</v>
      </c>
      <c r="R52" s="19">
        <f t="shared" si="4"/>
        <v>-3.9999999999957936</v>
      </c>
      <c r="S52" s="27" t="str">
        <f t="shared" si="10"/>
        <v/>
      </c>
      <c r="T52" s="28" t="str">
        <f t="shared" si="10"/>
        <v/>
      </c>
      <c r="U52" s="28" t="str">
        <f t="shared" si="10"/>
        <v/>
      </c>
      <c r="V52" s="28">
        <f t="shared" si="10"/>
        <v>-9.9009900990044142E-3</v>
      </c>
      <c r="W52" s="28">
        <f t="shared" si="10"/>
        <v>0</v>
      </c>
      <c r="X52" s="29">
        <f t="shared" si="10"/>
        <v>-9.9009900990044142E-3</v>
      </c>
      <c r="Y52" s="24"/>
    </row>
    <row r="53" spans="2:25" ht="15" customHeight="1" x14ac:dyDescent="0.2">
      <c r="B53" s="31">
        <v>42326</v>
      </c>
      <c r="C53" s="25"/>
      <c r="D53" s="26"/>
      <c r="E53" s="26"/>
      <c r="F53" s="16">
        <v>13.35</v>
      </c>
      <c r="G53" s="16">
        <v>10.074</v>
      </c>
      <c r="H53" s="16">
        <v>10.242000000000001</v>
      </c>
      <c r="I53" s="16">
        <v>102.51</v>
      </c>
      <c r="J53" s="32">
        <v>2248</v>
      </c>
      <c r="K53" s="18">
        <f t="shared" si="11"/>
        <v>1690</v>
      </c>
      <c r="L53" s="19" t="str">
        <f t="shared" si="2"/>
        <v/>
      </c>
      <c r="M53" s="19" t="str">
        <f t="shared" si="2"/>
        <v/>
      </c>
      <c r="N53" s="19" t="str">
        <f t="shared" si="2"/>
        <v/>
      </c>
      <c r="O53" s="19">
        <f t="shared" si="7"/>
        <v>-3.0000000000001137</v>
      </c>
      <c r="P53" s="19">
        <f t="shared" si="8"/>
        <v>-3.0000000000001137</v>
      </c>
      <c r="Q53" s="19">
        <f t="shared" si="9"/>
        <v>0</v>
      </c>
      <c r="R53" s="19">
        <f t="shared" si="4"/>
        <v>-3.9999999999957936</v>
      </c>
      <c r="S53" s="27" t="str">
        <f t="shared" si="10"/>
        <v/>
      </c>
      <c r="T53" s="28" t="str">
        <f t="shared" si="10"/>
        <v/>
      </c>
      <c r="U53" s="28" t="str">
        <f t="shared" si="10"/>
        <v/>
      </c>
      <c r="V53" s="28">
        <f t="shared" si="10"/>
        <v>-1.9230769230775654E-2</v>
      </c>
      <c r="W53" s="28">
        <f t="shared" si="10"/>
        <v>0</v>
      </c>
      <c r="X53" s="29">
        <f t="shared" si="10"/>
        <v>0</v>
      </c>
      <c r="Y53" s="24"/>
    </row>
    <row r="54" spans="2:25" ht="15" customHeight="1" x14ac:dyDescent="0.2">
      <c r="B54" s="31">
        <v>42416</v>
      </c>
      <c r="C54" s="26">
        <v>12.432</v>
      </c>
      <c r="D54" s="26">
        <v>7.4630000000000001</v>
      </c>
      <c r="E54" s="26">
        <v>7.5419999999999998</v>
      </c>
      <c r="F54" s="16">
        <v>13.351000000000001</v>
      </c>
      <c r="G54" s="16">
        <v>10.074999999999999</v>
      </c>
      <c r="H54" s="16">
        <v>10.241</v>
      </c>
      <c r="I54" s="16">
        <v>102.511</v>
      </c>
      <c r="J54" s="58">
        <v>2519</v>
      </c>
      <c r="K54" s="18">
        <f t="shared" si="11"/>
        <v>1961</v>
      </c>
      <c r="L54" s="19"/>
      <c r="M54" s="19"/>
      <c r="N54" s="19"/>
      <c r="O54" s="19">
        <f t="shared" si="7"/>
        <v>-1.9999999999988916</v>
      </c>
      <c r="P54" s="19">
        <f t="shared" si="8"/>
        <v>-2.0000000000006679</v>
      </c>
      <c r="Q54" s="19">
        <f t="shared" si="9"/>
        <v>-1.0000000000012221</v>
      </c>
      <c r="R54" s="19">
        <f t="shared" si="4"/>
        <v>-3.0000000000052296</v>
      </c>
      <c r="S54" s="27"/>
      <c r="T54" s="28"/>
      <c r="U54" s="28"/>
      <c r="V54" s="28">
        <f t="shared" si="10"/>
        <v>1.1111111111124691E-2</v>
      </c>
      <c r="W54" s="28">
        <f t="shared" si="10"/>
        <v>1.1111111111104953E-2</v>
      </c>
      <c r="X54" s="29">
        <f t="shared" si="10"/>
        <v>-1.1111111111124691E-2</v>
      </c>
      <c r="Y54" s="24"/>
    </row>
    <row r="55" spans="2:25" ht="15" customHeight="1" x14ac:dyDescent="0.2">
      <c r="B55" s="31">
        <v>42530</v>
      </c>
      <c r="C55" s="26">
        <v>12.433</v>
      </c>
      <c r="D55" s="26">
        <v>7.4630000000000001</v>
      </c>
      <c r="E55" s="26">
        <v>7.5419999999999998</v>
      </c>
      <c r="F55" s="16">
        <v>13.352</v>
      </c>
      <c r="G55" s="16">
        <v>10.076000000000001</v>
      </c>
      <c r="H55" s="16">
        <v>10.24</v>
      </c>
      <c r="I55" s="16">
        <v>102.511</v>
      </c>
      <c r="J55" s="58">
        <v>2608</v>
      </c>
      <c r="K55" s="18">
        <f t="shared" ref="K55" si="12">IF(ISBLANK(J55),"",(J55-$J$8))</f>
        <v>2050</v>
      </c>
      <c r="L55" s="19">
        <f t="shared" si="2"/>
        <v>-0.99999999999944578</v>
      </c>
      <c r="M55" s="19">
        <f t="shared" si="2"/>
        <v>-3.0000000000001137</v>
      </c>
      <c r="N55" s="19">
        <f t="shared" si="2"/>
        <v>0</v>
      </c>
      <c r="O55" s="19">
        <f t="shared" si="7"/>
        <v>-0.99999999999944578</v>
      </c>
      <c r="P55" s="19">
        <f t="shared" si="8"/>
        <v>-0.99999999999944578</v>
      </c>
      <c r="Q55" s="19">
        <f t="shared" si="9"/>
        <v>-2.0000000000006679</v>
      </c>
      <c r="R55" s="19">
        <f t="shared" si="4"/>
        <v>-3.0000000000052296</v>
      </c>
      <c r="S55" s="27">
        <f t="shared" si="10"/>
        <v>8.7719298245565423E-3</v>
      </c>
      <c r="T55" s="28">
        <f t="shared" si="10"/>
        <v>0</v>
      </c>
      <c r="U55" s="28">
        <f t="shared" si="10"/>
        <v>0</v>
      </c>
      <c r="V55" s="28">
        <f t="shared" si="10"/>
        <v>8.7719298245565423E-3</v>
      </c>
      <c r="W55" s="28">
        <f t="shared" si="10"/>
        <v>8.7719298245721236E-3</v>
      </c>
      <c r="X55" s="29">
        <f t="shared" si="10"/>
        <v>-8.7719298245565423E-3</v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 t="str">
        <f t="shared" si="11"/>
        <v/>
      </c>
      <c r="L56" s="19" t="str">
        <f t="shared" si="2"/>
        <v/>
      </c>
      <c r="M56" s="19" t="str">
        <f t="shared" si="2"/>
        <v/>
      </c>
      <c r="N56" s="19" t="str">
        <f t="shared" si="2"/>
        <v/>
      </c>
      <c r="O56" s="19" t="str">
        <f t="shared" si="7"/>
        <v/>
      </c>
      <c r="P56" s="19" t="str">
        <f t="shared" si="8"/>
        <v/>
      </c>
      <c r="Q56" s="19" t="str">
        <f t="shared" si="9"/>
        <v/>
      </c>
      <c r="R56" s="19" t="str">
        <f t="shared" si="4"/>
        <v/>
      </c>
      <c r="S56" s="27" t="str">
        <f t="shared" si="10"/>
        <v/>
      </c>
      <c r="T56" s="28" t="str">
        <f t="shared" si="10"/>
        <v/>
      </c>
      <c r="U56" s="28" t="str">
        <f t="shared" si="10"/>
        <v/>
      </c>
      <c r="V56" s="28" t="str">
        <f t="shared" si="10"/>
        <v/>
      </c>
      <c r="W56" s="28" t="str">
        <f t="shared" si="10"/>
        <v/>
      </c>
      <c r="X56" s="29" t="str">
        <f t="shared" si="10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 t="str">
        <f t="shared" si="11"/>
        <v/>
      </c>
      <c r="L57" s="19" t="str">
        <f t="shared" si="2"/>
        <v/>
      </c>
      <c r="M57" s="19" t="str">
        <f t="shared" si="2"/>
        <v/>
      </c>
      <c r="N57" s="19" t="str">
        <f t="shared" si="2"/>
        <v/>
      </c>
      <c r="O57" s="19" t="str">
        <f t="shared" si="7"/>
        <v/>
      </c>
      <c r="P57" s="19" t="str">
        <f t="shared" si="8"/>
        <v/>
      </c>
      <c r="Q57" s="19" t="str">
        <f t="shared" si="9"/>
        <v/>
      </c>
      <c r="R57" s="19" t="str">
        <f t="shared" si="4"/>
        <v/>
      </c>
      <c r="S57" s="27" t="str">
        <f t="shared" si="10"/>
        <v/>
      </c>
      <c r="T57" s="28" t="str">
        <f t="shared" si="10"/>
        <v/>
      </c>
      <c r="U57" s="28" t="str">
        <f t="shared" si="10"/>
        <v/>
      </c>
      <c r="V57" s="28" t="str">
        <f t="shared" si="10"/>
        <v/>
      </c>
      <c r="W57" s="28" t="str">
        <f t="shared" si="10"/>
        <v/>
      </c>
      <c r="X57" s="29" t="str">
        <f t="shared" si="10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 t="str">
        <f t="shared" si="11"/>
        <v/>
      </c>
      <c r="L58" s="19" t="str">
        <f t="shared" si="2"/>
        <v/>
      </c>
      <c r="M58" s="19" t="str">
        <f t="shared" si="2"/>
        <v/>
      </c>
      <c r="N58" s="19" t="str">
        <f t="shared" si="2"/>
        <v/>
      </c>
      <c r="O58" s="19" t="str">
        <f t="shared" si="7"/>
        <v/>
      </c>
      <c r="P58" s="19" t="str">
        <f t="shared" si="8"/>
        <v/>
      </c>
      <c r="Q58" s="19" t="str">
        <f t="shared" si="9"/>
        <v/>
      </c>
      <c r="R58" s="19" t="str">
        <f t="shared" si="4"/>
        <v/>
      </c>
      <c r="S58" s="27" t="str">
        <f t="shared" si="10"/>
        <v/>
      </c>
      <c r="T58" s="28" t="str">
        <f t="shared" si="10"/>
        <v/>
      </c>
      <c r="U58" s="28" t="str">
        <f t="shared" si="10"/>
        <v/>
      </c>
      <c r="V58" s="28" t="str">
        <f t="shared" si="10"/>
        <v/>
      </c>
      <c r="W58" s="28" t="str">
        <f t="shared" si="10"/>
        <v/>
      </c>
      <c r="X58" s="29" t="str">
        <f t="shared" si="10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 t="str">
        <f t="shared" si="11"/>
        <v/>
      </c>
      <c r="L59" s="19" t="str">
        <f t="shared" si="2"/>
        <v/>
      </c>
      <c r="M59" s="19" t="str">
        <f t="shared" si="2"/>
        <v/>
      </c>
      <c r="N59" s="19" t="str">
        <f t="shared" si="2"/>
        <v/>
      </c>
      <c r="O59" s="19" t="str">
        <f t="shared" si="7"/>
        <v/>
      </c>
      <c r="P59" s="19" t="str">
        <f t="shared" si="8"/>
        <v/>
      </c>
      <c r="Q59" s="19" t="str">
        <f t="shared" si="9"/>
        <v/>
      </c>
      <c r="R59" s="19" t="str">
        <f t="shared" si="4"/>
        <v/>
      </c>
      <c r="S59" s="27" t="str">
        <f t="shared" si="10"/>
        <v/>
      </c>
      <c r="T59" s="28" t="str">
        <f t="shared" si="10"/>
        <v/>
      </c>
      <c r="U59" s="28" t="str">
        <f t="shared" si="10"/>
        <v/>
      </c>
      <c r="V59" s="28" t="str">
        <f t="shared" si="10"/>
        <v/>
      </c>
      <c r="W59" s="28" t="str">
        <f t="shared" si="10"/>
        <v/>
      </c>
      <c r="X59" s="29" t="str">
        <f t="shared" si="10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11"/>
        <v/>
      </c>
      <c r="L60" s="19" t="str">
        <f t="shared" si="2"/>
        <v/>
      </c>
      <c r="M60" s="19" t="str">
        <f t="shared" si="2"/>
        <v/>
      </c>
      <c r="N60" s="19" t="str">
        <f t="shared" si="2"/>
        <v/>
      </c>
      <c r="O60" s="19" t="str">
        <f t="shared" si="7"/>
        <v/>
      </c>
      <c r="P60" s="19" t="str">
        <f t="shared" si="8"/>
        <v/>
      </c>
      <c r="Q60" s="19" t="str">
        <f t="shared" si="9"/>
        <v/>
      </c>
      <c r="R60" s="19" t="str">
        <f t="shared" si="4"/>
        <v/>
      </c>
      <c r="S60" s="27" t="str">
        <f t="shared" si="10"/>
        <v/>
      </c>
      <c r="T60" s="28" t="str">
        <f t="shared" si="10"/>
        <v/>
      </c>
      <c r="U60" s="28" t="str">
        <f t="shared" si="10"/>
        <v/>
      </c>
      <c r="V60" s="28" t="str">
        <f t="shared" si="10"/>
        <v/>
      </c>
      <c r="W60" s="28" t="str">
        <f t="shared" si="10"/>
        <v/>
      </c>
      <c r="X60" s="29" t="str">
        <f t="shared" si="10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11"/>
        <v/>
      </c>
      <c r="L61" s="19" t="str">
        <f t="shared" si="2"/>
        <v/>
      </c>
      <c r="M61" s="19" t="str">
        <f t="shared" si="2"/>
        <v/>
      </c>
      <c r="N61" s="19" t="str">
        <f t="shared" si="2"/>
        <v/>
      </c>
      <c r="O61" s="19" t="str">
        <f t="shared" si="7"/>
        <v/>
      </c>
      <c r="P61" s="19" t="str">
        <f t="shared" si="8"/>
        <v/>
      </c>
      <c r="Q61" s="19" t="str">
        <f t="shared" si="9"/>
        <v/>
      </c>
      <c r="R61" s="19" t="str">
        <f t="shared" si="4"/>
        <v/>
      </c>
      <c r="S61" s="27" t="str">
        <f t="shared" si="10"/>
        <v/>
      </c>
      <c r="T61" s="28" t="str">
        <f t="shared" si="10"/>
        <v/>
      </c>
      <c r="U61" s="28" t="str">
        <f t="shared" si="10"/>
        <v/>
      </c>
      <c r="V61" s="28" t="str">
        <f t="shared" si="10"/>
        <v/>
      </c>
      <c r="W61" s="28" t="str">
        <f t="shared" si="10"/>
        <v/>
      </c>
      <c r="X61" s="29" t="str">
        <f t="shared" si="10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11"/>
        <v/>
      </c>
      <c r="L62" s="19" t="str">
        <f t="shared" si="2"/>
        <v/>
      </c>
      <c r="M62" s="19" t="str">
        <f t="shared" si="2"/>
        <v/>
      </c>
      <c r="N62" s="19" t="str">
        <f t="shared" si="2"/>
        <v/>
      </c>
      <c r="O62" s="19" t="str">
        <f t="shared" si="7"/>
        <v/>
      </c>
      <c r="P62" s="19" t="str">
        <f t="shared" si="8"/>
        <v/>
      </c>
      <c r="Q62" s="19" t="str">
        <f t="shared" si="9"/>
        <v/>
      </c>
      <c r="R62" s="19" t="str">
        <f t="shared" si="4"/>
        <v/>
      </c>
      <c r="S62" s="27" t="str">
        <f t="shared" si="10"/>
        <v/>
      </c>
      <c r="T62" s="28" t="str">
        <f t="shared" si="10"/>
        <v/>
      </c>
      <c r="U62" s="28" t="str">
        <f t="shared" si="10"/>
        <v/>
      </c>
      <c r="V62" s="28" t="str">
        <f t="shared" si="10"/>
        <v/>
      </c>
      <c r="W62" s="28" t="str">
        <f t="shared" si="10"/>
        <v/>
      </c>
      <c r="X62" s="29" t="str">
        <f t="shared" si="10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11"/>
        <v/>
      </c>
      <c r="L63" s="19" t="str">
        <f t="shared" ref="L63:N117" si="13">IF(ISBLANK(C63),"",(C63-C$16)*1000)</f>
        <v/>
      </c>
      <c r="M63" s="19" t="str">
        <f t="shared" si="13"/>
        <v/>
      </c>
      <c r="N63" s="19" t="str">
        <f t="shared" si="13"/>
        <v/>
      </c>
      <c r="O63" s="19" t="str">
        <f t="shared" si="7"/>
        <v/>
      </c>
      <c r="P63" s="19" t="str">
        <f t="shared" si="8"/>
        <v/>
      </c>
      <c r="Q63" s="19" t="str">
        <f t="shared" si="9"/>
        <v/>
      </c>
      <c r="R63" s="19" t="str">
        <f t="shared" si="4"/>
        <v/>
      </c>
      <c r="S63" s="27" t="str">
        <f t="shared" si="10"/>
        <v/>
      </c>
      <c r="T63" s="28" t="str">
        <f t="shared" si="10"/>
        <v/>
      </c>
      <c r="U63" s="28" t="str">
        <f t="shared" si="10"/>
        <v/>
      </c>
      <c r="V63" s="28" t="str">
        <f t="shared" si="10"/>
        <v/>
      </c>
      <c r="W63" s="28" t="str">
        <f t="shared" si="10"/>
        <v/>
      </c>
      <c r="X63" s="29" t="str">
        <f t="shared" si="10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11"/>
        <v/>
      </c>
      <c r="L64" s="19" t="str">
        <f t="shared" si="13"/>
        <v/>
      </c>
      <c r="M64" s="19" t="str">
        <f t="shared" si="13"/>
        <v/>
      </c>
      <c r="N64" s="19" t="str">
        <f t="shared" si="13"/>
        <v/>
      </c>
      <c r="O64" s="19" t="str">
        <f t="shared" si="7"/>
        <v/>
      </c>
      <c r="P64" s="19" t="str">
        <f t="shared" si="8"/>
        <v/>
      </c>
      <c r="Q64" s="19" t="str">
        <f t="shared" si="9"/>
        <v/>
      </c>
      <c r="R64" s="19" t="str">
        <f t="shared" si="4"/>
        <v/>
      </c>
      <c r="S64" s="27" t="str">
        <f t="shared" si="10"/>
        <v/>
      </c>
      <c r="T64" s="28" t="str">
        <f t="shared" si="10"/>
        <v/>
      </c>
      <c r="U64" s="28" t="str">
        <f t="shared" si="10"/>
        <v/>
      </c>
      <c r="V64" s="28" t="str">
        <f t="shared" si="10"/>
        <v/>
      </c>
      <c r="W64" s="28" t="str">
        <f t="shared" si="10"/>
        <v/>
      </c>
      <c r="X64" s="29" t="str">
        <f t="shared" si="10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1"/>
        <v/>
      </c>
      <c r="L65" s="19" t="str">
        <f t="shared" si="13"/>
        <v/>
      </c>
      <c r="M65" s="19" t="str">
        <f t="shared" si="13"/>
        <v/>
      </c>
      <c r="N65" s="19" t="str">
        <f t="shared" si="13"/>
        <v/>
      </c>
      <c r="O65" s="19" t="str">
        <f t="shared" si="7"/>
        <v/>
      </c>
      <c r="P65" s="19" t="str">
        <f t="shared" si="8"/>
        <v/>
      </c>
      <c r="Q65" s="19" t="str">
        <f t="shared" si="9"/>
        <v/>
      </c>
      <c r="R65" s="19" t="str">
        <f t="shared" si="4"/>
        <v/>
      </c>
      <c r="S65" s="27" t="str">
        <f t="shared" ref="S65:X80" si="14">IF(C65="","",((C65-C64)*1000)/($B65-$B64))</f>
        <v/>
      </c>
      <c r="T65" s="28" t="str">
        <f t="shared" si="14"/>
        <v/>
      </c>
      <c r="U65" s="28" t="str">
        <f t="shared" si="14"/>
        <v/>
      </c>
      <c r="V65" s="28" t="str">
        <f t="shared" si="14"/>
        <v/>
      </c>
      <c r="W65" s="28" t="str">
        <f t="shared" si="14"/>
        <v/>
      </c>
      <c r="X65" s="29" t="str">
        <f t="shared" si="14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1"/>
        <v/>
      </c>
      <c r="L66" s="19" t="str">
        <f t="shared" si="13"/>
        <v/>
      </c>
      <c r="M66" s="19" t="str">
        <f t="shared" si="13"/>
        <v/>
      </c>
      <c r="N66" s="19" t="str">
        <f t="shared" si="13"/>
        <v/>
      </c>
      <c r="O66" s="19" t="str">
        <f t="shared" si="7"/>
        <v/>
      </c>
      <c r="P66" s="19" t="str">
        <f t="shared" si="8"/>
        <v/>
      </c>
      <c r="Q66" s="19" t="str">
        <f t="shared" si="9"/>
        <v/>
      </c>
      <c r="R66" s="19" t="str">
        <f t="shared" si="4"/>
        <v/>
      </c>
      <c r="S66" s="27" t="str">
        <f t="shared" si="14"/>
        <v/>
      </c>
      <c r="T66" s="28" t="str">
        <f t="shared" si="14"/>
        <v/>
      </c>
      <c r="U66" s="28" t="str">
        <f t="shared" si="14"/>
        <v/>
      </c>
      <c r="V66" s="28" t="str">
        <f t="shared" si="14"/>
        <v/>
      </c>
      <c r="W66" s="28" t="str">
        <f t="shared" si="14"/>
        <v/>
      </c>
      <c r="X66" s="29" t="str">
        <f t="shared" si="14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1"/>
        <v/>
      </c>
      <c r="L67" s="19" t="str">
        <f t="shared" si="13"/>
        <v/>
      </c>
      <c r="M67" s="19" t="str">
        <f t="shared" si="13"/>
        <v/>
      </c>
      <c r="N67" s="19" t="str">
        <f t="shared" si="13"/>
        <v/>
      </c>
      <c r="O67" s="19" t="str">
        <f t="shared" si="7"/>
        <v/>
      </c>
      <c r="P67" s="19" t="str">
        <f t="shared" si="8"/>
        <v/>
      </c>
      <c r="Q67" s="19" t="str">
        <f t="shared" si="9"/>
        <v/>
      </c>
      <c r="R67" s="19" t="str">
        <f t="shared" si="4"/>
        <v/>
      </c>
      <c r="S67" s="27" t="str">
        <f t="shared" si="14"/>
        <v/>
      </c>
      <c r="T67" s="28" t="str">
        <f t="shared" si="14"/>
        <v/>
      </c>
      <c r="U67" s="28" t="str">
        <f t="shared" si="14"/>
        <v/>
      </c>
      <c r="V67" s="28" t="str">
        <f t="shared" si="14"/>
        <v/>
      </c>
      <c r="W67" s="28" t="str">
        <f t="shared" si="14"/>
        <v/>
      </c>
      <c r="X67" s="29" t="str">
        <f t="shared" si="14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1"/>
        <v/>
      </c>
      <c r="L68" s="19" t="str">
        <f t="shared" si="13"/>
        <v/>
      </c>
      <c r="M68" s="19" t="str">
        <f t="shared" si="13"/>
        <v/>
      </c>
      <c r="N68" s="19" t="str">
        <f t="shared" si="13"/>
        <v/>
      </c>
      <c r="O68" s="19" t="str">
        <f t="shared" si="7"/>
        <v/>
      </c>
      <c r="P68" s="19" t="str">
        <f t="shared" si="8"/>
        <v/>
      </c>
      <c r="Q68" s="19" t="str">
        <f t="shared" si="9"/>
        <v/>
      </c>
      <c r="R68" s="19" t="str">
        <f t="shared" si="4"/>
        <v/>
      </c>
      <c r="S68" s="27" t="str">
        <f t="shared" si="14"/>
        <v/>
      </c>
      <c r="T68" s="28" t="str">
        <f t="shared" si="14"/>
        <v/>
      </c>
      <c r="U68" s="28" t="str">
        <f t="shared" si="14"/>
        <v/>
      </c>
      <c r="V68" s="28" t="str">
        <f t="shared" si="14"/>
        <v/>
      </c>
      <c r="W68" s="28" t="str">
        <f t="shared" si="14"/>
        <v/>
      </c>
      <c r="X68" s="29" t="str">
        <f t="shared" si="14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1"/>
        <v/>
      </c>
      <c r="L69" s="19" t="str">
        <f t="shared" si="13"/>
        <v/>
      </c>
      <c r="M69" s="19" t="str">
        <f t="shared" si="13"/>
        <v/>
      </c>
      <c r="N69" s="19" t="str">
        <f t="shared" si="13"/>
        <v/>
      </c>
      <c r="O69" s="19" t="str">
        <f t="shared" si="7"/>
        <v/>
      </c>
      <c r="P69" s="19" t="str">
        <f t="shared" si="8"/>
        <v/>
      </c>
      <c r="Q69" s="19" t="str">
        <f t="shared" si="9"/>
        <v/>
      </c>
      <c r="R69" s="19" t="str">
        <f t="shared" si="4"/>
        <v/>
      </c>
      <c r="S69" s="27" t="str">
        <f t="shared" si="14"/>
        <v/>
      </c>
      <c r="T69" s="28" t="str">
        <f t="shared" si="14"/>
        <v/>
      </c>
      <c r="U69" s="28" t="str">
        <f t="shared" si="14"/>
        <v/>
      </c>
      <c r="V69" s="28" t="str">
        <f t="shared" si="14"/>
        <v/>
      </c>
      <c r="W69" s="28" t="str">
        <f t="shared" si="14"/>
        <v/>
      </c>
      <c r="X69" s="29" t="str">
        <f t="shared" si="14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1"/>
        <v/>
      </c>
      <c r="L70" s="19" t="str">
        <f t="shared" si="13"/>
        <v/>
      </c>
      <c r="M70" s="19" t="str">
        <f t="shared" si="13"/>
        <v/>
      </c>
      <c r="N70" s="19" t="str">
        <f t="shared" si="13"/>
        <v/>
      </c>
      <c r="O70" s="19" t="str">
        <f t="shared" si="7"/>
        <v/>
      </c>
      <c r="P70" s="19" t="str">
        <f t="shared" si="8"/>
        <v/>
      </c>
      <c r="Q70" s="19" t="str">
        <f t="shared" si="9"/>
        <v/>
      </c>
      <c r="R70" s="19" t="str">
        <f t="shared" si="4"/>
        <v/>
      </c>
      <c r="S70" s="27" t="str">
        <f t="shared" si="14"/>
        <v/>
      </c>
      <c r="T70" s="28" t="str">
        <f t="shared" si="14"/>
        <v/>
      </c>
      <c r="U70" s="28" t="str">
        <f t="shared" si="14"/>
        <v/>
      </c>
      <c r="V70" s="28" t="str">
        <f t="shared" si="14"/>
        <v/>
      </c>
      <c r="W70" s="28" t="str">
        <f t="shared" si="14"/>
        <v/>
      </c>
      <c r="X70" s="29" t="str">
        <f t="shared" si="14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1"/>
        <v/>
      </c>
      <c r="L71" s="19" t="str">
        <f t="shared" si="13"/>
        <v/>
      </c>
      <c r="M71" s="19" t="str">
        <f t="shared" si="13"/>
        <v/>
      </c>
      <c r="N71" s="19" t="str">
        <f t="shared" si="13"/>
        <v/>
      </c>
      <c r="O71" s="19" t="str">
        <f t="shared" si="7"/>
        <v/>
      </c>
      <c r="P71" s="19" t="str">
        <f t="shared" si="8"/>
        <v/>
      </c>
      <c r="Q71" s="19" t="str">
        <f t="shared" si="9"/>
        <v/>
      </c>
      <c r="R71" s="19" t="str">
        <f t="shared" si="4"/>
        <v/>
      </c>
      <c r="S71" s="27" t="str">
        <f t="shared" si="14"/>
        <v/>
      </c>
      <c r="T71" s="28" t="str">
        <f t="shared" si="14"/>
        <v/>
      </c>
      <c r="U71" s="28" t="str">
        <f t="shared" si="14"/>
        <v/>
      </c>
      <c r="V71" s="28" t="str">
        <f t="shared" si="14"/>
        <v/>
      </c>
      <c r="W71" s="28" t="str">
        <f t="shared" si="14"/>
        <v/>
      </c>
      <c r="X71" s="29" t="str">
        <f t="shared" si="14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1"/>
        <v/>
      </c>
      <c r="L72" s="19" t="str">
        <f t="shared" si="13"/>
        <v/>
      </c>
      <c r="M72" s="19" t="str">
        <f t="shared" si="13"/>
        <v/>
      </c>
      <c r="N72" s="19" t="str">
        <f t="shared" si="13"/>
        <v/>
      </c>
      <c r="O72" s="19" t="str">
        <f t="shared" si="7"/>
        <v/>
      </c>
      <c r="P72" s="19" t="str">
        <f t="shared" si="8"/>
        <v/>
      </c>
      <c r="Q72" s="19" t="str">
        <f t="shared" si="9"/>
        <v/>
      </c>
      <c r="R72" s="19" t="str">
        <f t="shared" si="4"/>
        <v/>
      </c>
      <c r="S72" s="27" t="str">
        <f t="shared" si="14"/>
        <v/>
      </c>
      <c r="T72" s="28" t="str">
        <f t="shared" si="14"/>
        <v/>
      </c>
      <c r="U72" s="28" t="str">
        <f t="shared" si="14"/>
        <v/>
      </c>
      <c r="V72" s="28" t="str">
        <f t="shared" si="14"/>
        <v/>
      </c>
      <c r="W72" s="28" t="str">
        <f t="shared" si="14"/>
        <v/>
      </c>
      <c r="X72" s="29" t="str">
        <f t="shared" si="14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1"/>
        <v/>
      </c>
      <c r="L73" s="19" t="str">
        <f t="shared" si="13"/>
        <v/>
      </c>
      <c r="M73" s="19" t="str">
        <f t="shared" si="13"/>
        <v/>
      </c>
      <c r="N73" s="19" t="str">
        <f t="shared" si="13"/>
        <v/>
      </c>
      <c r="O73" s="19" t="str">
        <f t="shared" si="7"/>
        <v/>
      </c>
      <c r="P73" s="19" t="str">
        <f t="shared" si="8"/>
        <v/>
      </c>
      <c r="Q73" s="19" t="str">
        <f t="shared" si="9"/>
        <v/>
      </c>
      <c r="R73" s="19" t="str">
        <f t="shared" si="4"/>
        <v/>
      </c>
      <c r="S73" s="27" t="str">
        <f t="shared" si="14"/>
        <v/>
      </c>
      <c r="T73" s="28" t="str">
        <f t="shared" si="14"/>
        <v/>
      </c>
      <c r="U73" s="28" t="str">
        <f t="shared" si="14"/>
        <v/>
      </c>
      <c r="V73" s="28" t="str">
        <f t="shared" si="14"/>
        <v/>
      </c>
      <c r="W73" s="28" t="str">
        <f t="shared" si="14"/>
        <v/>
      </c>
      <c r="X73" s="29" t="str">
        <f t="shared" si="14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1"/>
        <v/>
      </c>
      <c r="L74" s="19" t="str">
        <f t="shared" si="13"/>
        <v/>
      </c>
      <c r="M74" s="19" t="str">
        <f t="shared" si="13"/>
        <v/>
      </c>
      <c r="N74" s="19" t="str">
        <f t="shared" si="13"/>
        <v/>
      </c>
      <c r="O74" s="19" t="str">
        <f t="shared" si="7"/>
        <v/>
      </c>
      <c r="P74" s="19" t="str">
        <f t="shared" si="8"/>
        <v/>
      </c>
      <c r="Q74" s="19" t="str">
        <f t="shared" si="9"/>
        <v/>
      </c>
      <c r="R74" s="19" t="str">
        <f t="shared" si="4"/>
        <v/>
      </c>
      <c r="S74" s="27" t="str">
        <f t="shared" si="14"/>
        <v/>
      </c>
      <c r="T74" s="28" t="str">
        <f t="shared" si="14"/>
        <v/>
      </c>
      <c r="U74" s="28" t="str">
        <f t="shared" si="14"/>
        <v/>
      </c>
      <c r="V74" s="28" t="str">
        <f t="shared" si="14"/>
        <v/>
      </c>
      <c r="W74" s="28" t="str">
        <f t="shared" si="14"/>
        <v/>
      </c>
      <c r="X74" s="29" t="str">
        <f t="shared" si="14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1"/>
        <v/>
      </c>
      <c r="L75" s="19" t="str">
        <f t="shared" si="13"/>
        <v/>
      </c>
      <c r="M75" s="19" t="str">
        <f t="shared" si="13"/>
        <v/>
      </c>
      <c r="N75" s="19" t="str">
        <f t="shared" si="13"/>
        <v/>
      </c>
      <c r="O75" s="19" t="str">
        <f t="shared" si="7"/>
        <v/>
      </c>
      <c r="P75" s="19" t="str">
        <f t="shared" si="8"/>
        <v/>
      </c>
      <c r="Q75" s="19" t="str">
        <f t="shared" si="9"/>
        <v/>
      </c>
      <c r="R75" s="19" t="str">
        <f t="shared" si="4"/>
        <v/>
      </c>
      <c r="S75" s="27" t="str">
        <f t="shared" si="14"/>
        <v/>
      </c>
      <c r="T75" s="28" t="str">
        <f t="shared" si="14"/>
        <v/>
      </c>
      <c r="U75" s="28" t="str">
        <f t="shared" si="14"/>
        <v/>
      </c>
      <c r="V75" s="28" t="str">
        <f t="shared" si="14"/>
        <v/>
      </c>
      <c r="W75" s="28" t="str">
        <f t="shared" si="14"/>
        <v/>
      </c>
      <c r="X75" s="29" t="str">
        <f t="shared" si="14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1"/>
        <v/>
      </c>
      <c r="L76" s="19" t="str">
        <f t="shared" si="13"/>
        <v/>
      </c>
      <c r="M76" s="19" t="str">
        <f t="shared" si="13"/>
        <v/>
      </c>
      <c r="N76" s="19" t="str">
        <f t="shared" si="13"/>
        <v/>
      </c>
      <c r="O76" s="19" t="str">
        <f t="shared" si="7"/>
        <v/>
      </c>
      <c r="P76" s="19" t="str">
        <f t="shared" si="8"/>
        <v/>
      </c>
      <c r="Q76" s="19" t="str">
        <f t="shared" si="9"/>
        <v/>
      </c>
      <c r="R76" s="19" t="str">
        <f t="shared" si="4"/>
        <v/>
      </c>
      <c r="S76" s="27" t="str">
        <f t="shared" si="14"/>
        <v/>
      </c>
      <c r="T76" s="28" t="str">
        <f t="shared" si="14"/>
        <v/>
      </c>
      <c r="U76" s="28" t="str">
        <f t="shared" si="14"/>
        <v/>
      </c>
      <c r="V76" s="28" t="str">
        <f t="shared" si="14"/>
        <v/>
      </c>
      <c r="W76" s="28" t="str">
        <f t="shared" si="14"/>
        <v/>
      </c>
      <c r="X76" s="29" t="str">
        <f t="shared" si="14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1"/>
        <v/>
      </c>
      <c r="L77" s="19" t="str">
        <f t="shared" si="13"/>
        <v/>
      </c>
      <c r="M77" s="19" t="str">
        <f t="shared" si="13"/>
        <v/>
      </c>
      <c r="N77" s="19" t="str">
        <f t="shared" si="13"/>
        <v/>
      </c>
      <c r="O77" s="19" t="str">
        <f t="shared" si="7"/>
        <v/>
      </c>
      <c r="P77" s="19" t="str">
        <f t="shared" si="8"/>
        <v/>
      </c>
      <c r="Q77" s="19" t="str">
        <f t="shared" si="9"/>
        <v/>
      </c>
      <c r="R77" s="19" t="str">
        <f t="shared" si="4"/>
        <v/>
      </c>
      <c r="S77" s="27" t="str">
        <f t="shared" si="14"/>
        <v/>
      </c>
      <c r="T77" s="28" t="str">
        <f t="shared" si="14"/>
        <v/>
      </c>
      <c r="U77" s="28" t="str">
        <f t="shared" si="14"/>
        <v/>
      </c>
      <c r="V77" s="28" t="str">
        <f t="shared" si="14"/>
        <v/>
      </c>
      <c r="W77" s="28" t="str">
        <f t="shared" si="14"/>
        <v/>
      </c>
      <c r="X77" s="29" t="str">
        <f t="shared" si="14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1"/>
        <v/>
      </c>
      <c r="L78" s="19" t="str">
        <f t="shared" si="13"/>
        <v/>
      </c>
      <c r="M78" s="19" t="str">
        <f t="shared" si="13"/>
        <v/>
      </c>
      <c r="N78" s="19" t="str">
        <f t="shared" si="13"/>
        <v/>
      </c>
      <c r="O78" s="19" t="str">
        <f t="shared" si="7"/>
        <v/>
      </c>
      <c r="P78" s="19" t="str">
        <f t="shared" si="8"/>
        <v/>
      </c>
      <c r="Q78" s="19" t="str">
        <f t="shared" si="9"/>
        <v/>
      </c>
      <c r="R78" s="19" t="str">
        <f t="shared" si="4"/>
        <v/>
      </c>
      <c r="S78" s="27" t="str">
        <f t="shared" si="14"/>
        <v/>
      </c>
      <c r="T78" s="28" t="str">
        <f t="shared" si="14"/>
        <v/>
      </c>
      <c r="U78" s="28" t="str">
        <f t="shared" si="14"/>
        <v/>
      </c>
      <c r="V78" s="28" t="str">
        <f t="shared" si="14"/>
        <v/>
      </c>
      <c r="W78" s="28" t="str">
        <f t="shared" si="14"/>
        <v/>
      </c>
      <c r="X78" s="29" t="str">
        <f t="shared" si="14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1"/>
        <v/>
      </c>
      <c r="L79" s="19" t="str">
        <f t="shared" si="13"/>
        <v/>
      </c>
      <c r="M79" s="19" t="str">
        <f t="shared" si="13"/>
        <v/>
      </c>
      <c r="N79" s="19" t="str">
        <f t="shared" si="13"/>
        <v/>
      </c>
      <c r="O79" s="19" t="str">
        <f t="shared" si="7"/>
        <v/>
      </c>
      <c r="P79" s="19" t="str">
        <f t="shared" si="8"/>
        <v/>
      </c>
      <c r="Q79" s="19" t="str">
        <f t="shared" si="9"/>
        <v/>
      </c>
      <c r="R79" s="19" t="str">
        <f t="shared" si="4"/>
        <v/>
      </c>
      <c r="S79" s="27" t="str">
        <f t="shared" si="14"/>
        <v/>
      </c>
      <c r="T79" s="28" t="str">
        <f t="shared" si="14"/>
        <v/>
      </c>
      <c r="U79" s="28" t="str">
        <f t="shared" si="14"/>
        <v/>
      </c>
      <c r="V79" s="28" t="str">
        <f t="shared" si="14"/>
        <v/>
      </c>
      <c r="W79" s="28" t="str">
        <f t="shared" si="14"/>
        <v/>
      </c>
      <c r="X79" s="29" t="str">
        <f t="shared" si="14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1"/>
        <v/>
      </c>
      <c r="L80" s="19" t="str">
        <f t="shared" si="13"/>
        <v/>
      </c>
      <c r="M80" s="19" t="str">
        <f t="shared" si="13"/>
        <v/>
      </c>
      <c r="N80" s="19" t="str">
        <f t="shared" si="13"/>
        <v/>
      </c>
      <c r="O80" s="19" t="str">
        <f t="shared" si="7"/>
        <v/>
      </c>
      <c r="P80" s="19" t="str">
        <f t="shared" si="8"/>
        <v/>
      </c>
      <c r="Q80" s="19" t="str">
        <f t="shared" si="9"/>
        <v/>
      </c>
      <c r="R80" s="19" t="str">
        <f t="shared" si="4"/>
        <v/>
      </c>
      <c r="S80" s="27" t="str">
        <f t="shared" si="14"/>
        <v/>
      </c>
      <c r="T80" s="28" t="str">
        <f t="shared" si="14"/>
        <v/>
      </c>
      <c r="U80" s="28" t="str">
        <f t="shared" si="14"/>
        <v/>
      </c>
      <c r="V80" s="28" t="str">
        <f t="shared" si="14"/>
        <v/>
      </c>
      <c r="W80" s="28" t="str">
        <f t="shared" si="14"/>
        <v/>
      </c>
      <c r="X80" s="29" t="str">
        <f t="shared" si="14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1"/>
        <v/>
      </c>
      <c r="L81" s="19" t="str">
        <f t="shared" si="13"/>
        <v/>
      </c>
      <c r="M81" s="19" t="str">
        <f t="shared" si="13"/>
        <v/>
      </c>
      <c r="N81" s="19" t="str">
        <f t="shared" si="13"/>
        <v/>
      </c>
      <c r="O81" s="19" t="str">
        <f t="shared" si="7"/>
        <v/>
      </c>
      <c r="P81" s="19" t="str">
        <f t="shared" si="8"/>
        <v/>
      </c>
      <c r="Q81" s="19" t="str">
        <f t="shared" si="9"/>
        <v/>
      </c>
      <c r="R81" s="19" t="str">
        <f t="shared" si="4"/>
        <v/>
      </c>
      <c r="S81" s="27" t="str">
        <f t="shared" ref="S81:X96" si="15">IF(C81="","",((C81-C80)*1000)/($B81-$B80))</f>
        <v/>
      </c>
      <c r="T81" s="28" t="str">
        <f t="shared" si="15"/>
        <v/>
      </c>
      <c r="U81" s="28" t="str">
        <f t="shared" si="15"/>
        <v/>
      </c>
      <c r="V81" s="28" t="str">
        <f t="shared" si="15"/>
        <v/>
      </c>
      <c r="W81" s="28" t="str">
        <f t="shared" si="15"/>
        <v/>
      </c>
      <c r="X81" s="29" t="str">
        <f t="shared" si="15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11"/>
        <v/>
      </c>
      <c r="L82" s="19" t="str">
        <f t="shared" si="13"/>
        <v/>
      </c>
      <c r="M82" s="19" t="str">
        <f t="shared" si="13"/>
        <v/>
      </c>
      <c r="N82" s="19" t="str">
        <f t="shared" si="13"/>
        <v/>
      </c>
      <c r="O82" s="19" t="str">
        <f t="shared" si="7"/>
        <v/>
      </c>
      <c r="P82" s="19" t="str">
        <f t="shared" si="8"/>
        <v/>
      </c>
      <c r="Q82" s="19" t="str">
        <f t="shared" si="9"/>
        <v/>
      </c>
      <c r="R82" s="19" t="str">
        <f t="shared" si="4"/>
        <v/>
      </c>
      <c r="S82" s="27" t="str">
        <f t="shared" si="15"/>
        <v/>
      </c>
      <c r="T82" s="28" t="str">
        <f t="shared" si="15"/>
        <v/>
      </c>
      <c r="U82" s="28" t="str">
        <f t="shared" si="15"/>
        <v/>
      </c>
      <c r="V82" s="28" t="str">
        <f t="shared" si="15"/>
        <v/>
      </c>
      <c r="W82" s="28" t="str">
        <f t="shared" si="15"/>
        <v/>
      </c>
      <c r="X82" s="29" t="str">
        <f t="shared" si="15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11"/>
        <v/>
      </c>
      <c r="L83" s="19" t="str">
        <f t="shared" si="13"/>
        <v/>
      </c>
      <c r="M83" s="19" t="str">
        <f t="shared" si="13"/>
        <v/>
      </c>
      <c r="N83" s="19" t="str">
        <f t="shared" si="13"/>
        <v/>
      </c>
      <c r="O83" s="19" t="str">
        <f t="shared" si="7"/>
        <v/>
      </c>
      <c r="P83" s="19" t="str">
        <f t="shared" si="8"/>
        <v/>
      </c>
      <c r="Q83" s="19" t="str">
        <f t="shared" si="9"/>
        <v/>
      </c>
      <c r="R83" s="19" t="str">
        <f t="shared" si="4"/>
        <v/>
      </c>
      <c r="S83" s="27" t="str">
        <f t="shared" si="15"/>
        <v/>
      </c>
      <c r="T83" s="28" t="str">
        <f t="shared" si="15"/>
        <v/>
      </c>
      <c r="U83" s="28" t="str">
        <f t="shared" si="15"/>
        <v/>
      </c>
      <c r="V83" s="28" t="str">
        <f t="shared" si="15"/>
        <v/>
      </c>
      <c r="W83" s="28" t="str">
        <f t="shared" si="15"/>
        <v/>
      </c>
      <c r="X83" s="29" t="str">
        <f t="shared" si="15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11"/>
        <v/>
      </c>
      <c r="L84" s="19" t="str">
        <f t="shared" si="13"/>
        <v/>
      </c>
      <c r="M84" s="19" t="str">
        <f t="shared" si="13"/>
        <v/>
      </c>
      <c r="N84" s="19" t="str">
        <f t="shared" si="13"/>
        <v/>
      </c>
      <c r="O84" s="19" t="str">
        <f t="shared" si="7"/>
        <v/>
      </c>
      <c r="P84" s="19" t="str">
        <f t="shared" si="8"/>
        <v/>
      </c>
      <c r="Q84" s="19" t="str">
        <f t="shared" si="9"/>
        <v/>
      </c>
      <c r="R84" s="19" t="str">
        <f t="shared" si="4"/>
        <v/>
      </c>
      <c r="S84" s="27" t="str">
        <f t="shared" si="15"/>
        <v/>
      </c>
      <c r="T84" s="28" t="str">
        <f t="shared" si="15"/>
        <v/>
      </c>
      <c r="U84" s="28" t="str">
        <f t="shared" si="15"/>
        <v/>
      </c>
      <c r="V84" s="28" t="str">
        <f t="shared" si="15"/>
        <v/>
      </c>
      <c r="W84" s="28" t="str">
        <f t="shared" si="15"/>
        <v/>
      </c>
      <c r="X84" s="29" t="str">
        <f t="shared" si="15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11"/>
        <v/>
      </c>
      <c r="L85" s="19" t="str">
        <f t="shared" si="13"/>
        <v/>
      </c>
      <c r="M85" s="19" t="str">
        <f t="shared" si="13"/>
        <v/>
      </c>
      <c r="N85" s="19" t="str">
        <f t="shared" si="13"/>
        <v/>
      </c>
      <c r="O85" s="19" t="str">
        <f t="shared" si="7"/>
        <v/>
      </c>
      <c r="P85" s="19" t="str">
        <f t="shared" si="8"/>
        <v/>
      </c>
      <c r="Q85" s="19" t="str">
        <f t="shared" si="9"/>
        <v/>
      </c>
      <c r="R85" s="19" t="str">
        <f t="shared" si="4"/>
        <v/>
      </c>
      <c r="S85" s="27" t="str">
        <f t="shared" si="15"/>
        <v/>
      </c>
      <c r="T85" s="28" t="str">
        <f t="shared" si="15"/>
        <v/>
      </c>
      <c r="U85" s="28" t="str">
        <f t="shared" si="15"/>
        <v/>
      </c>
      <c r="V85" s="28" t="str">
        <f t="shared" si="15"/>
        <v/>
      </c>
      <c r="W85" s="28" t="str">
        <f t="shared" si="15"/>
        <v/>
      </c>
      <c r="X85" s="29" t="str">
        <f t="shared" si="15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11"/>
        <v/>
      </c>
      <c r="L86" s="19" t="str">
        <f t="shared" si="13"/>
        <v/>
      </c>
      <c r="M86" s="19" t="str">
        <f t="shared" si="13"/>
        <v/>
      </c>
      <c r="N86" s="19" t="str">
        <f t="shared" si="13"/>
        <v/>
      </c>
      <c r="O86" s="19" t="str">
        <f t="shared" si="7"/>
        <v/>
      </c>
      <c r="P86" s="19" t="str">
        <f t="shared" si="8"/>
        <v/>
      </c>
      <c r="Q86" s="19" t="str">
        <f t="shared" si="9"/>
        <v/>
      </c>
      <c r="R86" s="19" t="str">
        <f t="shared" si="4"/>
        <v/>
      </c>
      <c r="S86" s="27" t="str">
        <f t="shared" si="15"/>
        <v/>
      </c>
      <c r="T86" s="28" t="str">
        <f t="shared" si="15"/>
        <v/>
      </c>
      <c r="U86" s="28" t="str">
        <f t="shared" si="15"/>
        <v/>
      </c>
      <c r="V86" s="28" t="str">
        <f t="shared" si="15"/>
        <v/>
      </c>
      <c r="W86" s="28" t="str">
        <f t="shared" si="15"/>
        <v/>
      </c>
      <c r="X86" s="29" t="str">
        <f t="shared" si="15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ref="K87:K150" si="16">IF(ISBLANK(J87),"",(J87-$J$8))</f>
        <v/>
      </c>
      <c r="L87" s="19" t="str">
        <f t="shared" si="13"/>
        <v/>
      </c>
      <c r="M87" s="19" t="str">
        <f t="shared" si="13"/>
        <v/>
      </c>
      <c r="N87" s="19" t="str">
        <f t="shared" si="13"/>
        <v/>
      </c>
      <c r="O87" s="19" t="str">
        <f t="shared" si="7"/>
        <v/>
      </c>
      <c r="P87" s="19" t="str">
        <f t="shared" si="8"/>
        <v/>
      </c>
      <c r="Q87" s="19" t="str">
        <f t="shared" si="9"/>
        <v/>
      </c>
      <c r="R87" s="19" t="str">
        <f t="shared" si="4"/>
        <v/>
      </c>
      <c r="S87" s="27" t="str">
        <f t="shared" si="15"/>
        <v/>
      </c>
      <c r="T87" s="28" t="str">
        <f t="shared" si="15"/>
        <v/>
      </c>
      <c r="U87" s="28" t="str">
        <f t="shared" si="15"/>
        <v/>
      </c>
      <c r="V87" s="28" t="str">
        <f t="shared" si="15"/>
        <v/>
      </c>
      <c r="W87" s="28" t="str">
        <f t="shared" si="15"/>
        <v/>
      </c>
      <c r="X87" s="29" t="str">
        <f t="shared" si="15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16"/>
        <v/>
      </c>
      <c r="L88" s="19" t="str">
        <f t="shared" si="13"/>
        <v/>
      </c>
      <c r="M88" s="19" t="str">
        <f t="shared" si="13"/>
        <v/>
      </c>
      <c r="N88" s="19" t="str">
        <f t="shared" si="13"/>
        <v/>
      </c>
      <c r="O88" s="19" t="str">
        <f t="shared" si="7"/>
        <v/>
      </c>
      <c r="P88" s="19" t="str">
        <f t="shared" si="8"/>
        <v/>
      </c>
      <c r="Q88" s="19" t="str">
        <f t="shared" si="9"/>
        <v/>
      </c>
      <c r="R88" s="19" t="str">
        <f t="shared" si="4"/>
        <v/>
      </c>
      <c r="S88" s="27" t="str">
        <f t="shared" si="15"/>
        <v/>
      </c>
      <c r="T88" s="28" t="str">
        <f t="shared" si="15"/>
        <v/>
      </c>
      <c r="U88" s="28" t="str">
        <f t="shared" si="15"/>
        <v/>
      </c>
      <c r="V88" s="28" t="str">
        <f t="shared" si="15"/>
        <v/>
      </c>
      <c r="W88" s="28" t="str">
        <f t="shared" si="15"/>
        <v/>
      </c>
      <c r="X88" s="29" t="str">
        <f t="shared" si="15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16"/>
        <v/>
      </c>
      <c r="L89" s="19" t="str">
        <f t="shared" si="13"/>
        <v/>
      </c>
      <c r="M89" s="19" t="str">
        <f t="shared" si="13"/>
        <v/>
      </c>
      <c r="N89" s="19" t="str">
        <f t="shared" si="13"/>
        <v/>
      </c>
      <c r="O89" s="19" t="str">
        <f t="shared" si="7"/>
        <v/>
      </c>
      <c r="P89" s="19" t="str">
        <f t="shared" si="8"/>
        <v/>
      </c>
      <c r="Q89" s="19" t="str">
        <f t="shared" si="9"/>
        <v/>
      </c>
      <c r="R89" s="19" t="str">
        <f t="shared" si="4"/>
        <v/>
      </c>
      <c r="S89" s="27" t="str">
        <f t="shared" si="15"/>
        <v/>
      </c>
      <c r="T89" s="28" t="str">
        <f t="shared" si="15"/>
        <v/>
      </c>
      <c r="U89" s="28" t="str">
        <f t="shared" si="15"/>
        <v/>
      </c>
      <c r="V89" s="28" t="str">
        <f t="shared" si="15"/>
        <v/>
      </c>
      <c r="W89" s="28" t="str">
        <f t="shared" si="15"/>
        <v/>
      </c>
      <c r="X89" s="29" t="str">
        <f t="shared" si="15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16"/>
        <v/>
      </c>
      <c r="L90" s="19" t="str">
        <f t="shared" si="13"/>
        <v/>
      </c>
      <c r="M90" s="19" t="str">
        <f t="shared" si="13"/>
        <v/>
      </c>
      <c r="N90" s="19" t="str">
        <f t="shared" si="13"/>
        <v/>
      </c>
      <c r="O90" s="19" t="str">
        <f t="shared" si="7"/>
        <v/>
      </c>
      <c r="P90" s="19" t="str">
        <f t="shared" si="8"/>
        <v/>
      </c>
      <c r="Q90" s="19" t="str">
        <f t="shared" si="9"/>
        <v/>
      </c>
      <c r="R90" s="19" t="str">
        <f t="shared" ref="R90:R153" si="17">IF(ISBLANK(I90),"",(I90-I$16)*1000+10)</f>
        <v/>
      </c>
      <c r="S90" s="27" t="str">
        <f t="shared" si="15"/>
        <v/>
      </c>
      <c r="T90" s="28" t="str">
        <f t="shared" si="15"/>
        <v/>
      </c>
      <c r="U90" s="28" t="str">
        <f t="shared" si="15"/>
        <v/>
      </c>
      <c r="V90" s="28" t="str">
        <f t="shared" si="15"/>
        <v/>
      </c>
      <c r="W90" s="28" t="str">
        <f t="shared" si="15"/>
        <v/>
      </c>
      <c r="X90" s="29" t="str">
        <f t="shared" si="15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16"/>
        <v/>
      </c>
      <c r="L91" s="19" t="str">
        <f t="shared" si="13"/>
        <v/>
      </c>
      <c r="M91" s="19" t="str">
        <f t="shared" si="13"/>
        <v/>
      </c>
      <c r="N91" s="19" t="str">
        <f t="shared" si="13"/>
        <v/>
      </c>
      <c r="O91" s="19" t="str">
        <f t="shared" si="7"/>
        <v/>
      </c>
      <c r="P91" s="19" t="str">
        <f t="shared" si="8"/>
        <v/>
      </c>
      <c r="Q91" s="19" t="str">
        <f t="shared" si="9"/>
        <v/>
      </c>
      <c r="R91" s="19" t="str">
        <f t="shared" si="17"/>
        <v/>
      </c>
      <c r="S91" s="27" t="str">
        <f t="shared" si="15"/>
        <v/>
      </c>
      <c r="T91" s="28" t="str">
        <f t="shared" si="15"/>
        <v/>
      </c>
      <c r="U91" s="28" t="str">
        <f t="shared" si="15"/>
        <v/>
      </c>
      <c r="V91" s="28" t="str">
        <f t="shared" si="15"/>
        <v/>
      </c>
      <c r="W91" s="28" t="str">
        <f t="shared" si="15"/>
        <v/>
      </c>
      <c r="X91" s="29" t="str">
        <f t="shared" si="15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16"/>
        <v/>
      </c>
      <c r="L92" s="19" t="str">
        <f t="shared" si="13"/>
        <v/>
      </c>
      <c r="M92" s="19" t="str">
        <f t="shared" si="13"/>
        <v/>
      </c>
      <c r="N92" s="19" t="str">
        <f t="shared" si="13"/>
        <v/>
      </c>
      <c r="O92" s="19" t="str">
        <f t="shared" si="7"/>
        <v/>
      </c>
      <c r="P92" s="19" t="str">
        <f t="shared" si="8"/>
        <v/>
      </c>
      <c r="Q92" s="19" t="str">
        <f t="shared" si="9"/>
        <v/>
      </c>
      <c r="R92" s="19" t="str">
        <f t="shared" si="17"/>
        <v/>
      </c>
      <c r="S92" s="27" t="str">
        <f t="shared" si="15"/>
        <v/>
      </c>
      <c r="T92" s="28" t="str">
        <f t="shared" si="15"/>
        <v/>
      </c>
      <c r="U92" s="28" t="str">
        <f t="shared" si="15"/>
        <v/>
      </c>
      <c r="V92" s="28" t="str">
        <f t="shared" si="15"/>
        <v/>
      </c>
      <c r="W92" s="28" t="str">
        <f t="shared" si="15"/>
        <v/>
      </c>
      <c r="X92" s="29" t="str">
        <f t="shared" si="15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16"/>
        <v/>
      </c>
      <c r="L93" s="19" t="str">
        <f t="shared" si="13"/>
        <v/>
      </c>
      <c r="M93" s="19" t="str">
        <f t="shared" si="13"/>
        <v/>
      </c>
      <c r="N93" s="19" t="str">
        <f t="shared" si="13"/>
        <v/>
      </c>
      <c r="O93" s="19" t="str">
        <f t="shared" si="7"/>
        <v/>
      </c>
      <c r="P93" s="19" t="str">
        <f t="shared" si="8"/>
        <v/>
      </c>
      <c r="Q93" s="19" t="str">
        <f t="shared" si="9"/>
        <v/>
      </c>
      <c r="R93" s="19" t="str">
        <f t="shared" si="17"/>
        <v/>
      </c>
      <c r="S93" s="27" t="str">
        <f t="shared" si="15"/>
        <v/>
      </c>
      <c r="T93" s="28" t="str">
        <f t="shared" si="15"/>
        <v/>
      </c>
      <c r="U93" s="28" t="str">
        <f t="shared" si="15"/>
        <v/>
      </c>
      <c r="V93" s="28" t="str">
        <f t="shared" si="15"/>
        <v/>
      </c>
      <c r="W93" s="28" t="str">
        <f t="shared" si="15"/>
        <v/>
      </c>
      <c r="X93" s="29" t="str">
        <f t="shared" si="15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16"/>
        <v/>
      </c>
      <c r="L94" s="19" t="str">
        <f t="shared" si="13"/>
        <v/>
      </c>
      <c r="M94" s="19" t="str">
        <f t="shared" si="13"/>
        <v/>
      </c>
      <c r="N94" s="19" t="str">
        <f t="shared" si="13"/>
        <v/>
      </c>
      <c r="O94" s="19" t="str">
        <f t="shared" si="7"/>
        <v/>
      </c>
      <c r="P94" s="19" t="str">
        <f t="shared" si="8"/>
        <v/>
      </c>
      <c r="Q94" s="19" t="str">
        <f t="shared" si="9"/>
        <v/>
      </c>
      <c r="R94" s="19" t="str">
        <f t="shared" si="17"/>
        <v/>
      </c>
      <c r="S94" s="27" t="str">
        <f t="shared" si="15"/>
        <v/>
      </c>
      <c r="T94" s="28" t="str">
        <f t="shared" si="15"/>
        <v/>
      </c>
      <c r="U94" s="28" t="str">
        <f t="shared" si="15"/>
        <v/>
      </c>
      <c r="V94" s="28" t="str">
        <f t="shared" si="15"/>
        <v/>
      </c>
      <c r="W94" s="28" t="str">
        <f t="shared" si="15"/>
        <v/>
      </c>
      <c r="X94" s="29" t="str">
        <f t="shared" si="15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16"/>
        <v/>
      </c>
      <c r="L95" s="19" t="str">
        <f t="shared" si="13"/>
        <v/>
      </c>
      <c r="M95" s="19" t="str">
        <f t="shared" si="13"/>
        <v/>
      </c>
      <c r="N95" s="19" t="str">
        <f t="shared" si="13"/>
        <v/>
      </c>
      <c r="O95" s="19" t="str">
        <f t="shared" si="7"/>
        <v/>
      </c>
      <c r="P95" s="19" t="str">
        <f t="shared" si="8"/>
        <v/>
      </c>
      <c r="Q95" s="19" t="str">
        <f t="shared" si="9"/>
        <v/>
      </c>
      <c r="R95" s="19" t="str">
        <f t="shared" si="17"/>
        <v/>
      </c>
      <c r="S95" s="27" t="str">
        <f t="shared" si="15"/>
        <v/>
      </c>
      <c r="T95" s="28" t="str">
        <f t="shared" si="15"/>
        <v/>
      </c>
      <c r="U95" s="28" t="str">
        <f t="shared" si="15"/>
        <v/>
      </c>
      <c r="V95" s="28" t="str">
        <f t="shared" si="15"/>
        <v/>
      </c>
      <c r="W95" s="28" t="str">
        <f t="shared" si="15"/>
        <v/>
      </c>
      <c r="X95" s="29" t="str">
        <f t="shared" si="15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16"/>
        <v/>
      </c>
      <c r="L96" s="19" t="str">
        <f t="shared" si="13"/>
        <v/>
      </c>
      <c r="M96" s="19" t="str">
        <f t="shared" si="13"/>
        <v/>
      </c>
      <c r="N96" s="19" t="str">
        <f t="shared" si="13"/>
        <v/>
      </c>
      <c r="O96" s="19" t="str">
        <f t="shared" si="7"/>
        <v/>
      </c>
      <c r="P96" s="19" t="str">
        <f t="shared" si="8"/>
        <v/>
      </c>
      <c r="Q96" s="19" t="str">
        <f t="shared" si="9"/>
        <v/>
      </c>
      <c r="R96" s="19" t="str">
        <f t="shared" si="17"/>
        <v/>
      </c>
      <c r="S96" s="27" t="str">
        <f t="shared" si="15"/>
        <v/>
      </c>
      <c r="T96" s="28" t="str">
        <f t="shared" si="15"/>
        <v/>
      </c>
      <c r="U96" s="28" t="str">
        <f t="shared" si="15"/>
        <v/>
      </c>
      <c r="V96" s="28" t="str">
        <f t="shared" si="15"/>
        <v/>
      </c>
      <c r="W96" s="28" t="str">
        <f t="shared" si="15"/>
        <v/>
      </c>
      <c r="X96" s="29" t="str">
        <f t="shared" si="15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16"/>
        <v/>
      </c>
      <c r="L97" s="19" t="str">
        <f t="shared" si="13"/>
        <v/>
      </c>
      <c r="M97" s="19" t="str">
        <f t="shared" si="13"/>
        <v/>
      </c>
      <c r="N97" s="19" t="str">
        <f t="shared" si="13"/>
        <v/>
      </c>
      <c r="O97" s="19" t="str">
        <f t="shared" si="7"/>
        <v/>
      </c>
      <c r="P97" s="19" t="str">
        <f t="shared" si="8"/>
        <v/>
      </c>
      <c r="Q97" s="19" t="str">
        <f t="shared" si="9"/>
        <v/>
      </c>
      <c r="R97" s="19" t="str">
        <f t="shared" si="17"/>
        <v/>
      </c>
      <c r="S97" s="27" t="str">
        <f t="shared" ref="S97:X112" si="18">IF(C97="","",((C97-C96)*1000)/($B97-$B96))</f>
        <v/>
      </c>
      <c r="T97" s="28" t="str">
        <f t="shared" si="18"/>
        <v/>
      </c>
      <c r="U97" s="28" t="str">
        <f t="shared" si="18"/>
        <v/>
      </c>
      <c r="V97" s="28" t="str">
        <f t="shared" si="18"/>
        <v/>
      </c>
      <c r="W97" s="28" t="str">
        <f t="shared" si="18"/>
        <v/>
      </c>
      <c r="X97" s="29" t="str">
        <f t="shared" si="18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6"/>
        <v/>
      </c>
      <c r="L98" s="19" t="str">
        <f t="shared" si="13"/>
        <v/>
      </c>
      <c r="M98" s="19" t="str">
        <f t="shared" si="13"/>
        <v/>
      </c>
      <c r="N98" s="19" t="str">
        <f t="shared" si="13"/>
        <v/>
      </c>
      <c r="O98" s="19" t="str">
        <f t="shared" si="7"/>
        <v/>
      </c>
      <c r="P98" s="19" t="str">
        <f t="shared" si="8"/>
        <v/>
      </c>
      <c r="Q98" s="19" t="str">
        <f t="shared" si="9"/>
        <v/>
      </c>
      <c r="R98" s="19" t="str">
        <f t="shared" si="17"/>
        <v/>
      </c>
      <c r="S98" s="27" t="str">
        <f t="shared" si="18"/>
        <v/>
      </c>
      <c r="T98" s="28" t="str">
        <f t="shared" si="18"/>
        <v/>
      </c>
      <c r="U98" s="28" t="str">
        <f t="shared" si="18"/>
        <v/>
      </c>
      <c r="V98" s="28" t="str">
        <f t="shared" si="18"/>
        <v/>
      </c>
      <c r="W98" s="28" t="str">
        <f t="shared" si="18"/>
        <v/>
      </c>
      <c r="X98" s="29" t="str">
        <f t="shared" si="18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6"/>
        <v/>
      </c>
      <c r="L99" s="19" t="str">
        <f t="shared" si="13"/>
        <v/>
      </c>
      <c r="M99" s="19" t="str">
        <f t="shared" si="13"/>
        <v/>
      </c>
      <c r="N99" s="19" t="str">
        <f t="shared" si="13"/>
        <v/>
      </c>
      <c r="O99" s="19" t="str">
        <f t="shared" si="7"/>
        <v/>
      </c>
      <c r="P99" s="19" t="str">
        <f t="shared" si="8"/>
        <v/>
      </c>
      <c r="Q99" s="19" t="str">
        <f t="shared" si="9"/>
        <v/>
      </c>
      <c r="R99" s="19" t="str">
        <f t="shared" si="17"/>
        <v/>
      </c>
      <c r="S99" s="27" t="str">
        <f t="shared" si="18"/>
        <v/>
      </c>
      <c r="T99" s="28" t="str">
        <f t="shared" si="18"/>
        <v/>
      </c>
      <c r="U99" s="28" t="str">
        <f t="shared" si="18"/>
        <v/>
      </c>
      <c r="V99" s="28" t="str">
        <f t="shared" si="18"/>
        <v/>
      </c>
      <c r="W99" s="28" t="str">
        <f t="shared" si="18"/>
        <v/>
      </c>
      <c r="X99" s="29" t="str">
        <f t="shared" si="18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16"/>
        <v/>
      </c>
      <c r="L100" s="19" t="str">
        <f t="shared" si="13"/>
        <v/>
      </c>
      <c r="M100" s="19" t="str">
        <f t="shared" si="13"/>
        <v/>
      </c>
      <c r="N100" s="19" t="str">
        <f t="shared" si="13"/>
        <v/>
      </c>
      <c r="O100" s="19" t="str">
        <f t="shared" si="7"/>
        <v/>
      </c>
      <c r="P100" s="19" t="str">
        <f t="shared" si="8"/>
        <v/>
      </c>
      <c r="Q100" s="19" t="str">
        <f t="shared" si="9"/>
        <v/>
      </c>
      <c r="R100" s="19" t="str">
        <f t="shared" si="17"/>
        <v/>
      </c>
      <c r="S100" s="27" t="str">
        <f t="shared" si="18"/>
        <v/>
      </c>
      <c r="T100" s="28" t="str">
        <f t="shared" si="18"/>
        <v/>
      </c>
      <c r="U100" s="28" t="str">
        <f t="shared" si="18"/>
        <v/>
      </c>
      <c r="V100" s="28" t="str">
        <f t="shared" si="18"/>
        <v/>
      </c>
      <c r="W100" s="28" t="str">
        <f t="shared" si="18"/>
        <v/>
      </c>
      <c r="X100" s="29" t="str">
        <f t="shared" si="18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16"/>
        <v/>
      </c>
      <c r="L101" s="19" t="str">
        <f t="shared" si="13"/>
        <v/>
      </c>
      <c r="M101" s="19" t="str">
        <f t="shared" si="13"/>
        <v/>
      </c>
      <c r="N101" s="19" t="str">
        <f t="shared" si="13"/>
        <v/>
      </c>
      <c r="O101" s="19" t="str">
        <f t="shared" si="7"/>
        <v/>
      </c>
      <c r="P101" s="19" t="str">
        <f t="shared" si="8"/>
        <v/>
      </c>
      <c r="Q101" s="19" t="str">
        <f t="shared" si="9"/>
        <v/>
      </c>
      <c r="R101" s="19" t="str">
        <f t="shared" si="17"/>
        <v/>
      </c>
      <c r="S101" s="27" t="str">
        <f t="shared" si="18"/>
        <v/>
      </c>
      <c r="T101" s="28" t="str">
        <f t="shared" si="18"/>
        <v/>
      </c>
      <c r="U101" s="28" t="str">
        <f t="shared" si="18"/>
        <v/>
      </c>
      <c r="V101" s="28" t="str">
        <f t="shared" si="18"/>
        <v/>
      </c>
      <c r="W101" s="28" t="str">
        <f t="shared" si="18"/>
        <v/>
      </c>
      <c r="X101" s="29" t="str">
        <f t="shared" si="18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16"/>
        <v/>
      </c>
      <c r="L102" s="19" t="str">
        <f t="shared" si="13"/>
        <v/>
      </c>
      <c r="M102" s="19" t="str">
        <f t="shared" si="13"/>
        <v/>
      </c>
      <c r="N102" s="19" t="str">
        <f t="shared" si="13"/>
        <v/>
      </c>
      <c r="O102" s="19" t="str">
        <f t="shared" si="7"/>
        <v/>
      </c>
      <c r="P102" s="19" t="str">
        <f t="shared" si="8"/>
        <v/>
      </c>
      <c r="Q102" s="19" t="str">
        <f t="shared" si="9"/>
        <v/>
      </c>
      <c r="R102" s="19" t="str">
        <f t="shared" si="17"/>
        <v/>
      </c>
      <c r="S102" s="27" t="str">
        <f t="shared" si="18"/>
        <v/>
      </c>
      <c r="T102" s="28" t="str">
        <f t="shared" si="18"/>
        <v/>
      </c>
      <c r="U102" s="28" t="str">
        <f t="shared" si="18"/>
        <v/>
      </c>
      <c r="V102" s="28" t="str">
        <f t="shared" si="18"/>
        <v/>
      </c>
      <c r="W102" s="28" t="str">
        <f t="shared" si="18"/>
        <v/>
      </c>
      <c r="X102" s="29" t="str">
        <f t="shared" si="18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16"/>
        <v/>
      </c>
      <c r="L103" s="19" t="str">
        <f t="shared" si="13"/>
        <v/>
      </c>
      <c r="M103" s="19" t="str">
        <f t="shared" si="13"/>
        <v/>
      </c>
      <c r="N103" s="19" t="str">
        <f t="shared" si="13"/>
        <v/>
      </c>
      <c r="O103" s="19" t="str">
        <f t="shared" si="7"/>
        <v/>
      </c>
      <c r="P103" s="19" t="str">
        <f t="shared" si="8"/>
        <v/>
      </c>
      <c r="Q103" s="19" t="str">
        <f t="shared" si="9"/>
        <v/>
      </c>
      <c r="R103" s="19" t="str">
        <f t="shared" si="17"/>
        <v/>
      </c>
      <c r="S103" s="27" t="str">
        <f t="shared" si="18"/>
        <v/>
      </c>
      <c r="T103" s="28" t="str">
        <f t="shared" si="18"/>
        <v/>
      </c>
      <c r="U103" s="28" t="str">
        <f t="shared" si="18"/>
        <v/>
      </c>
      <c r="V103" s="28" t="str">
        <f t="shared" si="18"/>
        <v/>
      </c>
      <c r="W103" s="28" t="str">
        <f t="shared" si="18"/>
        <v/>
      </c>
      <c r="X103" s="29" t="str">
        <f t="shared" si="18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16"/>
        <v/>
      </c>
      <c r="L104" s="19" t="str">
        <f t="shared" si="13"/>
        <v/>
      </c>
      <c r="M104" s="19" t="str">
        <f t="shared" si="13"/>
        <v/>
      </c>
      <c r="N104" s="19" t="str">
        <f t="shared" si="13"/>
        <v/>
      </c>
      <c r="O104" s="19" t="str">
        <f t="shared" si="7"/>
        <v/>
      </c>
      <c r="P104" s="19" t="str">
        <f t="shared" si="8"/>
        <v/>
      </c>
      <c r="Q104" s="19" t="str">
        <f t="shared" si="9"/>
        <v/>
      </c>
      <c r="R104" s="19" t="str">
        <f t="shared" si="17"/>
        <v/>
      </c>
      <c r="S104" s="27" t="str">
        <f t="shared" si="18"/>
        <v/>
      </c>
      <c r="T104" s="28" t="str">
        <f t="shared" si="18"/>
        <v/>
      </c>
      <c r="U104" s="28" t="str">
        <f t="shared" si="18"/>
        <v/>
      </c>
      <c r="V104" s="28" t="str">
        <f t="shared" si="18"/>
        <v/>
      </c>
      <c r="W104" s="28" t="str">
        <f t="shared" si="18"/>
        <v/>
      </c>
      <c r="X104" s="29" t="str">
        <f t="shared" si="18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16"/>
        <v/>
      </c>
      <c r="L105" s="19" t="str">
        <f t="shared" si="13"/>
        <v/>
      </c>
      <c r="M105" s="19" t="str">
        <f t="shared" si="13"/>
        <v/>
      </c>
      <c r="N105" s="19" t="str">
        <f t="shared" si="13"/>
        <v/>
      </c>
      <c r="O105" s="19" t="str">
        <f t="shared" si="7"/>
        <v/>
      </c>
      <c r="P105" s="19" t="str">
        <f t="shared" si="8"/>
        <v/>
      </c>
      <c r="Q105" s="19" t="str">
        <f t="shared" si="9"/>
        <v/>
      </c>
      <c r="R105" s="19" t="str">
        <f t="shared" si="17"/>
        <v/>
      </c>
      <c r="S105" s="27" t="str">
        <f t="shared" si="18"/>
        <v/>
      </c>
      <c r="T105" s="28" t="str">
        <f t="shared" si="18"/>
        <v/>
      </c>
      <c r="U105" s="28" t="str">
        <f t="shared" si="18"/>
        <v/>
      </c>
      <c r="V105" s="28" t="str">
        <f t="shared" si="18"/>
        <v/>
      </c>
      <c r="W105" s="28" t="str">
        <f t="shared" si="18"/>
        <v/>
      </c>
      <c r="X105" s="29" t="str">
        <f t="shared" si="18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16"/>
        <v/>
      </c>
      <c r="L106" s="19" t="str">
        <f t="shared" si="13"/>
        <v/>
      </c>
      <c r="M106" s="19" t="str">
        <f t="shared" si="13"/>
        <v/>
      </c>
      <c r="N106" s="19" t="str">
        <f t="shared" si="13"/>
        <v/>
      </c>
      <c r="O106" s="19" t="str">
        <f t="shared" ref="O106:O153" si="19">IF(ISBLANK(F106),"",((F106-F$41)*1000)+L$41)</f>
        <v/>
      </c>
      <c r="P106" s="19" t="str">
        <f t="shared" ref="P106:P153" si="20">IF(ISBLANK(G106),"",((G106-G$41)*1000)+M$41)</f>
        <v/>
      </c>
      <c r="Q106" s="19" t="str">
        <f t="shared" ref="Q106:Q153" si="21">IF(ISBLANK(H106),"",((H106-H$41)*1000)+N$41)</f>
        <v/>
      </c>
      <c r="R106" s="19" t="str">
        <f t="shared" si="17"/>
        <v/>
      </c>
      <c r="S106" s="27" t="str">
        <f t="shared" si="18"/>
        <v/>
      </c>
      <c r="T106" s="28" t="str">
        <f t="shared" si="18"/>
        <v/>
      </c>
      <c r="U106" s="28" t="str">
        <f t="shared" si="18"/>
        <v/>
      </c>
      <c r="V106" s="28" t="str">
        <f t="shared" si="18"/>
        <v/>
      </c>
      <c r="W106" s="28" t="str">
        <f t="shared" si="18"/>
        <v/>
      </c>
      <c r="X106" s="29" t="str">
        <f t="shared" si="18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16"/>
        <v/>
      </c>
      <c r="L107" s="19" t="str">
        <f t="shared" si="13"/>
        <v/>
      </c>
      <c r="M107" s="19" t="str">
        <f t="shared" si="13"/>
        <v/>
      </c>
      <c r="N107" s="19" t="str">
        <f t="shared" si="13"/>
        <v/>
      </c>
      <c r="O107" s="19" t="str">
        <f t="shared" si="19"/>
        <v/>
      </c>
      <c r="P107" s="19" t="str">
        <f t="shared" si="20"/>
        <v/>
      </c>
      <c r="Q107" s="19" t="str">
        <f t="shared" si="21"/>
        <v/>
      </c>
      <c r="R107" s="19" t="str">
        <f t="shared" si="17"/>
        <v/>
      </c>
      <c r="S107" s="27" t="str">
        <f t="shared" si="18"/>
        <v/>
      </c>
      <c r="T107" s="28" t="str">
        <f t="shared" si="18"/>
        <v/>
      </c>
      <c r="U107" s="28" t="str">
        <f t="shared" si="18"/>
        <v/>
      </c>
      <c r="V107" s="28" t="str">
        <f t="shared" si="18"/>
        <v/>
      </c>
      <c r="W107" s="28" t="str">
        <f t="shared" si="18"/>
        <v/>
      </c>
      <c r="X107" s="29" t="str">
        <f t="shared" si="18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16"/>
        <v/>
      </c>
      <c r="L108" s="19" t="str">
        <f t="shared" si="13"/>
        <v/>
      </c>
      <c r="M108" s="19" t="str">
        <f t="shared" si="13"/>
        <v/>
      </c>
      <c r="N108" s="19" t="str">
        <f t="shared" si="13"/>
        <v/>
      </c>
      <c r="O108" s="19" t="str">
        <f t="shared" si="19"/>
        <v/>
      </c>
      <c r="P108" s="19" t="str">
        <f t="shared" si="20"/>
        <v/>
      </c>
      <c r="Q108" s="19" t="str">
        <f t="shared" si="21"/>
        <v/>
      </c>
      <c r="R108" s="19" t="str">
        <f t="shared" si="17"/>
        <v/>
      </c>
      <c r="S108" s="27" t="str">
        <f t="shared" si="18"/>
        <v/>
      </c>
      <c r="T108" s="28" t="str">
        <f t="shared" si="18"/>
        <v/>
      </c>
      <c r="U108" s="28" t="str">
        <f t="shared" si="18"/>
        <v/>
      </c>
      <c r="V108" s="28" t="str">
        <f t="shared" si="18"/>
        <v/>
      </c>
      <c r="W108" s="28" t="str">
        <f t="shared" si="18"/>
        <v/>
      </c>
      <c r="X108" s="29" t="str">
        <f t="shared" si="18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16"/>
        <v/>
      </c>
      <c r="L109" s="19" t="str">
        <f t="shared" si="13"/>
        <v/>
      </c>
      <c r="M109" s="19" t="str">
        <f t="shared" si="13"/>
        <v/>
      </c>
      <c r="N109" s="19" t="str">
        <f t="shared" si="13"/>
        <v/>
      </c>
      <c r="O109" s="19" t="str">
        <f t="shared" si="19"/>
        <v/>
      </c>
      <c r="P109" s="19" t="str">
        <f t="shared" si="20"/>
        <v/>
      </c>
      <c r="Q109" s="19" t="str">
        <f t="shared" si="21"/>
        <v/>
      </c>
      <c r="R109" s="19" t="str">
        <f t="shared" si="17"/>
        <v/>
      </c>
      <c r="S109" s="27" t="str">
        <f t="shared" si="18"/>
        <v/>
      </c>
      <c r="T109" s="28" t="str">
        <f t="shared" si="18"/>
        <v/>
      </c>
      <c r="U109" s="28" t="str">
        <f t="shared" si="18"/>
        <v/>
      </c>
      <c r="V109" s="28" t="str">
        <f t="shared" si="18"/>
        <v/>
      </c>
      <c r="W109" s="28" t="str">
        <f t="shared" si="18"/>
        <v/>
      </c>
      <c r="X109" s="29" t="str">
        <f t="shared" si="18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16"/>
        <v/>
      </c>
      <c r="L110" s="19" t="str">
        <f t="shared" si="13"/>
        <v/>
      </c>
      <c r="M110" s="19" t="str">
        <f t="shared" si="13"/>
        <v/>
      </c>
      <c r="N110" s="19" t="str">
        <f t="shared" si="13"/>
        <v/>
      </c>
      <c r="O110" s="19" t="str">
        <f t="shared" si="19"/>
        <v/>
      </c>
      <c r="P110" s="19" t="str">
        <f t="shared" si="20"/>
        <v/>
      </c>
      <c r="Q110" s="19" t="str">
        <f t="shared" si="21"/>
        <v/>
      </c>
      <c r="R110" s="19" t="str">
        <f t="shared" si="17"/>
        <v/>
      </c>
      <c r="S110" s="27" t="str">
        <f t="shared" si="18"/>
        <v/>
      </c>
      <c r="T110" s="28" t="str">
        <f t="shared" si="18"/>
        <v/>
      </c>
      <c r="U110" s="28" t="str">
        <f t="shared" si="18"/>
        <v/>
      </c>
      <c r="V110" s="28" t="str">
        <f t="shared" si="18"/>
        <v/>
      </c>
      <c r="W110" s="28" t="str">
        <f t="shared" si="18"/>
        <v/>
      </c>
      <c r="X110" s="29" t="str">
        <f t="shared" si="18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16"/>
        <v/>
      </c>
      <c r="L111" s="19" t="str">
        <f t="shared" si="13"/>
        <v/>
      </c>
      <c r="M111" s="19" t="str">
        <f t="shared" si="13"/>
        <v/>
      </c>
      <c r="N111" s="19" t="str">
        <f t="shared" si="13"/>
        <v/>
      </c>
      <c r="O111" s="19" t="str">
        <f t="shared" si="19"/>
        <v/>
      </c>
      <c r="P111" s="19" t="str">
        <f t="shared" si="20"/>
        <v/>
      </c>
      <c r="Q111" s="19" t="str">
        <f t="shared" si="21"/>
        <v/>
      </c>
      <c r="R111" s="19" t="str">
        <f t="shared" si="17"/>
        <v/>
      </c>
      <c r="S111" s="27" t="str">
        <f t="shared" si="18"/>
        <v/>
      </c>
      <c r="T111" s="28" t="str">
        <f t="shared" si="18"/>
        <v/>
      </c>
      <c r="U111" s="28" t="str">
        <f t="shared" si="18"/>
        <v/>
      </c>
      <c r="V111" s="28" t="str">
        <f t="shared" si="18"/>
        <v/>
      </c>
      <c r="W111" s="28" t="str">
        <f t="shared" si="18"/>
        <v/>
      </c>
      <c r="X111" s="29" t="str">
        <f t="shared" si="18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16"/>
        <v/>
      </c>
      <c r="L112" s="19" t="str">
        <f t="shared" si="13"/>
        <v/>
      </c>
      <c r="M112" s="19" t="str">
        <f t="shared" si="13"/>
        <v/>
      </c>
      <c r="N112" s="19" t="str">
        <f t="shared" si="13"/>
        <v/>
      </c>
      <c r="O112" s="19" t="str">
        <f t="shared" si="19"/>
        <v/>
      </c>
      <c r="P112" s="19" t="str">
        <f t="shared" si="20"/>
        <v/>
      </c>
      <c r="Q112" s="19" t="str">
        <f t="shared" si="21"/>
        <v/>
      </c>
      <c r="R112" s="19" t="str">
        <f t="shared" si="17"/>
        <v/>
      </c>
      <c r="S112" s="27" t="str">
        <f t="shared" si="18"/>
        <v/>
      </c>
      <c r="T112" s="28" t="str">
        <f t="shared" si="18"/>
        <v/>
      </c>
      <c r="U112" s="28" t="str">
        <f t="shared" si="18"/>
        <v/>
      </c>
      <c r="V112" s="28" t="str">
        <f t="shared" si="18"/>
        <v/>
      </c>
      <c r="W112" s="28" t="str">
        <f t="shared" si="18"/>
        <v/>
      </c>
      <c r="X112" s="29" t="str">
        <f t="shared" si="18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16"/>
        <v/>
      </c>
      <c r="L113" s="19" t="str">
        <f t="shared" si="13"/>
        <v/>
      </c>
      <c r="M113" s="19" t="str">
        <f t="shared" si="13"/>
        <v/>
      </c>
      <c r="N113" s="19" t="str">
        <f t="shared" si="13"/>
        <v/>
      </c>
      <c r="O113" s="19" t="str">
        <f t="shared" si="19"/>
        <v/>
      </c>
      <c r="P113" s="19" t="str">
        <f t="shared" si="20"/>
        <v/>
      </c>
      <c r="Q113" s="19" t="str">
        <f t="shared" si="21"/>
        <v/>
      </c>
      <c r="R113" s="19" t="str">
        <f t="shared" si="17"/>
        <v/>
      </c>
      <c r="S113" s="27" t="str">
        <f t="shared" ref="S113:X128" si="22">IF(C113="","",((C113-C112)*1000)/($B113-$B112))</f>
        <v/>
      </c>
      <c r="T113" s="28" t="str">
        <f t="shared" si="22"/>
        <v/>
      </c>
      <c r="U113" s="28" t="str">
        <f t="shared" si="22"/>
        <v/>
      </c>
      <c r="V113" s="28" t="str">
        <f t="shared" si="22"/>
        <v/>
      </c>
      <c r="W113" s="28" t="str">
        <f t="shared" si="22"/>
        <v/>
      </c>
      <c r="X113" s="29" t="str">
        <f t="shared" si="22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16"/>
        <v/>
      </c>
      <c r="L114" s="19" t="str">
        <f t="shared" si="13"/>
        <v/>
      </c>
      <c r="M114" s="19" t="str">
        <f t="shared" si="13"/>
        <v/>
      </c>
      <c r="N114" s="19" t="str">
        <f t="shared" si="13"/>
        <v/>
      </c>
      <c r="O114" s="19" t="str">
        <f t="shared" si="19"/>
        <v/>
      </c>
      <c r="P114" s="19" t="str">
        <f t="shared" si="20"/>
        <v/>
      </c>
      <c r="Q114" s="19" t="str">
        <f t="shared" si="21"/>
        <v/>
      </c>
      <c r="R114" s="19" t="str">
        <f t="shared" si="17"/>
        <v/>
      </c>
      <c r="S114" s="27" t="str">
        <f t="shared" si="22"/>
        <v/>
      </c>
      <c r="T114" s="28" t="str">
        <f t="shared" si="22"/>
        <v/>
      </c>
      <c r="U114" s="28" t="str">
        <f t="shared" si="22"/>
        <v/>
      </c>
      <c r="V114" s="28" t="str">
        <f t="shared" si="22"/>
        <v/>
      </c>
      <c r="W114" s="28" t="str">
        <f t="shared" si="22"/>
        <v/>
      </c>
      <c r="X114" s="29" t="str">
        <f t="shared" si="22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16"/>
        <v/>
      </c>
      <c r="L115" s="19" t="str">
        <f t="shared" si="13"/>
        <v/>
      </c>
      <c r="M115" s="19" t="str">
        <f t="shared" si="13"/>
        <v/>
      </c>
      <c r="N115" s="19" t="str">
        <f t="shared" si="13"/>
        <v/>
      </c>
      <c r="O115" s="19" t="str">
        <f t="shared" si="19"/>
        <v/>
      </c>
      <c r="P115" s="19" t="str">
        <f t="shared" si="20"/>
        <v/>
      </c>
      <c r="Q115" s="19" t="str">
        <f t="shared" si="21"/>
        <v/>
      </c>
      <c r="R115" s="19" t="str">
        <f t="shared" si="17"/>
        <v/>
      </c>
      <c r="S115" s="27" t="str">
        <f t="shared" si="22"/>
        <v/>
      </c>
      <c r="T115" s="28" t="str">
        <f t="shared" si="22"/>
        <v/>
      </c>
      <c r="U115" s="28" t="str">
        <f t="shared" si="22"/>
        <v/>
      </c>
      <c r="V115" s="28" t="str">
        <f t="shared" si="22"/>
        <v/>
      </c>
      <c r="W115" s="28" t="str">
        <f t="shared" si="22"/>
        <v/>
      </c>
      <c r="X115" s="29" t="str">
        <f t="shared" si="22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16"/>
        <v/>
      </c>
      <c r="L116" s="19" t="str">
        <f t="shared" si="13"/>
        <v/>
      </c>
      <c r="M116" s="19" t="str">
        <f t="shared" si="13"/>
        <v/>
      </c>
      <c r="N116" s="19" t="str">
        <f t="shared" si="13"/>
        <v/>
      </c>
      <c r="O116" s="19" t="str">
        <f t="shared" si="19"/>
        <v/>
      </c>
      <c r="P116" s="19" t="str">
        <f t="shared" si="20"/>
        <v/>
      </c>
      <c r="Q116" s="19" t="str">
        <f t="shared" si="21"/>
        <v/>
      </c>
      <c r="R116" s="19" t="str">
        <f t="shared" si="17"/>
        <v/>
      </c>
      <c r="S116" s="27" t="str">
        <f t="shared" si="22"/>
        <v/>
      </c>
      <c r="T116" s="28" t="str">
        <f t="shared" si="22"/>
        <v/>
      </c>
      <c r="U116" s="28" t="str">
        <f t="shared" si="22"/>
        <v/>
      </c>
      <c r="V116" s="28" t="str">
        <f t="shared" si="22"/>
        <v/>
      </c>
      <c r="W116" s="28" t="str">
        <f t="shared" si="22"/>
        <v/>
      </c>
      <c r="X116" s="29" t="str">
        <f t="shared" si="22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16"/>
        <v/>
      </c>
      <c r="L117" s="19" t="str">
        <f t="shared" si="13"/>
        <v/>
      </c>
      <c r="M117" s="19" t="str">
        <f t="shared" ref="M117:N153" si="23">IF(ISBLANK(D117),"",(D117-D$16)*1000)</f>
        <v/>
      </c>
      <c r="N117" s="19" t="str">
        <f t="shared" si="23"/>
        <v/>
      </c>
      <c r="O117" s="19" t="str">
        <f t="shared" si="19"/>
        <v/>
      </c>
      <c r="P117" s="19" t="str">
        <f t="shared" si="20"/>
        <v/>
      </c>
      <c r="Q117" s="19" t="str">
        <f t="shared" si="21"/>
        <v/>
      </c>
      <c r="R117" s="19" t="str">
        <f t="shared" si="17"/>
        <v/>
      </c>
      <c r="S117" s="27" t="str">
        <f t="shared" si="22"/>
        <v/>
      </c>
      <c r="T117" s="28" t="str">
        <f t="shared" si="22"/>
        <v/>
      </c>
      <c r="U117" s="28" t="str">
        <f t="shared" si="22"/>
        <v/>
      </c>
      <c r="V117" s="28" t="str">
        <f t="shared" si="22"/>
        <v/>
      </c>
      <c r="W117" s="28" t="str">
        <f t="shared" si="22"/>
        <v/>
      </c>
      <c r="X117" s="29" t="str">
        <f t="shared" si="22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16"/>
        <v/>
      </c>
      <c r="L118" s="19" t="str">
        <f t="shared" ref="L118:L153" si="24">IF(ISBLANK(C118),"",(C118-C$16)*1000)</f>
        <v/>
      </c>
      <c r="M118" s="19" t="str">
        <f t="shared" si="23"/>
        <v/>
      </c>
      <c r="N118" s="19" t="str">
        <f t="shared" si="23"/>
        <v/>
      </c>
      <c r="O118" s="19" t="str">
        <f t="shared" si="19"/>
        <v/>
      </c>
      <c r="P118" s="19" t="str">
        <f t="shared" si="20"/>
        <v/>
      </c>
      <c r="Q118" s="19" t="str">
        <f t="shared" si="21"/>
        <v/>
      </c>
      <c r="R118" s="19" t="str">
        <f t="shared" si="17"/>
        <v/>
      </c>
      <c r="S118" s="27" t="str">
        <f t="shared" si="22"/>
        <v/>
      </c>
      <c r="T118" s="28" t="str">
        <f t="shared" si="22"/>
        <v/>
      </c>
      <c r="U118" s="28" t="str">
        <f t="shared" si="22"/>
        <v/>
      </c>
      <c r="V118" s="28" t="str">
        <f t="shared" si="22"/>
        <v/>
      </c>
      <c r="W118" s="28" t="str">
        <f t="shared" si="22"/>
        <v/>
      </c>
      <c r="X118" s="29" t="str">
        <f t="shared" si="22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16"/>
        <v/>
      </c>
      <c r="L119" s="19" t="str">
        <f t="shared" si="24"/>
        <v/>
      </c>
      <c r="M119" s="19" t="str">
        <f t="shared" si="23"/>
        <v/>
      </c>
      <c r="N119" s="19" t="str">
        <f t="shared" si="23"/>
        <v/>
      </c>
      <c r="O119" s="19" t="str">
        <f t="shared" si="19"/>
        <v/>
      </c>
      <c r="P119" s="19" t="str">
        <f t="shared" si="20"/>
        <v/>
      </c>
      <c r="Q119" s="19" t="str">
        <f t="shared" si="21"/>
        <v/>
      </c>
      <c r="R119" s="19" t="str">
        <f t="shared" si="17"/>
        <v/>
      </c>
      <c r="S119" s="27" t="str">
        <f t="shared" si="22"/>
        <v/>
      </c>
      <c r="T119" s="28" t="str">
        <f t="shared" si="22"/>
        <v/>
      </c>
      <c r="U119" s="28" t="str">
        <f t="shared" si="22"/>
        <v/>
      </c>
      <c r="V119" s="28" t="str">
        <f t="shared" si="22"/>
        <v/>
      </c>
      <c r="W119" s="28" t="str">
        <f t="shared" si="22"/>
        <v/>
      </c>
      <c r="X119" s="29" t="str">
        <f t="shared" si="22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16"/>
        <v/>
      </c>
      <c r="L120" s="19" t="str">
        <f t="shared" si="24"/>
        <v/>
      </c>
      <c r="M120" s="19" t="str">
        <f t="shared" si="23"/>
        <v/>
      </c>
      <c r="N120" s="19" t="str">
        <f t="shared" si="23"/>
        <v/>
      </c>
      <c r="O120" s="19" t="str">
        <f t="shared" si="19"/>
        <v/>
      </c>
      <c r="P120" s="19" t="str">
        <f t="shared" si="20"/>
        <v/>
      </c>
      <c r="Q120" s="19" t="str">
        <f t="shared" si="21"/>
        <v/>
      </c>
      <c r="R120" s="19" t="str">
        <f t="shared" si="17"/>
        <v/>
      </c>
      <c r="S120" s="27" t="str">
        <f t="shared" si="22"/>
        <v/>
      </c>
      <c r="T120" s="28" t="str">
        <f t="shared" si="22"/>
        <v/>
      </c>
      <c r="U120" s="28" t="str">
        <f t="shared" si="22"/>
        <v/>
      </c>
      <c r="V120" s="28" t="str">
        <f t="shared" si="22"/>
        <v/>
      </c>
      <c r="W120" s="28" t="str">
        <f t="shared" si="22"/>
        <v/>
      </c>
      <c r="X120" s="29" t="str">
        <f t="shared" si="22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16"/>
        <v/>
      </c>
      <c r="L121" s="19" t="str">
        <f t="shared" si="24"/>
        <v/>
      </c>
      <c r="M121" s="19" t="str">
        <f t="shared" si="23"/>
        <v/>
      </c>
      <c r="N121" s="19" t="str">
        <f t="shared" si="23"/>
        <v/>
      </c>
      <c r="O121" s="19" t="str">
        <f t="shared" si="19"/>
        <v/>
      </c>
      <c r="P121" s="19" t="str">
        <f t="shared" si="20"/>
        <v/>
      </c>
      <c r="Q121" s="19" t="str">
        <f t="shared" si="21"/>
        <v/>
      </c>
      <c r="R121" s="19" t="str">
        <f t="shared" si="17"/>
        <v/>
      </c>
      <c r="S121" s="27" t="str">
        <f t="shared" si="22"/>
        <v/>
      </c>
      <c r="T121" s="28" t="str">
        <f t="shared" si="22"/>
        <v/>
      </c>
      <c r="U121" s="28" t="str">
        <f t="shared" si="22"/>
        <v/>
      </c>
      <c r="V121" s="28" t="str">
        <f t="shared" si="22"/>
        <v/>
      </c>
      <c r="W121" s="28" t="str">
        <f t="shared" si="22"/>
        <v/>
      </c>
      <c r="X121" s="29" t="str">
        <f t="shared" si="22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16"/>
        <v/>
      </c>
      <c r="L122" s="19" t="str">
        <f t="shared" si="24"/>
        <v/>
      </c>
      <c r="M122" s="19" t="str">
        <f t="shared" si="23"/>
        <v/>
      </c>
      <c r="N122" s="19" t="str">
        <f t="shared" si="23"/>
        <v/>
      </c>
      <c r="O122" s="19" t="str">
        <f t="shared" si="19"/>
        <v/>
      </c>
      <c r="P122" s="19" t="str">
        <f t="shared" si="20"/>
        <v/>
      </c>
      <c r="Q122" s="19" t="str">
        <f t="shared" si="21"/>
        <v/>
      </c>
      <c r="R122" s="19" t="str">
        <f t="shared" si="17"/>
        <v/>
      </c>
      <c r="S122" s="27" t="str">
        <f t="shared" si="22"/>
        <v/>
      </c>
      <c r="T122" s="28" t="str">
        <f t="shared" si="22"/>
        <v/>
      </c>
      <c r="U122" s="28" t="str">
        <f t="shared" si="22"/>
        <v/>
      </c>
      <c r="V122" s="28" t="str">
        <f t="shared" si="22"/>
        <v/>
      </c>
      <c r="W122" s="28" t="str">
        <f t="shared" si="22"/>
        <v/>
      </c>
      <c r="X122" s="29" t="str">
        <f t="shared" si="22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16"/>
        <v/>
      </c>
      <c r="L123" s="19" t="str">
        <f t="shared" si="24"/>
        <v/>
      </c>
      <c r="M123" s="19" t="str">
        <f t="shared" si="23"/>
        <v/>
      </c>
      <c r="N123" s="19" t="str">
        <f t="shared" si="23"/>
        <v/>
      </c>
      <c r="O123" s="19" t="str">
        <f t="shared" si="19"/>
        <v/>
      </c>
      <c r="P123" s="19" t="str">
        <f t="shared" si="20"/>
        <v/>
      </c>
      <c r="Q123" s="19" t="str">
        <f t="shared" si="21"/>
        <v/>
      </c>
      <c r="R123" s="19" t="str">
        <f t="shared" si="17"/>
        <v/>
      </c>
      <c r="S123" s="27" t="str">
        <f t="shared" si="22"/>
        <v/>
      </c>
      <c r="T123" s="28" t="str">
        <f t="shared" si="22"/>
        <v/>
      </c>
      <c r="U123" s="28" t="str">
        <f t="shared" si="22"/>
        <v/>
      </c>
      <c r="V123" s="28" t="str">
        <f t="shared" si="22"/>
        <v/>
      </c>
      <c r="W123" s="28" t="str">
        <f t="shared" si="22"/>
        <v/>
      </c>
      <c r="X123" s="29" t="str">
        <f t="shared" si="22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16"/>
        <v/>
      </c>
      <c r="L124" s="19" t="str">
        <f t="shared" si="24"/>
        <v/>
      </c>
      <c r="M124" s="19" t="str">
        <f t="shared" si="23"/>
        <v/>
      </c>
      <c r="N124" s="19" t="str">
        <f t="shared" si="23"/>
        <v/>
      </c>
      <c r="O124" s="19" t="str">
        <f t="shared" si="19"/>
        <v/>
      </c>
      <c r="P124" s="19" t="str">
        <f t="shared" si="20"/>
        <v/>
      </c>
      <c r="Q124" s="19" t="str">
        <f t="shared" si="21"/>
        <v/>
      </c>
      <c r="R124" s="19" t="str">
        <f t="shared" si="17"/>
        <v/>
      </c>
      <c r="S124" s="27" t="str">
        <f t="shared" si="22"/>
        <v/>
      </c>
      <c r="T124" s="28" t="str">
        <f t="shared" si="22"/>
        <v/>
      </c>
      <c r="U124" s="28" t="str">
        <f t="shared" si="22"/>
        <v/>
      </c>
      <c r="V124" s="28" t="str">
        <f t="shared" si="22"/>
        <v/>
      </c>
      <c r="W124" s="28" t="str">
        <f t="shared" si="22"/>
        <v/>
      </c>
      <c r="X124" s="29" t="str">
        <f t="shared" si="22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16"/>
        <v/>
      </c>
      <c r="L125" s="19" t="str">
        <f t="shared" si="24"/>
        <v/>
      </c>
      <c r="M125" s="19" t="str">
        <f t="shared" si="23"/>
        <v/>
      </c>
      <c r="N125" s="19" t="str">
        <f t="shared" si="23"/>
        <v/>
      </c>
      <c r="O125" s="19" t="str">
        <f t="shared" si="19"/>
        <v/>
      </c>
      <c r="P125" s="19" t="str">
        <f t="shared" si="20"/>
        <v/>
      </c>
      <c r="Q125" s="19" t="str">
        <f t="shared" si="21"/>
        <v/>
      </c>
      <c r="R125" s="19" t="str">
        <f t="shared" si="17"/>
        <v/>
      </c>
      <c r="S125" s="27" t="str">
        <f t="shared" si="22"/>
        <v/>
      </c>
      <c r="T125" s="28" t="str">
        <f t="shared" si="22"/>
        <v/>
      </c>
      <c r="U125" s="28" t="str">
        <f t="shared" si="22"/>
        <v/>
      </c>
      <c r="V125" s="28" t="str">
        <f t="shared" si="22"/>
        <v/>
      </c>
      <c r="W125" s="28" t="str">
        <f t="shared" si="22"/>
        <v/>
      </c>
      <c r="X125" s="29" t="str">
        <f t="shared" si="22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16"/>
        <v/>
      </c>
      <c r="L126" s="19" t="str">
        <f t="shared" si="24"/>
        <v/>
      </c>
      <c r="M126" s="19" t="str">
        <f t="shared" si="23"/>
        <v/>
      </c>
      <c r="N126" s="19" t="str">
        <f t="shared" si="23"/>
        <v/>
      </c>
      <c r="O126" s="19" t="str">
        <f t="shared" si="19"/>
        <v/>
      </c>
      <c r="P126" s="19" t="str">
        <f t="shared" si="20"/>
        <v/>
      </c>
      <c r="Q126" s="19" t="str">
        <f t="shared" si="21"/>
        <v/>
      </c>
      <c r="R126" s="19" t="str">
        <f t="shared" si="17"/>
        <v/>
      </c>
      <c r="S126" s="27" t="str">
        <f t="shared" si="22"/>
        <v/>
      </c>
      <c r="T126" s="28" t="str">
        <f t="shared" si="22"/>
        <v/>
      </c>
      <c r="U126" s="28" t="str">
        <f t="shared" si="22"/>
        <v/>
      </c>
      <c r="V126" s="28" t="str">
        <f t="shared" si="22"/>
        <v/>
      </c>
      <c r="W126" s="28" t="str">
        <f t="shared" si="22"/>
        <v/>
      </c>
      <c r="X126" s="29" t="str">
        <f t="shared" si="22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16"/>
        <v/>
      </c>
      <c r="L127" s="19" t="str">
        <f t="shared" si="24"/>
        <v/>
      </c>
      <c r="M127" s="19" t="str">
        <f t="shared" si="23"/>
        <v/>
      </c>
      <c r="N127" s="19" t="str">
        <f t="shared" si="23"/>
        <v/>
      </c>
      <c r="O127" s="19" t="str">
        <f t="shared" si="19"/>
        <v/>
      </c>
      <c r="P127" s="19" t="str">
        <f t="shared" si="20"/>
        <v/>
      </c>
      <c r="Q127" s="19" t="str">
        <f t="shared" si="21"/>
        <v/>
      </c>
      <c r="R127" s="19" t="str">
        <f t="shared" si="17"/>
        <v/>
      </c>
      <c r="S127" s="27" t="str">
        <f t="shared" si="22"/>
        <v/>
      </c>
      <c r="T127" s="28" t="str">
        <f t="shared" si="22"/>
        <v/>
      </c>
      <c r="U127" s="28" t="str">
        <f t="shared" si="22"/>
        <v/>
      </c>
      <c r="V127" s="28" t="str">
        <f t="shared" si="22"/>
        <v/>
      </c>
      <c r="W127" s="28" t="str">
        <f t="shared" si="22"/>
        <v/>
      </c>
      <c r="X127" s="29" t="str">
        <f t="shared" si="22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16"/>
        <v/>
      </c>
      <c r="L128" s="19" t="str">
        <f t="shared" si="24"/>
        <v/>
      </c>
      <c r="M128" s="19" t="str">
        <f t="shared" si="23"/>
        <v/>
      </c>
      <c r="N128" s="19" t="str">
        <f t="shared" si="23"/>
        <v/>
      </c>
      <c r="O128" s="19" t="str">
        <f t="shared" si="19"/>
        <v/>
      </c>
      <c r="P128" s="19" t="str">
        <f t="shared" si="20"/>
        <v/>
      </c>
      <c r="Q128" s="19" t="str">
        <f t="shared" si="21"/>
        <v/>
      </c>
      <c r="R128" s="19" t="str">
        <f t="shared" si="17"/>
        <v/>
      </c>
      <c r="S128" s="27" t="str">
        <f t="shared" si="22"/>
        <v/>
      </c>
      <c r="T128" s="28" t="str">
        <f t="shared" si="22"/>
        <v/>
      </c>
      <c r="U128" s="28" t="str">
        <f t="shared" si="22"/>
        <v/>
      </c>
      <c r="V128" s="28" t="str">
        <f t="shared" si="22"/>
        <v/>
      </c>
      <c r="W128" s="28" t="str">
        <f t="shared" si="22"/>
        <v/>
      </c>
      <c r="X128" s="29" t="str">
        <f t="shared" si="22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16"/>
        <v/>
      </c>
      <c r="L129" s="19" t="str">
        <f t="shared" si="24"/>
        <v/>
      </c>
      <c r="M129" s="19" t="str">
        <f t="shared" si="23"/>
        <v/>
      </c>
      <c r="N129" s="19" t="str">
        <f t="shared" si="23"/>
        <v/>
      </c>
      <c r="O129" s="19" t="str">
        <f t="shared" si="19"/>
        <v/>
      </c>
      <c r="P129" s="19" t="str">
        <f t="shared" si="20"/>
        <v/>
      </c>
      <c r="Q129" s="19" t="str">
        <f t="shared" si="21"/>
        <v/>
      </c>
      <c r="R129" s="19" t="str">
        <f t="shared" si="17"/>
        <v/>
      </c>
      <c r="S129" s="27" t="str">
        <f t="shared" ref="S129:X144" si="25">IF(C129="","",((C129-C128)*1000)/($B129-$B128))</f>
        <v/>
      </c>
      <c r="T129" s="28" t="str">
        <f t="shared" si="25"/>
        <v/>
      </c>
      <c r="U129" s="28" t="str">
        <f t="shared" si="25"/>
        <v/>
      </c>
      <c r="V129" s="28" t="str">
        <f t="shared" si="25"/>
        <v/>
      </c>
      <c r="W129" s="28" t="str">
        <f t="shared" si="25"/>
        <v/>
      </c>
      <c r="X129" s="29" t="str">
        <f t="shared" si="25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16"/>
        <v/>
      </c>
      <c r="L130" s="19" t="str">
        <f t="shared" si="24"/>
        <v/>
      </c>
      <c r="M130" s="19" t="str">
        <f t="shared" si="23"/>
        <v/>
      </c>
      <c r="N130" s="19" t="str">
        <f t="shared" si="23"/>
        <v/>
      </c>
      <c r="O130" s="19" t="str">
        <f t="shared" si="19"/>
        <v/>
      </c>
      <c r="P130" s="19" t="str">
        <f t="shared" si="20"/>
        <v/>
      </c>
      <c r="Q130" s="19" t="str">
        <f t="shared" si="21"/>
        <v/>
      </c>
      <c r="R130" s="19" t="str">
        <f t="shared" si="17"/>
        <v/>
      </c>
      <c r="S130" s="27" t="str">
        <f t="shared" si="25"/>
        <v/>
      </c>
      <c r="T130" s="28" t="str">
        <f t="shared" si="25"/>
        <v/>
      </c>
      <c r="U130" s="28" t="str">
        <f t="shared" si="25"/>
        <v/>
      </c>
      <c r="V130" s="28" t="str">
        <f t="shared" si="25"/>
        <v/>
      </c>
      <c r="W130" s="28" t="str">
        <f t="shared" si="25"/>
        <v/>
      </c>
      <c r="X130" s="29" t="str">
        <f t="shared" si="25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16"/>
        <v/>
      </c>
      <c r="L131" s="19" t="str">
        <f t="shared" si="24"/>
        <v/>
      </c>
      <c r="M131" s="19" t="str">
        <f t="shared" si="23"/>
        <v/>
      </c>
      <c r="N131" s="19" t="str">
        <f t="shared" si="23"/>
        <v/>
      </c>
      <c r="O131" s="19" t="str">
        <f t="shared" si="19"/>
        <v/>
      </c>
      <c r="P131" s="19" t="str">
        <f t="shared" si="20"/>
        <v/>
      </c>
      <c r="Q131" s="19" t="str">
        <f t="shared" si="21"/>
        <v/>
      </c>
      <c r="R131" s="19" t="str">
        <f t="shared" si="17"/>
        <v/>
      </c>
      <c r="S131" s="27" t="str">
        <f t="shared" si="25"/>
        <v/>
      </c>
      <c r="T131" s="28" t="str">
        <f t="shared" si="25"/>
        <v/>
      </c>
      <c r="U131" s="28" t="str">
        <f t="shared" si="25"/>
        <v/>
      </c>
      <c r="V131" s="28" t="str">
        <f t="shared" si="25"/>
        <v/>
      </c>
      <c r="W131" s="28" t="str">
        <f t="shared" si="25"/>
        <v/>
      </c>
      <c r="X131" s="29" t="str">
        <f t="shared" si="25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16"/>
        <v/>
      </c>
      <c r="L132" s="19" t="str">
        <f t="shared" si="24"/>
        <v/>
      </c>
      <c r="M132" s="19" t="str">
        <f t="shared" si="23"/>
        <v/>
      </c>
      <c r="N132" s="19" t="str">
        <f t="shared" si="23"/>
        <v/>
      </c>
      <c r="O132" s="19" t="str">
        <f t="shared" si="19"/>
        <v/>
      </c>
      <c r="P132" s="19" t="str">
        <f t="shared" si="20"/>
        <v/>
      </c>
      <c r="Q132" s="19" t="str">
        <f t="shared" si="21"/>
        <v/>
      </c>
      <c r="R132" s="19" t="str">
        <f t="shared" si="17"/>
        <v/>
      </c>
      <c r="S132" s="27" t="str">
        <f t="shared" si="25"/>
        <v/>
      </c>
      <c r="T132" s="28" t="str">
        <f t="shared" si="25"/>
        <v/>
      </c>
      <c r="U132" s="28" t="str">
        <f t="shared" si="25"/>
        <v/>
      </c>
      <c r="V132" s="28" t="str">
        <f t="shared" si="25"/>
        <v/>
      </c>
      <c r="W132" s="28" t="str">
        <f t="shared" si="25"/>
        <v/>
      </c>
      <c r="X132" s="29" t="str">
        <f t="shared" si="25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16"/>
        <v/>
      </c>
      <c r="L133" s="19" t="str">
        <f t="shared" si="24"/>
        <v/>
      </c>
      <c r="M133" s="19" t="str">
        <f t="shared" si="23"/>
        <v/>
      </c>
      <c r="N133" s="19" t="str">
        <f t="shared" si="23"/>
        <v/>
      </c>
      <c r="O133" s="19" t="str">
        <f t="shared" si="19"/>
        <v/>
      </c>
      <c r="P133" s="19" t="str">
        <f t="shared" si="20"/>
        <v/>
      </c>
      <c r="Q133" s="19" t="str">
        <f t="shared" si="21"/>
        <v/>
      </c>
      <c r="R133" s="19" t="str">
        <f t="shared" si="17"/>
        <v/>
      </c>
      <c r="S133" s="27" t="str">
        <f t="shared" si="25"/>
        <v/>
      </c>
      <c r="T133" s="28" t="str">
        <f t="shared" si="25"/>
        <v/>
      </c>
      <c r="U133" s="28" t="str">
        <f t="shared" si="25"/>
        <v/>
      </c>
      <c r="V133" s="28" t="str">
        <f t="shared" si="25"/>
        <v/>
      </c>
      <c r="W133" s="28" t="str">
        <f t="shared" si="25"/>
        <v/>
      </c>
      <c r="X133" s="29" t="str">
        <f t="shared" si="25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16"/>
        <v/>
      </c>
      <c r="L134" s="19" t="str">
        <f t="shared" si="24"/>
        <v/>
      </c>
      <c r="M134" s="19" t="str">
        <f t="shared" si="23"/>
        <v/>
      </c>
      <c r="N134" s="19" t="str">
        <f t="shared" si="23"/>
        <v/>
      </c>
      <c r="O134" s="19" t="str">
        <f t="shared" si="19"/>
        <v/>
      </c>
      <c r="P134" s="19" t="str">
        <f t="shared" si="20"/>
        <v/>
      </c>
      <c r="Q134" s="19" t="str">
        <f t="shared" si="21"/>
        <v/>
      </c>
      <c r="R134" s="19" t="str">
        <f t="shared" si="17"/>
        <v/>
      </c>
      <c r="S134" s="27" t="str">
        <f t="shared" si="25"/>
        <v/>
      </c>
      <c r="T134" s="28" t="str">
        <f t="shared" si="25"/>
        <v/>
      </c>
      <c r="U134" s="28" t="str">
        <f t="shared" si="25"/>
        <v/>
      </c>
      <c r="V134" s="28" t="str">
        <f t="shared" si="25"/>
        <v/>
      </c>
      <c r="W134" s="28" t="str">
        <f t="shared" si="25"/>
        <v/>
      </c>
      <c r="X134" s="29" t="str">
        <f t="shared" si="25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16"/>
        <v/>
      </c>
      <c r="L135" s="19" t="str">
        <f t="shared" si="24"/>
        <v/>
      </c>
      <c r="M135" s="19" t="str">
        <f t="shared" si="23"/>
        <v/>
      </c>
      <c r="N135" s="19" t="str">
        <f t="shared" si="23"/>
        <v/>
      </c>
      <c r="O135" s="19" t="str">
        <f t="shared" si="19"/>
        <v/>
      </c>
      <c r="P135" s="19" t="str">
        <f t="shared" si="20"/>
        <v/>
      </c>
      <c r="Q135" s="19" t="str">
        <f t="shared" si="21"/>
        <v/>
      </c>
      <c r="R135" s="19" t="str">
        <f t="shared" si="17"/>
        <v/>
      </c>
      <c r="S135" s="27" t="str">
        <f t="shared" si="25"/>
        <v/>
      </c>
      <c r="T135" s="28" t="str">
        <f t="shared" si="25"/>
        <v/>
      </c>
      <c r="U135" s="28" t="str">
        <f t="shared" si="25"/>
        <v/>
      </c>
      <c r="V135" s="28" t="str">
        <f t="shared" si="25"/>
        <v/>
      </c>
      <c r="W135" s="28" t="str">
        <f t="shared" si="25"/>
        <v/>
      </c>
      <c r="X135" s="29" t="str">
        <f t="shared" si="25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16"/>
        <v/>
      </c>
      <c r="L136" s="19" t="str">
        <f t="shared" si="24"/>
        <v/>
      </c>
      <c r="M136" s="19" t="str">
        <f t="shared" si="23"/>
        <v/>
      </c>
      <c r="N136" s="19" t="str">
        <f t="shared" si="23"/>
        <v/>
      </c>
      <c r="O136" s="19" t="str">
        <f t="shared" si="19"/>
        <v/>
      </c>
      <c r="P136" s="19" t="str">
        <f t="shared" si="20"/>
        <v/>
      </c>
      <c r="Q136" s="19" t="str">
        <f t="shared" si="21"/>
        <v/>
      </c>
      <c r="R136" s="19" t="str">
        <f t="shared" si="17"/>
        <v/>
      </c>
      <c r="S136" s="27" t="str">
        <f t="shared" si="25"/>
        <v/>
      </c>
      <c r="T136" s="28" t="str">
        <f t="shared" si="25"/>
        <v/>
      </c>
      <c r="U136" s="28" t="str">
        <f t="shared" si="25"/>
        <v/>
      </c>
      <c r="V136" s="28" t="str">
        <f t="shared" si="25"/>
        <v/>
      </c>
      <c r="W136" s="28" t="str">
        <f t="shared" si="25"/>
        <v/>
      </c>
      <c r="X136" s="29" t="str">
        <f t="shared" si="25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16"/>
        <v/>
      </c>
      <c r="L137" s="19" t="str">
        <f t="shared" si="24"/>
        <v/>
      </c>
      <c r="M137" s="19" t="str">
        <f t="shared" si="23"/>
        <v/>
      </c>
      <c r="N137" s="19" t="str">
        <f t="shared" si="23"/>
        <v/>
      </c>
      <c r="O137" s="19" t="str">
        <f t="shared" si="19"/>
        <v/>
      </c>
      <c r="P137" s="19" t="str">
        <f t="shared" si="20"/>
        <v/>
      </c>
      <c r="Q137" s="19" t="str">
        <f t="shared" si="21"/>
        <v/>
      </c>
      <c r="R137" s="19" t="str">
        <f t="shared" si="17"/>
        <v/>
      </c>
      <c r="S137" s="27" t="str">
        <f t="shared" si="25"/>
        <v/>
      </c>
      <c r="T137" s="28" t="str">
        <f t="shared" si="25"/>
        <v/>
      </c>
      <c r="U137" s="28" t="str">
        <f t="shared" si="25"/>
        <v/>
      </c>
      <c r="V137" s="28" t="str">
        <f t="shared" si="25"/>
        <v/>
      </c>
      <c r="W137" s="28" t="str">
        <f t="shared" si="25"/>
        <v/>
      </c>
      <c r="X137" s="29" t="str">
        <f t="shared" si="25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16"/>
        <v/>
      </c>
      <c r="L138" s="19" t="str">
        <f t="shared" si="24"/>
        <v/>
      </c>
      <c r="M138" s="19" t="str">
        <f t="shared" si="23"/>
        <v/>
      </c>
      <c r="N138" s="19" t="str">
        <f t="shared" si="23"/>
        <v/>
      </c>
      <c r="O138" s="19" t="str">
        <f t="shared" si="19"/>
        <v/>
      </c>
      <c r="P138" s="19" t="str">
        <f t="shared" si="20"/>
        <v/>
      </c>
      <c r="Q138" s="19" t="str">
        <f t="shared" si="21"/>
        <v/>
      </c>
      <c r="R138" s="19" t="str">
        <f t="shared" si="17"/>
        <v/>
      </c>
      <c r="S138" s="27" t="str">
        <f t="shared" si="25"/>
        <v/>
      </c>
      <c r="T138" s="28" t="str">
        <f t="shared" si="25"/>
        <v/>
      </c>
      <c r="U138" s="28" t="str">
        <f t="shared" si="25"/>
        <v/>
      </c>
      <c r="V138" s="28" t="str">
        <f t="shared" si="25"/>
        <v/>
      </c>
      <c r="W138" s="28" t="str">
        <f t="shared" si="25"/>
        <v/>
      </c>
      <c r="X138" s="29" t="str">
        <f t="shared" si="25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16"/>
        <v/>
      </c>
      <c r="L139" s="19" t="str">
        <f t="shared" si="24"/>
        <v/>
      </c>
      <c r="M139" s="19" t="str">
        <f t="shared" si="23"/>
        <v/>
      </c>
      <c r="N139" s="19" t="str">
        <f t="shared" si="23"/>
        <v/>
      </c>
      <c r="O139" s="19" t="str">
        <f t="shared" si="19"/>
        <v/>
      </c>
      <c r="P139" s="19" t="str">
        <f t="shared" si="20"/>
        <v/>
      </c>
      <c r="Q139" s="19" t="str">
        <f t="shared" si="21"/>
        <v/>
      </c>
      <c r="R139" s="19" t="str">
        <f t="shared" si="17"/>
        <v/>
      </c>
      <c r="S139" s="27" t="str">
        <f t="shared" si="25"/>
        <v/>
      </c>
      <c r="T139" s="28" t="str">
        <f t="shared" si="25"/>
        <v/>
      </c>
      <c r="U139" s="28" t="str">
        <f t="shared" si="25"/>
        <v/>
      </c>
      <c r="V139" s="28" t="str">
        <f t="shared" si="25"/>
        <v/>
      </c>
      <c r="W139" s="28" t="str">
        <f t="shared" si="25"/>
        <v/>
      </c>
      <c r="X139" s="29" t="str">
        <f t="shared" si="25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16"/>
        <v/>
      </c>
      <c r="L140" s="19" t="str">
        <f t="shared" si="24"/>
        <v/>
      </c>
      <c r="M140" s="19" t="str">
        <f t="shared" si="23"/>
        <v/>
      </c>
      <c r="N140" s="19" t="str">
        <f t="shared" si="23"/>
        <v/>
      </c>
      <c r="O140" s="19" t="str">
        <f t="shared" si="19"/>
        <v/>
      </c>
      <c r="P140" s="19" t="str">
        <f t="shared" si="20"/>
        <v/>
      </c>
      <c r="Q140" s="19" t="str">
        <f t="shared" si="21"/>
        <v/>
      </c>
      <c r="R140" s="19" t="str">
        <f t="shared" si="17"/>
        <v/>
      </c>
      <c r="S140" s="27" t="str">
        <f t="shared" si="25"/>
        <v/>
      </c>
      <c r="T140" s="28" t="str">
        <f t="shared" si="25"/>
        <v/>
      </c>
      <c r="U140" s="28" t="str">
        <f t="shared" si="25"/>
        <v/>
      </c>
      <c r="V140" s="28" t="str">
        <f t="shared" si="25"/>
        <v/>
      </c>
      <c r="W140" s="28" t="str">
        <f t="shared" si="25"/>
        <v/>
      </c>
      <c r="X140" s="29" t="str">
        <f t="shared" si="25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16"/>
        <v/>
      </c>
      <c r="L141" s="19" t="str">
        <f t="shared" si="24"/>
        <v/>
      </c>
      <c r="M141" s="19" t="str">
        <f t="shared" si="23"/>
        <v/>
      </c>
      <c r="N141" s="19" t="str">
        <f t="shared" si="23"/>
        <v/>
      </c>
      <c r="O141" s="19" t="str">
        <f t="shared" si="19"/>
        <v/>
      </c>
      <c r="P141" s="19" t="str">
        <f t="shared" si="20"/>
        <v/>
      </c>
      <c r="Q141" s="19" t="str">
        <f t="shared" si="21"/>
        <v/>
      </c>
      <c r="R141" s="19" t="str">
        <f t="shared" si="17"/>
        <v/>
      </c>
      <c r="S141" s="27" t="str">
        <f t="shared" si="25"/>
        <v/>
      </c>
      <c r="T141" s="28" t="str">
        <f t="shared" si="25"/>
        <v/>
      </c>
      <c r="U141" s="28" t="str">
        <f t="shared" si="25"/>
        <v/>
      </c>
      <c r="V141" s="28" t="str">
        <f t="shared" si="25"/>
        <v/>
      </c>
      <c r="W141" s="28" t="str">
        <f t="shared" si="25"/>
        <v/>
      </c>
      <c r="X141" s="29" t="str">
        <f t="shared" si="25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16"/>
        <v/>
      </c>
      <c r="L142" s="19" t="str">
        <f t="shared" si="24"/>
        <v/>
      </c>
      <c r="M142" s="19" t="str">
        <f t="shared" si="23"/>
        <v/>
      </c>
      <c r="N142" s="19" t="str">
        <f t="shared" si="23"/>
        <v/>
      </c>
      <c r="O142" s="19" t="str">
        <f t="shared" si="19"/>
        <v/>
      </c>
      <c r="P142" s="19" t="str">
        <f t="shared" si="20"/>
        <v/>
      </c>
      <c r="Q142" s="19" t="str">
        <f t="shared" si="21"/>
        <v/>
      </c>
      <c r="R142" s="19" t="str">
        <f t="shared" si="17"/>
        <v/>
      </c>
      <c r="S142" s="27" t="str">
        <f t="shared" si="25"/>
        <v/>
      </c>
      <c r="T142" s="28" t="str">
        <f t="shared" si="25"/>
        <v/>
      </c>
      <c r="U142" s="28" t="str">
        <f t="shared" si="25"/>
        <v/>
      </c>
      <c r="V142" s="28" t="str">
        <f t="shared" si="25"/>
        <v/>
      </c>
      <c r="W142" s="28" t="str">
        <f t="shared" si="25"/>
        <v/>
      </c>
      <c r="X142" s="29" t="str">
        <f t="shared" si="25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16"/>
        <v/>
      </c>
      <c r="L143" s="19" t="str">
        <f t="shared" si="24"/>
        <v/>
      </c>
      <c r="M143" s="19" t="str">
        <f t="shared" si="23"/>
        <v/>
      </c>
      <c r="N143" s="19" t="str">
        <f t="shared" si="23"/>
        <v/>
      </c>
      <c r="O143" s="19" t="str">
        <f t="shared" si="19"/>
        <v/>
      </c>
      <c r="P143" s="19" t="str">
        <f t="shared" si="20"/>
        <v/>
      </c>
      <c r="Q143" s="19" t="str">
        <f t="shared" si="21"/>
        <v/>
      </c>
      <c r="R143" s="19" t="str">
        <f t="shared" si="17"/>
        <v/>
      </c>
      <c r="S143" s="27" t="str">
        <f t="shared" si="25"/>
        <v/>
      </c>
      <c r="T143" s="28" t="str">
        <f t="shared" si="25"/>
        <v/>
      </c>
      <c r="U143" s="28" t="str">
        <f t="shared" si="25"/>
        <v/>
      </c>
      <c r="V143" s="28" t="str">
        <f t="shared" si="25"/>
        <v/>
      </c>
      <c r="W143" s="28" t="str">
        <f t="shared" si="25"/>
        <v/>
      </c>
      <c r="X143" s="29" t="str">
        <f t="shared" si="25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16"/>
        <v/>
      </c>
      <c r="L144" s="19" t="str">
        <f t="shared" si="24"/>
        <v/>
      </c>
      <c r="M144" s="19" t="str">
        <f t="shared" si="23"/>
        <v/>
      </c>
      <c r="N144" s="19" t="str">
        <f t="shared" si="23"/>
        <v/>
      </c>
      <c r="O144" s="19" t="str">
        <f t="shared" si="19"/>
        <v/>
      </c>
      <c r="P144" s="19" t="str">
        <f t="shared" si="20"/>
        <v/>
      </c>
      <c r="Q144" s="19" t="str">
        <f t="shared" si="21"/>
        <v/>
      </c>
      <c r="R144" s="19" t="str">
        <f t="shared" si="17"/>
        <v/>
      </c>
      <c r="S144" s="27" t="str">
        <f t="shared" si="25"/>
        <v/>
      </c>
      <c r="T144" s="28" t="str">
        <f t="shared" si="25"/>
        <v/>
      </c>
      <c r="U144" s="28" t="str">
        <f t="shared" si="25"/>
        <v/>
      </c>
      <c r="V144" s="28" t="str">
        <f t="shared" si="25"/>
        <v/>
      </c>
      <c r="W144" s="28" t="str">
        <f t="shared" si="25"/>
        <v/>
      </c>
      <c r="X144" s="29" t="str">
        <f t="shared" si="25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16"/>
        <v/>
      </c>
      <c r="L145" s="19" t="str">
        <f t="shared" si="24"/>
        <v/>
      </c>
      <c r="M145" s="19" t="str">
        <f t="shared" si="23"/>
        <v/>
      </c>
      <c r="N145" s="19" t="str">
        <f t="shared" si="23"/>
        <v/>
      </c>
      <c r="O145" s="19" t="str">
        <f t="shared" si="19"/>
        <v/>
      </c>
      <c r="P145" s="19" t="str">
        <f t="shared" si="20"/>
        <v/>
      </c>
      <c r="Q145" s="19" t="str">
        <f t="shared" si="21"/>
        <v/>
      </c>
      <c r="R145" s="19" t="str">
        <f t="shared" si="17"/>
        <v/>
      </c>
      <c r="S145" s="27" t="str">
        <f t="shared" ref="S145:X153" si="26">IF(C145="","",((C145-C144)*1000)/($B145-$B144))</f>
        <v/>
      </c>
      <c r="T145" s="28" t="str">
        <f t="shared" si="26"/>
        <v/>
      </c>
      <c r="U145" s="28" t="str">
        <f t="shared" si="26"/>
        <v/>
      </c>
      <c r="V145" s="28" t="str">
        <f t="shared" si="26"/>
        <v/>
      </c>
      <c r="W145" s="28" t="str">
        <f t="shared" si="26"/>
        <v/>
      </c>
      <c r="X145" s="29" t="str">
        <f t="shared" si="26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16"/>
        <v/>
      </c>
      <c r="L146" s="19" t="str">
        <f t="shared" si="24"/>
        <v/>
      </c>
      <c r="M146" s="19" t="str">
        <f t="shared" si="23"/>
        <v/>
      </c>
      <c r="N146" s="19" t="str">
        <f t="shared" si="23"/>
        <v/>
      </c>
      <c r="O146" s="19" t="str">
        <f t="shared" si="19"/>
        <v/>
      </c>
      <c r="P146" s="19" t="str">
        <f t="shared" si="20"/>
        <v/>
      </c>
      <c r="Q146" s="19" t="str">
        <f t="shared" si="21"/>
        <v/>
      </c>
      <c r="R146" s="19" t="str">
        <f t="shared" si="17"/>
        <v/>
      </c>
      <c r="S146" s="27" t="str">
        <f t="shared" si="26"/>
        <v/>
      </c>
      <c r="T146" s="28" t="str">
        <f t="shared" si="26"/>
        <v/>
      </c>
      <c r="U146" s="28" t="str">
        <f t="shared" si="26"/>
        <v/>
      </c>
      <c r="V146" s="28" t="str">
        <f t="shared" si="26"/>
        <v/>
      </c>
      <c r="W146" s="28" t="str">
        <f t="shared" si="26"/>
        <v/>
      </c>
      <c r="X146" s="29" t="str">
        <f t="shared" si="26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16"/>
        <v/>
      </c>
      <c r="L147" s="19" t="str">
        <f t="shared" si="24"/>
        <v/>
      </c>
      <c r="M147" s="19" t="str">
        <f t="shared" si="23"/>
        <v/>
      </c>
      <c r="N147" s="19" t="str">
        <f t="shared" si="23"/>
        <v/>
      </c>
      <c r="O147" s="19" t="str">
        <f t="shared" si="19"/>
        <v/>
      </c>
      <c r="P147" s="19" t="str">
        <f t="shared" si="20"/>
        <v/>
      </c>
      <c r="Q147" s="19" t="str">
        <f t="shared" si="21"/>
        <v/>
      </c>
      <c r="R147" s="19" t="str">
        <f t="shared" si="17"/>
        <v/>
      </c>
      <c r="S147" s="27" t="str">
        <f t="shared" si="26"/>
        <v/>
      </c>
      <c r="T147" s="28" t="str">
        <f t="shared" si="26"/>
        <v/>
      </c>
      <c r="U147" s="28" t="str">
        <f t="shared" si="26"/>
        <v/>
      </c>
      <c r="V147" s="28" t="str">
        <f t="shared" si="26"/>
        <v/>
      </c>
      <c r="W147" s="28" t="str">
        <f t="shared" si="26"/>
        <v/>
      </c>
      <c r="X147" s="29" t="str">
        <f t="shared" si="26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16"/>
        <v/>
      </c>
      <c r="L148" s="19" t="str">
        <f t="shared" si="24"/>
        <v/>
      </c>
      <c r="M148" s="19" t="str">
        <f t="shared" si="23"/>
        <v/>
      </c>
      <c r="N148" s="19" t="str">
        <f t="shared" si="23"/>
        <v/>
      </c>
      <c r="O148" s="19" t="str">
        <f t="shared" si="19"/>
        <v/>
      </c>
      <c r="P148" s="19" t="str">
        <f t="shared" si="20"/>
        <v/>
      </c>
      <c r="Q148" s="19" t="str">
        <f t="shared" si="21"/>
        <v/>
      </c>
      <c r="R148" s="19" t="str">
        <f t="shared" si="17"/>
        <v/>
      </c>
      <c r="S148" s="27" t="str">
        <f t="shared" si="26"/>
        <v/>
      </c>
      <c r="T148" s="28" t="str">
        <f t="shared" si="26"/>
        <v/>
      </c>
      <c r="U148" s="28" t="str">
        <f t="shared" si="26"/>
        <v/>
      </c>
      <c r="V148" s="28" t="str">
        <f t="shared" si="26"/>
        <v/>
      </c>
      <c r="W148" s="28" t="str">
        <f t="shared" si="26"/>
        <v/>
      </c>
      <c r="X148" s="29" t="str">
        <f t="shared" si="26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16"/>
        <v/>
      </c>
      <c r="L149" s="19" t="str">
        <f t="shared" si="24"/>
        <v/>
      </c>
      <c r="M149" s="19" t="str">
        <f t="shared" si="23"/>
        <v/>
      </c>
      <c r="N149" s="19" t="str">
        <f t="shared" si="23"/>
        <v/>
      </c>
      <c r="O149" s="19" t="str">
        <f t="shared" si="19"/>
        <v/>
      </c>
      <c r="P149" s="19" t="str">
        <f t="shared" si="20"/>
        <v/>
      </c>
      <c r="Q149" s="19" t="str">
        <f t="shared" si="21"/>
        <v/>
      </c>
      <c r="R149" s="19" t="str">
        <f t="shared" si="17"/>
        <v/>
      </c>
      <c r="S149" s="27" t="str">
        <f t="shared" si="26"/>
        <v/>
      </c>
      <c r="T149" s="28" t="str">
        <f t="shared" si="26"/>
        <v/>
      </c>
      <c r="U149" s="28" t="str">
        <f t="shared" si="26"/>
        <v/>
      </c>
      <c r="V149" s="28" t="str">
        <f t="shared" si="26"/>
        <v/>
      </c>
      <c r="W149" s="28" t="str">
        <f t="shared" si="26"/>
        <v/>
      </c>
      <c r="X149" s="29" t="str">
        <f t="shared" si="26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16"/>
        <v/>
      </c>
      <c r="L150" s="19" t="str">
        <f t="shared" si="24"/>
        <v/>
      </c>
      <c r="M150" s="19" t="str">
        <f t="shared" si="23"/>
        <v/>
      </c>
      <c r="N150" s="19" t="str">
        <f t="shared" si="23"/>
        <v/>
      </c>
      <c r="O150" s="19" t="str">
        <f t="shared" si="19"/>
        <v/>
      </c>
      <c r="P150" s="19" t="str">
        <f t="shared" si="20"/>
        <v/>
      </c>
      <c r="Q150" s="19" t="str">
        <f t="shared" si="21"/>
        <v/>
      </c>
      <c r="R150" s="19" t="str">
        <f t="shared" si="17"/>
        <v/>
      </c>
      <c r="S150" s="27" t="str">
        <f t="shared" si="26"/>
        <v/>
      </c>
      <c r="T150" s="28" t="str">
        <f t="shared" si="26"/>
        <v/>
      </c>
      <c r="U150" s="28" t="str">
        <f t="shared" si="26"/>
        <v/>
      </c>
      <c r="V150" s="28" t="str">
        <f t="shared" si="26"/>
        <v/>
      </c>
      <c r="W150" s="28" t="str">
        <f t="shared" si="26"/>
        <v/>
      </c>
      <c r="X150" s="29" t="str">
        <f t="shared" si="26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>IF(ISBLANK(J151),"",(J151-$J$8))</f>
        <v/>
      </c>
      <c r="L151" s="19" t="str">
        <f t="shared" si="24"/>
        <v/>
      </c>
      <c r="M151" s="19" t="str">
        <f t="shared" si="23"/>
        <v/>
      </c>
      <c r="N151" s="19" t="str">
        <f t="shared" si="23"/>
        <v/>
      </c>
      <c r="O151" s="19" t="str">
        <f t="shared" si="19"/>
        <v/>
      </c>
      <c r="P151" s="19" t="str">
        <f t="shared" si="20"/>
        <v/>
      </c>
      <c r="Q151" s="19" t="str">
        <f t="shared" si="21"/>
        <v/>
      </c>
      <c r="R151" s="19" t="str">
        <f t="shared" si="17"/>
        <v/>
      </c>
      <c r="S151" s="27" t="str">
        <f t="shared" si="26"/>
        <v/>
      </c>
      <c r="T151" s="28" t="str">
        <f t="shared" si="26"/>
        <v/>
      </c>
      <c r="U151" s="28" t="str">
        <f t="shared" si="26"/>
        <v/>
      </c>
      <c r="V151" s="28" t="str">
        <f t="shared" si="26"/>
        <v/>
      </c>
      <c r="W151" s="28" t="str">
        <f t="shared" si="26"/>
        <v/>
      </c>
      <c r="X151" s="29" t="str">
        <f t="shared" si="26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>IF(ISBLANK(J152),"",(J152-$J$8))</f>
        <v/>
      </c>
      <c r="L152" s="19" t="str">
        <f t="shared" si="24"/>
        <v/>
      </c>
      <c r="M152" s="19" t="str">
        <f t="shared" si="23"/>
        <v/>
      </c>
      <c r="N152" s="19" t="str">
        <f t="shared" si="23"/>
        <v/>
      </c>
      <c r="O152" s="19" t="str">
        <f t="shared" si="19"/>
        <v/>
      </c>
      <c r="P152" s="19" t="str">
        <f t="shared" si="20"/>
        <v/>
      </c>
      <c r="Q152" s="19" t="str">
        <f t="shared" si="21"/>
        <v/>
      </c>
      <c r="R152" s="19" t="str">
        <f t="shared" si="17"/>
        <v/>
      </c>
      <c r="S152" s="27" t="str">
        <f t="shared" si="26"/>
        <v/>
      </c>
      <c r="T152" s="28" t="str">
        <f t="shared" si="26"/>
        <v/>
      </c>
      <c r="U152" s="28" t="str">
        <f t="shared" si="26"/>
        <v/>
      </c>
      <c r="V152" s="28" t="str">
        <f t="shared" si="26"/>
        <v/>
      </c>
      <c r="W152" s="28" t="str">
        <f t="shared" si="26"/>
        <v/>
      </c>
      <c r="X152" s="29" t="str">
        <f t="shared" si="26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>IF(ISBLANK(J153),"",(J153-$J$8))</f>
        <v/>
      </c>
      <c r="L153" s="19" t="str">
        <f t="shared" si="24"/>
        <v/>
      </c>
      <c r="M153" s="19" t="str">
        <f t="shared" si="23"/>
        <v/>
      </c>
      <c r="N153" s="19" t="str">
        <f t="shared" si="23"/>
        <v/>
      </c>
      <c r="O153" s="19" t="str">
        <f t="shared" si="19"/>
        <v/>
      </c>
      <c r="P153" s="19" t="str">
        <f t="shared" si="20"/>
        <v/>
      </c>
      <c r="Q153" s="19" t="str">
        <f t="shared" si="21"/>
        <v/>
      </c>
      <c r="R153" s="19" t="str">
        <f t="shared" si="17"/>
        <v/>
      </c>
      <c r="S153" s="27" t="str">
        <f t="shared" si="26"/>
        <v/>
      </c>
      <c r="T153" s="28" t="str">
        <f t="shared" si="26"/>
        <v/>
      </c>
      <c r="U153" s="28" t="str">
        <f t="shared" si="26"/>
        <v/>
      </c>
      <c r="V153" s="28" t="str">
        <f t="shared" si="26"/>
        <v/>
      </c>
      <c r="W153" s="28" t="str">
        <f t="shared" si="26"/>
        <v/>
      </c>
      <c r="X153" s="29" t="str">
        <f t="shared" si="26"/>
        <v/>
      </c>
      <c r="Y153" s="24"/>
    </row>
  </sheetData>
  <sheetProtection selectLockedCells="1"/>
  <mergeCells count="38">
    <mergeCell ref="Y13:Y15"/>
    <mergeCell ref="C14:E14"/>
    <mergeCell ref="F14:H14"/>
    <mergeCell ref="B5:D8"/>
    <mergeCell ref="E5:I5"/>
    <mergeCell ref="J5:Q5"/>
    <mergeCell ref="R5:V5"/>
    <mergeCell ref="S13:X14"/>
    <mergeCell ref="W8:Y8"/>
    <mergeCell ref="J14:K14"/>
    <mergeCell ref="E8:I8"/>
    <mergeCell ref="J8:Q8"/>
    <mergeCell ref="I14:I15"/>
    <mergeCell ref="B13:B15"/>
    <mergeCell ref="C13:K13"/>
    <mergeCell ref="L13:R14"/>
    <mergeCell ref="A1:J1"/>
    <mergeCell ref="E2:Q2"/>
    <mergeCell ref="R2:X4"/>
    <mergeCell ref="W5:Y5"/>
    <mergeCell ref="E6:I6"/>
    <mergeCell ref="J6:Q6"/>
    <mergeCell ref="R6:V6"/>
    <mergeCell ref="Y2:Y4"/>
    <mergeCell ref="E3:Q3"/>
    <mergeCell ref="E4:Q4"/>
    <mergeCell ref="W6:Y6"/>
    <mergeCell ref="AA9:AI9"/>
    <mergeCell ref="B10:J12"/>
    <mergeCell ref="K10:S12"/>
    <mergeCell ref="T10:Y12"/>
    <mergeCell ref="B9:O9"/>
    <mergeCell ref="P9:Y9"/>
    <mergeCell ref="R8:V8"/>
    <mergeCell ref="W7:Y7"/>
    <mergeCell ref="J7:Q7"/>
    <mergeCell ref="R7:V7"/>
    <mergeCell ref="E7:I7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6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27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TZ-24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52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41754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41758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/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350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608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13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43">
        <v>41759</v>
      </c>
      <c r="C16" s="35">
        <v>12.467000000000001</v>
      </c>
      <c r="D16" s="36">
        <v>7.3760000000000003</v>
      </c>
      <c r="E16" s="36">
        <v>7.6539999999999999</v>
      </c>
      <c r="F16" s="37"/>
      <c r="G16" s="37"/>
      <c r="H16" s="37"/>
      <c r="I16" s="38">
        <v>102.929</v>
      </c>
      <c r="J16" s="68">
        <v>623</v>
      </c>
      <c r="K16" s="55">
        <f t="shared" ref="K16:K22" si="0">IF(ISBLANK(J16),"",(J16-$J$8))</f>
        <v>15</v>
      </c>
      <c r="L16" s="19">
        <f t="shared" ref="L16:L22" si="1">IF(ISBLANK(C16),"",(C16-C$16)*1000)</f>
        <v>0</v>
      </c>
      <c r="M16" s="19">
        <f t="shared" ref="M16:M22" si="2">IF(ISBLANK(D16),"",(D16-D$16)*1000)</f>
        <v>0</v>
      </c>
      <c r="N16" s="19">
        <f t="shared" ref="N16:N47" si="3">IF(ISBLANK(E16),"",(E16-E$16)*1000)</f>
        <v>0</v>
      </c>
      <c r="O16" s="20"/>
      <c r="P16" s="20"/>
      <c r="Q16" s="20"/>
      <c r="R16" s="21">
        <f t="shared" ref="R16:R47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41764</v>
      </c>
      <c r="C17" s="25">
        <v>12.467000000000001</v>
      </c>
      <c r="D17" s="26">
        <v>7.3760000000000003</v>
      </c>
      <c r="E17" s="26">
        <v>7.6539999999999999</v>
      </c>
      <c r="F17" s="16"/>
      <c r="G17" s="16"/>
      <c r="H17" s="16"/>
      <c r="I17" s="17">
        <v>102.928</v>
      </c>
      <c r="J17" s="58">
        <v>659</v>
      </c>
      <c r="K17" s="18">
        <f t="shared" si="0"/>
        <v>51</v>
      </c>
      <c r="L17" s="19">
        <f t="shared" si="1"/>
        <v>0</v>
      </c>
      <c r="M17" s="19">
        <f t="shared" si="2"/>
        <v>0</v>
      </c>
      <c r="N17" s="19">
        <f t="shared" si="3"/>
        <v>0</v>
      </c>
      <c r="O17" s="19" t="str">
        <f t="shared" ref="O17:Q21" si="5">IF(ISBLANK(F17),"",(F17-F$16)*1000)</f>
        <v/>
      </c>
      <c r="P17" s="19" t="str">
        <f t="shared" si="5"/>
        <v/>
      </c>
      <c r="Q17" s="19" t="str">
        <f t="shared" si="5"/>
        <v/>
      </c>
      <c r="R17" s="19">
        <f t="shared" si="4"/>
        <v>-1.0000000000047748</v>
      </c>
      <c r="S17" s="27">
        <f t="shared" ref="S17:S48" si="6">IF(C17="","",((C17-C16)*1000)/($B17-$B16))</f>
        <v>0</v>
      </c>
      <c r="T17" s="28">
        <f t="shared" ref="T17:T48" si="7">IF(D17="","",((D17-D16)*1000)/($B17-$B16))</f>
        <v>0</v>
      </c>
      <c r="U17" s="28">
        <f t="shared" ref="U17:U48" si="8">IF(E17="","",((E17-E16)*1000)/($B17-$B16))</f>
        <v>0</v>
      </c>
      <c r="V17" s="28" t="str">
        <f t="shared" ref="V17:V48" si="9">IF(F17="","",((F17-F16)*1000)/($B17-$B16))</f>
        <v/>
      </c>
      <c r="W17" s="28" t="str">
        <f t="shared" ref="W17:W48" si="10">IF(G17="","",((G17-G16)*1000)/($B17-$B16))</f>
        <v/>
      </c>
      <c r="X17" s="29" t="str">
        <f t="shared" ref="X17:X48" si="11">IF(H17="","",((H17-H16)*1000)/($B17-$B16))</f>
        <v/>
      </c>
      <c r="Y17" s="24"/>
    </row>
    <row r="18" spans="2:25" ht="15" customHeight="1" x14ac:dyDescent="0.2">
      <c r="B18" s="31">
        <v>41765</v>
      </c>
      <c r="C18" s="25">
        <v>12.467000000000001</v>
      </c>
      <c r="D18" s="26">
        <v>7.3760000000000003</v>
      </c>
      <c r="E18" s="26">
        <v>7.6529999999999996</v>
      </c>
      <c r="F18" s="16"/>
      <c r="G18" s="16"/>
      <c r="H18" s="16"/>
      <c r="I18" s="17">
        <v>102.928</v>
      </c>
      <c r="J18" s="58">
        <v>668</v>
      </c>
      <c r="K18" s="18">
        <f t="shared" si="0"/>
        <v>60</v>
      </c>
      <c r="L18" s="19">
        <f t="shared" si="1"/>
        <v>0</v>
      </c>
      <c r="M18" s="19">
        <f t="shared" si="2"/>
        <v>0</v>
      </c>
      <c r="N18" s="19">
        <f t="shared" si="3"/>
        <v>-1.000000000000334</v>
      </c>
      <c r="O18" s="19" t="str">
        <f t="shared" si="5"/>
        <v/>
      </c>
      <c r="P18" s="19" t="str">
        <f t="shared" si="5"/>
        <v/>
      </c>
      <c r="Q18" s="19" t="str">
        <f t="shared" si="5"/>
        <v/>
      </c>
      <c r="R18" s="19">
        <f t="shared" si="4"/>
        <v>-1.0000000000047748</v>
      </c>
      <c r="S18" s="27">
        <f t="shared" si="6"/>
        <v>0</v>
      </c>
      <c r="T18" s="28">
        <f t="shared" si="7"/>
        <v>0</v>
      </c>
      <c r="U18" s="28">
        <f t="shared" si="8"/>
        <v>-1.000000000000334</v>
      </c>
      <c r="V18" s="28" t="str">
        <f t="shared" si="9"/>
        <v/>
      </c>
      <c r="W18" s="28" t="str">
        <f t="shared" si="10"/>
        <v/>
      </c>
      <c r="X18" s="29" t="str">
        <f t="shared" si="11"/>
        <v/>
      </c>
      <c r="Y18" s="24"/>
    </row>
    <row r="19" spans="2:25" ht="15" customHeight="1" x14ac:dyDescent="0.2">
      <c r="B19" s="31">
        <v>41766</v>
      </c>
      <c r="C19" s="25">
        <v>12.467000000000001</v>
      </c>
      <c r="D19" s="26">
        <v>7.3760000000000003</v>
      </c>
      <c r="E19" s="26">
        <v>7.6529999999999996</v>
      </c>
      <c r="F19" s="16"/>
      <c r="G19" s="16"/>
      <c r="H19" s="16"/>
      <c r="I19" s="17">
        <v>102.928</v>
      </c>
      <c r="J19" s="58">
        <v>677</v>
      </c>
      <c r="K19" s="18">
        <f t="shared" si="0"/>
        <v>69</v>
      </c>
      <c r="L19" s="19">
        <f t="shared" si="1"/>
        <v>0</v>
      </c>
      <c r="M19" s="19">
        <f t="shared" si="2"/>
        <v>0</v>
      </c>
      <c r="N19" s="19">
        <f t="shared" si="3"/>
        <v>-1.000000000000334</v>
      </c>
      <c r="O19" s="19" t="str">
        <f t="shared" si="5"/>
        <v/>
      </c>
      <c r="P19" s="19" t="str">
        <f t="shared" si="5"/>
        <v/>
      </c>
      <c r="Q19" s="19" t="str">
        <f t="shared" si="5"/>
        <v/>
      </c>
      <c r="R19" s="19">
        <f t="shared" si="4"/>
        <v>-1.0000000000047748</v>
      </c>
      <c r="S19" s="27">
        <f t="shared" si="6"/>
        <v>0</v>
      </c>
      <c r="T19" s="28">
        <f t="shared" si="7"/>
        <v>0</v>
      </c>
      <c r="U19" s="28">
        <f t="shared" si="8"/>
        <v>0</v>
      </c>
      <c r="V19" s="28" t="str">
        <f t="shared" si="9"/>
        <v/>
      </c>
      <c r="W19" s="28" t="str">
        <f t="shared" si="10"/>
        <v/>
      </c>
      <c r="X19" s="29" t="str">
        <f t="shared" si="11"/>
        <v/>
      </c>
      <c r="Y19" s="24"/>
    </row>
    <row r="20" spans="2:25" ht="15" customHeight="1" x14ac:dyDescent="0.2">
      <c r="B20" s="31">
        <v>41781</v>
      </c>
      <c r="C20" s="25">
        <v>12.467000000000001</v>
      </c>
      <c r="D20" s="26">
        <v>7.3760000000000003</v>
      </c>
      <c r="E20" s="26">
        <v>7.6529999999999996</v>
      </c>
      <c r="F20" s="16"/>
      <c r="G20" s="16"/>
      <c r="H20" s="16"/>
      <c r="I20" s="17">
        <v>102.929</v>
      </c>
      <c r="J20" s="58">
        <v>792</v>
      </c>
      <c r="K20" s="18">
        <f t="shared" si="0"/>
        <v>184</v>
      </c>
      <c r="L20" s="19">
        <f t="shared" si="1"/>
        <v>0</v>
      </c>
      <c r="M20" s="19">
        <f t="shared" si="2"/>
        <v>0</v>
      </c>
      <c r="N20" s="19">
        <f t="shared" si="3"/>
        <v>-1.000000000000334</v>
      </c>
      <c r="O20" s="19" t="str">
        <f t="shared" si="5"/>
        <v/>
      </c>
      <c r="P20" s="19" t="str">
        <f t="shared" si="5"/>
        <v/>
      </c>
      <c r="Q20" s="19" t="str">
        <f t="shared" si="5"/>
        <v/>
      </c>
      <c r="R20" s="19">
        <f t="shared" si="4"/>
        <v>0</v>
      </c>
      <c r="S20" s="27">
        <f t="shared" si="6"/>
        <v>0</v>
      </c>
      <c r="T20" s="28">
        <f t="shared" si="7"/>
        <v>0</v>
      </c>
      <c r="U20" s="28">
        <f t="shared" si="8"/>
        <v>0</v>
      </c>
      <c r="V20" s="28" t="str">
        <f t="shared" si="9"/>
        <v/>
      </c>
      <c r="W20" s="28" t="str">
        <f t="shared" si="10"/>
        <v/>
      </c>
      <c r="X20" s="29" t="str">
        <f t="shared" si="11"/>
        <v/>
      </c>
      <c r="Y20" s="24"/>
    </row>
    <row r="21" spans="2:25" ht="15" customHeight="1" x14ac:dyDescent="0.2">
      <c r="B21" s="31">
        <v>41813</v>
      </c>
      <c r="C21" s="25">
        <v>12.467000000000001</v>
      </c>
      <c r="D21" s="26">
        <v>7.3760000000000003</v>
      </c>
      <c r="E21" s="26">
        <v>7.6529999999999996</v>
      </c>
      <c r="F21" s="16"/>
      <c r="G21" s="16"/>
      <c r="H21" s="16"/>
      <c r="I21" s="17">
        <v>102.929</v>
      </c>
      <c r="J21" s="58">
        <v>574</v>
      </c>
      <c r="K21" s="18">
        <f t="shared" si="0"/>
        <v>-34</v>
      </c>
      <c r="L21" s="19">
        <f t="shared" si="1"/>
        <v>0</v>
      </c>
      <c r="M21" s="19">
        <f t="shared" si="2"/>
        <v>0</v>
      </c>
      <c r="N21" s="19">
        <f t="shared" si="3"/>
        <v>-1.000000000000334</v>
      </c>
      <c r="O21" s="19" t="str">
        <f t="shared" si="5"/>
        <v/>
      </c>
      <c r="P21" s="19" t="str">
        <f t="shared" si="5"/>
        <v/>
      </c>
      <c r="Q21" s="19" t="str">
        <f t="shared" si="5"/>
        <v/>
      </c>
      <c r="R21" s="19">
        <f t="shared" si="4"/>
        <v>0</v>
      </c>
      <c r="S21" s="27">
        <f t="shared" si="6"/>
        <v>0</v>
      </c>
      <c r="T21" s="28">
        <f t="shared" si="7"/>
        <v>0</v>
      </c>
      <c r="U21" s="28">
        <f t="shared" si="8"/>
        <v>0</v>
      </c>
      <c r="V21" s="28" t="str">
        <f t="shared" si="9"/>
        <v/>
      </c>
      <c r="W21" s="28" t="str">
        <f t="shared" si="10"/>
        <v/>
      </c>
      <c r="X21" s="29" t="str">
        <f t="shared" si="11"/>
        <v/>
      </c>
      <c r="Y21" s="24"/>
    </row>
    <row r="22" spans="2:25" ht="15" customHeight="1" x14ac:dyDescent="0.2">
      <c r="B22" s="31">
        <v>41820</v>
      </c>
      <c r="C22" s="64">
        <v>12.465</v>
      </c>
      <c r="D22" s="65">
        <v>7.3760000000000003</v>
      </c>
      <c r="E22" s="26">
        <v>7.6520000000000001</v>
      </c>
      <c r="F22" s="16">
        <v>13.173999999999999</v>
      </c>
      <c r="G22" s="16">
        <v>10.215</v>
      </c>
      <c r="H22" s="16">
        <v>10.481999999999999</v>
      </c>
      <c r="I22" s="17">
        <v>102.928</v>
      </c>
      <c r="J22" s="58">
        <v>645</v>
      </c>
      <c r="K22" s="18">
        <f t="shared" si="0"/>
        <v>37</v>
      </c>
      <c r="L22" s="19">
        <f t="shared" si="1"/>
        <v>-2.0000000000006679</v>
      </c>
      <c r="M22" s="19">
        <f t="shared" si="2"/>
        <v>0</v>
      </c>
      <c r="N22" s="19">
        <f t="shared" si="3"/>
        <v>-1.9999999999997797</v>
      </c>
      <c r="O22" s="19">
        <f>IF(ISBLANK(F22),"",((F22-F$22)*1000)+L$22)</f>
        <v>-2.0000000000006679</v>
      </c>
      <c r="P22" s="19">
        <f>IF(ISBLANK(G22),"",((G22-G$22)*1000)+M$22)</f>
        <v>0</v>
      </c>
      <c r="Q22" s="19">
        <f>IF(ISBLANK(H22),"",((H22-H$22)*1000)+N$22)</f>
        <v>-1.9999999999997797</v>
      </c>
      <c r="R22" s="19">
        <f t="shared" si="4"/>
        <v>-1.0000000000047748</v>
      </c>
      <c r="S22" s="27">
        <f t="shared" si="6"/>
        <v>-0.28571428571438112</v>
      </c>
      <c r="T22" s="28">
        <f t="shared" si="7"/>
        <v>0</v>
      </c>
      <c r="U22" s="28">
        <f t="shared" si="8"/>
        <v>-0.14285714285706369</v>
      </c>
      <c r="V22" s="28"/>
      <c r="W22" s="28"/>
      <c r="X22" s="29"/>
      <c r="Y22" s="24"/>
    </row>
    <row r="23" spans="2:25" ht="15" customHeight="1" x14ac:dyDescent="0.2">
      <c r="B23" s="31">
        <v>41822</v>
      </c>
      <c r="C23" s="82">
        <v>12.493</v>
      </c>
      <c r="D23" s="45">
        <v>7.4009999999999998</v>
      </c>
      <c r="E23" s="26">
        <v>7.6529999999999996</v>
      </c>
      <c r="F23" s="16">
        <v>13.173</v>
      </c>
      <c r="G23" s="16">
        <v>10.215</v>
      </c>
      <c r="H23" s="16">
        <v>10.481999999999999</v>
      </c>
      <c r="I23" s="17">
        <v>102.928</v>
      </c>
      <c r="J23" s="58">
        <v>686</v>
      </c>
      <c r="K23" s="18">
        <f t="shared" ref="K23:K29" si="12">IF(ISBLANK(J23),"",(J23-$J$8))</f>
        <v>78</v>
      </c>
      <c r="L23" s="19">
        <f>IF(ISBLANK(C23),"",((C23-C$23)*1000)+L$22)</f>
        <v>-2.0000000000006679</v>
      </c>
      <c r="M23" s="19">
        <f>IF(ISBLANK(D23),"",((D23-D$23)*1000)+M$22)</f>
        <v>0</v>
      </c>
      <c r="N23" s="19">
        <f t="shared" si="3"/>
        <v>-1.000000000000334</v>
      </c>
      <c r="O23" s="19">
        <f t="shared" ref="O23:O86" si="13">IF(ISBLANK(F23),"",((F23-F$22)*1000)+L$22)</f>
        <v>-3.0000000000001137</v>
      </c>
      <c r="P23" s="19">
        <f t="shared" ref="P23:P86" si="14">IF(ISBLANK(G23),"",((G23-G$22)*1000)+M$22)</f>
        <v>0</v>
      </c>
      <c r="Q23" s="19">
        <f t="shared" ref="Q23:Q86" si="15">IF(ISBLANK(H23),"",((H23-H$22)*1000)+N$22)</f>
        <v>-1.9999999999997797</v>
      </c>
      <c r="R23" s="19">
        <f t="shared" si="4"/>
        <v>-1.0000000000047748</v>
      </c>
      <c r="S23" s="27">
        <f t="shared" si="6"/>
        <v>14.000000000000234</v>
      </c>
      <c r="T23" s="28">
        <f t="shared" si="7"/>
        <v>12.499999999999734</v>
      </c>
      <c r="U23" s="28">
        <f t="shared" si="8"/>
        <v>0.49999999999972289</v>
      </c>
      <c r="V23" s="28">
        <f t="shared" si="9"/>
        <v>-0.49999999999972289</v>
      </c>
      <c r="W23" s="28">
        <f t="shared" si="10"/>
        <v>0</v>
      </c>
      <c r="X23" s="29">
        <f t="shared" si="11"/>
        <v>0</v>
      </c>
      <c r="Y23" s="49" t="s">
        <v>53</v>
      </c>
    </row>
    <row r="24" spans="2:25" ht="15" customHeight="1" x14ac:dyDescent="0.2">
      <c r="B24" s="31">
        <v>41823</v>
      </c>
      <c r="C24" s="25">
        <v>12.492000000000001</v>
      </c>
      <c r="D24" s="26">
        <v>7.4009999999999998</v>
      </c>
      <c r="E24" s="26">
        <v>7.6520000000000001</v>
      </c>
      <c r="F24" s="16">
        <v>13.173999999999999</v>
      </c>
      <c r="G24" s="16">
        <v>10.215</v>
      </c>
      <c r="H24" s="16">
        <v>10.483000000000001</v>
      </c>
      <c r="I24" s="17">
        <v>102.928</v>
      </c>
      <c r="J24" s="58">
        <v>703</v>
      </c>
      <c r="K24" s="18">
        <f t="shared" si="12"/>
        <v>95</v>
      </c>
      <c r="L24" s="19">
        <f t="shared" ref="L24:L87" si="16">IF(ISBLANK(C24),"",((C24-C$23)*1000)+L$22)</f>
        <v>-3.0000000000001137</v>
      </c>
      <c r="M24" s="19">
        <f t="shared" ref="M24:M87" si="17">IF(ISBLANK(D24),"",((D24-D$23)*1000)+M$22)</f>
        <v>0</v>
      </c>
      <c r="N24" s="19">
        <f t="shared" si="3"/>
        <v>-1.9999999999997797</v>
      </c>
      <c r="O24" s="19">
        <f t="shared" si="13"/>
        <v>-2.0000000000006679</v>
      </c>
      <c r="P24" s="19">
        <f t="shared" si="14"/>
        <v>0</v>
      </c>
      <c r="Q24" s="19">
        <f t="shared" si="15"/>
        <v>-0.9999999999985576</v>
      </c>
      <c r="R24" s="19">
        <f t="shared" si="4"/>
        <v>-1.0000000000047748</v>
      </c>
      <c r="S24" s="27">
        <f t="shared" si="6"/>
        <v>-0.99999999999944578</v>
      </c>
      <c r="T24" s="28">
        <f t="shared" si="7"/>
        <v>0</v>
      </c>
      <c r="U24" s="28">
        <f t="shared" si="8"/>
        <v>-0.99999999999944578</v>
      </c>
      <c r="V24" s="28">
        <f t="shared" si="9"/>
        <v>0.99999999999944578</v>
      </c>
      <c r="W24" s="28">
        <f t="shared" si="10"/>
        <v>0</v>
      </c>
      <c r="X24" s="29">
        <f t="shared" si="11"/>
        <v>1.0000000000012221</v>
      </c>
      <c r="Y24" s="24"/>
    </row>
    <row r="25" spans="2:25" ht="15" customHeight="1" x14ac:dyDescent="0.2">
      <c r="B25" s="31">
        <v>41824</v>
      </c>
      <c r="C25" s="25">
        <v>12.493</v>
      </c>
      <c r="D25" s="26">
        <v>7.4009999999999998</v>
      </c>
      <c r="E25" s="26">
        <v>7.6520000000000001</v>
      </c>
      <c r="F25" s="16">
        <v>13.173</v>
      </c>
      <c r="G25" s="16">
        <v>10.215</v>
      </c>
      <c r="H25" s="16">
        <v>10.481999999999999</v>
      </c>
      <c r="I25" s="17">
        <v>102.928</v>
      </c>
      <c r="J25" s="58">
        <v>725</v>
      </c>
      <c r="K25" s="18">
        <f t="shared" si="12"/>
        <v>117</v>
      </c>
      <c r="L25" s="19">
        <f t="shared" si="16"/>
        <v>-2.0000000000006679</v>
      </c>
      <c r="M25" s="19">
        <f t="shared" si="17"/>
        <v>0</v>
      </c>
      <c r="N25" s="19">
        <f t="shared" si="3"/>
        <v>-1.9999999999997797</v>
      </c>
      <c r="O25" s="19">
        <f t="shared" si="13"/>
        <v>-3.0000000000001137</v>
      </c>
      <c r="P25" s="19">
        <f t="shared" si="14"/>
        <v>0</v>
      </c>
      <c r="Q25" s="19">
        <f t="shared" si="15"/>
        <v>-1.9999999999997797</v>
      </c>
      <c r="R25" s="19">
        <f t="shared" si="4"/>
        <v>-1.0000000000047748</v>
      </c>
      <c r="S25" s="27">
        <f t="shared" si="6"/>
        <v>0.99999999999944578</v>
      </c>
      <c r="T25" s="28">
        <f t="shared" si="7"/>
        <v>0</v>
      </c>
      <c r="U25" s="28">
        <f t="shared" si="8"/>
        <v>0</v>
      </c>
      <c r="V25" s="28">
        <f t="shared" si="9"/>
        <v>-0.99999999999944578</v>
      </c>
      <c r="W25" s="28">
        <f t="shared" si="10"/>
        <v>0</v>
      </c>
      <c r="X25" s="29">
        <f t="shared" si="11"/>
        <v>-1.0000000000012221</v>
      </c>
      <c r="Y25" s="24"/>
    </row>
    <row r="26" spans="2:25" ht="15" customHeight="1" x14ac:dyDescent="0.2">
      <c r="B26" s="31">
        <v>41829</v>
      </c>
      <c r="C26" s="25">
        <v>12.493</v>
      </c>
      <c r="D26" s="26">
        <v>7.4</v>
      </c>
      <c r="E26" s="26">
        <v>7.6520000000000001</v>
      </c>
      <c r="F26" s="16">
        <v>13.173</v>
      </c>
      <c r="G26" s="16">
        <v>10.215</v>
      </c>
      <c r="H26" s="16">
        <v>10.481999999999999</v>
      </c>
      <c r="I26" s="17">
        <v>102.928</v>
      </c>
      <c r="J26" s="58">
        <v>793</v>
      </c>
      <c r="K26" s="18">
        <f t="shared" si="12"/>
        <v>185</v>
      </c>
      <c r="L26" s="19">
        <f t="shared" si="16"/>
        <v>-2.0000000000006679</v>
      </c>
      <c r="M26" s="19">
        <f t="shared" si="17"/>
        <v>-0.99999999999944578</v>
      </c>
      <c r="N26" s="19">
        <f t="shared" si="3"/>
        <v>-1.9999999999997797</v>
      </c>
      <c r="O26" s="19">
        <f t="shared" si="13"/>
        <v>-3.0000000000001137</v>
      </c>
      <c r="P26" s="19">
        <f t="shared" si="14"/>
        <v>0</v>
      </c>
      <c r="Q26" s="19">
        <f t="shared" si="15"/>
        <v>-1.9999999999997797</v>
      </c>
      <c r="R26" s="19">
        <f t="shared" si="4"/>
        <v>-1.0000000000047748</v>
      </c>
      <c r="S26" s="27">
        <f t="shared" si="6"/>
        <v>0</v>
      </c>
      <c r="T26" s="28">
        <f t="shared" si="7"/>
        <v>-0.19999999999988916</v>
      </c>
      <c r="U26" s="28">
        <f t="shared" si="8"/>
        <v>0</v>
      </c>
      <c r="V26" s="28">
        <f t="shared" si="9"/>
        <v>0</v>
      </c>
      <c r="W26" s="28">
        <f t="shared" si="10"/>
        <v>0</v>
      </c>
      <c r="X26" s="29">
        <f t="shared" si="11"/>
        <v>0</v>
      </c>
      <c r="Y26" s="24"/>
    </row>
    <row r="27" spans="2:25" ht="15" customHeight="1" x14ac:dyDescent="0.2">
      <c r="B27" s="31">
        <v>41830</v>
      </c>
      <c r="C27" s="25">
        <v>12.492000000000001</v>
      </c>
      <c r="D27" s="26">
        <v>7.4</v>
      </c>
      <c r="E27" s="26">
        <v>7.6529999999999996</v>
      </c>
      <c r="F27" s="16">
        <v>13.173</v>
      </c>
      <c r="G27" s="16">
        <v>10.215</v>
      </c>
      <c r="H27" s="16">
        <v>10.481999999999999</v>
      </c>
      <c r="I27" s="17">
        <v>102.92700000000001</v>
      </c>
      <c r="J27" s="58">
        <v>808</v>
      </c>
      <c r="K27" s="18">
        <f t="shared" si="12"/>
        <v>200</v>
      </c>
      <c r="L27" s="19">
        <f t="shared" si="16"/>
        <v>-3.0000000000001137</v>
      </c>
      <c r="M27" s="19">
        <f t="shared" si="17"/>
        <v>-0.99999999999944578</v>
      </c>
      <c r="N27" s="19">
        <f t="shared" si="3"/>
        <v>-1.000000000000334</v>
      </c>
      <c r="O27" s="19">
        <f t="shared" si="13"/>
        <v>-3.0000000000001137</v>
      </c>
      <c r="P27" s="19">
        <f t="shared" si="14"/>
        <v>0</v>
      </c>
      <c r="Q27" s="19">
        <f t="shared" si="15"/>
        <v>-1.9999999999997797</v>
      </c>
      <c r="R27" s="19">
        <f t="shared" si="4"/>
        <v>-1.9999999999953388</v>
      </c>
      <c r="S27" s="27">
        <f t="shared" si="6"/>
        <v>-0.99999999999944578</v>
      </c>
      <c r="T27" s="28">
        <f t="shared" si="7"/>
        <v>0</v>
      </c>
      <c r="U27" s="28">
        <f t="shared" si="8"/>
        <v>0.99999999999944578</v>
      </c>
      <c r="V27" s="28">
        <f t="shared" si="9"/>
        <v>0</v>
      </c>
      <c r="W27" s="28">
        <f t="shared" si="10"/>
        <v>0</v>
      </c>
      <c r="X27" s="29">
        <f t="shared" si="11"/>
        <v>0</v>
      </c>
      <c r="Y27" s="24"/>
    </row>
    <row r="28" spans="2:25" ht="15" customHeight="1" x14ac:dyDescent="0.2">
      <c r="B28" s="31">
        <v>41834</v>
      </c>
      <c r="C28" s="25">
        <v>12.492000000000001</v>
      </c>
      <c r="D28" s="26">
        <v>7.4</v>
      </c>
      <c r="E28" s="26">
        <v>7.6520000000000001</v>
      </c>
      <c r="F28" s="16">
        <v>13.173</v>
      </c>
      <c r="G28" s="16">
        <v>10.215</v>
      </c>
      <c r="H28" s="16">
        <v>10.481999999999999</v>
      </c>
      <c r="I28" s="17">
        <v>102.92700000000001</v>
      </c>
      <c r="J28" s="58">
        <v>845</v>
      </c>
      <c r="K28" s="18">
        <f t="shared" si="12"/>
        <v>237</v>
      </c>
      <c r="L28" s="19">
        <f t="shared" si="16"/>
        <v>-3.0000000000001137</v>
      </c>
      <c r="M28" s="19">
        <f t="shared" si="17"/>
        <v>-0.99999999999944578</v>
      </c>
      <c r="N28" s="19">
        <f t="shared" si="3"/>
        <v>-1.9999999999997797</v>
      </c>
      <c r="O28" s="19">
        <f t="shared" si="13"/>
        <v>-3.0000000000001137</v>
      </c>
      <c r="P28" s="19">
        <f t="shared" si="14"/>
        <v>0</v>
      </c>
      <c r="Q28" s="19">
        <f t="shared" si="15"/>
        <v>-1.9999999999997797</v>
      </c>
      <c r="R28" s="19">
        <f t="shared" si="4"/>
        <v>-1.9999999999953388</v>
      </c>
      <c r="S28" s="27">
        <f t="shared" si="6"/>
        <v>0</v>
      </c>
      <c r="T28" s="28">
        <f t="shared" si="7"/>
        <v>0</v>
      </c>
      <c r="U28" s="28">
        <f t="shared" si="8"/>
        <v>-0.24999999999986144</v>
      </c>
      <c r="V28" s="28">
        <f t="shared" si="9"/>
        <v>0</v>
      </c>
      <c r="W28" s="28">
        <f t="shared" si="10"/>
        <v>0</v>
      </c>
      <c r="X28" s="29">
        <f t="shared" si="11"/>
        <v>0</v>
      </c>
      <c r="Y28" s="24"/>
    </row>
    <row r="29" spans="2:25" ht="15" customHeight="1" x14ac:dyDescent="0.2">
      <c r="B29" s="31">
        <v>41835</v>
      </c>
      <c r="C29" s="25">
        <v>12.492000000000001</v>
      </c>
      <c r="D29" s="26">
        <v>7.399</v>
      </c>
      <c r="E29" s="26">
        <v>7.6529999999999996</v>
      </c>
      <c r="F29" s="16">
        <v>13.173</v>
      </c>
      <c r="G29" s="16">
        <v>10.215</v>
      </c>
      <c r="H29" s="16">
        <v>10.483000000000001</v>
      </c>
      <c r="I29" s="17">
        <v>102.92700000000001</v>
      </c>
      <c r="J29" s="58">
        <v>857</v>
      </c>
      <c r="K29" s="18">
        <f t="shared" si="12"/>
        <v>249</v>
      </c>
      <c r="L29" s="19">
        <f t="shared" si="16"/>
        <v>-3.0000000000001137</v>
      </c>
      <c r="M29" s="19">
        <f t="shared" si="17"/>
        <v>-1.9999999999997797</v>
      </c>
      <c r="N29" s="19">
        <f t="shared" si="3"/>
        <v>-1.000000000000334</v>
      </c>
      <c r="O29" s="19">
        <f t="shared" si="13"/>
        <v>-3.0000000000001137</v>
      </c>
      <c r="P29" s="19">
        <f t="shared" si="14"/>
        <v>0</v>
      </c>
      <c r="Q29" s="19">
        <f t="shared" si="15"/>
        <v>-0.9999999999985576</v>
      </c>
      <c r="R29" s="19">
        <f t="shared" si="4"/>
        <v>-1.9999999999953388</v>
      </c>
      <c r="S29" s="27">
        <f t="shared" si="6"/>
        <v>0</v>
      </c>
      <c r="T29" s="28">
        <f t="shared" si="7"/>
        <v>-1.000000000000334</v>
      </c>
      <c r="U29" s="28">
        <f t="shared" si="8"/>
        <v>0.99999999999944578</v>
      </c>
      <c r="V29" s="28">
        <f t="shared" si="9"/>
        <v>0</v>
      </c>
      <c r="W29" s="28">
        <f t="shared" si="10"/>
        <v>0</v>
      </c>
      <c r="X29" s="29">
        <f t="shared" si="11"/>
        <v>1.0000000000012221</v>
      </c>
      <c r="Y29" s="24"/>
    </row>
    <row r="30" spans="2:25" ht="15" customHeight="1" x14ac:dyDescent="0.2">
      <c r="B30" s="31">
        <v>41879</v>
      </c>
      <c r="C30" s="25"/>
      <c r="D30" s="26"/>
      <c r="E30" s="26"/>
      <c r="F30" s="16">
        <v>13.173</v>
      </c>
      <c r="G30" s="16">
        <v>10.215</v>
      </c>
      <c r="H30" s="16">
        <v>10.483000000000001</v>
      </c>
      <c r="I30" s="17">
        <v>102.928</v>
      </c>
      <c r="J30" s="58">
        <v>943</v>
      </c>
      <c r="K30" s="18">
        <f>IF(ISBLANK(J30),"",(J30-$J$8))</f>
        <v>335</v>
      </c>
      <c r="L30" s="19" t="str">
        <f t="shared" si="16"/>
        <v/>
      </c>
      <c r="M30" s="19" t="str">
        <f t="shared" si="17"/>
        <v/>
      </c>
      <c r="N30" s="19" t="str">
        <f t="shared" si="3"/>
        <v/>
      </c>
      <c r="O30" s="19">
        <f t="shared" si="13"/>
        <v>-3.0000000000001137</v>
      </c>
      <c r="P30" s="19">
        <f t="shared" si="14"/>
        <v>0</v>
      </c>
      <c r="Q30" s="19">
        <f t="shared" si="15"/>
        <v>-0.9999999999985576</v>
      </c>
      <c r="R30" s="19">
        <f t="shared" si="4"/>
        <v>-1.0000000000047748</v>
      </c>
      <c r="S30" s="27" t="str">
        <f t="shared" si="6"/>
        <v/>
      </c>
      <c r="T30" s="28" t="str">
        <f t="shared" si="7"/>
        <v/>
      </c>
      <c r="U30" s="28" t="str">
        <f t="shared" si="8"/>
        <v/>
      </c>
      <c r="V30" s="28">
        <f t="shared" si="9"/>
        <v>0</v>
      </c>
      <c r="W30" s="28">
        <f t="shared" si="10"/>
        <v>0</v>
      </c>
      <c r="X30" s="29">
        <f t="shared" si="11"/>
        <v>0</v>
      </c>
      <c r="Y30" s="24"/>
    </row>
    <row r="31" spans="2:25" ht="15" customHeight="1" x14ac:dyDescent="0.2">
      <c r="B31" s="31">
        <v>41913</v>
      </c>
      <c r="C31" s="25"/>
      <c r="D31" s="26"/>
      <c r="E31" s="26"/>
      <c r="F31" s="16">
        <v>13.173999999999999</v>
      </c>
      <c r="G31" s="16">
        <v>10.215</v>
      </c>
      <c r="H31" s="16">
        <v>10.483000000000001</v>
      </c>
      <c r="I31" s="17">
        <v>102.928</v>
      </c>
      <c r="J31" s="58">
        <v>943</v>
      </c>
      <c r="K31" s="18">
        <f>IF(ISBLANK(J31),"",(J31-$J$8))</f>
        <v>335</v>
      </c>
      <c r="L31" s="19" t="str">
        <f t="shared" si="16"/>
        <v/>
      </c>
      <c r="M31" s="19" t="str">
        <f t="shared" si="17"/>
        <v/>
      </c>
      <c r="N31" s="19" t="str">
        <f t="shared" si="3"/>
        <v/>
      </c>
      <c r="O31" s="19">
        <f t="shared" si="13"/>
        <v>-2.0000000000006679</v>
      </c>
      <c r="P31" s="19">
        <f t="shared" si="14"/>
        <v>0</v>
      </c>
      <c r="Q31" s="19">
        <f t="shared" si="15"/>
        <v>-0.9999999999985576</v>
      </c>
      <c r="R31" s="19">
        <f t="shared" si="4"/>
        <v>-1.0000000000047748</v>
      </c>
      <c r="S31" s="27" t="str">
        <f t="shared" si="6"/>
        <v/>
      </c>
      <c r="T31" s="28" t="str">
        <f t="shared" si="7"/>
        <v/>
      </c>
      <c r="U31" s="28" t="str">
        <f t="shared" si="8"/>
        <v/>
      </c>
      <c r="V31" s="28">
        <f t="shared" si="9"/>
        <v>2.9411764705866053E-2</v>
      </c>
      <c r="W31" s="28">
        <f t="shared" si="10"/>
        <v>0</v>
      </c>
      <c r="X31" s="29">
        <f t="shared" si="11"/>
        <v>0</v>
      </c>
      <c r="Y31" s="24"/>
    </row>
    <row r="32" spans="2:25" ht="15" customHeight="1" x14ac:dyDescent="0.2">
      <c r="B32" s="31">
        <v>42032</v>
      </c>
      <c r="C32" s="25"/>
      <c r="D32" s="26"/>
      <c r="E32" s="26"/>
      <c r="F32" s="16">
        <v>13.173999999999999</v>
      </c>
      <c r="G32" s="16">
        <v>10.215</v>
      </c>
      <c r="H32" s="16">
        <v>10.483000000000001</v>
      </c>
      <c r="I32" s="17">
        <v>102.92700000000001</v>
      </c>
      <c r="J32" s="58">
        <v>943</v>
      </c>
      <c r="K32" s="18">
        <f>IF(ISBLANK(J32),"",(J32-$J$8))</f>
        <v>335</v>
      </c>
      <c r="L32" s="19" t="str">
        <f t="shared" si="16"/>
        <v/>
      </c>
      <c r="M32" s="19" t="str">
        <f t="shared" si="17"/>
        <v/>
      </c>
      <c r="N32" s="19" t="str">
        <f t="shared" si="3"/>
        <v/>
      </c>
      <c r="O32" s="19">
        <f t="shared" si="13"/>
        <v>-2.0000000000006679</v>
      </c>
      <c r="P32" s="19">
        <f t="shared" si="14"/>
        <v>0</v>
      </c>
      <c r="Q32" s="19">
        <f t="shared" si="15"/>
        <v>-0.9999999999985576</v>
      </c>
      <c r="R32" s="19">
        <f t="shared" si="4"/>
        <v>-1.9999999999953388</v>
      </c>
      <c r="S32" s="27" t="str">
        <f t="shared" si="6"/>
        <v/>
      </c>
      <c r="T32" s="28" t="str">
        <f t="shared" si="7"/>
        <v/>
      </c>
      <c r="U32" s="28" t="str">
        <f t="shared" si="8"/>
        <v/>
      </c>
      <c r="V32" s="28">
        <f t="shared" si="9"/>
        <v>0</v>
      </c>
      <c r="W32" s="28">
        <f t="shared" si="10"/>
        <v>0</v>
      </c>
      <c r="X32" s="29">
        <f t="shared" si="11"/>
        <v>0</v>
      </c>
      <c r="Y32" s="24"/>
    </row>
    <row r="33" spans="2:25" ht="15" customHeight="1" x14ac:dyDescent="0.2">
      <c r="B33" s="31">
        <v>42121</v>
      </c>
      <c r="C33" s="25"/>
      <c r="D33" s="26"/>
      <c r="E33" s="26"/>
      <c r="F33" s="16">
        <v>13.173999999999999</v>
      </c>
      <c r="G33" s="16">
        <v>10.215</v>
      </c>
      <c r="H33" s="16">
        <v>10.483000000000001</v>
      </c>
      <c r="I33" s="17">
        <v>102.928</v>
      </c>
      <c r="J33" s="58">
        <v>943</v>
      </c>
      <c r="K33" s="18">
        <f>IF(ISBLANK(J33),"",(J33-$J$8))</f>
        <v>335</v>
      </c>
      <c r="L33" s="19" t="str">
        <f t="shared" si="16"/>
        <v/>
      </c>
      <c r="M33" s="19" t="str">
        <f t="shared" si="17"/>
        <v/>
      </c>
      <c r="N33" s="19" t="str">
        <f t="shared" si="3"/>
        <v/>
      </c>
      <c r="O33" s="19">
        <f t="shared" si="13"/>
        <v>-2.0000000000006679</v>
      </c>
      <c r="P33" s="19">
        <f t="shared" si="14"/>
        <v>0</v>
      </c>
      <c r="Q33" s="19">
        <f t="shared" si="15"/>
        <v>-0.9999999999985576</v>
      </c>
      <c r="R33" s="19">
        <f t="shared" si="4"/>
        <v>-1.0000000000047748</v>
      </c>
      <c r="S33" s="27" t="str">
        <f t="shared" si="6"/>
        <v/>
      </c>
      <c r="T33" s="28" t="str">
        <f t="shared" si="7"/>
        <v/>
      </c>
      <c r="U33" s="28" t="str">
        <f t="shared" si="8"/>
        <v/>
      </c>
      <c r="V33" s="28">
        <f t="shared" si="9"/>
        <v>0</v>
      </c>
      <c r="W33" s="28">
        <f t="shared" si="10"/>
        <v>0</v>
      </c>
      <c r="X33" s="29">
        <f t="shared" si="11"/>
        <v>0</v>
      </c>
      <c r="Y33" s="24"/>
    </row>
    <row r="34" spans="2:25" ht="15" customHeight="1" x14ac:dyDescent="0.2">
      <c r="B34" s="31">
        <v>42222</v>
      </c>
      <c r="C34" s="25"/>
      <c r="D34" s="26"/>
      <c r="E34" s="26"/>
      <c r="F34" s="16">
        <v>13.175000000000001</v>
      </c>
      <c r="G34" s="16">
        <v>10.217000000000001</v>
      </c>
      <c r="H34" s="16">
        <v>10.484</v>
      </c>
      <c r="I34" s="17">
        <v>102.929</v>
      </c>
      <c r="J34" s="32">
        <v>1278</v>
      </c>
      <c r="K34" s="18">
        <f>IF(ISBLANK(J34),"",(J34-$J$8))</f>
        <v>670</v>
      </c>
      <c r="L34" s="19" t="str">
        <f t="shared" si="16"/>
        <v/>
      </c>
      <c r="M34" s="19" t="str">
        <f t="shared" si="17"/>
        <v/>
      </c>
      <c r="N34" s="19" t="str">
        <f t="shared" si="3"/>
        <v/>
      </c>
      <c r="O34" s="19">
        <f t="shared" si="13"/>
        <v>-0.99999999999944578</v>
      </c>
      <c r="P34" s="19">
        <f t="shared" si="14"/>
        <v>2.0000000000006679</v>
      </c>
      <c r="Q34" s="19">
        <f t="shared" si="15"/>
        <v>8.8817841970012523E-13</v>
      </c>
      <c r="R34" s="19">
        <f t="shared" si="4"/>
        <v>0</v>
      </c>
      <c r="S34" s="27" t="str">
        <f t="shared" si="6"/>
        <v/>
      </c>
      <c r="T34" s="28" t="str">
        <f t="shared" si="7"/>
        <v/>
      </c>
      <c r="U34" s="28" t="str">
        <f t="shared" si="8"/>
        <v/>
      </c>
      <c r="V34" s="28">
        <f t="shared" si="9"/>
        <v>9.9009900990220008E-3</v>
      </c>
      <c r="W34" s="28">
        <f t="shared" si="10"/>
        <v>1.9801980198026415E-2</v>
      </c>
      <c r="X34" s="29">
        <f t="shared" si="11"/>
        <v>9.9009900990044142E-3</v>
      </c>
      <c r="Y34" s="24"/>
    </row>
    <row r="35" spans="2:25" ht="15" customHeight="1" x14ac:dyDescent="0.2">
      <c r="B35" s="31">
        <v>42326</v>
      </c>
      <c r="C35" s="25"/>
      <c r="D35" s="26"/>
      <c r="E35" s="26"/>
      <c r="F35" s="16">
        <v>13.173</v>
      </c>
      <c r="G35" s="16">
        <v>10.217000000000001</v>
      </c>
      <c r="H35" s="16">
        <v>10.483000000000001</v>
      </c>
      <c r="I35" s="17">
        <v>102.928</v>
      </c>
      <c r="J35" s="32">
        <v>2248</v>
      </c>
      <c r="K35" s="18">
        <f t="shared" ref="K35:K37" si="18">IF(ISBLANK(J35),"",(J35-$J$8))</f>
        <v>1640</v>
      </c>
      <c r="L35" s="19" t="str">
        <f t="shared" si="16"/>
        <v/>
      </c>
      <c r="M35" s="19" t="str">
        <f t="shared" si="17"/>
        <v/>
      </c>
      <c r="N35" s="19" t="str">
        <f t="shared" si="3"/>
        <v/>
      </c>
      <c r="O35" s="19">
        <f t="shared" si="13"/>
        <v>-3.0000000000001137</v>
      </c>
      <c r="P35" s="19">
        <f t="shared" si="14"/>
        <v>2.0000000000006679</v>
      </c>
      <c r="Q35" s="19">
        <f t="shared" si="15"/>
        <v>-0.9999999999985576</v>
      </c>
      <c r="R35" s="19">
        <f t="shared" si="4"/>
        <v>-1.0000000000047748</v>
      </c>
      <c r="S35" s="27" t="str">
        <f t="shared" si="6"/>
        <v/>
      </c>
      <c r="T35" s="28" t="str">
        <f t="shared" si="7"/>
        <v/>
      </c>
      <c r="U35" s="28" t="str">
        <f t="shared" si="8"/>
        <v/>
      </c>
      <c r="V35" s="28">
        <f t="shared" si="9"/>
        <v>-1.9230769230775654E-2</v>
      </c>
      <c r="W35" s="28">
        <f t="shared" si="10"/>
        <v>0</v>
      </c>
      <c r="X35" s="29">
        <f t="shared" si="11"/>
        <v>-9.6153846153792868E-3</v>
      </c>
      <c r="Y35" s="24"/>
    </row>
    <row r="36" spans="2:25" ht="15" customHeight="1" x14ac:dyDescent="0.2">
      <c r="B36" s="31">
        <v>42416</v>
      </c>
      <c r="C36" s="25">
        <v>12.492000000000001</v>
      </c>
      <c r="D36" s="26">
        <v>7.4020000000000001</v>
      </c>
      <c r="E36" s="26">
        <v>7.6520000000000001</v>
      </c>
      <c r="F36" s="16">
        <v>13.173999999999999</v>
      </c>
      <c r="G36" s="16">
        <v>10.215999999999999</v>
      </c>
      <c r="H36" s="16">
        <v>10.483000000000001</v>
      </c>
      <c r="I36" s="17">
        <v>102.928</v>
      </c>
      <c r="J36" s="58">
        <v>2519</v>
      </c>
      <c r="K36" s="18">
        <f t="shared" si="18"/>
        <v>1911</v>
      </c>
      <c r="L36" s="19"/>
      <c r="M36" s="19"/>
      <c r="N36" s="19"/>
      <c r="O36" s="19">
        <f t="shared" si="13"/>
        <v>-2.0000000000006679</v>
      </c>
      <c r="P36" s="19">
        <f t="shared" si="14"/>
        <v>0.99999999999944578</v>
      </c>
      <c r="Q36" s="19">
        <f t="shared" si="15"/>
        <v>-0.9999999999985576</v>
      </c>
      <c r="R36" s="19">
        <f t="shared" si="4"/>
        <v>-1.0000000000047748</v>
      </c>
      <c r="S36" s="27"/>
      <c r="T36" s="28"/>
      <c r="U36" s="28"/>
      <c r="V36" s="28">
        <f t="shared" si="9"/>
        <v>1.1111111111104953E-2</v>
      </c>
      <c r="W36" s="28">
        <f t="shared" si="10"/>
        <v>-1.1111111111124691E-2</v>
      </c>
      <c r="X36" s="29">
        <f t="shared" si="11"/>
        <v>0</v>
      </c>
      <c r="Y36" s="24"/>
    </row>
    <row r="37" spans="2:25" ht="15" customHeight="1" x14ac:dyDescent="0.2">
      <c r="B37" s="31">
        <v>42530</v>
      </c>
      <c r="C37" s="25"/>
      <c r="D37" s="26"/>
      <c r="E37" s="26"/>
      <c r="F37" s="16">
        <v>13.173</v>
      </c>
      <c r="G37" s="16">
        <v>10.215999999999999</v>
      </c>
      <c r="H37" s="16">
        <v>10.484</v>
      </c>
      <c r="I37" s="17">
        <v>102.928</v>
      </c>
      <c r="J37" s="58">
        <v>2608</v>
      </c>
      <c r="K37" s="18">
        <f t="shared" si="18"/>
        <v>2000</v>
      </c>
      <c r="L37" s="19" t="str">
        <f t="shared" si="16"/>
        <v/>
      </c>
      <c r="M37" s="19" t="str">
        <f t="shared" si="17"/>
        <v/>
      </c>
      <c r="N37" s="19" t="str">
        <f t="shared" si="3"/>
        <v/>
      </c>
      <c r="O37" s="19">
        <f t="shared" si="13"/>
        <v>-3.0000000000001137</v>
      </c>
      <c r="P37" s="19">
        <f t="shared" si="14"/>
        <v>0.99999999999944578</v>
      </c>
      <c r="Q37" s="19">
        <f t="shared" si="15"/>
        <v>8.8817841970012523E-13</v>
      </c>
      <c r="R37" s="19">
        <f t="shared" si="4"/>
        <v>-1.0000000000047748</v>
      </c>
      <c r="S37" s="27" t="str">
        <f t="shared" si="6"/>
        <v/>
      </c>
      <c r="T37" s="28" t="str">
        <f t="shared" si="7"/>
        <v/>
      </c>
      <c r="U37" s="28" t="str">
        <f t="shared" si="8"/>
        <v/>
      </c>
      <c r="V37" s="28">
        <f t="shared" si="9"/>
        <v>-8.7719298245565423E-3</v>
      </c>
      <c r="W37" s="28">
        <f t="shared" si="10"/>
        <v>0</v>
      </c>
      <c r="X37" s="29">
        <f t="shared" si="11"/>
        <v>8.7719298245565423E-3</v>
      </c>
      <c r="Y37" s="24"/>
    </row>
    <row r="38" spans="2:25" ht="15" customHeight="1" x14ac:dyDescent="0.2">
      <c r="B38" s="31"/>
      <c r="C38" s="25"/>
      <c r="D38" s="26"/>
      <c r="E38" s="26"/>
      <c r="F38" s="47"/>
      <c r="G38" s="47"/>
      <c r="H38" s="47"/>
      <c r="I38" s="57"/>
      <c r="J38" s="58"/>
      <c r="K38" s="59"/>
      <c r="L38" s="19" t="str">
        <f t="shared" si="16"/>
        <v/>
      </c>
      <c r="M38" s="19" t="str">
        <f t="shared" si="17"/>
        <v/>
      </c>
      <c r="N38" s="19" t="str">
        <f t="shared" si="3"/>
        <v/>
      </c>
      <c r="O38" s="19" t="str">
        <f t="shared" si="13"/>
        <v/>
      </c>
      <c r="P38" s="19" t="str">
        <f t="shared" si="14"/>
        <v/>
      </c>
      <c r="Q38" s="19" t="str">
        <f t="shared" si="15"/>
        <v/>
      </c>
      <c r="R38" s="19" t="str">
        <f t="shared" si="4"/>
        <v/>
      </c>
      <c r="S38" s="27" t="str">
        <f t="shared" si="6"/>
        <v/>
      </c>
      <c r="T38" s="28" t="str">
        <f t="shared" si="7"/>
        <v/>
      </c>
      <c r="U38" s="28" t="str">
        <f t="shared" si="8"/>
        <v/>
      </c>
      <c r="V38" s="28" t="str">
        <f t="shared" si="9"/>
        <v/>
      </c>
      <c r="W38" s="28" t="str">
        <f t="shared" si="10"/>
        <v/>
      </c>
      <c r="X38" s="29" t="str">
        <f t="shared" si="11"/>
        <v/>
      </c>
      <c r="Y38" s="24"/>
    </row>
    <row r="39" spans="2:25" ht="15" customHeight="1" x14ac:dyDescent="0.2">
      <c r="B39" s="31"/>
      <c r="C39" s="25"/>
      <c r="D39" s="26"/>
      <c r="E39" s="26"/>
      <c r="F39" s="47"/>
      <c r="G39" s="47"/>
      <c r="H39" s="47"/>
      <c r="I39" s="57"/>
      <c r="J39" s="58"/>
      <c r="K39" s="59"/>
      <c r="L39" s="19" t="str">
        <f t="shared" si="16"/>
        <v/>
      </c>
      <c r="M39" s="19" t="str">
        <f t="shared" si="17"/>
        <v/>
      </c>
      <c r="N39" s="19" t="str">
        <f t="shared" si="3"/>
        <v/>
      </c>
      <c r="O39" s="19" t="str">
        <f t="shared" si="13"/>
        <v/>
      </c>
      <c r="P39" s="19" t="str">
        <f t="shared" si="14"/>
        <v/>
      </c>
      <c r="Q39" s="19" t="str">
        <f t="shared" si="15"/>
        <v/>
      </c>
      <c r="R39" s="19" t="str">
        <f t="shared" si="4"/>
        <v/>
      </c>
      <c r="S39" s="27" t="str">
        <f t="shared" si="6"/>
        <v/>
      </c>
      <c r="T39" s="28" t="str">
        <f t="shared" si="7"/>
        <v/>
      </c>
      <c r="U39" s="28" t="str">
        <f t="shared" si="8"/>
        <v/>
      </c>
      <c r="V39" s="28" t="str">
        <f t="shared" si="9"/>
        <v/>
      </c>
      <c r="W39" s="28" t="str">
        <f t="shared" si="10"/>
        <v/>
      </c>
      <c r="X39" s="29" t="str">
        <f t="shared" si="11"/>
        <v/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59"/>
      <c r="L40" s="19" t="str">
        <f t="shared" si="16"/>
        <v/>
      </c>
      <c r="M40" s="19" t="str">
        <f t="shared" si="17"/>
        <v/>
      </c>
      <c r="N40" s="19" t="str">
        <f t="shared" si="3"/>
        <v/>
      </c>
      <c r="O40" s="19" t="str">
        <f t="shared" si="13"/>
        <v/>
      </c>
      <c r="P40" s="19" t="str">
        <f t="shared" si="14"/>
        <v/>
      </c>
      <c r="Q40" s="19" t="str">
        <f t="shared" si="15"/>
        <v/>
      </c>
      <c r="R40" s="19" t="str">
        <f t="shared" si="4"/>
        <v/>
      </c>
      <c r="S40" s="27" t="str">
        <f t="shared" si="6"/>
        <v/>
      </c>
      <c r="T40" s="28" t="str">
        <f t="shared" si="7"/>
        <v/>
      </c>
      <c r="U40" s="28" t="str">
        <f t="shared" si="8"/>
        <v/>
      </c>
      <c r="V40" s="28" t="str">
        <f t="shared" si="9"/>
        <v/>
      </c>
      <c r="W40" s="28" t="str">
        <f t="shared" si="10"/>
        <v/>
      </c>
      <c r="X40" s="29" t="str">
        <f t="shared" si="11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59"/>
      <c r="L41" s="19" t="str">
        <f t="shared" si="16"/>
        <v/>
      </c>
      <c r="M41" s="19" t="str">
        <f t="shared" si="17"/>
        <v/>
      </c>
      <c r="N41" s="19" t="str">
        <f t="shared" si="3"/>
        <v/>
      </c>
      <c r="O41" s="19" t="str">
        <f t="shared" si="13"/>
        <v/>
      </c>
      <c r="P41" s="19" t="str">
        <f t="shared" si="14"/>
        <v/>
      </c>
      <c r="Q41" s="19" t="str">
        <f t="shared" si="15"/>
        <v/>
      </c>
      <c r="R41" s="19" t="str">
        <f t="shared" si="4"/>
        <v/>
      </c>
      <c r="S41" s="27" t="str">
        <f t="shared" si="6"/>
        <v/>
      </c>
      <c r="T41" s="28" t="str">
        <f t="shared" si="7"/>
        <v/>
      </c>
      <c r="U41" s="28" t="str">
        <f t="shared" si="8"/>
        <v/>
      </c>
      <c r="V41" s="28" t="str">
        <f t="shared" si="9"/>
        <v/>
      </c>
      <c r="W41" s="28" t="str">
        <f t="shared" si="10"/>
        <v/>
      </c>
      <c r="X41" s="29" t="str">
        <f t="shared" si="11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59"/>
      <c r="L42" s="19" t="str">
        <f t="shared" si="16"/>
        <v/>
      </c>
      <c r="M42" s="19" t="str">
        <f t="shared" si="17"/>
        <v/>
      </c>
      <c r="N42" s="19" t="str">
        <f t="shared" si="3"/>
        <v/>
      </c>
      <c r="O42" s="19" t="str">
        <f t="shared" si="13"/>
        <v/>
      </c>
      <c r="P42" s="19" t="str">
        <f t="shared" si="14"/>
        <v/>
      </c>
      <c r="Q42" s="19" t="str">
        <f t="shared" si="15"/>
        <v/>
      </c>
      <c r="R42" s="19" t="str">
        <f t="shared" si="4"/>
        <v/>
      </c>
      <c r="S42" s="27" t="str">
        <f t="shared" si="6"/>
        <v/>
      </c>
      <c r="T42" s="28" t="str">
        <f t="shared" si="7"/>
        <v/>
      </c>
      <c r="U42" s="28" t="str">
        <f t="shared" si="8"/>
        <v/>
      </c>
      <c r="V42" s="28" t="str">
        <f t="shared" si="9"/>
        <v/>
      </c>
      <c r="W42" s="28" t="str">
        <f t="shared" si="10"/>
        <v/>
      </c>
      <c r="X42" s="29" t="str">
        <f t="shared" si="11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59"/>
      <c r="L43" s="19" t="str">
        <f t="shared" si="16"/>
        <v/>
      </c>
      <c r="M43" s="19" t="str">
        <f t="shared" si="17"/>
        <v/>
      </c>
      <c r="N43" s="19" t="str">
        <f t="shared" si="3"/>
        <v/>
      </c>
      <c r="O43" s="19" t="str">
        <f t="shared" si="13"/>
        <v/>
      </c>
      <c r="P43" s="19" t="str">
        <f t="shared" si="14"/>
        <v/>
      </c>
      <c r="Q43" s="19" t="str">
        <f t="shared" si="15"/>
        <v/>
      </c>
      <c r="R43" s="19" t="str">
        <f t="shared" si="4"/>
        <v/>
      </c>
      <c r="S43" s="27" t="str">
        <f t="shared" si="6"/>
        <v/>
      </c>
      <c r="T43" s="28" t="str">
        <f t="shared" si="7"/>
        <v/>
      </c>
      <c r="U43" s="28" t="str">
        <f t="shared" si="8"/>
        <v/>
      </c>
      <c r="V43" s="28" t="str">
        <f t="shared" si="9"/>
        <v/>
      </c>
      <c r="W43" s="28" t="str">
        <f t="shared" si="10"/>
        <v/>
      </c>
      <c r="X43" s="29" t="str">
        <f t="shared" si="11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16"/>
        <v/>
      </c>
      <c r="M44" s="19" t="str">
        <f t="shared" si="17"/>
        <v/>
      </c>
      <c r="N44" s="19" t="str">
        <f t="shared" si="3"/>
        <v/>
      </c>
      <c r="O44" s="19" t="str">
        <f t="shared" si="13"/>
        <v/>
      </c>
      <c r="P44" s="19" t="str">
        <f t="shared" si="14"/>
        <v/>
      </c>
      <c r="Q44" s="19" t="str">
        <f t="shared" si="15"/>
        <v/>
      </c>
      <c r="R44" s="19" t="str">
        <f t="shared" si="4"/>
        <v/>
      </c>
      <c r="S44" s="27" t="str">
        <f t="shared" si="6"/>
        <v/>
      </c>
      <c r="T44" s="28" t="str">
        <f t="shared" si="7"/>
        <v/>
      </c>
      <c r="U44" s="28" t="str">
        <f t="shared" si="8"/>
        <v/>
      </c>
      <c r="V44" s="28" t="str">
        <f t="shared" si="9"/>
        <v/>
      </c>
      <c r="W44" s="28" t="str">
        <f t="shared" si="10"/>
        <v/>
      </c>
      <c r="X44" s="29" t="str">
        <f t="shared" si="11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16"/>
        <v/>
      </c>
      <c r="M45" s="19" t="str">
        <f t="shared" si="17"/>
        <v/>
      </c>
      <c r="N45" s="19" t="str">
        <f t="shared" si="3"/>
        <v/>
      </c>
      <c r="O45" s="19" t="str">
        <f t="shared" si="13"/>
        <v/>
      </c>
      <c r="P45" s="19" t="str">
        <f t="shared" si="14"/>
        <v/>
      </c>
      <c r="Q45" s="19" t="str">
        <f t="shared" si="15"/>
        <v/>
      </c>
      <c r="R45" s="19" t="str">
        <f t="shared" si="4"/>
        <v/>
      </c>
      <c r="S45" s="27" t="str">
        <f t="shared" si="6"/>
        <v/>
      </c>
      <c r="T45" s="28" t="str">
        <f t="shared" si="7"/>
        <v/>
      </c>
      <c r="U45" s="28" t="str">
        <f t="shared" si="8"/>
        <v/>
      </c>
      <c r="V45" s="28" t="str">
        <f t="shared" si="9"/>
        <v/>
      </c>
      <c r="W45" s="28" t="str">
        <f t="shared" si="10"/>
        <v/>
      </c>
      <c r="X45" s="29" t="str">
        <f t="shared" si="11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16"/>
        <v/>
      </c>
      <c r="M46" s="19" t="str">
        <f t="shared" si="17"/>
        <v/>
      </c>
      <c r="N46" s="19" t="str">
        <f t="shared" si="3"/>
        <v/>
      </c>
      <c r="O46" s="19" t="str">
        <f t="shared" si="13"/>
        <v/>
      </c>
      <c r="P46" s="19" t="str">
        <f t="shared" si="14"/>
        <v/>
      </c>
      <c r="Q46" s="19" t="str">
        <f t="shared" si="15"/>
        <v/>
      </c>
      <c r="R46" s="19" t="str">
        <f t="shared" si="4"/>
        <v/>
      </c>
      <c r="S46" s="27" t="str">
        <f t="shared" si="6"/>
        <v/>
      </c>
      <c r="T46" s="28" t="str">
        <f t="shared" si="7"/>
        <v/>
      </c>
      <c r="U46" s="28" t="str">
        <f t="shared" si="8"/>
        <v/>
      </c>
      <c r="V46" s="28" t="str">
        <f t="shared" si="9"/>
        <v/>
      </c>
      <c r="W46" s="28" t="str">
        <f t="shared" si="10"/>
        <v/>
      </c>
      <c r="X46" s="29" t="str">
        <f t="shared" si="11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16"/>
        <v/>
      </c>
      <c r="M47" s="19" t="str">
        <f t="shared" si="17"/>
        <v/>
      </c>
      <c r="N47" s="19" t="str">
        <f t="shared" si="3"/>
        <v/>
      </c>
      <c r="O47" s="19" t="str">
        <f t="shared" si="13"/>
        <v/>
      </c>
      <c r="P47" s="19" t="str">
        <f t="shared" si="14"/>
        <v/>
      </c>
      <c r="Q47" s="19" t="str">
        <f t="shared" si="15"/>
        <v/>
      </c>
      <c r="R47" s="19" t="str">
        <f t="shared" si="4"/>
        <v/>
      </c>
      <c r="S47" s="27" t="str">
        <f t="shared" si="6"/>
        <v/>
      </c>
      <c r="T47" s="28" t="str">
        <f t="shared" si="7"/>
        <v/>
      </c>
      <c r="U47" s="28" t="str">
        <f t="shared" si="8"/>
        <v/>
      </c>
      <c r="V47" s="28" t="str">
        <f t="shared" si="9"/>
        <v/>
      </c>
      <c r="W47" s="28" t="str">
        <f t="shared" si="10"/>
        <v/>
      </c>
      <c r="X47" s="29" t="str">
        <f t="shared" si="11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16"/>
        <v/>
      </c>
      <c r="M48" s="19" t="str">
        <f t="shared" si="17"/>
        <v/>
      </c>
      <c r="N48" s="19" t="str">
        <f t="shared" ref="N48:N79" si="19">IF(ISBLANK(E48),"",(E48-E$16)*1000)</f>
        <v/>
      </c>
      <c r="O48" s="19" t="str">
        <f t="shared" si="13"/>
        <v/>
      </c>
      <c r="P48" s="19" t="str">
        <f t="shared" si="14"/>
        <v/>
      </c>
      <c r="Q48" s="19" t="str">
        <f t="shared" si="15"/>
        <v/>
      </c>
      <c r="R48" s="19" t="str">
        <f t="shared" ref="R48:R79" si="20">IF(ISBLANK(I48),"",(I48-I$16)*1000)</f>
        <v/>
      </c>
      <c r="S48" s="27" t="str">
        <f t="shared" si="6"/>
        <v/>
      </c>
      <c r="T48" s="28" t="str">
        <f t="shared" si="7"/>
        <v/>
      </c>
      <c r="U48" s="28" t="str">
        <f t="shared" si="8"/>
        <v/>
      </c>
      <c r="V48" s="28" t="str">
        <f t="shared" si="9"/>
        <v/>
      </c>
      <c r="W48" s="28" t="str">
        <f t="shared" si="10"/>
        <v/>
      </c>
      <c r="X48" s="29" t="str">
        <f t="shared" si="11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16"/>
        <v/>
      </c>
      <c r="M49" s="19" t="str">
        <f t="shared" si="17"/>
        <v/>
      </c>
      <c r="N49" s="19" t="str">
        <f t="shared" si="19"/>
        <v/>
      </c>
      <c r="O49" s="19" t="str">
        <f t="shared" si="13"/>
        <v/>
      </c>
      <c r="P49" s="19" t="str">
        <f t="shared" si="14"/>
        <v/>
      </c>
      <c r="Q49" s="19" t="str">
        <f t="shared" si="15"/>
        <v/>
      </c>
      <c r="R49" s="19" t="str">
        <f t="shared" si="20"/>
        <v/>
      </c>
      <c r="S49" s="27" t="str">
        <f t="shared" ref="S49:S80" si="21">IF(C49="","",((C49-C48)*1000)/($B49-$B48))</f>
        <v/>
      </c>
      <c r="T49" s="28" t="str">
        <f t="shared" ref="T49:T80" si="22">IF(D49="","",((D49-D48)*1000)/($B49-$B48))</f>
        <v/>
      </c>
      <c r="U49" s="28" t="str">
        <f t="shared" ref="U49:U80" si="23">IF(E49="","",((E49-E48)*1000)/($B49-$B48))</f>
        <v/>
      </c>
      <c r="V49" s="28" t="str">
        <f t="shared" ref="V49:V80" si="24">IF(F49="","",((F49-F48)*1000)/($B49-$B48))</f>
        <v/>
      </c>
      <c r="W49" s="28" t="str">
        <f t="shared" ref="W49:W80" si="25">IF(G49="","",((G49-G48)*1000)/($B49-$B48))</f>
        <v/>
      </c>
      <c r="X49" s="29" t="str">
        <f t="shared" ref="X49:X80" si="26">IF(H49="","",((H49-H48)*1000)/($B49-$B48))</f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16"/>
        <v/>
      </c>
      <c r="M50" s="19" t="str">
        <f t="shared" si="17"/>
        <v/>
      </c>
      <c r="N50" s="19" t="str">
        <f t="shared" si="19"/>
        <v/>
      </c>
      <c r="O50" s="19" t="str">
        <f t="shared" si="13"/>
        <v/>
      </c>
      <c r="P50" s="19" t="str">
        <f t="shared" si="14"/>
        <v/>
      </c>
      <c r="Q50" s="19" t="str">
        <f t="shared" si="15"/>
        <v/>
      </c>
      <c r="R50" s="19" t="str">
        <f t="shared" si="20"/>
        <v/>
      </c>
      <c r="S50" s="27" t="str">
        <f t="shared" si="21"/>
        <v/>
      </c>
      <c r="T50" s="28" t="str">
        <f t="shared" si="22"/>
        <v/>
      </c>
      <c r="U50" s="28" t="str">
        <f t="shared" si="23"/>
        <v/>
      </c>
      <c r="V50" s="28" t="str">
        <f t="shared" si="24"/>
        <v/>
      </c>
      <c r="W50" s="28" t="str">
        <f t="shared" si="25"/>
        <v/>
      </c>
      <c r="X50" s="29" t="str">
        <f t="shared" si="26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16"/>
        <v/>
      </c>
      <c r="M51" s="19" t="str">
        <f t="shared" si="17"/>
        <v/>
      </c>
      <c r="N51" s="19" t="str">
        <f t="shared" si="19"/>
        <v/>
      </c>
      <c r="O51" s="19" t="str">
        <f t="shared" si="13"/>
        <v/>
      </c>
      <c r="P51" s="19" t="str">
        <f t="shared" si="14"/>
        <v/>
      </c>
      <c r="Q51" s="19" t="str">
        <f t="shared" si="15"/>
        <v/>
      </c>
      <c r="R51" s="19" t="str">
        <f t="shared" si="20"/>
        <v/>
      </c>
      <c r="S51" s="27" t="str">
        <f t="shared" si="21"/>
        <v/>
      </c>
      <c r="T51" s="28" t="str">
        <f t="shared" si="22"/>
        <v/>
      </c>
      <c r="U51" s="28" t="str">
        <f t="shared" si="23"/>
        <v/>
      </c>
      <c r="V51" s="28" t="str">
        <f t="shared" si="24"/>
        <v/>
      </c>
      <c r="W51" s="28" t="str">
        <f t="shared" si="25"/>
        <v/>
      </c>
      <c r="X51" s="29" t="str">
        <f t="shared" si="26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16"/>
        <v/>
      </c>
      <c r="M52" s="19" t="str">
        <f t="shared" si="17"/>
        <v/>
      </c>
      <c r="N52" s="19" t="str">
        <f t="shared" si="19"/>
        <v/>
      </c>
      <c r="O52" s="19" t="str">
        <f t="shared" si="13"/>
        <v/>
      </c>
      <c r="P52" s="19" t="str">
        <f t="shared" si="14"/>
        <v/>
      </c>
      <c r="Q52" s="19" t="str">
        <f t="shared" si="15"/>
        <v/>
      </c>
      <c r="R52" s="19" t="str">
        <f t="shared" si="20"/>
        <v/>
      </c>
      <c r="S52" s="27" t="str">
        <f t="shared" si="21"/>
        <v/>
      </c>
      <c r="T52" s="28" t="str">
        <f t="shared" si="22"/>
        <v/>
      </c>
      <c r="U52" s="28" t="str">
        <f t="shared" si="23"/>
        <v/>
      </c>
      <c r="V52" s="28" t="str">
        <f t="shared" si="24"/>
        <v/>
      </c>
      <c r="W52" s="28" t="str">
        <f t="shared" si="25"/>
        <v/>
      </c>
      <c r="X52" s="29" t="str">
        <f t="shared" si="26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16"/>
        <v/>
      </c>
      <c r="M53" s="19" t="str">
        <f t="shared" si="17"/>
        <v/>
      </c>
      <c r="N53" s="19" t="str">
        <f t="shared" si="19"/>
        <v/>
      </c>
      <c r="O53" s="19" t="str">
        <f t="shared" si="13"/>
        <v/>
      </c>
      <c r="P53" s="19" t="str">
        <f t="shared" si="14"/>
        <v/>
      </c>
      <c r="Q53" s="19" t="str">
        <f t="shared" si="15"/>
        <v/>
      </c>
      <c r="R53" s="19" t="str">
        <f t="shared" si="20"/>
        <v/>
      </c>
      <c r="S53" s="27" t="str">
        <f t="shared" si="21"/>
        <v/>
      </c>
      <c r="T53" s="28" t="str">
        <f t="shared" si="22"/>
        <v/>
      </c>
      <c r="U53" s="28" t="str">
        <f t="shared" si="23"/>
        <v/>
      </c>
      <c r="V53" s="28" t="str">
        <f t="shared" si="24"/>
        <v/>
      </c>
      <c r="W53" s="28" t="str">
        <f t="shared" si="25"/>
        <v/>
      </c>
      <c r="X53" s="29" t="str">
        <f t="shared" si="26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16"/>
        <v/>
      </c>
      <c r="M54" s="19" t="str">
        <f t="shared" si="17"/>
        <v/>
      </c>
      <c r="N54" s="19" t="str">
        <f t="shared" si="19"/>
        <v/>
      </c>
      <c r="O54" s="19" t="str">
        <f t="shared" si="13"/>
        <v/>
      </c>
      <c r="P54" s="19" t="str">
        <f t="shared" si="14"/>
        <v/>
      </c>
      <c r="Q54" s="19" t="str">
        <f t="shared" si="15"/>
        <v/>
      </c>
      <c r="R54" s="19" t="str">
        <f t="shared" si="20"/>
        <v/>
      </c>
      <c r="S54" s="27" t="str">
        <f t="shared" si="21"/>
        <v/>
      </c>
      <c r="T54" s="28" t="str">
        <f t="shared" si="22"/>
        <v/>
      </c>
      <c r="U54" s="28" t="str">
        <f t="shared" si="23"/>
        <v/>
      </c>
      <c r="V54" s="28" t="str">
        <f t="shared" si="24"/>
        <v/>
      </c>
      <c r="W54" s="28" t="str">
        <f t="shared" si="25"/>
        <v/>
      </c>
      <c r="X54" s="29" t="str">
        <f t="shared" si="26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16"/>
        <v/>
      </c>
      <c r="M55" s="19" t="str">
        <f t="shared" si="17"/>
        <v/>
      </c>
      <c r="N55" s="19" t="str">
        <f t="shared" si="19"/>
        <v/>
      </c>
      <c r="O55" s="19" t="str">
        <f t="shared" si="13"/>
        <v/>
      </c>
      <c r="P55" s="19" t="str">
        <f t="shared" si="14"/>
        <v/>
      </c>
      <c r="Q55" s="19" t="str">
        <f t="shared" si="15"/>
        <v/>
      </c>
      <c r="R55" s="19" t="str">
        <f t="shared" si="20"/>
        <v/>
      </c>
      <c r="S55" s="27" t="str">
        <f t="shared" si="21"/>
        <v/>
      </c>
      <c r="T55" s="28" t="str">
        <f t="shared" si="22"/>
        <v/>
      </c>
      <c r="U55" s="28" t="str">
        <f t="shared" si="23"/>
        <v/>
      </c>
      <c r="V55" s="28" t="str">
        <f t="shared" si="24"/>
        <v/>
      </c>
      <c r="W55" s="28" t="str">
        <f t="shared" si="25"/>
        <v/>
      </c>
      <c r="X55" s="29" t="str">
        <f t="shared" si="26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16"/>
        <v/>
      </c>
      <c r="M56" s="19" t="str">
        <f t="shared" si="17"/>
        <v/>
      </c>
      <c r="N56" s="19" t="str">
        <f t="shared" si="19"/>
        <v/>
      </c>
      <c r="O56" s="19" t="str">
        <f t="shared" si="13"/>
        <v/>
      </c>
      <c r="P56" s="19" t="str">
        <f t="shared" si="14"/>
        <v/>
      </c>
      <c r="Q56" s="19" t="str">
        <f t="shared" si="15"/>
        <v/>
      </c>
      <c r="R56" s="19" t="str">
        <f t="shared" si="20"/>
        <v/>
      </c>
      <c r="S56" s="27" t="str">
        <f t="shared" si="21"/>
        <v/>
      </c>
      <c r="T56" s="28" t="str">
        <f t="shared" si="22"/>
        <v/>
      </c>
      <c r="U56" s="28" t="str">
        <f t="shared" si="23"/>
        <v/>
      </c>
      <c r="V56" s="28" t="str">
        <f t="shared" si="24"/>
        <v/>
      </c>
      <c r="W56" s="28" t="str">
        <f t="shared" si="25"/>
        <v/>
      </c>
      <c r="X56" s="29" t="str">
        <f t="shared" si="26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16"/>
        <v/>
      </c>
      <c r="M57" s="19" t="str">
        <f t="shared" si="17"/>
        <v/>
      </c>
      <c r="N57" s="19" t="str">
        <f t="shared" si="19"/>
        <v/>
      </c>
      <c r="O57" s="19" t="str">
        <f t="shared" si="13"/>
        <v/>
      </c>
      <c r="P57" s="19" t="str">
        <f t="shared" si="14"/>
        <v/>
      </c>
      <c r="Q57" s="19" t="str">
        <f t="shared" si="15"/>
        <v/>
      </c>
      <c r="R57" s="19" t="str">
        <f t="shared" si="20"/>
        <v/>
      </c>
      <c r="S57" s="27" t="str">
        <f t="shared" si="21"/>
        <v/>
      </c>
      <c r="T57" s="28" t="str">
        <f t="shared" si="22"/>
        <v/>
      </c>
      <c r="U57" s="28" t="str">
        <f t="shared" si="23"/>
        <v/>
      </c>
      <c r="V57" s="28" t="str">
        <f t="shared" si="24"/>
        <v/>
      </c>
      <c r="W57" s="28" t="str">
        <f t="shared" si="25"/>
        <v/>
      </c>
      <c r="X57" s="29" t="str">
        <f t="shared" si="26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16"/>
        <v/>
      </c>
      <c r="M58" s="19" t="str">
        <f t="shared" si="17"/>
        <v/>
      </c>
      <c r="N58" s="19" t="str">
        <f t="shared" si="19"/>
        <v/>
      </c>
      <c r="O58" s="19" t="str">
        <f t="shared" si="13"/>
        <v/>
      </c>
      <c r="P58" s="19" t="str">
        <f t="shared" si="14"/>
        <v/>
      </c>
      <c r="Q58" s="19" t="str">
        <f t="shared" si="15"/>
        <v/>
      </c>
      <c r="R58" s="19" t="str">
        <f t="shared" si="20"/>
        <v/>
      </c>
      <c r="S58" s="27" t="str">
        <f t="shared" si="21"/>
        <v/>
      </c>
      <c r="T58" s="28" t="str">
        <f t="shared" si="22"/>
        <v/>
      </c>
      <c r="U58" s="28" t="str">
        <f t="shared" si="23"/>
        <v/>
      </c>
      <c r="V58" s="28" t="str">
        <f t="shared" si="24"/>
        <v/>
      </c>
      <c r="W58" s="28" t="str">
        <f t="shared" si="25"/>
        <v/>
      </c>
      <c r="X58" s="29" t="str">
        <f t="shared" si="26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16"/>
        <v/>
      </c>
      <c r="M59" s="19" t="str">
        <f t="shared" si="17"/>
        <v/>
      </c>
      <c r="N59" s="19" t="str">
        <f t="shared" si="19"/>
        <v/>
      </c>
      <c r="O59" s="19" t="str">
        <f t="shared" si="13"/>
        <v/>
      </c>
      <c r="P59" s="19" t="str">
        <f t="shared" si="14"/>
        <v/>
      </c>
      <c r="Q59" s="19" t="str">
        <f t="shared" si="15"/>
        <v/>
      </c>
      <c r="R59" s="19" t="str">
        <f t="shared" si="20"/>
        <v/>
      </c>
      <c r="S59" s="27" t="str">
        <f t="shared" si="21"/>
        <v/>
      </c>
      <c r="T59" s="28" t="str">
        <f t="shared" si="22"/>
        <v/>
      </c>
      <c r="U59" s="28" t="str">
        <f t="shared" si="23"/>
        <v/>
      </c>
      <c r="V59" s="28" t="str">
        <f t="shared" si="24"/>
        <v/>
      </c>
      <c r="W59" s="28" t="str">
        <f t="shared" si="25"/>
        <v/>
      </c>
      <c r="X59" s="29" t="str">
        <f t="shared" si="26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16"/>
        <v/>
      </c>
      <c r="M60" s="19" t="str">
        <f t="shared" si="17"/>
        <v/>
      </c>
      <c r="N60" s="19" t="str">
        <f t="shared" si="19"/>
        <v/>
      </c>
      <c r="O60" s="19" t="str">
        <f t="shared" si="13"/>
        <v/>
      </c>
      <c r="P60" s="19" t="str">
        <f t="shared" si="14"/>
        <v/>
      </c>
      <c r="Q60" s="19" t="str">
        <f t="shared" si="15"/>
        <v/>
      </c>
      <c r="R60" s="19" t="str">
        <f t="shared" si="20"/>
        <v/>
      </c>
      <c r="S60" s="27" t="str">
        <f t="shared" si="21"/>
        <v/>
      </c>
      <c r="T60" s="28" t="str">
        <f t="shared" si="22"/>
        <v/>
      </c>
      <c r="U60" s="28" t="str">
        <f t="shared" si="23"/>
        <v/>
      </c>
      <c r="V60" s="28" t="str">
        <f t="shared" si="24"/>
        <v/>
      </c>
      <c r="W60" s="28" t="str">
        <f t="shared" si="25"/>
        <v/>
      </c>
      <c r="X60" s="29" t="str">
        <f t="shared" si="26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16"/>
        <v/>
      </c>
      <c r="M61" s="19" t="str">
        <f t="shared" si="17"/>
        <v/>
      </c>
      <c r="N61" s="19" t="str">
        <f t="shared" si="19"/>
        <v/>
      </c>
      <c r="O61" s="19" t="str">
        <f t="shared" si="13"/>
        <v/>
      </c>
      <c r="P61" s="19" t="str">
        <f t="shared" si="14"/>
        <v/>
      </c>
      <c r="Q61" s="19" t="str">
        <f t="shared" si="15"/>
        <v/>
      </c>
      <c r="R61" s="19" t="str">
        <f t="shared" si="20"/>
        <v/>
      </c>
      <c r="S61" s="27" t="str">
        <f t="shared" si="21"/>
        <v/>
      </c>
      <c r="T61" s="28" t="str">
        <f t="shared" si="22"/>
        <v/>
      </c>
      <c r="U61" s="28" t="str">
        <f t="shared" si="23"/>
        <v/>
      </c>
      <c r="V61" s="28" t="str">
        <f t="shared" si="24"/>
        <v/>
      </c>
      <c r="W61" s="28" t="str">
        <f t="shared" si="25"/>
        <v/>
      </c>
      <c r="X61" s="29" t="str">
        <f t="shared" si="26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16"/>
        <v/>
      </c>
      <c r="M62" s="19" t="str">
        <f t="shared" si="17"/>
        <v/>
      </c>
      <c r="N62" s="19" t="str">
        <f t="shared" si="19"/>
        <v/>
      </c>
      <c r="O62" s="19" t="str">
        <f t="shared" si="13"/>
        <v/>
      </c>
      <c r="P62" s="19" t="str">
        <f t="shared" si="14"/>
        <v/>
      </c>
      <c r="Q62" s="19" t="str">
        <f t="shared" si="15"/>
        <v/>
      </c>
      <c r="R62" s="19" t="str">
        <f t="shared" si="20"/>
        <v/>
      </c>
      <c r="S62" s="27" t="str">
        <f t="shared" si="21"/>
        <v/>
      </c>
      <c r="T62" s="28" t="str">
        <f t="shared" si="22"/>
        <v/>
      </c>
      <c r="U62" s="28" t="str">
        <f t="shared" si="23"/>
        <v/>
      </c>
      <c r="V62" s="28" t="str">
        <f t="shared" si="24"/>
        <v/>
      </c>
      <c r="W62" s="28" t="str">
        <f t="shared" si="25"/>
        <v/>
      </c>
      <c r="X62" s="29" t="str">
        <f t="shared" si="26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16"/>
        <v/>
      </c>
      <c r="M63" s="19" t="str">
        <f t="shared" si="17"/>
        <v/>
      </c>
      <c r="N63" s="19" t="str">
        <f t="shared" si="19"/>
        <v/>
      </c>
      <c r="O63" s="19" t="str">
        <f t="shared" si="13"/>
        <v/>
      </c>
      <c r="P63" s="19" t="str">
        <f t="shared" si="14"/>
        <v/>
      </c>
      <c r="Q63" s="19" t="str">
        <f t="shared" si="15"/>
        <v/>
      </c>
      <c r="R63" s="19" t="str">
        <f t="shared" si="20"/>
        <v/>
      </c>
      <c r="S63" s="27" t="str">
        <f t="shared" si="21"/>
        <v/>
      </c>
      <c r="T63" s="28" t="str">
        <f t="shared" si="22"/>
        <v/>
      </c>
      <c r="U63" s="28" t="str">
        <f t="shared" si="23"/>
        <v/>
      </c>
      <c r="V63" s="28" t="str">
        <f t="shared" si="24"/>
        <v/>
      </c>
      <c r="W63" s="28" t="str">
        <f t="shared" si="25"/>
        <v/>
      </c>
      <c r="X63" s="29" t="str">
        <f t="shared" si="26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6"/>
        <v/>
      </c>
      <c r="M64" s="19" t="str">
        <f t="shared" si="17"/>
        <v/>
      </c>
      <c r="N64" s="19" t="str">
        <f t="shared" si="19"/>
        <v/>
      </c>
      <c r="O64" s="19" t="str">
        <f t="shared" si="13"/>
        <v/>
      </c>
      <c r="P64" s="19" t="str">
        <f t="shared" si="14"/>
        <v/>
      </c>
      <c r="Q64" s="19" t="str">
        <f t="shared" si="15"/>
        <v/>
      </c>
      <c r="R64" s="19" t="str">
        <f t="shared" si="20"/>
        <v/>
      </c>
      <c r="S64" s="27" t="str">
        <f t="shared" si="21"/>
        <v/>
      </c>
      <c r="T64" s="28" t="str">
        <f t="shared" si="22"/>
        <v/>
      </c>
      <c r="U64" s="28" t="str">
        <f t="shared" si="23"/>
        <v/>
      </c>
      <c r="V64" s="28" t="str">
        <f t="shared" si="24"/>
        <v/>
      </c>
      <c r="W64" s="28" t="str">
        <f t="shared" si="25"/>
        <v/>
      </c>
      <c r="X64" s="29" t="str">
        <f t="shared" si="26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6"/>
        <v/>
      </c>
      <c r="M65" s="19" t="str">
        <f t="shared" si="17"/>
        <v/>
      </c>
      <c r="N65" s="19" t="str">
        <f t="shared" si="19"/>
        <v/>
      </c>
      <c r="O65" s="19" t="str">
        <f t="shared" si="13"/>
        <v/>
      </c>
      <c r="P65" s="19" t="str">
        <f t="shared" si="14"/>
        <v/>
      </c>
      <c r="Q65" s="19" t="str">
        <f t="shared" si="15"/>
        <v/>
      </c>
      <c r="R65" s="19" t="str">
        <f t="shared" si="20"/>
        <v/>
      </c>
      <c r="S65" s="27" t="str">
        <f t="shared" si="21"/>
        <v/>
      </c>
      <c r="T65" s="28" t="str">
        <f t="shared" si="22"/>
        <v/>
      </c>
      <c r="U65" s="28" t="str">
        <f t="shared" si="23"/>
        <v/>
      </c>
      <c r="V65" s="28" t="str">
        <f t="shared" si="24"/>
        <v/>
      </c>
      <c r="W65" s="28" t="str">
        <f t="shared" si="25"/>
        <v/>
      </c>
      <c r="X65" s="29" t="str">
        <f t="shared" si="26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6"/>
        <v/>
      </c>
      <c r="M66" s="19" t="str">
        <f t="shared" si="17"/>
        <v/>
      </c>
      <c r="N66" s="19" t="str">
        <f t="shared" si="19"/>
        <v/>
      </c>
      <c r="O66" s="19" t="str">
        <f t="shared" si="13"/>
        <v/>
      </c>
      <c r="P66" s="19" t="str">
        <f t="shared" si="14"/>
        <v/>
      </c>
      <c r="Q66" s="19" t="str">
        <f t="shared" si="15"/>
        <v/>
      </c>
      <c r="R66" s="19" t="str">
        <f t="shared" si="20"/>
        <v/>
      </c>
      <c r="S66" s="27" t="str">
        <f t="shared" si="21"/>
        <v/>
      </c>
      <c r="T66" s="28" t="str">
        <f t="shared" si="22"/>
        <v/>
      </c>
      <c r="U66" s="28" t="str">
        <f t="shared" si="23"/>
        <v/>
      </c>
      <c r="V66" s="28" t="str">
        <f t="shared" si="24"/>
        <v/>
      </c>
      <c r="W66" s="28" t="str">
        <f t="shared" si="25"/>
        <v/>
      </c>
      <c r="X66" s="29" t="str">
        <f t="shared" si="26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6"/>
        <v/>
      </c>
      <c r="M67" s="19" t="str">
        <f t="shared" si="17"/>
        <v/>
      </c>
      <c r="N67" s="19" t="str">
        <f t="shared" si="19"/>
        <v/>
      </c>
      <c r="O67" s="19" t="str">
        <f t="shared" si="13"/>
        <v/>
      </c>
      <c r="P67" s="19" t="str">
        <f t="shared" si="14"/>
        <v/>
      </c>
      <c r="Q67" s="19" t="str">
        <f t="shared" si="15"/>
        <v/>
      </c>
      <c r="R67" s="19" t="str">
        <f t="shared" si="20"/>
        <v/>
      </c>
      <c r="S67" s="27" t="str">
        <f t="shared" si="21"/>
        <v/>
      </c>
      <c r="T67" s="28" t="str">
        <f t="shared" si="22"/>
        <v/>
      </c>
      <c r="U67" s="28" t="str">
        <f t="shared" si="23"/>
        <v/>
      </c>
      <c r="V67" s="28" t="str">
        <f t="shared" si="24"/>
        <v/>
      </c>
      <c r="W67" s="28" t="str">
        <f t="shared" si="25"/>
        <v/>
      </c>
      <c r="X67" s="29" t="str">
        <f t="shared" si="26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6"/>
        <v/>
      </c>
      <c r="M68" s="19" t="str">
        <f t="shared" si="17"/>
        <v/>
      </c>
      <c r="N68" s="19" t="str">
        <f t="shared" si="19"/>
        <v/>
      </c>
      <c r="O68" s="19" t="str">
        <f t="shared" si="13"/>
        <v/>
      </c>
      <c r="P68" s="19" t="str">
        <f t="shared" si="14"/>
        <v/>
      </c>
      <c r="Q68" s="19" t="str">
        <f t="shared" si="15"/>
        <v/>
      </c>
      <c r="R68" s="19" t="str">
        <f t="shared" si="20"/>
        <v/>
      </c>
      <c r="S68" s="27" t="str">
        <f t="shared" si="21"/>
        <v/>
      </c>
      <c r="T68" s="28" t="str">
        <f t="shared" si="22"/>
        <v/>
      </c>
      <c r="U68" s="28" t="str">
        <f t="shared" si="23"/>
        <v/>
      </c>
      <c r="V68" s="28" t="str">
        <f t="shared" si="24"/>
        <v/>
      </c>
      <c r="W68" s="28" t="str">
        <f t="shared" si="25"/>
        <v/>
      </c>
      <c r="X68" s="29" t="str">
        <f t="shared" si="26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6"/>
        <v/>
      </c>
      <c r="M69" s="19" t="str">
        <f t="shared" si="17"/>
        <v/>
      </c>
      <c r="N69" s="19" t="str">
        <f t="shared" si="19"/>
        <v/>
      </c>
      <c r="O69" s="19" t="str">
        <f t="shared" si="13"/>
        <v/>
      </c>
      <c r="P69" s="19" t="str">
        <f t="shared" si="14"/>
        <v/>
      </c>
      <c r="Q69" s="19" t="str">
        <f t="shared" si="15"/>
        <v/>
      </c>
      <c r="R69" s="19" t="str">
        <f t="shared" si="20"/>
        <v/>
      </c>
      <c r="S69" s="27" t="str">
        <f t="shared" si="21"/>
        <v/>
      </c>
      <c r="T69" s="28" t="str">
        <f t="shared" si="22"/>
        <v/>
      </c>
      <c r="U69" s="28" t="str">
        <f t="shared" si="23"/>
        <v/>
      </c>
      <c r="V69" s="28" t="str">
        <f t="shared" si="24"/>
        <v/>
      </c>
      <c r="W69" s="28" t="str">
        <f t="shared" si="25"/>
        <v/>
      </c>
      <c r="X69" s="29" t="str">
        <f t="shared" si="26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6"/>
        <v/>
      </c>
      <c r="M70" s="19" t="str">
        <f t="shared" si="17"/>
        <v/>
      </c>
      <c r="N70" s="19" t="str">
        <f t="shared" si="19"/>
        <v/>
      </c>
      <c r="O70" s="19" t="str">
        <f t="shared" si="13"/>
        <v/>
      </c>
      <c r="P70" s="19" t="str">
        <f t="shared" si="14"/>
        <v/>
      </c>
      <c r="Q70" s="19" t="str">
        <f t="shared" si="15"/>
        <v/>
      </c>
      <c r="R70" s="19" t="str">
        <f t="shared" si="20"/>
        <v/>
      </c>
      <c r="S70" s="27" t="str">
        <f t="shared" si="21"/>
        <v/>
      </c>
      <c r="T70" s="28" t="str">
        <f t="shared" si="22"/>
        <v/>
      </c>
      <c r="U70" s="28" t="str">
        <f t="shared" si="23"/>
        <v/>
      </c>
      <c r="V70" s="28" t="str">
        <f t="shared" si="24"/>
        <v/>
      </c>
      <c r="W70" s="28" t="str">
        <f t="shared" si="25"/>
        <v/>
      </c>
      <c r="X70" s="29" t="str">
        <f t="shared" si="26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6"/>
        <v/>
      </c>
      <c r="M71" s="19" t="str">
        <f t="shared" si="17"/>
        <v/>
      </c>
      <c r="N71" s="19" t="str">
        <f t="shared" si="19"/>
        <v/>
      </c>
      <c r="O71" s="19" t="str">
        <f t="shared" si="13"/>
        <v/>
      </c>
      <c r="P71" s="19" t="str">
        <f t="shared" si="14"/>
        <v/>
      </c>
      <c r="Q71" s="19" t="str">
        <f t="shared" si="15"/>
        <v/>
      </c>
      <c r="R71" s="19" t="str">
        <f t="shared" si="20"/>
        <v/>
      </c>
      <c r="S71" s="27" t="str">
        <f t="shared" si="21"/>
        <v/>
      </c>
      <c r="T71" s="28" t="str">
        <f t="shared" si="22"/>
        <v/>
      </c>
      <c r="U71" s="28" t="str">
        <f t="shared" si="23"/>
        <v/>
      </c>
      <c r="V71" s="28" t="str">
        <f t="shared" si="24"/>
        <v/>
      </c>
      <c r="W71" s="28" t="str">
        <f t="shared" si="25"/>
        <v/>
      </c>
      <c r="X71" s="29" t="str">
        <f t="shared" si="26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6"/>
        <v/>
      </c>
      <c r="M72" s="19" t="str">
        <f t="shared" si="17"/>
        <v/>
      </c>
      <c r="N72" s="19" t="str">
        <f t="shared" si="19"/>
        <v/>
      </c>
      <c r="O72" s="19" t="str">
        <f t="shared" si="13"/>
        <v/>
      </c>
      <c r="P72" s="19" t="str">
        <f t="shared" si="14"/>
        <v/>
      </c>
      <c r="Q72" s="19" t="str">
        <f t="shared" si="15"/>
        <v/>
      </c>
      <c r="R72" s="19" t="str">
        <f t="shared" si="20"/>
        <v/>
      </c>
      <c r="S72" s="27" t="str">
        <f t="shared" si="21"/>
        <v/>
      </c>
      <c r="T72" s="28" t="str">
        <f t="shared" si="22"/>
        <v/>
      </c>
      <c r="U72" s="28" t="str">
        <f t="shared" si="23"/>
        <v/>
      </c>
      <c r="V72" s="28" t="str">
        <f t="shared" si="24"/>
        <v/>
      </c>
      <c r="W72" s="28" t="str">
        <f t="shared" si="25"/>
        <v/>
      </c>
      <c r="X72" s="29" t="str">
        <f t="shared" si="26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6"/>
        <v/>
      </c>
      <c r="M73" s="19" t="str">
        <f t="shared" si="17"/>
        <v/>
      </c>
      <c r="N73" s="19" t="str">
        <f t="shared" si="19"/>
        <v/>
      </c>
      <c r="O73" s="19" t="str">
        <f t="shared" si="13"/>
        <v/>
      </c>
      <c r="P73" s="19" t="str">
        <f t="shared" si="14"/>
        <v/>
      </c>
      <c r="Q73" s="19" t="str">
        <f t="shared" si="15"/>
        <v/>
      </c>
      <c r="R73" s="19" t="str">
        <f t="shared" si="20"/>
        <v/>
      </c>
      <c r="S73" s="27" t="str">
        <f t="shared" si="21"/>
        <v/>
      </c>
      <c r="T73" s="28" t="str">
        <f t="shared" si="22"/>
        <v/>
      </c>
      <c r="U73" s="28" t="str">
        <f t="shared" si="23"/>
        <v/>
      </c>
      <c r="V73" s="28" t="str">
        <f t="shared" si="24"/>
        <v/>
      </c>
      <c r="W73" s="28" t="str">
        <f t="shared" si="25"/>
        <v/>
      </c>
      <c r="X73" s="29" t="str">
        <f t="shared" si="26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6"/>
        <v/>
      </c>
      <c r="M74" s="19" t="str">
        <f t="shared" si="17"/>
        <v/>
      </c>
      <c r="N74" s="19" t="str">
        <f t="shared" si="19"/>
        <v/>
      </c>
      <c r="O74" s="19" t="str">
        <f t="shared" si="13"/>
        <v/>
      </c>
      <c r="P74" s="19" t="str">
        <f t="shared" si="14"/>
        <v/>
      </c>
      <c r="Q74" s="19" t="str">
        <f t="shared" si="15"/>
        <v/>
      </c>
      <c r="R74" s="19" t="str">
        <f t="shared" si="20"/>
        <v/>
      </c>
      <c r="S74" s="27" t="str">
        <f t="shared" si="21"/>
        <v/>
      </c>
      <c r="T74" s="28" t="str">
        <f t="shared" si="22"/>
        <v/>
      </c>
      <c r="U74" s="28" t="str">
        <f t="shared" si="23"/>
        <v/>
      </c>
      <c r="V74" s="28" t="str">
        <f t="shared" si="24"/>
        <v/>
      </c>
      <c r="W74" s="28" t="str">
        <f t="shared" si="25"/>
        <v/>
      </c>
      <c r="X74" s="29" t="str">
        <f t="shared" si="26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6"/>
        <v/>
      </c>
      <c r="M75" s="19" t="str">
        <f t="shared" si="17"/>
        <v/>
      </c>
      <c r="N75" s="19" t="str">
        <f t="shared" si="19"/>
        <v/>
      </c>
      <c r="O75" s="19" t="str">
        <f t="shared" si="13"/>
        <v/>
      </c>
      <c r="P75" s="19" t="str">
        <f t="shared" si="14"/>
        <v/>
      </c>
      <c r="Q75" s="19" t="str">
        <f t="shared" si="15"/>
        <v/>
      </c>
      <c r="R75" s="19" t="str">
        <f t="shared" si="20"/>
        <v/>
      </c>
      <c r="S75" s="27" t="str">
        <f t="shared" si="21"/>
        <v/>
      </c>
      <c r="T75" s="28" t="str">
        <f t="shared" si="22"/>
        <v/>
      </c>
      <c r="U75" s="28" t="str">
        <f t="shared" si="23"/>
        <v/>
      </c>
      <c r="V75" s="28" t="str">
        <f t="shared" si="24"/>
        <v/>
      </c>
      <c r="W75" s="28" t="str">
        <f t="shared" si="25"/>
        <v/>
      </c>
      <c r="X75" s="29" t="str">
        <f t="shared" si="26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6"/>
        <v/>
      </c>
      <c r="M76" s="19" t="str">
        <f t="shared" si="17"/>
        <v/>
      </c>
      <c r="N76" s="19" t="str">
        <f t="shared" si="19"/>
        <v/>
      </c>
      <c r="O76" s="19" t="str">
        <f t="shared" si="13"/>
        <v/>
      </c>
      <c r="P76" s="19" t="str">
        <f t="shared" si="14"/>
        <v/>
      </c>
      <c r="Q76" s="19" t="str">
        <f t="shared" si="15"/>
        <v/>
      </c>
      <c r="R76" s="19" t="str">
        <f t="shared" si="20"/>
        <v/>
      </c>
      <c r="S76" s="27" t="str">
        <f t="shared" si="21"/>
        <v/>
      </c>
      <c r="T76" s="28" t="str">
        <f t="shared" si="22"/>
        <v/>
      </c>
      <c r="U76" s="28" t="str">
        <f t="shared" si="23"/>
        <v/>
      </c>
      <c r="V76" s="28" t="str">
        <f t="shared" si="24"/>
        <v/>
      </c>
      <c r="W76" s="28" t="str">
        <f t="shared" si="25"/>
        <v/>
      </c>
      <c r="X76" s="29" t="str">
        <f t="shared" si="26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6"/>
        <v/>
      </c>
      <c r="M77" s="19" t="str">
        <f t="shared" si="17"/>
        <v/>
      </c>
      <c r="N77" s="19" t="str">
        <f t="shared" si="19"/>
        <v/>
      </c>
      <c r="O77" s="19" t="str">
        <f t="shared" si="13"/>
        <v/>
      </c>
      <c r="P77" s="19" t="str">
        <f t="shared" si="14"/>
        <v/>
      </c>
      <c r="Q77" s="19" t="str">
        <f t="shared" si="15"/>
        <v/>
      </c>
      <c r="R77" s="19" t="str">
        <f t="shared" si="20"/>
        <v/>
      </c>
      <c r="S77" s="27" t="str">
        <f t="shared" si="21"/>
        <v/>
      </c>
      <c r="T77" s="28" t="str">
        <f t="shared" si="22"/>
        <v/>
      </c>
      <c r="U77" s="28" t="str">
        <f t="shared" si="23"/>
        <v/>
      </c>
      <c r="V77" s="28" t="str">
        <f t="shared" si="24"/>
        <v/>
      </c>
      <c r="W77" s="28" t="str">
        <f t="shared" si="25"/>
        <v/>
      </c>
      <c r="X77" s="29" t="str">
        <f t="shared" si="26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6"/>
        <v/>
      </c>
      <c r="M78" s="19" t="str">
        <f t="shared" si="17"/>
        <v/>
      </c>
      <c r="N78" s="19" t="str">
        <f t="shared" si="19"/>
        <v/>
      </c>
      <c r="O78" s="19" t="str">
        <f t="shared" si="13"/>
        <v/>
      </c>
      <c r="P78" s="19" t="str">
        <f t="shared" si="14"/>
        <v/>
      </c>
      <c r="Q78" s="19" t="str">
        <f t="shared" si="15"/>
        <v/>
      </c>
      <c r="R78" s="19" t="str">
        <f t="shared" si="20"/>
        <v/>
      </c>
      <c r="S78" s="27" t="str">
        <f t="shared" si="21"/>
        <v/>
      </c>
      <c r="T78" s="28" t="str">
        <f t="shared" si="22"/>
        <v/>
      </c>
      <c r="U78" s="28" t="str">
        <f t="shared" si="23"/>
        <v/>
      </c>
      <c r="V78" s="28" t="str">
        <f t="shared" si="24"/>
        <v/>
      </c>
      <c r="W78" s="28" t="str">
        <f t="shared" si="25"/>
        <v/>
      </c>
      <c r="X78" s="29" t="str">
        <f t="shared" si="26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6"/>
        <v/>
      </c>
      <c r="M79" s="19" t="str">
        <f t="shared" si="17"/>
        <v/>
      </c>
      <c r="N79" s="19" t="str">
        <f t="shared" si="19"/>
        <v/>
      </c>
      <c r="O79" s="19" t="str">
        <f t="shared" si="13"/>
        <v/>
      </c>
      <c r="P79" s="19" t="str">
        <f t="shared" si="14"/>
        <v/>
      </c>
      <c r="Q79" s="19" t="str">
        <f t="shared" si="15"/>
        <v/>
      </c>
      <c r="R79" s="19" t="str">
        <f t="shared" si="20"/>
        <v/>
      </c>
      <c r="S79" s="27" t="str">
        <f t="shared" si="21"/>
        <v/>
      </c>
      <c r="T79" s="28" t="str">
        <f t="shared" si="22"/>
        <v/>
      </c>
      <c r="U79" s="28" t="str">
        <f t="shared" si="23"/>
        <v/>
      </c>
      <c r="V79" s="28" t="str">
        <f t="shared" si="24"/>
        <v/>
      </c>
      <c r="W79" s="28" t="str">
        <f t="shared" si="25"/>
        <v/>
      </c>
      <c r="X79" s="29" t="str">
        <f t="shared" si="26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6"/>
        <v/>
      </c>
      <c r="M80" s="19" t="str">
        <f t="shared" si="17"/>
        <v/>
      </c>
      <c r="N80" s="19" t="str">
        <f t="shared" ref="N80:N111" si="27">IF(ISBLANK(E80),"",(E80-E$16)*1000)</f>
        <v/>
      </c>
      <c r="O80" s="19" t="str">
        <f t="shared" si="13"/>
        <v/>
      </c>
      <c r="P80" s="19" t="str">
        <f t="shared" si="14"/>
        <v/>
      </c>
      <c r="Q80" s="19" t="str">
        <f t="shared" si="15"/>
        <v/>
      </c>
      <c r="R80" s="19" t="str">
        <f t="shared" ref="R80:R111" si="28">IF(ISBLANK(I80),"",(I80-I$16)*1000)</f>
        <v/>
      </c>
      <c r="S80" s="27" t="str">
        <f t="shared" si="21"/>
        <v/>
      </c>
      <c r="T80" s="28" t="str">
        <f t="shared" si="22"/>
        <v/>
      </c>
      <c r="U80" s="28" t="str">
        <f t="shared" si="23"/>
        <v/>
      </c>
      <c r="V80" s="28" t="str">
        <f t="shared" si="24"/>
        <v/>
      </c>
      <c r="W80" s="28" t="str">
        <f t="shared" si="25"/>
        <v/>
      </c>
      <c r="X80" s="29" t="str">
        <f t="shared" si="26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6"/>
        <v/>
      </c>
      <c r="M81" s="19" t="str">
        <f t="shared" si="17"/>
        <v/>
      </c>
      <c r="N81" s="19" t="str">
        <f t="shared" si="27"/>
        <v/>
      </c>
      <c r="O81" s="19" t="str">
        <f t="shared" si="13"/>
        <v/>
      </c>
      <c r="P81" s="19" t="str">
        <f t="shared" si="14"/>
        <v/>
      </c>
      <c r="Q81" s="19" t="str">
        <f t="shared" si="15"/>
        <v/>
      </c>
      <c r="R81" s="19" t="str">
        <f t="shared" si="28"/>
        <v/>
      </c>
      <c r="S81" s="27" t="str">
        <f t="shared" ref="S81:S112" si="29">IF(C81="","",((C81-C80)*1000)/($B81-$B80))</f>
        <v/>
      </c>
      <c r="T81" s="28" t="str">
        <f t="shared" ref="T81:T112" si="30">IF(D81="","",((D81-D80)*1000)/($B81-$B80))</f>
        <v/>
      </c>
      <c r="U81" s="28" t="str">
        <f t="shared" ref="U81:U112" si="31">IF(E81="","",((E81-E80)*1000)/($B81-$B80))</f>
        <v/>
      </c>
      <c r="V81" s="28" t="str">
        <f t="shared" ref="V81:V112" si="32">IF(F81="","",((F81-F80)*1000)/($B81-$B80))</f>
        <v/>
      </c>
      <c r="W81" s="28" t="str">
        <f t="shared" ref="W81:W112" si="33">IF(G81="","",((G81-G80)*1000)/($B81-$B80))</f>
        <v/>
      </c>
      <c r="X81" s="29" t="str">
        <f t="shared" ref="X81:X112" si="34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6"/>
        <v/>
      </c>
      <c r="M82" s="19" t="str">
        <f t="shared" si="17"/>
        <v/>
      </c>
      <c r="N82" s="19" t="str">
        <f t="shared" si="27"/>
        <v/>
      </c>
      <c r="O82" s="19" t="str">
        <f t="shared" si="13"/>
        <v/>
      </c>
      <c r="P82" s="19" t="str">
        <f t="shared" si="14"/>
        <v/>
      </c>
      <c r="Q82" s="19" t="str">
        <f t="shared" si="15"/>
        <v/>
      </c>
      <c r="R82" s="19" t="str">
        <f t="shared" si="28"/>
        <v/>
      </c>
      <c r="S82" s="27" t="str">
        <f t="shared" si="29"/>
        <v/>
      </c>
      <c r="T82" s="28" t="str">
        <f t="shared" si="30"/>
        <v/>
      </c>
      <c r="U82" s="28" t="str">
        <f t="shared" si="31"/>
        <v/>
      </c>
      <c r="V82" s="28" t="str">
        <f t="shared" si="32"/>
        <v/>
      </c>
      <c r="W82" s="28" t="str">
        <f t="shared" si="33"/>
        <v/>
      </c>
      <c r="X82" s="29" t="str">
        <f t="shared" si="34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6"/>
        <v/>
      </c>
      <c r="M83" s="19" t="str">
        <f t="shared" si="17"/>
        <v/>
      </c>
      <c r="N83" s="19" t="str">
        <f t="shared" si="27"/>
        <v/>
      </c>
      <c r="O83" s="19" t="str">
        <f t="shared" si="13"/>
        <v/>
      </c>
      <c r="P83" s="19" t="str">
        <f t="shared" si="14"/>
        <v/>
      </c>
      <c r="Q83" s="19" t="str">
        <f t="shared" si="15"/>
        <v/>
      </c>
      <c r="R83" s="19" t="str">
        <f t="shared" si="28"/>
        <v/>
      </c>
      <c r="S83" s="27" t="str">
        <f t="shared" si="29"/>
        <v/>
      </c>
      <c r="T83" s="28" t="str">
        <f t="shared" si="30"/>
        <v/>
      </c>
      <c r="U83" s="28" t="str">
        <f t="shared" si="31"/>
        <v/>
      </c>
      <c r="V83" s="28" t="str">
        <f t="shared" si="32"/>
        <v/>
      </c>
      <c r="W83" s="28" t="str">
        <f t="shared" si="33"/>
        <v/>
      </c>
      <c r="X83" s="29" t="str">
        <f t="shared" si="34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6"/>
        <v/>
      </c>
      <c r="M84" s="19" t="str">
        <f t="shared" si="17"/>
        <v/>
      </c>
      <c r="N84" s="19" t="str">
        <f t="shared" si="27"/>
        <v/>
      </c>
      <c r="O84" s="19" t="str">
        <f t="shared" si="13"/>
        <v/>
      </c>
      <c r="P84" s="19" t="str">
        <f t="shared" si="14"/>
        <v/>
      </c>
      <c r="Q84" s="19" t="str">
        <f t="shared" si="15"/>
        <v/>
      </c>
      <c r="R84" s="19" t="str">
        <f t="shared" si="28"/>
        <v/>
      </c>
      <c r="S84" s="27" t="str">
        <f t="shared" si="29"/>
        <v/>
      </c>
      <c r="T84" s="28" t="str">
        <f t="shared" si="30"/>
        <v/>
      </c>
      <c r="U84" s="28" t="str">
        <f t="shared" si="31"/>
        <v/>
      </c>
      <c r="V84" s="28" t="str">
        <f t="shared" si="32"/>
        <v/>
      </c>
      <c r="W84" s="28" t="str">
        <f t="shared" si="33"/>
        <v/>
      </c>
      <c r="X84" s="29" t="str">
        <f t="shared" si="34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6"/>
        <v/>
      </c>
      <c r="M85" s="19" t="str">
        <f t="shared" si="17"/>
        <v/>
      </c>
      <c r="N85" s="19" t="str">
        <f t="shared" si="27"/>
        <v/>
      </c>
      <c r="O85" s="19" t="str">
        <f t="shared" si="13"/>
        <v/>
      </c>
      <c r="P85" s="19" t="str">
        <f t="shared" si="14"/>
        <v/>
      </c>
      <c r="Q85" s="19" t="str">
        <f t="shared" si="15"/>
        <v/>
      </c>
      <c r="R85" s="19" t="str">
        <f t="shared" si="28"/>
        <v/>
      </c>
      <c r="S85" s="27" t="str">
        <f t="shared" si="29"/>
        <v/>
      </c>
      <c r="T85" s="28" t="str">
        <f t="shared" si="30"/>
        <v/>
      </c>
      <c r="U85" s="28" t="str">
        <f t="shared" si="31"/>
        <v/>
      </c>
      <c r="V85" s="28" t="str">
        <f t="shared" si="32"/>
        <v/>
      </c>
      <c r="W85" s="28" t="str">
        <f t="shared" si="33"/>
        <v/>
      </c>
      <c r="X85" s="29" t="str">
        <f t="shared" si="34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6"/>
        <v/>
      </c>
      <c r="M86" s="19" t="str">
        <f t="shared" si="17"/>
        <v/>
      </c>
      <c r="N86" s="19" t="str">
        <f t="shared" si="27"/>
        <v/>
      </c>
      <c r="O86" s="19" t="str">
        <f t="shared" si="13"/>
        <v/>
      </c>
      <c r="P86" s="19" t="str">
        <f t="shared" si="14"/>
        <v/>
      </c>
      <c r="Q86" s="19" t="str">
        <f t="shared" si="15"/>
        <v/>
      </c>
      <c r="R86" s="19" t="str">
        <f t="shared" si="28"/>
        <v/>
      </c>
      <c r="S86" s="27" t="str">
        <f t="shared" si="29"/>
        <v/>
      </c>
      <c r="T86" s="28" t="str">
        <f t="shared" si="30"/>
        <v/>
      </c>
      <c r="U86" s="28" t="str">
        <f t="shared" si="31"/>
        <v/>
      </c>
      <c r="V86" s="28" t="str">
        <f t="shared" si="32"/>
        <v/>
      </c>
      <c r="W86" s="28" t="str">
        <f t="shared" si="33"/>
        <v/>
      </c>
      <c r="X86" s="29" t="str">
        <f t="shared" si="34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6"/>
        <v/>
      </c>
      <c r="M87" s="19" t="str">
        <f t="shared" si="17"/>
        <v/>
      </c>
      <c r="N87" s="19" t="str">
        <f t="shared" si="27"/>
        <v/>
      </c>
      <c r="O87" s="19" t="str">
        <f t="shared" ref="O87:O150" si="35">IF(ISBLANK(F87),"",((F87-F$22)*1000)+L$22)</f>
        <v/>
      </c>
      <c r="P87" s="19" t="str">
        <f t="shared" ref="P87:P150" si="36">IF(ISBLANK(G87),"",((G87-G$22)*1000)+M$22)</f>
        <v/>
      </c>
      <c r="Q87" s="19" t="str">
        <f t="shared" ref="Q87:Q150" si="37">IF(ISBLANK(H87),"",((H87-H$22)*1000)+N$22)</f>
        <v/>
      </c>
      <c r="R87" s="19" t="str">
        <f t="shared" si="28"/>
        <v/>
      </c>
      <c r="S87" s="27" t="str">
        <f t="shared" si="29"/>
        <v/>
      </c>
      <c r="T87" s="28" t="str">
        <f t="shared" si="30"/>
        <v/>
      </c>
      <c r="U87" s="28" t="str">
        <f t="shared" si="31"/>
        <v/>
      </c>
      <c r="V87" s="28" t="str">
        <f t="shared" si="32"/>
        <v/>
      </c>
      <c r="W87" s="28" t="str">
        <f t="shared" si="33"/>
        <v/>
      </c>
      <c r="X87" s="29" t="str">
        <f t="shared" si="34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ref="L88:L151" si="38">IF(ISBLANK(C88),"",((C88-C$23)*1000)+L$22)</f>
        <v/>
      </c>
      <c r="M88" s="19" t="str">
        <f t="shared" ref="M88:M151" si="39">IF(ISBLANK(D88),"",((D88-D$23)*1000)+M$22)</f>
        <v/>
      </c>
      <c r="N88" s="19" t="str">
        <f t="shared" si="27"/>
        <v/>
      </c>
      <c r="O88" s="19" t="str">
        <f t="shared" si="35"/>
        <v/>
      </c>
      <c r="P88" s="19" t="str">
        <f t="shared" si="36"/>
        <v/>
      </c>
      <c r="Q88" s="19" t="str">
        <f t="shared" si="37"/>
        <v/>
      </c>
      <c r="R88" s="19" t="str">
        <f t="shared" si="28"/>
        <v/>
      </c>
      <c r="S88" s="27" t="str">
        <f t="shared" si="29"/>
        <v/>
      </c>
      <c r="T88" s="28" t="str">
        <f t="shared" si="30"/>
        <v/>
      </c>
      <c r="U88" s="28" t="str">
        <f t="shared" si="31"/>
        <v/>
      </c>
      <c r="V88" s="28" t="str">
        <f t="shared" si="32"/>
        <v/>
      </c>
      <c r="W88" s="28" t="str">
        <f t="shared" si="33"/>
        <v/>
      </c>
      <c r="X88" s="29" t="str">
        <f t="shared" si="34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8"/>
        <v/>
      </c>
      <c r="M89" s="19" t="str">
        <f t="shared" si="39"/>
        <v/>
      </c>
      <c r="N89" s="19" t="str">
        <f t="shared" si="27"/>
        <v/>
      </c>
      <c r="O89" s="19" t="str">
        <f t="shared" si="35"/>
        <v/>
      </c>
      <c r="P89" s="19" t="str">
        <f t="shared" si="36"/>
        <v/>
      </c>
      <c r="Q89" s="19" t="str">
        <f t="shared" si="37"/>
        <v/>
      </c>
      <c r="R89" s="19" t="str">
        <f t="shared" si="28"/>
        <v/>
      </c>
      <c r="S89" s="27" t="str">
        <f t="shared" si="29"/>
        <v/>
      </c>
      <c r="T89" s="28" t="str">
        <f t="shared" si="30"/>
        <v/>
      </c>
      <c r="U89" s="28" t="str">
        <f t="shared" si="31"/>
        <v/>
      </c>
      <c r="V89" s="28" t="str">
        <f t="shared" si="32"/>
        <v/>
      </c>
      <c r="W89" s="28" t="str">
        <f t="shared" si="33"/>
        <v/>
      </c>
      <c r="X89" s="29" t="str">
        <f t="shared" si="34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8"/>
        <v/>
      </c>
      <c r="M90" s="19" t="str">
        <f t="shared" si="39"/>
        <v/>
      </c>
      <c r="N90" s="19" t="str">
        <f t="shared" si="27"/>
        <v/>
      </c>
      <c r="O90" s="19" t="str">
        <f t="shared" si="35"/>
        <v/>
      </c>
      <c r="P90" s="19" t="str">
        <f t="shared" si="36"/>
        <v/>
      </c>
      <c r="Q90" s="19" t="str">
        <f t="shared" si="37"/>
        <v/>
      </c>
      <c r="R90" s="19" t="str">
        <f t="shared" si="28"/>
        <v/>
      </c>
      <c r="S90" s="27" t="str">
        <f t="shared" si="29"/>
        <v/>
      </c>
      <c r="T90" s="28" t="str">
        <f t="shared" si="30"/>
        <v/>
      </c>
      <c r="U90" s="28" t="str">
        <f t="shared" si="31"/>
        <v/>
      </c>
      <c r="V90" s="28" t="str">
        <f t="shared" si="32"/>
        <v/>
      </c>
      <c r="W90" s="28" t="str">
        <f t="shared" si="33"/>
        <v/>
      </c>
      <c r="X90" s="29" t="str">
        <f t="shared" si="34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8"/>
        <v/>
      </c>
      <c r="M91" s="19" t="str">
        <f t="shared" si="39"/>
        <v/>
      </c>
      <c r="N91" s="19" t="str">
        <f t="shared" si="27"/>
        <v/>
      </c>
      <c r="O91" s="19" t="str">
        <f t="shared" si="35"/>
        <v/>
      </c>
      <c r="P91" s="19" t="str">
        <f t="shared" si="36"/>
        <v/>
      </c>
      <c r="Q91" s="19" t="str">
        <f t="shared" si="37"/>
        <v/>
      </c>
      <c r="R91" s="19" t="str">
        <f t="shared" si="28"/>
        <v/>
      </c>
      <c r="S91" s="27" t="str">
        <f t="shared" si="29"/>
        <v/>
      </c>
      <c r="T91" s="28" t="str">
        <f t="shared" si="30"/>
        <v/>
      </c>
      <c r="U91" s="28" t="str">
        <f t="shared" si="31"/>
        <v/>
      </c>
      <c r="V91" s="28" t="str">
        <f t="shared" si="32"/>
        <v/>
      </c>
      <c r="W91" s="28" t="str">
        <f t="shared" si="33"/>
        <v/>
      </c>
      <c r="X91" s="29" t="str">
        <f t="shared" si="34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8"/>
        <v/>
      </c>
      <c r="M92" s="19" t="str">
        <f t="shared" si="39"/>
        <v/>
      </c>
      <c r="N92" s="19" t="str">
        <f t="shared" si="27"/>
        <v/>
      </c>
      <c r="O92" s="19" t="str">
        <f t="shared" si="35"/>
        <v/>
      </c>
      <c r="P92" s="19" t="str">
        <f t="shared" si="36"/>
        <v/>
      </c>
      <c r="Q92" s="19" t="str">
        <f t="shared" si="37"/>
        <v/>
      </c>
      <c r="R92" s="19" t="str">
        <f t="shared" si="28"/>
        <v/>
      </c>
      <c r="S92" s="27" t="str">
        <f t="shared" si="29"/>
        <v/>
      </c>
      <c r="T92" s="28" t="str">
        <f t="shared" si="30"/>
        <v/>
      </c>
      <c r="U92" s="28" t="str">
        <f t="shared" si="31"/>
        <v/>
      </c>
      <c r="V92" s="28" t="str">
        <f t="shared" si="32"/>
        <v/>
      </c>
      <c r="W92" s="28" t="str">
        <f t="shared" si="33"/>
        <v/>
      </c>
      <c r="X92" s="29" t="str">
        <f t="shared" si="34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8"/>
        <v/>
      </c>
      <c r="M93" s="19" t="str">
        <f t="shared" si="39"/>
        <v/>
      </c>
      <c r="N93" s="19" t="str">
        <f t="shared" si="27"/>
        <v/>
      </c>
      <c r="O93" s="19" t="str">
        <f t="shared" si="35"/>
        <v/>
      </c>
      <c r="P93" s="19" t="str">
        <f t="shared" si="36"/>
        <v/>
      </c>
      <c r="Q93" s="19" t="str">
        <f t="shared" si="37"/>
        <v/>
      </c>
      <c r="R93" s="19" t="str">
        <f t="shared" si="28"/>
        <v/>
      </c>
      <c r="S93" s="27" t="str">
        <f t="shared" si="29"/>
        <v/>
      </c>
      <c r="T93" s="28" t="str">
        <f t="shared" si="30"/>
        <v/>
      </c>
      <c r="U93" s="28" t="str">
        <f t="shared" si="31"/>
        <v/>
      </c>
      <c r="V93" s="28" t="str">
        <f t="shared" si="32"/>
        <v/>
      </c>
      <c r="W93" s="28" t="str">
        <f t="shared" si="33"/>
        <v/>
      </c>
      <c r="X93" s="29" t="str">
        <f t="shared" si="34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8"/>
        <v/>
      </c>
      <c r="M94" s="19" t="str">
        <f t="shared" si="39"/>
        <v/>
      </c>
      <c r="N94" s="19" t="str">
        <f t="shared" si="27"/>
        <v/>
      </c>
      <c r="O94" s="19" t="str">
        <f t="shared" si="35"/>
        <v/>
      </c>
      <c r="P94" s="19" t="str">
        <f t="shared" si="36"/>
        <v/>
      </c>
      <c r="Q94" s="19" t="str">
        <f t="shared" si="37"/>
        <v/>
      </c>
      <c r="R94" s="19" t="str">
        <f t="shared" si="28"/>
        <v/>
      </c>
      <c r="S94" s="27" t="str">
        <f t="shared" si="29"/>
        <v/>
      </c>
      <c r="T94" s="28" t="str">
        <f t="shared" si="30"/>
        <v/>
      </c>
      <c r="U94" s="28" t="str">
        <f t="shared" si="31"/>
        <v/>
      </c>
      <c r="V94" s="28" t="str">
        <f t="shared" si="32"/>
        <v/>
      </c>
      <c r="W94" s="28" t="str">
        <f t="shared" si="33"/>
        <v/>
      </c>
      <c r="X94" s="29" t="str">
        <f t="shared" si="34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8"/>
        <v/>
      </c>
      <c r="M95" s="19" t="str">
        <f t="shared" si="39"/>
        <v/>
      </c>
      <c r="N95" s="19" t="str">
        <f t="shared" si="27"/>
        <v/>
      </c>
      <c r="O95" s="19" t="str">
        <f t="shared" si="35"/>
        <v/>
      </c>
      <c r="P95" s="19" t="str">
        <f t="shared" si="36"/>
        <v/>
      </c>
      <c r="Q95" s="19" t="str">
        <f t="shared" si="37"/>
        <v/>
      </c>
      <c r="R95" s="19" t="str">
        <f t="shared" si="28"/>
        <v/>
      </c>
      <c r="S95" s="27" t="str">
        <f t="shared" si="29"/>
        <v/>
      </c>
      <c r="T95" s="28" t="str">
        <f t="shared" si="30"/>
        <v/>
      </c>
      <c r="U95" s="28" t="str">
        <f t="shared" si="31"/>
        <v/>
      </c>
      <c r="V95" s="28" t="str">
        <f t="shared" si="32"/>
        <v/>
      </c>
      <c r="W95" s="28" t="str">
        <f t="shared" si="33"/>
        <v/>
      </c>
      <c r="X95" s="29" t="str">
        <f t="shared" si="34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8"/>
        <v/>
      </c>
      <c r="M96" s="19" t="str">
        <f t="shared" si="39"/>
        <v/>
      </c>
      <c r="N96" s="19" t="str">
        <f t="shared" si="27"/>
        <v/>
      </c>
      <c r="O96" s="19" t="str">
        <f t="shared" si="35"/>
        <v/>
      </c>
      <c r="P96" s="19" t="str">
        <f t="shared" si="36"/>
        <v/>
      </c>
      <c r="Q96" s="19" t="str">
        <f t="shared" si="37"/>
        <v/>
      </c>
      <c r="R96" s="19" t="str">
        <f t="shared" si="28"/>
        <v/>
      </c>
      <c r="S96" s="27" t="str">
        <f t="shared" si="29"/>
        <v/>
      </c>
      <c r="T96" s="28" t="str">
        <f t="shared" si="30"/>
        <v/>
      </c>
      <c r="U96" s="28" t="str">
        <f t="shared" si="31"/>
        <v/>
      </c>
      <c r="V96" s="28" t="str">
        <f t="shared" si="32"/>
        <v/>
      </c>
      <c r="W96" s="28" t="str">
        <f t="shared" si="33"/>
        <v/>
      </c>
      <c r="X96" s="29" t="str">
        <f t="shared" si="34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8"/>
        <v/>
      </c>
      <c r="M97" s="19" t="str">
        <f t="shared" si="39"/>
        <v/>
      </c>
      <c r="N97" s="19" t="str">
        <f t="shared" si="27"/>
        <v/>
      </c>
      <c r="O97" s="19" t="str">
        <f t="shared" si="35"/>
        <v/>
      </c>
      <c r="P97" s="19" t="str">
        <f t="shared" si="36"/>
        <v/>
      </c>
      <c r="Q97" s="19" t="str">
        <f t="shared" si="37"/>
        <v/>
      </c>
      <c r="R97" s="19" t="str">
        <f t="shared" si="28"/>
        <v/>
      </c>
      <c r="S97" s="27" t="str">
        <f t="shared" si="29"/>
        <v/>
      </c>
      <c r="T97" s="28" t="str">
        <f t="shared" si="30"/>
        <v/>
      </c>
      <c r="U97" s="28" t="str">
        <f t="shared" si="31"/>
        <v/>
      </c>
      <c r="V97" s="28" t="str">
        <f t="shared" si="32"/>
        <v/>
      </c>
      <c r="W97" s="28" t="str">
        <f t="shared" si="33"/>
        <v/>
      </c>
      <c r="X97" s="29" t="str">
        <f t="shared" si="34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8"/>
        <v/>
      </c>
      <c r="M98" s="19" t="str">
        <f t="shared" si="39"/>
        <v/>
      </c>
      <c r="N98" s="19" t="str">
        <f t="shared" si="27"/>
        <v/>
      </c>
      <c r="O98" s="19" t="str">
        <f t="shared" si="35"/>
        <v/>
      </c>
      <c r="P98" s="19" t="str">
        <f t="shared" si="36"/>
        <v/>
      </c>
      <c r="Q98" s="19" t="str">
        <f t="shared" si="37"/>
        <v/>
      </c>
      <c r="R98" s="19" t="str">
        <f t="shared" si="28"/>
        <v/>
      </c>
      <c r="S98" s="27" t="str">
        <f t="shared" si="29"/>
        <v/>
      </c>
      <c r="T98" s="28" t="str">
        <f t="shared" si="30"/>
        <v/>
      </c>
      <c r="U98" s="28" t="str">
        <f t="shared" si="31"/>
        <v/>
      </c>
      <c r="V98" s="28" t="str">
        <f t="shared" si="32"/>
        <v/>
      </c>
      <c r="W98" s="28" t="str">
        <f t="shared" si="33"/>
        <v/>
      </c>
      <c r="X98" s="29" t="str">
        <f t="shared" si="34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8"/>
        <v/>
      </c>
      <c r="M99" s="19" t="str">
        <f t="shared" si="39"/>
        <v/>
      </c>
      <c r="N99" s="19" t="str">
        <f t="shared" si="27"/>
        <v/>
      </c>
      <c r="O99" s="19" t="str">
        <f t="shared" si="35"/>
        <v/>
      </c>
      <c r="P99" s="19" t="str">
        <f t="shared" si="36"/>
        <v/>
      </c>
      <c r="Q99" s="19" t="str">
        <f t="shared" si="37"/>
        <v/>
      </c>
      <c r="R99" s="19" t="str">
        <f t="shared" si="28"/>
        <v/>
      </c>
      <c r="S99" s="27" t="str">
        <f t="shared" si="29"/>
        <v/>
      </c>
      <c r="T99" s="28" t="str">
        <f t="shared" si="30"/>
        <v/>
      </c>
      <c r="U99" s="28" t="str">
        <f t="shared" si="31"/>
        <v/>
      </c>
      <c r="V99" s="28" t="str">
        <f t="shared" si="32"/>
        <v/>
      </c>
      <c r="W99" s="28" t="str">
        <f t="shared" si="33"/>
        <v/>
      </c>
      <c r="X99" s="29" t="str">
        <f t="shared" si="34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8"/>
        <v/>
      </c>
      <c r="M100" s="19" t="str">
        <f t="shared" si="39"/>
        <v/>
      </c>
      <c r="N100" s="19" t="str">
        <f t="shared" si="27"/>
        <v/>
      </c>
      <c r="O100" s="19" t="str">
        <f t="shared" si="35"/>
        <v/>
      </c>
      <c r="P100" s="19" t="str">
        <f t="shared" si="36"/>
        <v/>
      </c>
      <c r="Q100" s="19" t="str">
        <f t="shared" si="37"/>
        <v/>
      </c>
      <c r="R100" s="19" t="str">
        <f t="shared" si="28"/>
        <v/>
      </c>
      <c r="S100" s="27" t="str">
        <f t="shared" si="29"/>
        <v/>
      </c>
      <c r="T100" s="28" t="str">
        <f t="shared" si="30"/>
        <v/>
      </c>
      <c r="U100" s="28" t="str">
        <f t="shared" si="31"/>
        <v/>
      </c>
      <c r="V100" s="28" t="str">
        <f t="shared" si="32"/>
        <v/>
      </c>
      <c r="W100" s="28" t="str">
        <f t="shared" si="33"/>
        <v/>
      </c>
      <c r="X100" s="29" t="str">
        <f t="shared" si="34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8"/>
        <v/>
      </c>
      <c r="M101" s="19" t="str">
        <f t="shared" si="39"/>
        <v/>
      </c>
      <c r="N101" s="19" t="str">
        <f t="shared" si="27"/>
        <v/>
      </c>
      <c r="O101" s="19" t="str">
        <f t="shared" si="35"/>
        <v/>
      </c>
      <c r="P101" s="19" t="str">
        <f t="shared" si="36"/>
        <v/>
      </c>
      <c r="Q101" s="19" t="str">
        <f t="shared" si="37"/>
        <v/>
      </c>
      <c r="R101" s="19" t="str">
        <f t="shared" si="28"/>
        <v/>
      </c>
      <c r="S101" s="27" t="str">
        <f t="shared" si="29"/>
        <v/>
      </c>
      <c r="T101" s="28" t="str">
        <f t="shared" si="30"/>
        <v/>
      </c>
      <c r="U101" s="28" t="str">
        <f t="shared" si="31"/>
        <v/>
      </c>
      <c r="V101" s="28" t="str">
        <f t="shared" si="32"/>
        <v/>
      </c>
      <c r="W101" s="28" t="str">
        <f t="shared" si="33"/>
        <v/>
      </c>
      <c r="X101" s="29" t="str">
        <f t="shared" si="34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8"/>
        <v/>
      </c>
      <c r="M102" s="19" t="str">
        <f t="shared" si="39"/>
        <v/>
      </c>
      <c r="N102" s="19" t="str">
        <f t="shared" si="27"/>
        <v/>
      </c>
      <c r="O102" s="19" t="str">
        <f t="shared" si="35"/>
        <v/>
      </c>
      <c r="P102" s="19" t="str">
        <f t="shared" si="36"/>
        <v/>
      </c>
      <c r="Q102" s="19" t="str">
        <f t="shared" si="37"/>
        <v/>
      </c>
      <c r="R102" s="19" t="str">
        <f t="shared" si="28"/>
        <v/>
      </c>
      <c r="S102" s="27" t="str">
        <f t="shared" si="29"/>
        <v/>
      </c>
      <c r="T102" s="28" t="str">
        <f t="shared" si="30"/>
        <v/>
      </c>
      <c r="U102" s="28" t="str">
        <f t="shared" si="31"/>
        <v/>
      </c>
      <c r="V102" s="28" t="str">
        <f t="shared" si="32"/>
        <v/>
      </c>
      <c r="W102" s="28" t="str">
        <f t="shared" si="33"/>
        <v/>
      </c>
      <c r="X102" s="29" t="str">
        <f t="shared" si="34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8"/>
        <v/>
      </c>
      <c r="M103" s="19" t="str">
        <f t="shared" si="39"/>
        <v/>
      </c>
      <c r="N103" s="19" t="str">
        <f t="shared" si="27"/>
        <v/>
      </c>
      <c r="O103" s="19" t="str">
        <f t="shared" si="35"/>
        <v/>
      </c>
      <c r="P103" s="19" t="str">
        <f t="shared" si="36"/>
        <v/>
      </c>
      <c r="Q103" s="19" t="str">
        <f t="shared" si="37"/>
        <v/>
      </c>
      <c r="R103" s="19" t="str">
        <f t="shared" si="28"/>
        <v/>
      </c>
      <c r="S103" s="27" t="str">
        <f t="shared" si="29"/>
        <v/>
      </c>
      <c r="T103" s="28" t="str">
        <f t="shared" si="30"/>
        <v/>
      </c>
      <c r="U103" s="28" t="str">
        <f t="shared" si="31"/>
        <v/>
      </c>
      <c r="V103" s="28" t="str">
        <f t="shared" si="32"/>
        <v/>
      </c>
      <c r="W103" s="28" t="str">
        <f t="shared" si="33"/>
        <v/>
      </c>
      <c r="X103" s="29" t="str">
        <f t="shared" si="34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8"/>
        <v/>
      </c>
      <c r="M104" s="19" t="str">
        <f t="shared" si="39"/>
        <v/>
      </c>
      <c r="N104" s="19" t="str">
        <f t="shared" si="27"/>
        <v/>
      </c>
      <c r="O104" s="19" t="str">
        <f t="shared" si="35"/>
        <v/>
      </c>
      <c r="P104" s="19" t="str">
        <f t="shared" si="36"/>
        <v/>
      </c>
      <c r="Q104" s="19" t="str">
        <f t="shared" si="37"/>
        <v/>
      </c>
      <c r="R104" s="19" t="str">
        <f t="shared" si="28"/>
        <v/>
      </c>
      <c r="S104" s="27" t="str">
        <f t="shared" si="29"/>
        <v/>
      </c>
      <c r="T104" s="28" t="str">
        <f t="shared" si="30"/>
        <v/>
      </c>
      <c r="U104" s="28" t="str">
        <f t="shared" si="31"/>
        <v/>
      </c>
      <c r="V104" s="28" t="str">
        <f t="shared" si="32"/>
        <v/>
      </c>
      <c r="W104" s="28" t="str">
        <f t="shared" si="33"/>
        <v/>
      </c>
      <c r="X104" s="29" t="str">
        <f t="shared" si="34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8"/>
        <v/>
      </c>
      <c r="M105" s="19" t="str">
        <f t="shared" si="39"/>
        <v/>
      </c>
      <c r="N105" s="19" t="str">
        <f t="shared" si="27"/>
        <v/>
      </c>
      <c r="O105" s="19" t="str">
        <f t="shared" si="35"/>
        <v/>
      </c>
      <c r="P105" s="19" t="str">
        <f t="shared" si="36"/>
        <v/>
      </c>
      <c r="Q105" s="19" t="str">
        <f t="shared" si="37"/>
        <v/>
      </c>
      <c r="R105" s="19" t="str">
        <f t="shared" si="28"/>
        <v/>
      </c>
      <c r="S105" s="27" t="str">
        <f t="shared" si="29"/>
        <v/>
      </c>
      <c r="T105" s="28" t="str">
        <f t="shared" si="30"/>
        <v/>
      </c>
      <c r="U105" s="28" t="str">
        <f t="shared" si="31"/>
        <v/>
      </c>
      <c r="V105" s="28" t="str">
        <f t="shared" si="32"/>
        <v/>
      </c>
      <c r="W105" s="28" t="str">
        <f t="shared" si="33"/>
        <v/>
      </c>
      <c r="X105" s="29" t="str">
        <f t="shared" si="34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8"/>
        <v/>
      </c>
      <c r="M106" s="19" t="str">
        <f t="shared" si="39"/>
        <v/>
      </c>
      <c r="N106" s="19" t="str">
        <f t="shared" si="27"/>
        <v/>
      </c>
      <c r="O106" s="19" t="str">
        <f t="shared" si="35"/>
        <v/>
      </c>
      <c r="P106" s="19" t="str">
        <f t="shared" si="36"/>
        <v/>
      </c>
      <c r="Q106" s="19" t="str">
        <f t="shared" si="37"/>
        <v/>
      </c>
      <c r="R106" s="19" t="str">
        <f t="shared" si="28"/>
        <v/>
      </c>
      <c r="S106" s="27" t="str">
        <f t="shared" si="29"/>
        <v/>
      </c>
      <c r="T106" s="28" t="str">
        <f t="shared" si="30"/>
        <v/>
      </c>
      <c r="U106" s="28" t="str">
        <f t="shared" si="31"/>
        <v/>
      </c>
      <c r="V106" s="28" t="str">
        <f t="shared" si="32"/>
        <v/>
      </c>
      <c r="W106" s="28" t="str">
        <f t="shared" si="33"/>
        <v/>
      </c>
      <c r="X106" s="29" t="str">
        <f t="shared" si="34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8"/>
        <v/>
      </c>
      <c r="M107" s="19" t="str">
        <f t="shared" si="39"/>
        <v/>
      </c>
      <c r="N107" s="19" t="str">
        <f t="shared" si="27"/>
        <v/>
      </c>
      <c r="O107" s="19" t="str">
        <f t="shared" si="35"/>
        <v/>
      </c>
      <c r="P107" s="19" t="str">
        <f t="shared" si="36"/>
        <v/>
      </c>
      <c r="Q107" s="19" t="str">
        <f t="shared" si="37"/>
        <v/>
      </c>
      <c r="R107" s="19" t="str">
        <f t="shared" si="28"/>
        <v/>
      </c>
      <c r="S107" s="27" t="str">
        <f t="shared" si="29"/>
        <v/>
      </c>
      <c r="T107" s="28" t="str">
        <f t="shared" si="30"/>
        <v/>
      </c>
      <c r="U107" s="28" t="str">
        <f t="shared" si="31"/>
        <v/>
      </c>
      <c r="V107" s="28" t="str">
        <f t="shared" si="32"/>
        <v/>
      </c>
      <c r="W107" s="28" t="str">
        <f t="shared" si="33"/>
        <v/>
      </c>
      <c r="X107" s="29" t="str">
        <f t="shared" si="34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8"/>
        <v/>
      </c>
      <c r="M108" s="19" t="str">
        <f t="shared" si="39"/>
        <v/>
      </c>
      <c r="N108" s="19" t="str">
        <f t="shared" si="27"/>
        <v/>
      </c>
      <c r="O108" s="19" t="str">
        <f t="shared" si="35"/>
        <v/>
      </c>
      <c r="P108" s="19" t="str">
        <f t="shared" si="36"/>
        <v/>
      </c>
      <c r="Q108" s="19" t="str">
        <f t="shared" si="37"/>
        <v/>
      </c>
      <c r="R108" s="19" t="str">
        <f t="shared" si="28"/>
        <v/>
      </c>
      <c r="S108" s="27" t="str">
        <f t="shared" si="29"/>
        <v/>
      </c>
      <c r="T108" s="28" t="str">
        <f t="shared" si="30"/>
        <v/>
      </c>
      <c r="U108" s="28" t="str">
        <f t="shared" si="31"/>
        <v/>
      </c>
      <c r="V108" s="28" t="str">
        <f t="shared" si="32"/>
        <v/>
      </c>
      <c r="W108" s="28" t="str">
        <f t="shared" si="33"/>
        <v/>
      </c>
      <c r="X108" s="29" t="str">
        <f t="shared" si="34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8"/>
        <v/>
      </c>
      <c r="M109" s="19" t="str">
        <f t="shared" si="39"/>
        <v/>
      </c>
      <c r="N109" s="19" t="str">
        <f t="shared" si="27"/>
        <v/>
      </c>
      <c r="O109" s="19" t="str">
        <f t="shared" si="35"/>
        <v/>
      </c>
      <c r="P109" s="19" t="str">
        <f t="shared" si="36"/>
        <v/>
      </c>
      <c r="Q109" s="19" t="str">
        <f t="shared" si="37"/>
        <v/>
      </c>
      <c r="R109" s="19" t="str">
        <f t="shared" si="28"/>
        <v/>
      </c>
      <c r="S109" s="27" t="str">
        <f t="shared" si="29"/>
        <v/>
      </c>
      <c r="T109" s="28" t="str">
        <f t="shared" si="30"/>
        <v/>
      </c>
      <c r="U109" s="28" t="str">
        <f t="shared" si="31"/>
        <v/>
      </c>
      <c r="V109" s="28" t="str">
        <f t="shared" si="32"/>
        <v/>
      </c>
      <c r="W109" s="28" t="str">
        <f t="shared" si="33"/>
        <v/>
      </c>
      <c r="X109" s="29" t="str">
        <f t="shared" si="34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8"/>
        <v/>
      </c>
      <c r="M110" s="19" t="str">
        <f t="shared" si="39"/>
        <v/>
      </c>
      <c r="N110" s="19" t="str">
        <f t="shared" si="27"/>
        <v/>
      </c>
      <c r="O110" s="19" t="str">
        <f t="shared" si="35"/>
        <v/>
      </c>
      <c r="P110" s="19" t="str">
        <f t="shared" si="36"/>
        <v/>
      </c>
      <c r="Q110" s="19" t="str">
        <f t="shared" si="37"/>
        <v/>
      </c>
      <c r="R110" s="19" t="str">
        <f t="shared" si="28"/>
        <v/>
      </c>
      <c r="S110" s="27" t="str">
        <f t="shared" si="29"/>
        <v/>
      </c>
      <c r="T110" s="28" t="str">
        <f t="shared" si="30"/>
        <v/>
      </c>
      <c r="U110" s="28" t="str">
        <f t="shared" si="31"/>
        <v/>
      </c>
      <c r="V110" s="28" t="str">
        <f t="shared" si="32"/>
        <v/>
      </c>
      <c r="W110" s="28" t="str">
        <f t="shared" si="33"/>
        <v/>
      </c>
      <c r="X110" s="29" t="str">
        <f t="shared" si="34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8"/>
        <v/>
      </c>
      <c r="M111" s="19" t="str">
        <f t="shared" si="39"/>
        <v/>
      </c>
      <c r="N111" s="19" t="str">
        <f t="shared" si="27"/>
        <v/>
      </c>
      <c r="O111" s="19" t="str">
        <f t="shared" si="35"/>
        <v/>
      </c>
      <c r="P111" s="19" t="str">
        <f t="shared" si="36"/>
        <v/>
      </c>
      <c r="Q111" s="19" t="str">
        <f t="shared" si="37"/>
        <v/>
      </c>
      <c r="R111" s="19" t="str">
        <f t="shared" si="28"/>
        <v/>
      </c>
      <c r="S111" s="27" t="str">
        <f t="shared" si="29"/>
        <v/>
      </c>
      <c r="T111" s="28" t="str">
        <f t="shared" si="30"/>
        <v/>
      </c>
      <c r="U111" s="28" t="str">
        <f t="shared" si="31"/>
        <v/>
      </c>
      <c r="V111" s="28" t="str">
        <f t="shared" si="32"/>
        <v/>
      </c>
      <c r="W111" s="28" t="str">
        <f t="shared" si="33"/>
        <v/>
      </c>
      <c r="X111" s="29" t="str">
        <f t="shared" si="34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38"/>
        <v/>
      </c>
      <c r="M112" s="19" t="str">
        <f t="shared" si="39"/>
        <v/>
      </c>
      <c r="N112" s="19" t="str">
        <f t="shared" ref="N112:N143" si="40">IF(ISBLANK(E112),"",(E112-E$16)*1000)</f>
        <v/>
      </c>
      <c r="O112" s="19" t="str">
        <f t="shared" si="35"/>
        <v/>
      </c>
      <c r="P112" s="19" t="str">
        <f t="shared" si="36"/>
        <v/>
      </c>
      <c r="Q112" s="19" t="str">
        <f t="shared" si="37"/>
        <v/>
      </c>
      <c r="R112" s="19" t="str">
        <f t="shared" ref="R112:R143" si="41">IF(ISBLANK(I112),"",(I112-I$16)*1000)</f>
        <v/>
      </c>
      <c r="S112" s="27" t="str">
        <f t="shared" si="29"/>
        <v/>
      </c>
      <c r="T112" s="28" t="str">
        <f t="shared" si="30"/>
        <v/>
      </c>
      <c r="U112" s="28" t="str">
        <f t="shared" si="31"/>
        <v/>
      </c>
      <c r="V112" s="28" t="str">
        <f t="shared" si="32"/>
        <v/>
      </c>
      <c r="W112" s="28" t="str">
        <f t="shared" si="33"/>
        <v/>
      </c>
      <c r="X112" s="29" t="str">
        <f t="shared" si="34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38"/>
        <v/>
      </c>
      <c r="M113" s="19" t="str">
        <f t="shared" si="39"/>
        <v/>
      </c>
      <c r="N113" s="19" t="str">
        <f t="shared" si="40"/>
        <v/>
      </c>
      <c r="O113" s="19" t="str">
        <f t="shared" si="35"/>
        <v/>
      </c>
      <c r="P113" s="19" t="str">
        <f t="shared" si="36"/>
        <v/>
      </c>
      <c r="Q113" s="19" t="str">
        <f t="shared" si="37"/>
        <v/>
      </c>
      <c r="R113" s="19" t="str">
        <f t="shared" si="41"/>
        <v/>
      </c>
      <c r="S113" s="27" t="str">
        <f t="shared" ref="S113:S144" si="42">IF(C113="","",((C113-C112)*1000)/($B113-$B112))</f>
        <v/>
      </c>
      <c r="T113" s="28" t="str">
        <f t="shared" ref="T113:T144" si="43">IF(D113="","",((D113-D112)*1000)/($B113-$B112))</f>
        <v/>
      </c>
      <c r="U113" s="28" t="str">
        <f t="shared" ref="U113:U144" si="44">IF(E113="","",((E113-E112)*1000)/($B113-$B112))</f>
        <v/>
      </c>
      <c r="V113" s="28" t="str">
        <f t="shared" ref="V113:V144" si="45">IF(F113="","",((F113-F112)*1000)/($B113-$B112))</f>
        <v/>
      </c>
      <c r="W113" s="28" t="str">
        <f t="shared" ref="W113:W144" si="46">IF(G113="","",((G113-G112)*1000)/($B113-$B112))</f>
        <v/>
      </c>
      <c r="X113" s="29" t="str">
        <f t="shared" ref="X113:X144" si="47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38"/>
        <v/>
      </c>
      <c r="M114" s="19" t="str">
        <f t="shared" si="39"/>
        <v/>
      </c>
      <c r="N114" s="19" t="str">
        <f t="shared" si="40"/>
        <v/>
      </c>
      <c r="O114" s="19" t="str">
        <f t="shared" si="35"/>
        <v/>
      </c>
      <c r="P114" s="19" t="str">
        <f t="shared" si="36"/>
        <v/>
      </c>
      <c r="Q114" s="19" t="str">
        <f t="shared" si="37"/>
        <v/>
      </c>
      <c r="R114" s="19" t="str">
        <f t="shared" si="41"/>
        <v/>
      </c>
      <c r="S114" s="27" t="str">
        <f t="shared" si="42"/>
        <v/>
      </c>
      <c r="T114" s="28" t="str">
        <f t="shared" si="43"/>
        <v/>
      </c>
      <c r="U114" s="28" t="str">
        <f t="shared" si="44"/>
        <v/>
      </c>
      <c r="V114" s="28" t="str">
        <f t="shared" si="45"/>
        <v/>
      </c>
      <c r="W114" s="28" t="str">
        <f t="shared" si="46"/>
        <v/>
      </c>
      <c r="X114" s="29" t="str">
        <f t="shared" si="4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38"/>
        <v/>
      </c>
      <c r="M115" s="19" t="str">
        <f t="shared" si="39"/>
        <v/>
      </c>
      <c r="N115" s="19" t="str">
        <f t="shared" si="40"/>
        <v/>
      </c>
      <c r="O115" s="19" t="str">
        <f t="shared" si="35"/>
        <v/>
      </c>
      <c r="P115" s="19" t="str">
        <f t="shared" si="36"/>
        <v/>
      </c>
      <c r="Q115" s="19" t="str">
        <f t="shared" si="37"/>
        <v/>
      </c>
      <c r="R115" s="19" t="str">
        <f t="shared" si="41"/>
        <v/>
      </c>
      <c r="S115" s="27" t="str">
        <f t="shared" si="42"/>
        <v/>
      </c>
      <c r="T115" s="28" t="str">
        <f t="shared" si="43"/>
        <v/>
      </c>
      <c r="U115" s="28" t="str">
        <f t="shared" si="44"/>
        <v/>
      </c>
      <c r="V115" s="28" t="str">
        <f t="shared" si="45"/>
        <v/>
      </c>
      <c r="W115" s="28" t="str">
        <f t="shared" si="46"/>
        <v/>
      </c>
      <c r="X115" s="29" t="str">
        <f t="shared" si="4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38"/>
        <v/>
      </c>
      <c r="M116" s="19" t="str">
        <f t="shared" si="39"/>
        <v/>
      </c>
      <c r="N116" s="19" t="str">
        <f t="shared" si="40"/>
        <v/>
      </c>
      <c r="O116" s="19" t="str">
        <f t="shared" si="35"/>
        <v/>
      </c>
      <c r="P116" s="19" t="str">
        <f t="shared" si="36"/>
        <v/>
      </c>
      <c r="Q116" s="19" t="str">
        <f t="shared" si="37"/>
        <v/>
      </c>
      <c r="R116" s="19" t="str">
        <f t="shared" si="41"/>
        <v/>
      </c>
      <c r="S116" s="27" t="str">
        <f t="shared" si="42"/>
        <v/>
      </c>
      <c r="T116" s="28" t="str">
        <f t="shared" si="43"/>
        <v/>
      </c>
      <c r="U116" s="28" t="str">
        <f t="shared" si="44"/>
        <v/>
      </c>
      <c r="V116" s="28" t="str">
        <f t="shared" si="45"/>
        <v/>
      </c>
      <c r="W116" s="28" t="str">
        <f t="shared" si="46"/>
        <v/>
      </c>
      <c r="X116" s="29" t="str">
        <f t="shared" si="4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38"/>
        <v/>
      </c>
      <c r="M117" s="19" t="str">
        <f t="shared" si="39"/>
        <v/>
      </c>
      <c r="N117" s="19" t="str">
        <f t="shared" si="40"/>
        <v/>
      </c>
      <c r="O117" s="19" t="str">
        <f t="shared" si="35"/>
        <v/>
      </c>
      <c r="P117" s="19" t="str">
        <f t="shared" si="36"/>
        <v/>
      </c>
      <c r="Q117" s="19" t="str">
        <f t="shared" si="37"/>
        <v/>
      </c>
      <c r="R117" s="19" t="str">
        <f t="shared" si="41"/>
        <v/>
      </c>
      <c r="S117" s="27" t="str">
        <f t="shared" si="42"/>
        <v/>
      </c>
      <c r="T117" s="28" t="str">
        <f t="shared" si="43"/>
        <v/>
      </c>
      <c r="U117" s="28" t="str">
        <f t="shared" si="44"/>
        <v/>
      </c>
      <c r="V117" s="28" t="str">
        <f t="shared" si="45"/>
        <v/>
      </c>
      <c r="W117" s="28" t="str">
        <f t="shared" si="46"/>
        <v/>
      </c>
      <c r="X117" s="29" t="str">
        <f t="shared" si="4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38"/>
        <v/>
      </c>
      <c r="M118" s="19" t="str">
        <f t="shared" si="39"/>
        <v/>
      </c>
      <c r="N118" s="19" t="str">
        <f t="shared" si="40"/>
        <v/>
      </c>
      <c r="O118" s="19" t="str">
        <f t="shared" si="35"/>
        <v/>
      </c>
      <c r="P118" s="19" t="str">
        <f t="shared" si="36"/>
        <v/>
      </c>
      <c r="Q118" s="19" t="str">
        <f t="shared" si="37"/>
        <v/>
      </c>
      <c r="R118" s="19" t="str">
        <f t="shared" si="41"/>
        <v/>
      </c>
      <c r="S118" s="27" t="str">
        <f t="shared" si="42"/>
        <v/>
      </c>
      <c r="T118" s="28" t="str">
        <f t="shared" si="43"/>
        <v/>
      </c>
      <c r="U118" s="28" t="str">
        <f t="shared" si="44"/>
        <v/>
      </c>
      <c r="V118" s="28" t="str">
        <f t="shared" si="45"/>
        <v/>
      </c>
      <c r="W118" s="28" t="str">
        <f t="shared" si="46"/>
        <v/>
      </c>
      <c r="X118" s="29" t="str">
        <f t="shared" si="4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38"/>
        <v/>
      </c>
      <c r="M119" s="19" t="str">
        <f t="shared" si="39"/>
        <v/>
      </c>
      <c r="N119" s="19" t="str">
        <f t="shared" si="40"/>
        <v/>
      </c>
      <c r="O119" s="19" t="str">
        <f t="shared" si="35"/>
        <v/>
      </c>
      <c r="P119" s="19" t="str">
        <f t="shared" si="36"/>
        <v/>
      </c>
      <c r="Q119" s="19" t="str">
        <f t="shared" si="37"/>
        <v/>
      </c>
      <c r="R119" s="19" t="str">
        <f t="shared" si="41"/>
        <v/>
      </c>
      <c r="S119" s="27" t="str">
        <f t="shared" si="42"/>
        <v/>
      </c>
      <c r="T119" s="28" t="str">
        <f t="shared" si="43"/>
        <v/>
      </c>
      <c r="U119" s="28" t="str">
        <f t="shared" si="44"/>
        <v/>
      </c>
      <c r="V119" s="28" t="str">
        <f t="shared" si="45"/>
        <v/>
      </c>
      <c r="W119" s="28" t="str">
        <f t="shared" si="46"/>
        <v/>
      </c>
      <c r="X119" s="29" t="str">
        <f t="shared" si="4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38"/>
        <v/>
      </c>
      <c r="M120" s="19" t="str">
        <f t="shared" si="39"/>
        <v/>
      </c>
      <c r="N120" s="19" t="str">
        <f t="shared" si="40"/>
        <v/>
      </c>
      <c r="O120" s="19" t="str">
        <f t="shared" si="35"/>
        <v/>
      </c>
      <c r="P120" s="19" t="str">
        <f t="shared" si="36"/>
        <v/>
      </c>
      <c r="Q120" s="19" t="str">
        <f t="shared" si="37"/>
        <v/>
      </c>
      <c r="R120" s="19" t="str">
        <f t="shared" si="41"/>
        <v/>
      </c>
      <c r="S120" s="27" t="str">
        <f t="shared" si="42"/>
        <v/>
      </c>
      <c r="T120" s="28" t="str">
        <f t="shared" si="43"/>
        <v/>
      </c>
      <c r="U120" s="28" t="str">
        <f t="shared" si="44"/>
        <v/>
      </c>
      <c r="V120" s="28" t="str">
        <f t="shared" si="45"/>
        <v/>
      </c>
      <c r="W120" s="28" t="str">
        <f t="shared" si="46"/>
        <v/>
      </c>
      <c r="X120" s="29" t="str">
        <f t="shared" si="4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38"/>
        <v/>
      </c>
      <c r="M121" s="19" t="str">
        <f t="shared" si="39"/>
        <v/>
      </c>
      <c r="N121" s="19" t="str">
        <f t="shared" si="40"/>
        <v/>
      </c>
      <c r="O121" s="19" t="str">
        <f t="shared" si="35"/>
        <v/>
      </c>
      <c r="P121" s="19" t="str">
        <f t="shared" si="36"/>
        <v/>
      </c>
      <c r="Q121" s="19" t="str">
        <f t="shared" si="37"/>
        <v/>
      </c>
      <c r="R121" s="19" t="str">
        <f t="shared" si="41"/>
        <v/>
      </c>
      <c r="S121" s="27" t="str">
        <f t="shared" si="42"/>
        <v/>
      </c>
      <c r="T121" s="28" t="str">
        <f t="shared" si="43"/>
        <v/>
      </c>
      <c r="U121" s="28" t="str">
        <f t="shared" si="44"/>
        <v/>
      </c>
      <c r="V121" s="28" t="str">
        <f t="shared" si="45"/>
        <v/>
      </c>
      <c r="W121" s="28" t="str">
        <f t="shared" si="46"/>
        <v/>
      </c>
      <c r="X121" s="29" t="str">
        <f t="shared" si="4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38"/>
        <v/>
      </c>
      <c r="M122" s="19" t="str">
        <f t="shared" si="39"/>
        <v/>
      </c>
      <c r="N122" s="19" t="str">
        <f t="shared" si="40"/>
        <v/>
      </c>
      <c r="O122" s="19" t="str">
        <f t="shared" si="35"/>
        <v/>
      </c>
      <c r="P122" s="19" t="str">
        <f t="shared" si="36"/>
        <v/>
      </c>
      <c r="Q122" s="19" t="str">
        <f t="shared" si="37"/>
        <v/>
      </c>
      <c r="R122" s="19" t="str">
        <f t="shared" si="41"/>
        <v/>
      </c>
      <c r="S122" s="27" t="str">
        <f t="shared" si="42"/>
        <v/>
      </c>
      <c r="T122" s="28" t="str">
        <f t="shared" si="43"/>
        <v/>
      </c>
      <c r="U122" s="28" t="str">
        <f t="shared" si="44"/>
        <v/>
      </c>
      <c r="V122" s="28" t="str">
        <f t="shared" si="45"/>
        <v/>
      </c>
      <c r="W122" s="28" t="str">
        <f t="shared" si="46"/>
        <v/>
      </c>
      <c r="X122" s="29" t="str">
        <f t="shared" si="4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38"/>
        <v/>
      </c>
      <c r="M123" s="19" t="str">
        <f t="shared" si="39"/>
        <v/>
      </c>
      <c r="N123" s="19" t="str">
        <f t="shared" si="40"/>
        <v/>
      </c>
      <c r="O123" s="19" t="str">
        <f t="shared" si="35"/>
        <v/>
      </c>
      <c r="P123" s="19" t="str">
        <f t="shared" si="36"/>
        <v/>
      </c>
      <c r="Q123" s="19" t="str">
        <f t="shared" si="37"/>
        <v/>
      </c>
      <c r="R123" s="19" t="str">
        <f t="shared" si="41"/>
        <v/>
      </c>
      <c r="S123" s="27" t="str">
        <f t="shared" si="42"/>
        <v/>
      </c>
      <c r="T123" s="28" t="str">
        <f t="shared" si="43"/>
        <v/>
      </c>
      <c r="U123" s="28" t="str">
        <f t="shared" si="44"/>
        <v/>
      </c>
      <c r="V123" s="28" t="str">
        <f t="shared" si="45"/>
        <v/>
      </c>
      <c r="W123" s="28" t="str">
        <f t="shared" si="46"/>
        <v/>
      </c>
      <c r="X123" s="29" t="str">
        <f t="shared" si="4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38"/>
        <v/>
      </c>
      <c r="M124" s="19" t="str">
        <f t="shared" si="39"/>
        <v/>
      </c>
      <c r="N124" s="19" t="str">
        <f t="shared" si="40"/>
        <v/>
      </c>
      <c r="O124" s="19" t="str">
        <f t="shared" si="35"/>
        <v/>
      </c>
      <c r="P124" s="19" t="str">
        <f t="shared" si="36"/>
        <v/>
      </c>
      <c r="Q124" s="19" t="str">
        <f t="shared" si="37"/>
        <v/>
      </c>
      <c r="R124" s="19" t="str">
        <f t="shared" si="41"/>
        <v/>
      </c>
      <c r="S124" s="27" t="str">
        <f t="shared" si="42"/>
        <v/>
      </c>
      <c r="T124" s="28" t="str">
        <f t="shared" si="43"/>
        <v/>
      </c>
      <c r="U124" s="28" t="str">
        <f t="shared" si="44"/>
        <v/>
      </c>
      <c r="V124" s="28" t="str">
        <f t="shared" si="45"/>
        <v/>
      </c>
      <c r="W124" s="28" t="str">
        <f t="shared" si="46"/>
        <v/>
      </c>
      <c r="X124" s="29" t="str">
        <f t="shared" si="4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38"/>
        <v/>
      </c>
      <c r="M125" s="19" t="str">
        <f t="shared" si="39"/>
        <v/>
      </c>
      <c r="N125" s="19" t="str">
        <f t="shared" si="40"/>
        <v/>
      </c>
      <c r="O125" s="19" t="str">
        <f t="shared" si="35"/>
        <v/>
      </c>
      <c r="P125" s="19" t="str">
        <f t="shared" si="36"/>
        <v/>
      </c>
      <c r="Q125" s="19" t="str">
        <f t="shared" si="37"/>
        <v/>
      </c>
      <c r="R125" s="19" t="str">
        <f t="shared" si="41"/>
        <v/>
      </c>
      <c r="S125" s="27" t="str">
        <f t="shared" si="42"/>
        <v/>
      </c>
      <c r="T125" s="28" t="str">
        <f t="shared" si="43"/>
        <v/>
      </c>
      <c r="U125" s="28" t="str">
        <f t="shared" si="44"/>
        <v/>
      </c>
      <c r="V125" s="28" t="str">
        <f t="shared" si="45"/>
        <v/>
      </c>
      <c r="W125" s="28" t="str">
        <f t="shared" si="46"/>
        <v/>
      </c>
      <c r="X125" s="29" t="str">
        <f t="shared" si="4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38"/>
        <v/>
      </c>
      <c r="M126" s="19" t="str">
        <f t="shared" si="39"/>
        <v/>
      </c>
      <c r="N126" s="19" t="str">
        <f t="shared" si="40"/>
        <v/>
      </c>
      <c r="O126" s="19" t="str">
        <f t="shared" si="35"/>
        <v/>
      </c>
      <c r="P126" s="19" t="str">
        <f t="shared" si="36"/>
        <v/>
      </c>
      <c r="Q126" s="19" t="str">
        <f t="shared" si="37"/>
        <v/>
      </c>
      <c r="R126" s="19" t="str">
        <f t="shared" si="41"/>
        <v/>
      </c>
      <c r="S126" s="27" t="str">
        <f t="shared" si="42"/>
        <v/>
      </c>
      <c r="T126" s="28" t="str">
        <f t="shared" si="43"/>
        <v/>
      </c>
      <c r="U126" s="28" t="str">
        <f t="shared" si="44"/>
        <v/>
      </c>
      <c r="V126" s="28" t="str">
        <f t="shared" si="45"/>
        <v/>
      </c>
      <c r="W126" s="28" t="str">
        <f t="shared" si="46"/>
        <v/>
      </c>
      <c r="X126" s="29" t="str">
        <f t="shared" si="4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38"/>
        <v/>
      </c>
      <c r="M127" s="19" t="str">
        <f t="shared" si="39"/>
        <v/>
      </c>
      <c r="N127" s="19" t="str">
        <f t="shared" si="40"/>
        <v/>
      </c>
      <c r="O127" s="19" t="str">
        <f t="shared" si="35"/>
        <v/>
      </c>
      <c r="P127" s="19" t="str">
        <f t="shared" si="36"/>
        <v/>
      </c>
      <c r="Q127" s="19" t="str">
        <f t="shared" si="37"/>
        <v/>
      </c>
      <c r="R127" s="19" t="str">
        <f t="shared" si="41"/>
        <v/>
      </c>
      <c r="S127" s="27" t="str">
        <f t="shared" si="42"/>
        <v/>
      </c>
      <c r="T127" s="28" t="str">
        <f t="shared" si="43"/>
        <v/>
      </c>
      <c r="U127" s="28" t="str">
        <f t="shared" si="44"/>
        <v/>
      </c>
      <c r="V127" s="28" t="str">
        <f t="shared" si="45"/>
        <v/>
      </c>
      <c r="W127" s="28" t="str">
        <f t="shared" si="46"/>
        <v/>
      </c>
      <c r="X127" s="29" t="str">
        <f t="shared" si="4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38"/>
        <v/>
      </c>
      <c r="M128" s="19" t="str">
        <f t="shared" si="39"/>
        <v/>
      </c>
      <c r="N128" s="19" t="str">
        <f t="shared" si="40"/>
        <v/>
      </c>
      <c r="O128" s="19" t="str">
        <f t="shared" si="35"/>
        <v/>
      </c>
      <c r="P128" s="19" t="str">
        <f t="shared" si="36"/>
        <v/>
      </c>
      <c r="Q128" s="19" t="str">
        <f t="shared" si="37"/>
        <v/>
      </c>
      <c r="R128" s="19" t="str">
        <f t="shared" si="41"/>
        <v/>
      </c>
      <c r="S128" s="27" t="str">
        <f t="shared" si="42"/>
        <v/>
      </c>
      <c r="T128" s="28" t="str">
        <f t="shared" si="43"/>
        <v/>
      </c>
      <c r="U128" s="28" t="str">
        <f t="shared" si="44"/>
        <v/>
      </c>
      <c r="V128" s="28" t="str">
        <f t="shared" si="45"/>
        <v/>
      </c>
      <c r="W128" s="28" t="str">
        <f t="shared" si="46"/>
        <v/>
      </c>
      <c r="X128" s="29" t="str">
        <f t="shared" si="4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38"/>
        <v/>
      </c>
      <c r="M129" s="19" t="str">
        <f t="shared" si="39"/>
        <v/>
      </c>
      <c r="N129" s="19" t="str">
        <f t="shared" si="40"/>
        <v/>
      </c>
      <c r="O129" s="19" t="str">
        <f t="shared" si="35"/>
        <v/>
      </c>
      <c r="P129" s="19" t="str">
        <f t="shared" si="36"/>
        <v/>
      </c>
      <c r="Q129" s="19" t="str">
        <f t="shared" si="37"/>
        <v/>
      </c>
      <c r="R129" s="19" t="str">
        <f t="shared" si="41"/>
        <v/>
      </c>
      <c r="S129" s="27" t="str">
        <f t="shared" si="42"/>
        <v/>
      </c>
      <c r="T129" s="28" t="str">
        <f t="shared" si="43"/>
        <v/>
      </c>
      <c r="U129" s="28" t="str">
        <f t="shared" si="44"/>
        <v/>
      </c>
      <c r="V129" s="28" t="str">
        <f t="shared" si="45"/>
        <v/>
      </c>
      <c r="W129" s="28" t="str">
        <f t="shared" si="46"/>
        <v/>
      </c>
      <c r="X129" s="29" t="str">
        <f t="shared" si="47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38"/>
        <v/>
      </c>
      <c r="M130" s="19" t="str">
        <f t="shared" si="39"/>
        <v/>
      </c>
      <c r="N130" s="19" t="str">
        <f t="shared" si="40"/>
        <v/>
      </c>
      <c r="O130" s="19" t="str">
        <f t="shared" si="35"/>
        <v/>
      </c>
      <c r="P130" s="19" t="str">
        <f t="shared" si="36"/>
        <v/>
      </c>
      <c r="Q130" s="19" t="str">
        <f t="shared" si="37"/>
        <v/>
      </c>
      <c r="R130" s="19" t="str">
        <f t="shared" si="41"/>
        <v/>
      </c>
      <c r="S130" s="27" t="str">
        <f t="shared" si="42"/>
        <v/>
      </c>
      <c r="T130" s="28" t="str">
        <f t="shared" si="43"/>
        <v/>
      </c>
      <c r="U130" s="28" t="str">
        <f t="shared" si="44"/>
        <v/>
      </c>
      <c r="V130" s="28" t="str">
        <f t="shared" si="45"/>
        <v/>
      </c>
      <c r="W130" s="28" t="str">
        <f t="shared" si="46"/>
        <v/>
      </c>
      <c r="X130" s="29" t="str">
        <f t="shared" si="47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38"/>
        <v/>
      </c>
      <c r="M131" s="19" t="str">
        <f t="shared" si="39"/>
        <v/>
      </c>
      <c r="N131" s="19" t="str">
        <f t="shared" si="40"/>
        <v/>
      </c>
      <c r="O131" s="19" t="str">
        <f t="shared" si="35"/>
        <v/>
      </c>
      <c r="P131" s="19" t="str">
        <f t="shared" si="36"/>
        <v/>
      </c>
      <c r="Q131" s="19" t="str">
        <f t="shared" si="37"/>
        <v/>
      </c>
      <c r="R131" s="19" t="str">
        <f t="shared" si="41"/>
        <v/>
      </c>
      <c r="S131" s="27" t="str">
        <f t="shared" si="42"/>
        <v/>
      </c>
      <c r="T131" s="28" t="str">
        <f t="shared" si="43"/>
        <v/>
      </c>
      <c r="U131" s="28" t="str">
        <f t="shared" si="44"/>
        <v/>
      </c>
      <c r="V131" s="28" t="str">
        <f t="shared" si="45"/>
        <v/>
      </c>
      <c r="W131" s="28" t="str">
        <f t="shared" si="46"/>
        <v/>
      </c>
      <c r="X131" s="29" t="str">
        <f t="shared" si="47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38"/>
        <v/>
      </c>
      <c r="M132" s="19" t="str">
        <f t="shared" si="39"/>
        <v/>
      </c>
      <c r="N132" s="19" t="str">
        <f t="shared" si="40"/>
        <v/>
      </c>
      <c r="O132" s="19" t="str">
        <f t="shared" si="35"/>
        <v/>
      </c>
      <c r="P132" s="19" t="str">
        <f t="shared" si="36"/>
        <v/>
      </c>
      <c r="Q132" s="19" t="str">
        <f t="shared" si="37"/>
        <v/>
      </c>
      <c r="R132" s="19" t="str">
        <f t="shared" si="41"/>
        <v/>
      </c>
      <c r="S132" s="27" t="str">
        <f t="shared" si="42"/>
        <v/>
      </c>
      <c r="T132" s="28" t="str">
        <f t="shared" si="43"/>
        <v/>
      </c>
      <c r="U132" s="28" t="str">
        <f t="shared" si="44"/>
        <v/>
      </c>
      <c r="V132" s="28" t="str">
        <f t="shared" si="45"/>
        <v/>
      </c>
      <c r="W132" s="28" t="str">
        <f t="shared" si="46"/>
        <v/>
      </c>
      <c r="X132" s="29" t="str">
        <f t="shared" si="47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38"/>
        <v/>
      </c>
      <c r="M133" s="19" t="str">
        <f t="shared" si="39"/>
        <v/>
      </c>
      <c r="N133" s="19" t="str">
        <f t="shared" si="40"/>
        <v/>
      </c>
      <c r="O133" s="19" t="str">
        <f t="shared" si="35"/>
        <v/>
      </c>
      <c r="P133" s="19" t="str">
        <f t="shared" si="36"/>
        <v/>
      </c>
      <c r="Q133" s="19" t="str">
        <f t="shared" si="37"/>
        <v/>
      </c>
      <c r="R133" s="19" t="str">
        <f t="shared" si="41"/>
        <v/>
      </c>
      <c r="S133" s="27" t="str">
        <f t="shared" si="42"/>
        <v/>
      </c>
      <c r="T133" s="28" t="str">
        <f t="shared" si="43"/>
        <v/>
      </c>
      <c r="U133" s="28" t="str">
        <f t="shared" si="44"/>
        <v/>
      </c>
      <c r="V133" s="28" t="str">
        <f t="shared" si="45"/>
        <v/>
      </c>
      <c r="W133" s="28" t="str">
        <f t="shared" si="46"/>
        <v/>
      </c>
      <c r="X133" s="29" t="str">
        <f t="shared" si="47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8"/>
        <v/>
      </c>
      <c r="M134" s="19" t="str">
        <f t="shared" si="39"/>
        <v/>
      </c>
      <c r="N134" s="19" t="str">
        <f t="shared" si="40"/>
        <v/>
      </c>
      <c r="O134" s="19" t="str">
        <f t="shared" si="35"/>
        <v/>
      </c>
      <c r="P134" s="19" t="str">
        <f t="shared" si="36"/>
        <v/>
      </c>
      <c r="Q134" s="19" t="str">
        <f t="shared" si="37"/>
        <v/>
      </c>
      <c r="R134" s="19" t="str">
        <f t="shared" si="41"/>
        <v/>
      </c>
      <c r="S134" s="27" t="str">
        <f t="shared" si="42"/>
        <v/>
      </c>
      <c r="T134" s="28" t="str">
        <f t="shared" si="43"/>
        <v/>
      </c>
      <c r="U134" s="28" t="str">
        <f t="shared" si="44"/>
        <v/>
      </c>
      <c r="V134" s="28" t="str">
        <f t="shared" si="45"/>
        <v/>
      </c>
      <c r="W134" s="28" t="str">
        <f t="shared" si="46"/>
        <v/>
      </c>
      <c r="X134" s="29" t="str">
        <f t="shared" si="47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8"/>
        <v/>
      </c>
      <c r="M135" s="19" t="str">
        <f t="shared" si="39"/>
        <v/>
      </c>
      <c r="N135" s="19" t="str">
        <f t="shared" si="40"/>
        <v/>
      </c>
      <c r="O135" s="19" t="str">
        <f t="shared" si="35"/>
        <v/>
      </c>
      <c r="P135" s="19" t="str">
        <f t="shared" si="36"/>
        <v/>
      </c>
      <c r="Q135" s="19" t="str">
        <f t="shared" si="37"/>
        <v/>
      </c>
      <c r="R135" s="19" t="str">
        <f t="shared" si="41"/>
        <v/>
      </c>
      <c r="S135" s="27" t="str">
        <f t="shared" si="42"/>
        <v/>
      </c>
      <c r="T135" s="28" t="str">
        <f t="shared" si="43"/>
        <v/>
      </c>
      <c r="U135" s="28" t="str">
        <f t="shared" si="44"/>
        <v/>
      </c>
      <c r="V135" s="28" t="str">
        <f t="shared" si="45"/>
        <v/>
      </c>
      <c r="W135" s="28" t="str">
        <f t="shared" si="46"/>
        <v/>
      </c>
      <c r="X135" s="29" t="str">
        <f t="shared" si="47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8"/>
        <v/>
      </c>
      <c r="M136" s="19" t="str">
        <f t="shared" si="39"/>
        <v/>
      </c>
      <c r="N136" s="19" t="str">
        <f t="shared" si="40"/>
        <v/>
      </c>
      <c r="O136" s="19" t="str">
        <f t="shared" si="35"/>
        <v/>
      </c>
      <c r="P136" s="19" t="str">
        <f t="shared" si="36"/>
        <v/>
      </c>
      <c r="Q136" s="19" t="str">
        <f t="shared" si="37"/>
        <v/>
      </c>
      <c r="R136" s="19" t="str">
        <f t="shared" si="41"/>
        <v/>
      </c>
      <c r="S136" s="27" t="str">
        <f t="shared" si="42"/>
        <v/>
      </c>
      <c r="T136" s="28" t="str">
        <f t="shared" si="43"/>
        <v/>
      </c>
      <c r="U136" s="28" t="str">
        <f t="shared" si="44"/>
        <v/>
      </c>
      <c r="V136" s="28" t="str">
        <f t="shared" si="45"/>
        <v/>
      </c>
      <c r="W136" s="28" t="str">
        <f t="shared" si="46"/>
        <v/>
      </c>
      <c r="X136" s="29" t="str">
        <f t="shared" si="47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8"/>
        <v/>
      </c>
      <c r="M137" s="19" t="str">
        <f t="shared" si="39"/>
        <v/>
      </c>
      <c r="N137" s="19" t="str">
        <f t="shared" si="40"/>
        <v/>
      </c>
      <c r="O137" s="19" t="str">
        <f t="shared" si="35"/>
        <v/>
      </c>
      <c r="P137" s="19" t="str">
        <f t="shared" si="36"/>
        <v/>
      </c>
      <c r="Q137" s="19" t="str">
        <f t="shared" si="37"/>
        <v/>
      </c>
      <c r="R137" s="19" t="str">
        <f t="shared" si="41"/>
        <v/>
      </c>
      <c r="S137" s="27" t="str">
        <f t="shared" si="42"/>
        <v/>
      </c>
      <c r="T137" s="28" t="str">
        <f t="shared" si="43"/>
        <v/>
      </c>
      <c r="U137" s="28" t="str">
        <f t="shared" si="44"/>
        <v/>
      </c>
      <c r="V137" s="28" t="str">
        <f t="shared" si="45"/>
        <v/>
      </c>
      <c r="W137" s="28" t="str">
        <f t="shared" si="46"/>
        <v/>
      </c>
      <c r="X137" s="29" t="str">
        <f t="shared" si="47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8"/>
        <v/>
      </c>
      <c r="M138" s="19" t="str">
        <f t="shared" si="39"/>
        <v/>
      </c>
      <c r="N138" s="19" t="str">
        <f t="shared" si="40"/>
        <v/>
      </c>
      <c r="O138" s="19" t="str">
        <f t="shared" si="35"/>
        <v/>
      </c>
      <c r="P138" s="19" t="str">
        <f t="shared" si="36"/>
        <v/>
      </c>
      <c r="Q138" s="19" t="str">
        <f t="shared" si="37"/>
        <v/>
      </c>
      <c r="R138" s="19" t="str">
        <f t="shared" si="41"/>
        <v/>
      </c>
      <c r="S138" s="27" t="str">
        <f t="shared" si="42"/>
        <v/>
      </c>
      <c r="T138" s="28" t="str">
        <f t="shared" si="43"/>
        <v/>
      </c>
      <c r="U138" s="28" t="str">
        <f t="shared" si="44"/>
        <v/>
      </c>
      <c r="V138" s="28" t="str">
        <f t="shared" si="45"/>
        <v/>
      </c>
      <c r="W138" s="28" t="str">
        <f t="shared" si="46"/>
        <v/>
      </c>
      <c r="X138" s="29" t="str">
        <f t="shared" si="47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8"/>
        <v/>
      </c>
      <c r="M139" s="19" t="str">
        <f t="shared" si="39"/>
        <v/>
      </c>
      <c r="N139" s="19" t="str">
        <f t="shared" si="40"/>
        <v/>
      </c>
      <c r="O139" s="19" t="str">
        <f t="shared" si="35"/>
        <v/>
      </c>
      <c r="P139" s="19" t="str">
        <f t="shared" si="36"/>
        <v/>
      </c>
      <c r="Q139" s="19" t="str">
        <f t="shared" si="37"/>
        <v/>
      </c>
      <c r="R139" s="19" t="str">
        <f t="shared" si="41"/>
        <v/>
      </c>
      <c r="S139" s="27" t="str">
        <f t="shared" si="42"/>
        <v/>
      </c>
      <c r="T139" s="28" t="str">
        <f t="shared" si="43"/>
        <v/>
      </c>
      <c r="U139" s="28" t="str">
        <f t="shared" si="44"/>
        <v/>
      </c>
      <c r="V139" s="28" t="str">
        <f t="shared" si="45"/>
        <v/>
      </c>
      <c r="W139" s="28" t="str">
        <f t="shared" si="46"/>
        <v/>
      </c>
      <c r="X139" s="29" t="str">
        <f t="shared" si="47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8"/>
        <v/>
      </c>
      <c r="M140" s="19" t="str">
        <f t="shared" si="39"/>
        <v/>
      </c>
      <c r="N140" s="19" t="str">
        <f t="shared" si="40"/>
        <v/>
      </c>
      <c r="O140" s="19" t="str">
        <f t="shared" si="35"/>
        <v/>
      </c>
      <c r="P140" s="19" t="str">
        <f t="shared" si="36"/>
        <v/>
      </c>
      <c r="Q140" s="19" t="str">
        <f t="shared" si="37"/>
        <v/>
      </c>
      <c r="R140" s="19" t="str">
        <f t="shared" si="41"/>
        <v/>
      </c>
      <c r="S140" s="27" t="str">
        <f t="shared" si="42"/>
        <v/>
      </c>
      <c r="T140" s="28" t="str">
        <f t="shared" si="43"/>
        <v/>
      </c>
      <c r="U140" s="28" t="str">
        <f t="shared" si="44"/>
        <v/>
      </c>
      <c r="V140" s="28" t="str">
        <f t="shared" si="45"/>
        <v/>
      </c>
      <c r="W140" s="28" t="str">
        <f t="shared" si="46"/>
        <v/>
      </c>
      <c r="X140" s="29" t="str">
        <f t="shared" si="47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8"/>
        <v/>
      </c>
      <c r="M141" s="19" t="str">
        <f t="shared" si="39"/>
        <v/>
      </c>
      <c r="N141" s="19" t="str">
        <f t="shared" si="40"/>
        <v/>
      </c>
      <c r="O141" s="19" t="str">
        <f t="shared" si="35"/>
        <v/>
      </c>
      <c r="P141" s="19" t="str">
        <f t="shared" si="36"/>
        <v/>
      </c>
      <c r="Q141" s="19" t="str">
        <f t="shared" si="37"/>
        <v/>
      </c>
      <c r="R141" s="19" t="str">
        <f t="shared" si="41"/>
        <v/>
      </c>
      <c r="S141" s="27" t="str">
        <f t="shared" si="42"/>
        <v/>
      </c>
      <c r="T141" s="28" t="str">
        <f t="shared" si="43"/>
        <v/>
      </c>
      <c r="U141" s="28" t="str">
        <f t="shared" si="44"/>
        <v/>
      </c>
      <c r="V141" s="28" t="str">
        <f t="shared" si="45"/>
        <v/>
      </c>
      <c r="W141" s="28" t="str">
        <f t="shared" si="46"/>
        <v/>
      </c>
      <c r="X141" s="29" t="str">
        <f t="shared" si="47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8"/>
        <v/>
      </c>
      <c r="M142" s="19" t="str">
        <f t="shared" si="39"/>
        <v/>
      </c>
      <c r="N142" s="19" t="str">
        <f t="shared" si="40"/>
        <v/>
      </c>
      <c r="O142" s="19" t="str">
        <f t="shared" si="35"/>
        <v/>
      </c>
      <c r="P142" s="19" t="str">
        <f t="shared" si="36"/>
        <v/>
      </c>
      <c r="Q142" s="19" t="str">
        <f t="shared" si="37"/>
        <v/>
      </c>
      <c r="R142" s="19" t="str">
        <f t="shared" si="41"/>
        <v/>
      </c>
      <c r="S142" s="27" t="str">
        <f t="shared" si="42"/>
        <v/>
      </c>
      <c r="T142" s="28" t="str">
        <f t="shared" si="43"/>
        <v/>
      </c>
      <c r="U142" s="28" t="str">
        <f t="shared" si="44"/>
        <v/>
      </c>
      <c r="V142" s="28" t="str">
        <f t="shared" si="45"/>
        <v/>
      </c>
      <c r="W142" s="28" t="str">
        <f t="shared" si="46"/>
        <v/>
      </c>
      <c r="X142" s="29" t="str">
        <f t="shared" si="47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8"/>
        <v/>
      </c>
      <c r="M143" s="19" t="str">
        <f t="shared" si="39"/>
        <v/>
      </c>
      <c r="N143" s="19" t="str">
        <f t="shared" si="40"/>
        <v/>
      </c>
      <c r="O143" s="19" t="str">
        <f t="shared" si="35"/>
        <v/>
      </c>
      <c r="P143" s="19" t="str">
        <f t="shared" si="36"/>
        <v/>
      </c>
      <c r="Q143" s="19" t="str">
        <f t="shared" si="37"/>
        <v/>
      </c>
      <c r="R143" s="19" t="str">
        <f t="shared" si="41"/>
        <v/>
      </c>
      <c r="S143" s="27" t="str">
        <f t="shared" si="42"/>
        <v/>
      </c>
      <c r="T143" s="28" t="str">
        <f t="shared" si="43"/>
        <v/>
      </c>
      <c r="U143" s="28" t="str">
        <f t="shared" si="44"/>
        <v/>
      </c>
      <c r="V143" s="28" t="str">
        <f t="shared" si="45"/>
        <v/>
      </c>
      <c r="W143" s="28" t="str">
        <f t="shared" si="46"/>
        <v/>
      </c>
      <c r="X143" s="29" t="str">
        <f t="shared" si="47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8"/>
        <v/>
      </c>
      <c r="M144" s="19" t="str">
        <f t="shared" si="39"/>
        <v/>
      </c>
      <c r="N144" s="19" t="str">
        <f t="shared" ref="N144:N153" si="48">IF(ISBLANK(E144),"",(E144-E$16)*1000)</f>
        <v/>
      </c>
      <c r="O144" s="19" t="str">
        <f t="shared" si="35"/>
        <v/>
      </c>
      <c r="P144" s="19" t="str">
        <f t="shared" si="36"/>
        <v/>
      </c>
      <c r="Q144" s="19" t="str">
        <f t="shared" si="37"/>
        <v/>
      </c>
      <c r="R144" s="19" t="str">
        <f t="shared" ref="R144:R153" si="49">IF(ISBLANK(I144),"",(I144-I$16)*1000)</f>
        <v/>
      </c>
      <c r="S144" s="27" t="str">
        <f t="shared" si="42"/>
        <v/>
      </c>
      <c r="T144" s="28" t="str">
        <f t="shared" si="43"/>
        <v/>
      </c>
      <c r="U144" s="28" t="str">
        <f t="shared" si="44"/>
        <v/>
      </c>
      <c r="V144" s="28" t="str">
        <f t="shared" si="45"/>
        <v/>
      </c>
      <c r="W144" s="28" t="str">
        <f t="shared" si="46"/>
        <v/>
      </c>
      <c r="X144" s="29" t="str">
        <f t="shared" si="47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8"/>
        <v/>
      </c>
      <c r="M145" s="19" t="str">
        <f t="shared" si="39"/>
        <v/>
      </c>
      <c r="N145" s="19" t="str">
        <f t="shared" si="48"/>
        <v/>
      </c>
      <c r="O145" s="19" t="str">
        <f t="shared" si="35"/>
        <v/>
      </c>
      <c r="P145" s="19" t="str">
        <f t="shared" si="36"/>
        <v/>
      </c>
      <c r="Q145" s="19" t="str">
        <f t="shared" si="37"/>
        <v/>
      </c>
      <c r="R145" s="19" t="str">
        <f t="shared" si="49"/>
        <v/>
      </c>
      <c r="S145" s="27" t="str">
        <f t="shared" ref="S145:S153" si="50">IF(C145="","",((C145-C144)*1000)/($B145-$B144))</f>
        <v/>
      </c>
      <c r="T145" s="28" t="str">
        <f t="shared" ref="T145:T153" si="51">IF(D145="","",((D145-D144)*1000)/($B145-$B144))</f>
        <v/>
      </c>
      <c r="U145" s="28" t="str">
        <f t="shared" ref="U145:U153" si="52">IF(E145="","",((E145-E144)*1000)/($B145-$B144))</f>
        <v/>
      </c>
      <c r="V145" s="28" t="str">
        <f t="shared" ref="V145:V153" si="53">IF(F145="","",((F145-F144)*1000)/($B145-$B144))</f>
        <v/>
      </c>
      <c r="W145" s="28" t="str">
        <f t="shared" ref="W145:W153" si="54">IF(G145="","",((G145-G144)*1000)/($B145-$B144))</f>
        <v/>
      </c>
      <c r="X145" s="29" t="str">
        <f t="shared" ref="X145:X153" si="55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38"/>
        <v/>
      </c>
      <c r="M146" s="19" t="str">
        <f t="shared" si="39"/>
        <v/>
      </c>
      <c r="N146" s="19" t="str">
        <f t="shared" si="48"/>
        <v/>
      </c>
      <c r="O146" s="19" t="str">
        <f t="shared" si="35"/>
        <v/>
      </c>
      <c r="P146" s="19" t="str">
        <f t="shared" si="36"/>
        <v/>
      </c>
      <c r="Q146" s="19" t="str">
        <f t="shared" si="37"/>
        <v/>
      </c>
      <c r="R146" s="19" t="str">
        <f t="shared" si="49"/>
        <v/>
      </c>
      <c r="S146" s="27" t="str">
        <f t="shared" si="50"/>
        <v/>
      </c>
      <c r="T146" s="28" t="str">
        <f t="shared" si="51"/>
        <v/>
      </c>
      <c r="U146" s="28" t="str">
        <f t="shared" si="52"/>
        <v/>
      </c>
      <c r="V146" s="28" t="str">
        <f t="shared" si="53"/>
        <v/>
      </c>
      <c r="W146" s="28" t="str">
        <f t="shared" si="54"/>
        <v/>
      </c>
      <c r="X146" s="29" t="str">
        <f t="shared" si="55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38"/>
        <v/>
      </c>
      <c r="M147" s="19" t="str">
        <f t="shared" si="39"/>
        <v/>
      </c>
      <c r="N147" s="19" t="str">
        <f t="shared" si="48"/>
        <v/>
      </c>
      <c r="O147" s="19" t="str">
        <f t="shared" si="35"/>
        <v/>
      </c>
      <c r="P147" s="19" t="str">
        <f t="shared" si="36"/>
        <v/>
      </c>
      <c r="Q147" s="19" t="str">
        <f t="shared" si="37"/>
        <v/>
      </c>
      <c r="R147" s="19" t="str">
        <f t="shared" si="49"/>
        <v/>
      </c>
      <c r="S147" s="27" t="str">
        <f t="shared" si="50"/>
        <v/>
      </c>
      <c r="T147" s="28" t="str">
        <f t="shared" si="51"/>
        <v/>
      </c>
      <c r="U147" s="28" t="str">
        <f t="shared" si="52"/>
        <v/>
      </c>
      <c r="V147" s="28" t="str">
        <f t="shared" si="53"/>
        <v/>
      </c>
      <c r="W147" s="28" t="str">
        <f t="shared" si="54"/>
        <v/>
      </c>
      <c r="X147" s="29" t="str">
        <f t="shared" si="55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38"/>
        <v/>
      </c>
      <c r="M148" s="19" t="str">
        <f t="shared" si="39"/>
        <v/>
      </c>
      <c r="N148" s="19" t="str">
        <f t="shared" si="48"/>
        <v/>
      </c>
      <c r="O148" s="19" t="str">
        <f t="shared" si="35"/>
        <v/>
      </c>
      <c r="P148" s="19" t="str">
        <f t="shared" si="36"/>
        <v/>
      </c>
      <c r="Q148" s="19" t="str">
        <f t="shared" si="37"/>
        <v/>
      </c>
      <c r="R148" s="19" t="str">
        <f t="shared" si="49"/>
        <v/>
      </c>
      <c r="S148" s="27" t="str">
        <f t="shared" si="50"/>
        <v/>
      </c>
      <c r="T148" s="28" t="str">
        <f t="shared" si="51"/>
        <v/>
      </c>
      <c r="U148" s="28" t="str">
        <f t="shared" si="52"/>
        <v/>
      </c>
      <c r="V148" s="28" t="str">
        <f t="shared" si="53"/>
        <v/>
      </c>
      <c r="W148" s="28" t="str">
        <f t="shared" si="54"/>
        <v/>
      </c>
      <c r="X148" s="29" t="str">
        <f t="shared" si="55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38"/>
        <v/>
      </c>
      <c r="M149" s="19" t="str">
        <f t="shared" si="39"/>
        <v/>
      </c>
      <c r="N149" s="19" t="str">
        <f t="shared" si="48"/>
        <v/>
      </c>
      <c r="O149" s="19" t="str">
        <f t="shared" si="35"/>
        <v/>
      </c>
      <c r="P149" s="19" t="str">
        <f t="shared" si="36"/>
        <v/>
      </c>
      <c r="Q149" s="19" t="str">
        <f t="shared" si="37"/>
        <v/>
      </c>
      <c r="R149" s="19" t="str">
        <f t="shared" si="49"/>
        <v/>
      </c>
      <c r="S149" s="27" t="str">
        <f t="shared" si="50"/>
        <v/>
      </c>
      <c r="T149" s="28" t="str">
        <f t="shared" si="51"/>
        <v/>
      </c>
      <c r="U149" s="28" t="str">
        <f t="shared" si="52"/>
        <v/>
      </c>
      <c r="V149" s="28" t="str">
        <f t="shared" si="53"/>
        <v/>
      </c>
      <c r="W149" s="28" t="str">
        <f t="shared" si="54"/>
        <v/>
      </c>
      <c r="X149" s="29" t="str">
        <f t="shared" si="55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38"/>
        <v/>
      </c>
      <c r="M150" s="19" t="str">
        <f t="shared" si="39"/>
        <v/>
      </c>
      <c r="N150" s="19" t="str">
        <f t="shared" si="48"/>
        <v/>
      </c>
      <c r="O150" s="19" t="str">
        <f t="shared" si="35"/>
        <v/>
      </c>
      <c r="P150" s="19" t="str">
        <f t="shared" si="36"/>
        <v/>
      </c>
      <c r="Q150" s="19" t="str">
        <f t="shared" si="37"/>
        <v/>
      </c>
      <c r="R150" s="19" t="str">
        <f t="shared" si="49"/>
        <v/>
      </c>
      <c r="S150" s="27" t="str">
        <f t="shared" si="50"/>
        <v/>
      </c>
      <c r="T150" s="28" t="str">
        <f t="shared" si="51"/>
        <v/>
      </c>
      <c r="U150" s="28" t="str">
        <f t="shared" si="52"/>
        <v/>
      </c>
      <c r="V150" s="28" t="str">
        <f t="shared" si="53"/>
        <v/>
      </c>
      <c r="W150" s="28" t="str">
        <f t="shared" si="54"/>
        <v/>
      </c>
      <c r="X150" s="29" t="str">
        <f t="shared" si="55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38"/>
        <v/>
      </c>
      <c r="M151" s="19" t="str">
        <f t="shared" si="39"/>
        <v/>
      </c>
      <c r="N151" s="19" t="str">
        <f t="shared" si="48"/>
        <v/>
      </c>
      <c r="O151" s="19" t="str">
        <f t="shared" ref="O151:Q153" si="56">IF(ISBLANK(F151),"",((F151-F$22)*1000)+L$22)</f>
        <v/>
      </c>
      <c r="P151" s="19" t="str">
        <f t="shared" si="56"/>
        <v/>
      </c>
      <c r="Q151" s="19" t="str">
        <f t="shared" si="56"/>
        <v/>
      </c>
      <c r="R151" s="19" t="str">
        <f t="shared" si="49"/>
        <v/>
      </c>
      <c r="S151" s="27" t="str">
        <f t="shared" si="50"/>
        <v/>
      </c>
      <c r="T151" s="28" t="str">
        <f t="shared" si="51"/>
        <v/>
      </c>
      <c r="U151" s="28" t="str">
        <f t="shared" si="52"/>
        <v/>
      </c>
      <c r="V151" s="28" t="str">
        <f t="shared" si="53"/>
        <v/>
      </c>
      <c r="W151" s="28" t="str">
        <f t="shared" si="54"/>
        <v/>
      </c>
      <c r="X151" s="29" t="str">
        <f t="shared" si="55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>IF(ISBLANK(C152),"",((C152-C$23)*1000)+L$22)</f>
        <v/>
      </c>
      <c r="M152" s="19" t="str">
        <f>IF(ISBLANK(D152),"",((D152-D$23)*1000)+M$22)</f>
        <v/>
      </c>
      <c r="N152" s="19" t="str">
        <f t="shared" si="48"/>
        <v/>
      </c>
      <c r="O152" s="19" t="str">
        <f t="shared" si="56"/>
        <v/>
      </c>
      <c r="P152" s="19" t="str">
        <f t="shared" si="56"/>
        <v/>
      </c>
      <c r="Q152" s="19" t="str">
        <f t="shared" si="56"/>
        <v/>
      </c>
      <c r="R152" s="19" t="str">
        <f t="shared" si="49"/>
        <v/>
      </c>
      <c r="S152" s="27" t="str">
        <f t="shared" si="50"/>
        <v/>
      </c>
      <c r="T152" s="28" t="str">
        <f t="shared" si="51"/>
        <v/>
      </c>
      <c r="U152" s="28" t="str">
        <f t="shared" si="52"/>
        <v/>
      </c>
      <c r="V152" s="28" t="str">
        <f t="shared" si="53"/>
        <v/>
      </c>
      <c r="W152" s="28" t="str">
        <f t="shared" si="54"/>
        <v/>
      </c>
      <c r="X152" s="29" t="str">
        <f t="shared" si="55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>IF(ISBLANK(C153),"",((C153-C$23)*1000)+L$22)</f>
        <v/>
      </c>
      <c r="M153" s="19" t="str">
        <f>IF(ISBLANK(D153),"",((D153-D$23)*1000)+M$22)</f>
        <v/>
      </c>
      <c r="N153" s="19" t="str">
        <f t="shared" si="48"/>
        <v/>
      </c>
      <c r="O153" s="19" t="str">
        <f t="shared" si="56"/>
        <v/>
      </c>
      <c r="P153" s="19" t="str">
        <f t="shared" si="56"/>
        <v/>
      </c>
      <c r="Q153" s="19" t="str">
        <f t="shared" si="56"/>
        <v/>
      </c>
      <c r="R153" s="19" t="str">
        <f t="shared" si="49"/>
        <v/>
      </c>
      <c r="S153" s="27" t="str">
        <f t="shared" si="50"/>
        <v/>
      </c>
      <c r="T153" s="28" t="str">
        <f t="shared" si="51"/>
        <v/>
      </c>
      <c r="U153" s="28" t="str">
        <f t="shared" si="52"/>
        <v/>
      </c>
      <c r="V153" s="28" t="str">
        <f t="shared" si="53"/>
        <v/>
      </c>
      <c r="W153" s="28" t="str">
        <f t="shared" si="54"/>
        <v/>
      </c>
      <c r="X153" s="29" t="str">
        <f t="shared" si="55"/>
        <v/>
      </c>
      <c r="Y153" s="24"/>
    </row>
  </sheetData>
  <sheetProtection selectLockedCells="1"/>
  <mergeCells count="38">
    <mergeCell ref="Y13:Y15"/>
    <mergeCell ref="B10:J12"/>
    <mergeCell ref="K10:S12"/>
    <mergeCell ref="T10:Y12"/>
    <mergeCell ref="B9:O9"/>
    <mergeCell ref="P9:Y9"/>
    <mergeCell ref="R5:V5"/>
    <mergeCell ref="E6:I6"/>
    <mergeCell ref="R6:V6"/>
    <mergeCell ref="AA9:AI9"/>
    <mergeCell ref="B13:B15"/>
    <mergeCell ref="C13:K13"/>
    <mergeCell ref="L13:R14"/>
    <mergeCell ref="S13:X14"/>
    <mergeCell ref="W8:Y8"/>
    <mergeCell ref="F14:H14"/>
    <mergeCell ref="I14:I15"/>
    <mergeCell ref="J14:K14"/>
    <mergeCell ref="R7:V7"/>
    <mergeCell ref="E8:I8"/>
    <mergeCell ref="J7:Q7"/>
    <mergeCell ref="C14:E14"/>
    <mergeCell ref="W7:Y7"/>
    <mergeCell ref="J6:Q6"/>
    <mergeCell ref="A1:J1"/>
    <mergeCell ref="E2:Q2"/>
    <mergeCell ref="R2:X4"/>
    <mergeCell ref="B5:D8"/>
    <mergeCell ref="J8:Q8"/>
    <mergeCell ref="R8:V8"/>
    <mergeCell ref="E7:I7"/>
    <mergeCell ref="J5:Q5"/>
    <mergeCell ref="Y2:Y4"/>
    <mergeCell ref="E3:Q3"/>
    <mergeCell ref="E4:Q4"/>
    <mergeCell ref="W6:Y6"/>
    <mergeCell ref="E5:I5"/>
    <mergeCell ref="W5:Y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8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6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TZ-26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54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41765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41767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/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410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668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55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43">
        <v>41767</v>
      </c>
      <c r="C16" s="14">
        <v>13.177</v>
      </c>
      <c r="D16" s="15">
        <v>7.8280000000000003</v>
      </c>
      <c r="E16" s="15">
        <v>8.7110000000000003</v>
      </c>
      <c r="F16" s="42"/>
      <c r="G16" s="42"/>
      <c r="H16" s="42"/>
      <c r="I16" s="41">
        <v>103.78400000000001</v>
      </c>
      <c r="J16" s="62">
        <v>689</v>
      </c>
      <c r="K16" s="51">
        <f>IF(ISBLANK(J16),"",(J16-$J$8))</f>
        <v>21</v>
      </c>
      <c r="L16" s="19">
        <f t="shared" ref="L16:Q29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41768</v>
      </c>
      <c r="C17" s="25">
        <v>13.175000000000001</v>
      </c>
      <c r="D17" s="26">
        <v>7.827</v>
      </c>
      <c r="E17" s="26">
        <v>8.7100000000000009</v>
      </c>
      <c r="F17" s="16"/>
      <c r="G17" s="16"/>
      <c r="H17" s="16"/>
      <c r="I17" s="17">
        <v>103.78400000000001</v>
      </c>
      <c r="J17" s="58">
        <v>698</v>
      </c>
      <c r="K17" s="18">
        <f>IF(ISBLANK(J17),"",(J17-$J$8))</f>
        <v>30</v>
      </c>
      <c r="L17" s="19">
        <f t="shared" si="0"/>
        <v>-1.9999999999988916</v>
      </c>
      <c r="M17" s="19">
        <f t="shared" si="0"/>
        <v>-1.000000000000334</v>
      </c>
      <c r="N17" s="19">
        <f t="shared" si="0"/>
        <v>-0.99999999999944578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0</v>
      </c>
      <c r="S17" s="27">
        <f t="shared" ref="S17:X32" si="2">IF(C17="","",((C17-C16)*1000)/($B17-$B16))</f>
        <v>-1.9999999999988916</v>
      </c>
      <c r="T17" s="28">
        <f t="shared" si="2"/>
        <v>-1.000000000000334</v>
      </c>
      <c r="U17" s="28">
        <f t="shared" si="2"/>
        <v>-0.99999999999944578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24"/>
    </row>
    <row r="18" spans="2:25" ht="15" customHeight="1" x14ac:dyDescent="0.2">
      <c r="B18" s="31">
        <v>41771</v>
      </c>
      <c r="C18" s="25">
        <v>13.176</v>
      </c>
      <c r="D18" s="26">
        <v>7.8259999999999996</v>
      </c>
      <c r="E18" s="26">
        <v>8.7100000000000009</v>
      </c>
      <c r="F18" s="16"/>
      <c r="G18" s="16"/>
      <c r="H18" s="16"/>
      <c r="I18" s="17">
        <v>103.78400000000001</v>
      </c>
      <c r="J18" s="58">
        <v>709</v>
      </c>
      <c r="K18" s="18">
        <f t="shared" ref="K18:K24" si="3">IF(ISBLANK(J18),"",(J18-$J$8))</f>
        <v>41</v>
      </c>
      <c r="L18" s="19">
        <f t="shared" si="0"/>
        <v>-0.99999999999944578</v>
      </c>
      <c r="M18" s="19">
        <f t="shared" si="0"/>
        <v>-2.0000000000006679</v>
      </c>
      <c r="N18" s="19">
        <f t="shared" si="0"/>
        <v>-0.99999999999944578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0</v>
      </c>
      <c r="S18" s="27">
        <f t="shared" si="2"/>
        <v>0.33333333333314857</v>
      </c>
      <c r="T18" s="28">
        <f t="shared" si="2"/>
        <v>-0.33333333333344467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41772</v>
      </c>
      <c r="C19" s="25">
        <v>13.176</v>
      </c>
      <c r="D19" s="26">
        <v>7.827</v>
      </c>
      <c r="E19" s="26">
        <v>8.7100000000000009</v>
      </c>
      <c r="F19" s="16"/>
      <c r="G19" s="16"/>
      <c r="H19" s="16"/>
      <c r="I19" s="17">
        <v>103.78400000000001</v>
      </c>
      <c r="J19" s="58">
        <v>722</v>
      </c>
      <c r="K19" s="18">
        <f t="shared" si="3"/>
        <v>54</v>
      </c>
      <c r="L19" s="19">
        <f t="shared" si="0"/>
        <v>-0.99999999999944578</v>
      </c>
      <c r="M19" s="19">
        <f t="shared" si="0"/>
        <v>-1.000000000000334</v>
      </c>
      <c r="N19" s="19">
        <f t="shared" si="0"/>
        <v>-0.99999999999944578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0</v>
      </c>
      <c r="S19" s="27">
        <f t="shared" si="2"/>
        <v>0</v>
      </c>
      <c r="T19" s="28">
        <f t="shared" si="2"/>
        <v>1.000000000000334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41773</v>
      </c>
      <c r="C20" s="25">
        <v>13.176</v>
      </c>
      <c r="D20" s="26">
        <v>7.8259999999999996</v>
      </c>
      <c r="E20" s="26">
        <v>8.7100000000000009</v>
      </c>
      <c r="F20" s="16"/>
      <c r="G20" s="16"/>
      <c r="H20" s="16"/>
      <c r="I20" s="17">
        <v>103.78400000000001</v>
      </c>
      <c r="J20" s="58">
        <v>730</v>
      </c>
      <c r="K20" s="18">
        <f t="shared" si="3"/>
        <v>62</v>
      </c>
      <c r="L20" s="19">
        <f t="shared" si="0"/>
        <v>-0.99999999999944578</v>
      </c>
      <c r="M20" s="19">
        <f t="shared" si="0"/>
        <v>-2.0000000000006679</v>
      </c>
      <c r="N20" s="19">
        <f t="shared" si="0"/>
        <v>-0.99999999999944578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0</v>
      </c>
      <c r="S20" s="27">
        <f t="shared" si="2"/>
        <v>0</v>
      </c>
      <c r="T20" s="28">
        <f t="shared" si="2"/>
        <v>-1.000000000000334</v>
      </c>
      <c r="U20" s="28">
        <f t="shared" si="2"/>
        <v>0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41774</v>
      </c>
      <c r="C21" s="25">
        <v>13.175000000000001</v>
      </c>
      <c r="D21" s="26">
        <v>7.827</v>
      </c>
      <c r="E21" s="26">
        <v>8.7089999999999996</v>
      </c>
      <c r="F21" s="16"/>
      <c r="G21" s="16"/>
      <c r="H21" s="16"/>
      <c r="I21" s="17">
        <v>103.78400000000001</v>
      </c>
      <c r="J21" s="58">
        <v>743</v>
      </c>
      <c r="K21" s="18">
        <f t="shared" si="3"/>
        <v>75</v>
      </c>
      <c r="L21" s="19">
        <f t="shared" si="0"/>
        <v>-1.9999999999988916</v>
      </c>
      <c r="M21" s="19">
        <f t="shared" si="0"/>
        <v>-1.000000000000334</v>
      </c>
      <c r="N21" s="19">
        <f t="shared" si="0"/>
        <v>-2.0000000000006679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0</v>
      </c>
      <c r="S21" s="27">
        <f t="shared" si="2"/>
        <v>-0.99999999999944578</v>
      </c>
      <c r="T21" s="28">
        <f t="shared" si="2"/>
        <v>1.000000000000334</v>
      </c>
      <c r="U21" s="28">
        <f t="shared" si="2"/>
        <v>-1.0000000000012221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41775</v>
      </c>
      <c r="C22" s="25">
        <v>13.176</v>
      </c>
      <c r="D22" s="26">
        <v>7.827</v>
      </c>
      <c r="E22" s="26">
        <v>8.7100000000000009</v>
      </c>
      <c r="F22" s="16"/>
      <c r="G22" s="16"/>
      <c r="H22" s="16"/>
      <c r="I22" s="17">
        <v>103.78400000000001</v>
      </c>
      <c r="J22" s="58">
        <v>750</v>
      </c>
      <c r="K22" s="18">
        <f t="shared" si="3"/>
        <v>82</v>
      </c>
      <c r="L22" s="19">
        <f t="shared" si="0"/>
        <v>-0.99999999999944578</v>
      </c>
      <c r="M22" s="19">
        <f t="shared" si="0"/>
        <v>-1.000000000000334</v>
      </c>
      <c r="N22" s="19">
        <f t="shared" si="0"/>
        <v>-0.99999999999944578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0</v>
      </c>
      <c r="S22" s="27">
        <f t="shared" si="2"/>
        <v>0.99999999999944578</v>
      </c>
      <c r="T22" s="28">
        <f t="shared" si="2"/>
        <v>0</v>
      </c>
      <c r="U22" s="28">
        <f t="shared" si="2"/>
        <v>1.0000000000012221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41778</v>
      </c>
      <c r="C23" s="25">
        <v>13.176</v>
      </c>
      <c r="D23" s="26">
        <v>7.827</v>
      </c>
      <c r="E23" s="26">
        <v>8.7100000000000009</v>
      </c>
      <c r="F23" s="16"/>
      <c r="G23" s="16"/>
      <c r="H23" s="16"/>
      <c r="I23" s="17">
        <v>103.78400000000001</v>
      </c>
      <c r="J23" s="58">
        <v>763</v>
      </c>
      <c r="K23" s="18">
        <f t="shared" si="3"/>
        <v>95</v>
      </c>
      <c r="L23" s="19">
        <f t="shared" si="0"/>
        <v>-0.99999999999944578</v>
      </c>
      <c r="M23" s="19">
        <f t="shared" si="0"/>
        <v>-1.000000000000334</v>
      </c>
      <c r="N23" s="19">
        <f t="shared" si="0"/>
        <v>-0.99999999999944578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0</v>
      </c>
      <c r="S23" s="27">
        <f t="shared" si="2"/>
        <v>0</v>
      </c>
      <c r="T23" s="28">
        <f t="shared" si="2"/>
        <v>0</v>
      </c>
      <c r="U23" s="28">
        <f t="shared" si="2"/>
        <v>0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41779</v>
      </c>
      <c r="C24" s="25">
        <v>13.175000000000001</v>
      </c>
      <c r="D24" s="26">
        <v>7.827</v>
      </c>
      <c r="E24" s="26">
        <v>8.7089999999999996</v>
      </c>
      <c r="F24" s="16"/>
      <c r="G24" s="16"/>
      <c r="H24" s="16"/>
      <c r="I24" s="17">
        <v>103.78400000000001</v>
      </c>
      <c r="J24" s="58">
        <v>774</v>
      </c>
      <c r="K24" s="18">
        <f t="shared" si="3"/>
        <v>106</v>
      </c>
      <c r="L24" s="19">
        <f t="shared" si="0"/>
        <v>-1.9999999999988916</v>
      </c>
      <c r="M24" s="19">
        <f t="shared" si="0"/>
        <v>-1.000000000000334</v>
      </c>
      <c r="N24" s="19">
        <f t="shared" si="0"/>
        <v>-2.0000000000006679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0</v>
      </c>
      <c r="S24" s="27">
        <f t="shared" si="2"/>
        <v>-0.99999999999944578</v>
      </c>
      <c r="T24" s="28">
        <f t="shared" si="2"/>
        <v>0</v>
      </c>
      <c r="U24" s="28">
        <f t="shared" si="2"/>
        <v>-1.0000000000012221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41781</v>
      </c>
      <c r="C25" s="25">
        <v>13.175000000000001</v>
      </c>
      <c r="D25" s="26">
        <v>7.827</v>
      </c>
      <c r="E25" s="26">
        <v>8.7100000000000009</v>
      </c>
      <c r="F25" s="16"/>
      <c r="G25" s="16"/>
      <c r="H25" s="16"/>
      <c r="I25" s="17">
        <v>103.78400000000001</v>
      </c>
      <c r="J25" s="58">
        <v>792</v>
      </c>
      <c r="K25" s="18">
        <f>IF(ISBLANK(J25),"",(J25-$J$8))</f>
        <v>124</v>
      </c>
      <c r="L25" s="19">
        <f t="shared" si="0"/>
        <v>-1.9999999999988916</v>
      </c>
      <c r="M25" s="19">
        <f t="shared" si="0"/>
        <v>-1.000000000000334</v>
      </c>
      <c r="N25" s="19">
        <f t="shared" si="0"/>
        <v>-0.99999999999944578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0</v>
      </c>
      <c r="S25" s="27">
        <f t="shared" si="2"/>
        <v>0</v>
      </c>
      <c r="T25" s="28">
        <f t="shared" si="2"/>
        <v>0</v>
      </c>
      <c r="U25" s="28">
        <f t="shared" si="2"/>
        <v>0.50000000000061107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41822</v>
      </c>
      <c r="C26" s="25">
        <v>13.175000000000001</v>
      </c>
      <c r="D26" s="26">
        <v>7.827</v>
      </c>
      <c r="E26" s="26">
        <v>8.7100000000000009</v>
      </c>
      <c r="F26" s="16"/>
      <c r="G26" s="16"/>
      <c r="H26" s="16"/>
      <c r="I26" s="17">
        <v>103.783</v>
      </c>
      <c r="J26" s="58">
        <v>686</v>
      </c>
      <c r="K26" s="18">
        <f t="shared" ref="K26:K32" si="4">IF(ISBLANK(J26),"",(J26-$J$8))</f>
        <v>18</v>
      </c>
      <c r="L26" s="19">
        <f t="shared" si="0"/>
        <v>-1.9999999999988916</v>
      </c>
      <c r="M26" s="19">
        <f t="shared" si="0"/>
        <v>-1.000000000000334</v>
      </c>
      <c r="N26" s="19">
        <f t="shared" si="0"/>
        <v>-0.99999999999944578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-1.0000000000047748</v>
      </c>
      <c r="S26" s="27">
        <f t="shared" si="2"/>
        <v>0</v>
      </c>
      <c r="T26" s="28">
        <f t="shared" si="2"/>
        <v>0</v>
      </c>
      <c r="U26" s="28">
        <f t="shared" si="2"/>
        <v>0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41823</v>
      </c>
      <c r="C27" s="25">
        <v>13.176</v>
      </c>
      <c r="D27" s="26">
        <v>7.827</v>
      </c>
      <c r="E27" s="26">
        <v>8.7100000000000009</v>
      </c>
      <c r="F27" s="16"/>
      <c r="G27" s="16"/>
      <c r="H27" s="16"/>
      <c r="I27" s="17">
        <v>103.783</v>
      </c>
      <c r="J27" s="58">
        <v>703</v>
      </c>
      <c r="K27" s="18">
        <f t="shared" si="4"/>
        <v>35</v>
      </c>
      <c r="L27" s="19">
        <f t="shared" si="0"/>
        <v>-0.99999999999944578</v>
      </c>
      <c r="M27" s="19">
        <f t="shared" si="0"/>
        <v>-1.000000000000334</v>
      </c>
      <c r="N27" s="19">
        <f t="shared" si="0"/>
        <v>-0.99999999999944578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-1.0000000000047748</v>
      </c>
      <c r="S27" s="27">
        <f t="shared" si="2"/>
        <v>0.99999999999944578</v>
      </c>
      <c r="T27" s="28">
        <f t="shared" si="2"/>
        <v>0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41824</v>
      </c>
      <c r="C28" s="25">
        <v>13.175000000000001</v>
      </c>
      <c r="D28" s="26">
        <v>7.8280000000000003</v>
      </c>
      <c r="E28" s="26">
        <v>8.7100000000000009</v>
      </c>
      <c r="F28" s="16">
        <v>13.97</v>
      </c>
      <c r="G28" s="16">
        <v>10.069000000000001</v>
      </c>
      <c r="H28" s="16">
        <v>10.847</v>
      </c>
      <c r="I28" s="17">
        <v>103.783</v>
      </c>
      <c r="J28" s="58">
        <v>725</v>
      </c>
      <c r="K28" s="18">
        <f t="shared" si="4"/>
        <v>57</v>
      </c>
      <c r="L28" s="19">
        <f t="shared" si="0"/>
        <v>-1.9999999999988916</v>
      </c>
      <c r="M28" s="19">
        <f t="shared" si="0"/>
        <v>0</v>
      </c>
      <c r="N28" s="19">
        <f t="shared" si="0"/>
        <v>-0.99999999999944578</v>
      </c>
      <c r="O28" s="19">
        <f>IF(ISBLANK(F28),"",((F28-F$28)*1000)+L$28)</f>
        <v>-1.9999999999988916</v>
      </c>
      <c r="P28" s="19">
        <f>IF(ISBLANK(G28),"",((G28-G$28)*1000)+M$28)</f>
        <v>0</v>
      </c>
      <c r="Q28" s="19">
        <f>IF(ISBLANK(H28),"",((H28-H$28)*1000)+N$28)</f>
        <v>-0.99999999999944578</v>
      </c>
      <c r="R28" s="19">
        <f t="shared" si="1"/>
        <v>-1.0000000000047748</v>
      </c>
      <c r="S28" s="27">
        <f t="shared" si="2"/>
        <v>-0.99999999999944578</v>
      </c>
      <c r="T28" s="28">
        <f t="shared" si="2"/>
        <v>1.000000000000334</v>
      </c>
      <c r="U28" s="28">
        <f t="shared" si="2"/>
        <v>0</v>
      </c>
      <c r="V28" s="28"/>
      <c r="W28" s="28"/>
      <c r="X28" s="29"/>
      <c r="Y28" s="24"/>
    </row>
    <row r="29" spans="2:25" ht="15" customHeight="1" x14ac:dyDescent="0.2">
      <c r="B29" s="31">
        <v>41829</v>
      </c>
      <c r="C29" s="25">
        <v>13.175000000000001</v>
      </c>
      <c r="D29" s="26">
        <v>7.827</v>
      </c>
      <c r="E29" s="26">
        <v>8.7100000000000009</v>
      </c>
      <c r="F29" s="16">
        <v>13.968</v>
      </c>
      <c r="G29" s="16">
        <v>10.069000000000001</v>
      </c>
      <c r="H29" s="16">
        <v>10.846</v>
      </c>
      <c r="I29" s="17">
        <v>103.782</v>
      </c>
      <c r="J29" s="58">
        <v>793</v>
      </c>
      <c r="K29" s="18">
        <f t="shared" si="4"/>
        <v>125</v>
      </c>
      <c r="L29" s="19">
        <f t="shared" si="0"/>
        <v>-1.9999999999988916</v>
      </c>
      <c r="M29" s="19">
        <f t="shared" si="0"/>
        <v>-1.000000000000334</v>
      </c>
      <c r="N29" s="19">
        <f t="shared" si="0"/>
        <v>-0.99999999999944578</v>
      </c>
      <c r="O29" s="19">
        <f t="shared" ref="O29:O92" si="5">IF(ISBLANK(F29),"",((F29-F$28)*1000)+L$28)</f>
        <v>-3.9999999999995595</v>
      </c>
      <c r="P29" s="19">
        <f t="shared" ref="P29:P92" si="6">IF(ISBLANK(G29),"",((G29-G$28)*1000)+M$28)</f>
        <v>0</v>
      </c>
      <c r="Q29" s="19">
        <f t="shared" ref="Q29:Q92" si="7">IF(ISBLANK(H29),"",((H29-H$28)*1000)+N$28)</f>
        <v>-1.9999999999988916</v>
      </c>
      <c r="R29" s="19">
        <f t="shared" si="1"/>
        <v>-2.0000000000095497</v>
      </c>
      <c r="S29" s="27">
        <f t="shared" si="2"/>
        <v>0</v>
      </c>
      <c r="T29" s="28">
        <f t="shared" si="2"/>
        <v>-0.20000000000006679</v>
      </c>
      <c r="U29" s="28">
        <f t="shared" si="2"/>
        <v>0</v>
      </c>
      <c r="V29" s="28">
        <f t="shared" si="2"/>
        <v>-0.40000000000013358</v>
      </c>
      <c r="W29" s="28">
        <f t="shared" si="2"/>
        <v>0</v>
      </c>
      <c r="X29" s="29">
        <f t="shared" si="2"/>
        <v>-0.19999999999988916</v>
      </c>
      <c r="Y29" s="24"/>
    </row>
    <row r="30" spans="2:25" ht="15" customHeight="1" x14ac:dyDescent="0.2">
      <c r="B30" s="31">
        <v>41830</v>
      </c>
      <c r="C30" s="82">
        <v>13.393000000000001</v>
      </c>
      <c r="D30" s="45">
        <v>7.8120000000000003</v>
      </c>
      <c r="E30" s="45">
        <v>8.9359999999999999</v>
      </c>
      <c r="F30" s="16">
        <v>13.968999999999999</v>
      </c>
      <c r="G30" s="16">
        <v>10.067</v>
      </c>
      <c r="H30" s="16">
        <v>10.846</v>
      </c>
      <c r="I30" s="17">
        <v>103.783</v>
      </c>
      <c r="J30" s="58">
        <v>808</v>
      </c>
      <c r="K30" s="18">
        <f t="shared" si="4"/>
        <v>140</v>
      </c>
      <c r="L30" s="19">
        <f>IF(ISBLANK(C30),"",((C30-C$30)*1000)+L$29)</f>
        <v>-1.9999999999988916</v>
      </c>
      <c r="M30" s="19">
        <f>IF(ISBLANK(D30),"",((D30-D$30)*1000)+M$29)</f>
        <v>-1.000000000000334</v>
      </c>
      <c r="N30" s="19">
        <f>IF(ISBLANK(E30),"",((E30-E$30)*1000)+N$29)</f>
        <v>-0.99999999999944578</v>
      </c>
      <c r="O30" s="19">
        <f t="shared" si="5"/>
        <v>-3.0000000000001137</v>
      </c>
      <c r="P30" s="19">
        <f t="shared" si="6"/>
        <v>-2.0000000000006679</v>
      </c>
      <c r="Q30" s="19">
        <f t="shared" si="7"/>
        <v>-1.9999999999988916</v>
      </c>
      <c r="R30" s="19">
        <f t="shared" si="1"/>
        <v>-1.0000000000047748</v>
      </c>
      <c r="S30" s="27">
        <f t="shared" si="2"/>
        <v>217.99999999999997</v>
      </c>
      <c r="T30" s="28">
        <f t="shared" si="2"/>
        <v>-14.99999999999968</v>
      </c>
      <c r="U30" s="28">
        <f t="shared" si="2"/>
        <v>225.99999999999909</v>
      </c>
      <c r="V30" s="28">
        <f t="shared" si="2"/>
        <v>0.99999999999944578</v>
      </c>
      <c r="W30" s="28">
        <f t="shared" si="2"/>
        <v>-2.0000000000006679</v>
      </c>
      <c r="X30" s="29">
        <f t="shared" si="2"/>
        <v>0</v>
      </c>
      <c r="Y30" s="49" t="s">
        <v>53</v>
      </c>
    </row>
    <row r="31" spans="2:25" ht="15" customHeight="1" x14ac:dyDescent="0.2">
      <c r="B31" s="31">
        <v>41834</v>
      </c>
      <c r="C31" s="25">
        <v>13.391999999999999</v>
      </c>
      <c r="D31" s="26">
        <v>7.8120000000000003</v>
      </c>
      <c r="E31" s="26">
        <v>8.9359999999999999</v>
      </c>
      <c r="F31" s="16">
        <v>13.968999999999999</v>
      </c>
      <c r="G31" s="16">
        <v>10.067</v>
      </c>
      <c r="H31" s="16">
        <v>10.846</v>
      </c>
      <c r="I31" s="17">
        <v>103.782</v>
      </c>
      <c r="J31" s="58">
        <v>845</v>
      </c>
      <c r="K31" s="18">
        <f t="shared" si="4"/>
        <v>177</v>
      </c>
      <c r="L31" s="19">
        <f t="shared" ref="L31:L94" si="8">IF(ISBLANK(C31),"",((C31-C$30)*1000)+L$29)</f>
        <v>-3.0000000000001137</v>
      </c>
      <c r="M31" s="19">
        <f t="shared" ref="M31:M94" si="9">IF(ISBLANK(D31),"",((D31-D$30)*1000)+M$29)</f>
        <v>-1.000000000000334</v>
      </c>
      <c r="N31" s="19">
        <f t="shared" ref="N31:N94" si="10">IF(ISBLANK(E31),"",((E31-E$30)*1000)+N$29)</f>
        <v>-0.99999999999944578</v>
      </c>
      <c r="O31" s="19">
        <f t="shared" si="5"/>
        <v>-3.0000000000001137</v>
      </c>
      <c r="P31" s="19">
        <f t="shared" si="6"/>
        <v>-2.0000000000006679</v>
      </c>
      <c r="Q31" s="19">
        <f t="shared" si="7"/>
        <v>-1.9999999999988916</v>
      </c>
      <c r="R31" s="19">
        <f t="shared" si="1"/>
        <v>-2.0000000000095497</v>
      </c>
      <c r="S31" s="27">
        <f t="shared" si="2"/>
        <v>-0.25000000000030553</v>
      </c>
      <c r="T31" s="28">
        <f t="shared" si="2"/>
        <v>0</v>
      </c>
      <c r="U31" s="28">
        <f t="shared" si="2"/>
        <v>0</v>
      </c>
      <c r="V31" s="28">
        <f t="shared" si="2"/>
        <v>0</v>
      </c>
      <c r="W31" s="28">
        <f t="shared" si="2"/>
        <v>0</v>
      </c>
      <c r="X31" s="29">
        <f t="shared" si="2"/>
        <v>0</v>
      </c>
      <c r="Y31" s="24"/>
    </row>
    <row r="32" spans="2:25" ht="15" customHeight="1" x14ac:dyDescent="0.2">
      <c r="B32" s="31">
        <v>41835</v>
      </c>
      <c r="C32" s="25">
        <v>13.391</v>
      </c>
      <c r="D32" s="26">
        <v>7.8120000000000003</v>
      </c>
      <c r="E32" s="26">
        <v>8.9350000000000005</v>
      </c>
      <c r="F32" s="16">
        <v>13.968999999999999</v>
      </c>
      <c r="G32" s="16">
        <v>10.067</v>
      </c>
      <c r="H32" s="16">
        <v>10.846</v>
      </c>
      <c r="I32" s="17">
        <v>103.782</v>
      </c>
      <c r="J32" s="58">
        <v>857</v>
      </c>
      <c r="K32" s="18">
        <f t="shared" si="4"/>
        <v>189</v>
      </c>
      <c r="L32" s="19">
        <f t="shared" si="8"/>
        <v>-3.9999999999995595</v>
      </c>
      <c r="M32" s="19">
        <f t="shared" si="9"/>
        <v>-1.000000000000334</v>
      </c>
      <c r="N32" s="19">
        <f t="shared" si="10"/>
        <v>-1.9999999999988916</v>
      </c>
      <c r="O32" s="19">
        <f t="shared" si="5"/>
        <v>-3.0000000000001137</v>
      </c>
      <c r="P32" s="19">
        <f t="shared" si="6"/>
        <v>-2.0000000000006679</v>
      </c>
      <c r="Q32" s="19">
        <f t="shared" si="7"/>
        <v>-1.9999999999988916</v>
      </c>
      <c r="R32" s="19">
        <f t="shared" si="1"/>
        <v>-2.0000000000095497</v>
      </c>
      <c r="S32" s="27">
        <f t="shared" si="2"/>
        <v>-0.99999999999944578</v>
      </c>
      <c r="T32" s="28">
        <f t="shared" si="2"/>
        <v>0</v>
      </c>
      <c r="U32" s="28">
        <f t="shared" si="2"/>
        <v>-0.99999999999944578</v>
      </c>
      <c r="V32" s="28">
        <f t="shared" si="2"/>
        <v>0</v>
      </c>
      <c r="W32" s="28">
        <f t="shared" si="2"/>
        <v>0</v>
      </c>
      <c r="X32" s="29">
        <f t="shared" si="2"/>
        <v>0</v>
      </c>
      <c r="Y32" s="24"/>
    </row>
    <row r="33" spans="2:25" ht="15" customHeight="1" x14ac:dyDescent="0.2">
      <c r="B33" s="31">
        <v>41879</v>
      </c>
      <c r="C33" s="25"/>
      <c r="D33" s="26"/>
      <c r="E33" s="26"/>
      <c r="F33" s="16">
        <v>13.968</v>
      </c>
      <c r="G33" s="16">
        <v>10.067</v>
      </c>
      <c r="H33" s="16">
        <v>10.845000000000001</v>
      </c>
      <c r="I33" s="17">
        <v>103.782</v>
      </c>
      <c r="J33" s="58">
        <v>943</v>
      </c>
      <c r="K33" s="18">
        <f>IF(ISBLANK(J33),"",(J33-$J$8))</f>
        <v>275</v>
      </c>
      <c r="L33" s="19" t="str">
        <f t="shared" si="8"/>
        <v/>
      </c>
      <c r="M33" s="19" t="str">
        <f t="shared" si="9"/>
        <v/>
      </c>
      <c r="N33" s="19" t="str">
        <f t="shared" si="10"/>
        <v/>
      </c>
      <c r="O33" s="19">
        <f t="shared" si="5"/>
        <v>-3.9999999999995595</v>
      </c>
      <c r="P33" s="19">
        <f t="shared" si="6"/>
        <v>-2.0000000000006679</v>
      </c>
      <c r="Q33" s="19">
        <f t="shared" si="7"/>
        <v>-2.9999999999983373</v>
      </c>
      <c r="R33" s="19">
        <f t="shared" si="1"/>
        <v>-2.0000000000095497</v>
      </c>
      <c r="S33" s="27" t="str">
        <f t="shared" ref="S33:X48" si="11">IF(C33="","",((C33-C32)*1000)/($B33-$B32))</f>
        <v/>
      </c>
      <c r="T33" s="28" t="str">
        <f t="shared" si="11"/>
        <v/>
      </c>
      <c r="U33" s="28" t="str">
        <f t="shared" si="11"/>
        <v/>
      </c>
      <c r="V33" s="28">
        <f t="shared" si="11"/>
        <v>-2.272727272726013E-2</v>
      </c>
      <c r="W33" s="28">
        <f t="shared" si="11"/>
        <v>0</v>
      </c>
      <c r="X33" s="29">
        <f t="shared" si="11"/>
        <v>-2.272727272726013E-2</v>
      </c>
      <c r="Y33" s="24"/>
    </row>
    <row r="34" spans="2:25" ht="15" customHeight="1" x14ac:dyDescent="0.2">
      <c r="B34" s="31">
        <v>41913</v>
      </c>
      <c r="C34" s="25"/>
      <c r="D34" s="26"/>
      <c r="E34" s="26"/>
      <c r="F34" s="16">
        <v>13.968</v>
      </c>
      <c r="G34" s="16">
        <v>10.067</v>
      </c>
      <c r="H34" s="16">
        <v>10.845000000000001</v>
      </c>
      <c r="I34" s="17">
        <v>103.782</v>
      </c>
      <c r="J34" s="58">
        <v>943</v>
      </c>
      <c r="K34" s="18">
        <f>IF(ISBLANK(J34),"",(J34-$J$8))</f>
        <v>275</v>
      </c>
      <c r="L34" s="19" t="str">
        <f t="shared" si="8"/>
        <v/>
      </c>
      <c r="M34" s="19" t="str">
        <f t="shared" si="9"/>
        <v/>
      </c>
      <c r="N34" s="19" t="str">
        <f t="shared" si="10"/>
        <v/>
      </c>
      <c r="O34" s="19">
        <f t="shared" si="5"/>
        <v>-3.9999999999995595</v>
      </c>
      <c r="P34" s="19">
        <f t="shared" si="6"/>
        <v>-2.0000000000006679</v>
      </c>
      <c r="Q34" s="19">
        <f t="shared" si="7"/>
        <v>-2.9999999999983373</v>
      </c>
      <c r="R34" s="19">
        <f t="shared" si="1"/>
        <v>-2.0000000000095497</v>
      </c>
      <c r="S34" s="27" t="str">
        <f t="shared" si="11"/>
        <v/>
      </c>
      <c r="T34" s="28" t="str">
        <f t="shared" si="11"/>
        <v/>
      </c>
      <c r="U34" s="28" t="str">
        <f t="shared" si="11"/>
        <v/>
      </c>
      <c r="V34" s="28">
        <f t="shared" si="11"/>
        <v>0</v>
      </c>
      <c r="W34" s="28">
        <f t="shared" si="11"/>
        <v>0</v>
      </c>
      <c r="X34" s="29">
        <f t="shared" si="11"/>
        <v>0</v>
      </c>
      <c r="Y34" s="24"/>
    </row>
    <row r="35" spans="2:25" ht="15" customHeight="1" x14ac:dyDescent="0.2">
      <c r="B35" s="31">
        <v>42032</v>
      </c>
      <c r="C35" s="25"/>
      <c r="D35" s="26"/>
      <c r="E35" s="26"/>
      <c r="F35" s="16">
        <v>13.968999999999999</v>
      </c>
      <c r="G35" s="16">
        <v>10.067</v>
      </c>
      <c r="H35" s="16">
        <v>10.843999999999999</v>
      </c>
      <c r="I35" s="17">
        <v>103.782</v>
      </c>
      <c r="J35" s="58">
        <v>943</v>
      </c>
      <c r="K35" s="18">
        <f>IF(ISBLANK(J35),"",(J35-$J$8))</f>
        <v>275</v>
      </c>
      <c r="L35" s="19" t="str">
        <f t="shared" si="8"/>
        <v/>
      </c>
      <c r="M35" s="19" t="str">
        <f t="shared" si="9"/>
        <v/>
      </c>
      <c r="N35" s="19" t="str">
        <f t="shared" si="10"/>
        <v/>
      </c>
      <c r="O35" s="19">
        <f t="shared" si="5"/>
        <v>-3.0000000000001137</v>
      </c>
      <c r="P35" s="19">
        <f t="shared" si="6"/>
        <v>-2.0000000000006679</v>
      </c>
      <c r="Q35" s="19">
        <f t="shared" si="7"/>
        <v>-3.9999999999995595</v>
      </c>
      <c r="R35" s="19">
        <f t="shared" si="1"/>
        <v>-2.0000000000095497</v>
      </c>
      <c r="S35" s="27" t="str">
        <f t="shared" si="11"/>
        <v/>
      </c>
      <c r="T35" s="28" t="str">
        <f t="shared" si="11"/>
        <v/>
      </c>
      <c r="U35" s="28" t="str">
        <f t="shared" si="11"/>
        <v/>
      </c>
      <c r="V35" s="28">
        <f t="shared" si="11"/>
        <v>8.403361344533157E-3</v>
      </c>
      <c r="W35" s="28">
        <f t="shared" si="11"/>
        <v>0</v>
      </c>
      <c r="X35" s="29">
        <f t="shared" si="11"/>
        <v>-8.4033613445480843E-3</v>
      </c>
      <c r="Y35" s="24"/>
    </row>
    <row r="36" spans="2:25" ht="15" customHeight="1" x14ac:dyDescent="0.2">
      <c r="B36" s="31">
        <v>42121</v>
      </c>
      <c r="C36" s="25"/>
      <c r="D36" s="26"/>
      <c r="E36" s="26"/>
      <c r="F36" s="16">
        <v>13.968</v>
      </c>
      <c r="G36" s="16">
        <v>10.067</v>
      </c>
      <c r="H36" s="16">
        <v>10.845000000000001</v>
      </c>
      <c r="I36" s="17">
        <v>103.782</v>
      </c>
      <c r="J36" s="58">
        <v>943</v>
      </c>
      <c r="K36" s="18">
        <f>IF(ISBLANK(J36),"",(J36-$J$8))</f>
        <v>275</v>
      </c>
      <c r="L36" s="19" t="str">
        <f t="shared" si="8"/>
        <v/>
      </c>
      <c r="M36" s="19" t="str">
        <f t="shared" si="9"/>
        <v/>
      </c>
      <c r="N36" s="19" t="str">
        <f t="shared" si="10"/>
        <v/>
      </c>
      <c r="O36" s="19">
        <f t="shared" si="5"/>
        <v>-3.9999999999995595</v>
      </c>
      <c r="P36" s="19">
        <f t="shared" si="6"/>
        <v>-2.0000000000006679</v>
      </c>
      <c r="Q36" s="19">
        <f t="shared" si="7"/>
        <v>-2.9999999999983373</v>
      </c>
      <c r="R36" s="19">
        <f t="shared" si="1"/>
        <v>-2.0000000000095497</v>
      </c>
      <c r="S36" s="27" t="str">
        <f t="shared" si="11"/>
        <v/>
      </c>
      <c r="T36" s="28" t="str">
        <f t="shared" si="11"/>
        <v/>
      </c>
      <c r="U36" s="28" t="str">
        <f t="shared" si="11"/>
        <v/>
      </c>
      <c r="V36" s="28">
        <f t="shared" si="11"/>
        <v>-1.1235955056173547E-2</v>
      </c>
      <c r="W36" s="28">
        <f t="shared" si="11"/>
        <v>0</v>
      </c>
      <c r="X36" s="29">
        <f t="shared" si="11"/>
        <v>1.1235955056193507E-2</v>
      </c>
      <c r="Y36" s="24"/>
    </row>
    <row r="37" spans="2:25" ht="15" customHeight="1" x14ac:dyDescent="0.2">
      <c r="B37" s="31">
        <v>42222</v>
      </c>
      <c r="C37" s="25"/>
      <c r="D37" s="26"/>
      <c r="E37" s="26"/>
      <c r="F37" s="16">
        <v>13.97</v>
      </c>
      <c r="G37" s="16">
        <v>10.067</v>
      </c>
      <c r="H37" s="16">
        <v>10.845000000000001</v>
      </c>
      <c r="I37" s="17">
        <v>103.78100000000001</v>
      </c>
      <c r="J37" s="58">
        <v>1278</v>
      </c>
      <c r="K37" s="18">
        <f>IF(ISBLANK(J37),"",(J37-$J$8))</f>
        <v>610</v>
      </c>
      <c r="L37" s="19" t="str">
        <f t="shared" si="8"/>
        <v/>
      </c>
      <c r="M37" s="19" t="str">
        <f t="shared" si="9"/>
        <v/>
      </c>
      <c r="N37" s="19" t="str">
        <f t="shared" si="10"/>
        <v/>
      </c>
      <c r="O37" s="19">
        <f t="shared" si="5"/>
        <v>-1.9999999999988916</v>
      </c>
      <c r="P37" s="19">
        <f t="shared" si="6"/>
        <v>-2.0000000000006679</v>
      </c>
      <c r="Q37" s="19">
        <f t="shared" si="7"/>
        <v>-2.9999999999983373</v>
      </c>
      <c r="R37" s="19">
        <f t="shared" si="1"/>
        <v>-3.0000000000001137</v>
      </c>
      <c r="S37" s="27" t="str">
        <f t="shared" si="11"/>
        <v/>
      </c>
      <c r="T37" s="28" t="str">
        <f t="shared" si="11"/>
        <v/>
      </c>
      <c r="U37" s="28" t="str">
        <f t="shared" si="11"/>
        <v/>
      </c>
      <c r="V37" s="28">
        <f t="shared" si="11"/>
        <v>1.9801980198026415E-2</v>
      </c>
      <c r="W37" s="28">
        <f t="shared" si="11"/>
        <v>0</v>
      </c>
      <c r="X37" s="29">
        <f t="shared" si="11"/>
        <v>0</v>
      </c>
      <c r="Y37" s="24"/>
    </row>
    <row r="38" spans="2:25" ht="15" customHeight="1" x14ac:dyDescent="0.2">
      <c r="B38" s="31">
        <v>42326</v>
      </c>
      <c r="C38" s="25"/>
      <c r="D38" s="26"/>
      <c r="E38" s="26"/>
      <c r="F38" s="16">
        <v>13.968999999999999</v>
      </c>
      <c r="G38" s="16">
        <v>10.066000000000001</v>
      </c>
      <c r="H38" s="16">
        <v>10.843999999999999</v>
      </c>
      <c r="I38" s="17">
        <v>103.78100000000001</v>
      </c>
      <c r="J38" s="32">
        <v>2248</v>
      </c>
      <c r="K38" s="18">
        <f t="shared" ref="K38:K40" si="12">IF(ISBLANK(J38),"",(J38-$J$8))</f>
        <v>1580</v>
      </c>
      <c r="L38" s="19" t="str">
        <f t="shared" si="8"/>
        <v/>
      </c>
      <c r="M38" s="19" t="str">
        <f t="shared" si="9"/>
        <v/>
      </c>
      <c r="N38" s="19" t="str">
        <f t="shared" si="10"/>
        <v/>
      </c>
      <c r="O38" s="19">
        <f t="shared" si="5"/>
        <v>-3.0000000000001137</v>
      </c>
      <c r="P38" s="19">
        <f t="shared" si="6"/>
        <v>-3.0000000000001137</v>
      </c>
      <c r="Q38" s="19">
        <f t="shared" si="7"/>
        <v>-3.9999999999995595</v>
      </c>
      <c r="R38" s="19">
        <f t="shared" si="1"/>
        <v>-3.0000000000001137</v>
      </c>
      <c r="S38" s="27" t="str">
        <f t="shared" si="11"/>
        <v/>
      </c>
      <c r="T38" s="28" t="str">
        <f t="shared" si="11"/>
        <v/>
      </c>
      <c r="U38" s="28" t="str">
        <f t="shared" si="11"/>
        <v/>
      </c>
      <c r="V38" s="28">
        <f t="shared" si="11"/>
        <v>-9.6153846153963669E-3</v>
      </c>
      <c r="W38" s="28">
        <f t="shared" si="11"/>
        <v>-9.6153846153792868E-3</v>
      </c>
      <c r="X38" s="29">
        <f t="shared" si="11"/>
        <v>-9.6153846153963669E-3</v>
      </c>
      <c r="Y38" s="24"/>
    </row>
    <row r="39" spans="2:25" ht="15" customHeight="1" x14ac:dyDescent="0.2">
      <c r="B39" s="31">
        <v>42416</v>
      </c>
      <c r="C39" s="25">
        <v>13.391999999999999</v>
      </c>
      <c r="D39" s="26">
        <v>7.8140000000000001</v>
      </c>
      <c r="E39" s="26">
        <v>8.9329999999999998</v>
      </c>
      <c r="F39" s="16">
        <v>13.968999999999999</v>
      </c>
      <c r="G39" s="16">
        <v>10.068</v>
      </c>
      <c r="H39" s="16">
        <v>10.843999999999999</v>
      </c>
      <c r="I39" s="17">
        <v>103.782</v>
      </c>
      <c r="J39" s="58">
        <v>2519</v>
      </c>
      <c r="K39" s="18">
        <f t="shared" si="12"/>
        <v>1851</v>
      </c>
      <c r="L39" s="19"/>
      <c r="M39" s="19"/>
      <c r="N39" s="19"/>
      <c r="O39" s="19">
        <f t="shared" si="5"/>
        <v>-3.0000000000001137</v>
      </c>
      <c r="P39" s="19">
        <f t="shared" si="6"/>
        <v>-1.0000000000012221</v>
      </c>
      <c r="Q39" s="19">
        <f t="shared" si="7"/>
        <v>-3.9999999999995595</v>
      </c>
      <c r="R39" s="19">
        <f t="shared" si="1"/>
        <v>-2.0000000000095497</v>
      </c>
      <c r="S39" s="27"/>
      <c r="T39" s="28"/>
      <c r="U39" s="28"/>
      <c r="V39" s="28">
        <f t="shared" si="11"/>
        <v>0</v>
      </c>
      <c r="W39" s="28">
        <f t="shared" si="11"/>
        <v>2.2222222222209907E-2</v>
      </c>
      <c r="X39" s="29">
        <f t="shared" si="11"/>
        <v>0</v>
      </c>
      <c r="Y39" s="24"/>
    </row>
    <row r="40" spans="2:25" ht="15" customHeight="1" x14ac:dyDescent="0.2">
      <c r="B40" s="31">
        <v>42530</v>
      </c>
      <c r="C40" s="25"/>
      <c r="D40" s="26"/>
      <c r="E40" s="26"/>
      <c r="F40" s="16">
        <v>13.968999999999999</v>
      </c>
      <c r="G40" s="16">
        <v>10.066000000000001</v>
      </c>
      <c r="H40" s="16">
        <v>10.843999999999999</v>
      </c>
      <c r="I40" s="17">
        <v>103.78100000000001</v>
      </c>
      <c r="J40" s="58">
        <v>2608</v>
      </c>
      <c r="K40" s="18">
        <f t="shared" si="12"/>
        <v>1940</v>
      </c>
      <c r="L40" s="19" t="str">
        <f t="shared" si="8"/>
        <v/>
      </c>
      <c r="M40" s="19" t="str">
        <f t="shared" si="9"/>
        <v/>
      </c>
      <c r="N40" s="19" t="str">
        <f t="shared" si="10"/>
        <v/>
      </c>
      <c r="O40" s="19">
        <f t="shared" si="5"/>
        <v>-3.0000000000001137</v>
      </c>
      <c r="P40" s="19">
        <f t="shared" si="6"/>
        <v>-3.0000000000001137</v>
      </c>
      <c r="Q40" s="19">
        <f t="shared" si="7"/>
        <v>-3.9999999999995595</v>
      </c>
      <c r="R40" s="19">
        <f t="shared" si="1"/>
        <v>-3.0000000000001137</v>
      </c>
      <c r="S40" s="27" t="str">
        <f t="shared" si="11"/>
        <v/>
      </c>
      <c r="T40" s="28" t="str">
        <f t="shared" si="11"/>
        <v/>
      </c>
      <c r="U40" s="28" t="str">
        <f t="shared" si="11"/>
        <v/>
      </c>
      <c r="V40" s="28">
        <f t="shared" si="11"/>
        <v>0</v>
      </c>
      <c r="W40" s="28">
        <f t="shared" si="11"/>
        <v>-1.7543859649113085E-2</v>
      </c>
      <c r="X40" s="29">
        <f t="shared" si="11"/>
        <v>0</v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59"/>
      <c r="L41" s="19" t="str">
        <f t="shared" si="8"/>
        <v/>
      </c>
      <c r="M41" s="19" t="str">
        <f t="shared" si="9"/>
        <v/>
      </c>
      <c r="N41" s="19" t="str">
        <f t="shared" si="10"/>
        <v/>
      </c>
      <c r="O41" s="19" t="str">
        <f t="shared" si="5"/>
        <v/>
      </c>
      <c r="P41" s="19" t="str">
        <f t="shared" si="6"/>
        <v/>
      </c>
      <c r="Q41" s="19" t="str">
        <f t="shared" si="7"/>
        <v/>
      </c>
      <c r="R41" s="19" t="str">
        <f t="shared" si="1"/>
        <v/>
      </c>
      <c r="S41" s="27" t="str">
        <f t="shared" si="11"/>
        <v/>
      </c>
      <c r="T41" s="28" t="str">
        <f t="shared" si="11"/>
        <v/>
      </c>
      <c r="U41" s="28" t="str">
        <f t="shared" si="11"/>
        <v/>
      </c>
      <c r="V41" s="28" t="str">
        <f t="shared" si="11"/>
        <v/>
      </c>
      <c r="W41" s="28" t="str">
        <f t="shared" si="11"/>
        <v/>
      </c>
      <c r="X41" s="29" t="str">
        <f t="shared" si="11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59"/>
      <c r="L42" s="19" t="str">
        <f t="shared" si="8"/>
        <v/>
      </c>
      <c r="M42" s="19" t="str">
        <f t="shared" si="9"/>
        <v/>
      </c>
      <c r="N42" s="19" t="str">
        <f t="shared" si="10"/>
        <v/>
      </c>
      <c r="O42" s="19" t="str">
        <f t="shared" si="5"/>
        <v/>
      </c>
      <c r="P42" s="19" t="str">
        <f t="shared" si="6"/>
        <v/>
      </c>
      <c r="Q42" s="19" t="str">
        <f t="shared" si="7"/>
        <v/>
      </c>
      <c r="R42" s="19" t="str">
        <f t="shared" si="1"/>
        <v/>
      </c>
      <c r="S42" s="27" t="str">
        <f t="shared" si="11"/>
        <v/>
      </c>
      <c r="T42" s="28" t="str">
        <f t="shared" si="11"/>
        <v/>
      </c>
      <c r="U42" s="28" t="str">
        <f t="shared" si="11"/>
        <v/>
      </c>
      <c r="V42" s="28" t="str">
        <f t="shared" si="11"/>
        <v/>
      </c>
      <c r="W42" s="28" t="str">
        <f t="shared" si="11"/>
        <v/>
      </c>
      <c r="X42" s="29" t="str">
        <f t="shared" si="11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59"/>
      <c r="L43" s="19" t="str">
        <f t="shared" si="8"/>
        <v/>
      </c>
      <c r="M43" s="19" t="str">
        <f t="shared" si="9"/>
        <v/>
      </c>
      <c r="N43" s="19" t="str">
        <f t="shared" si="10"/>
        <v/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 t="str">
        <f t="shared" si="1"/>
        <v/>
      </c>
      <c r="S43" s="27" t="str">
        <f t="shared" si="11"/>
        <v/>
      </c>
      <c r="T43" s="28" t="str">
        <f t="shared" si="11"/>
        <v/>
      </c>
      <c r="U43" s="28" t="str">
        <f t="shared" si="11"/>
        <v/>
      </c>
      <c r="V43" s="28" t="str">
        <f t="shared" si="11"/>
        <v/>
      </c>
      <c r="W43" s="28" t="str">
        <f t="shared" si="11"/>
        <v/>
      </c>
      <c r="X43" s="29" t="str">
        <f t="shared" si="11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8"/>
        <v/>
      </c>
      <c r="M44" s="19" t="str">
        <f t="shared" si="9"/>
        <v/>
      </c>
      <c r="N44" s="19" t="str">
        <f t="shared" si="10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1"/>
        <v/>
      </c>
      <c r="S44" s="27" t="str">
        <f t="shared" si="11"/>
        <v/>
      </c>
      <c r="T44" s="28" t="str">
        <f t="shared" si="11"/>
        <v/>
      </c>
      <c r="U44" s="28" t="str">
        <f t="shared" si="11"/>
        <v/>
      </c>
      <c r="V44" s="28" t="str">
        <f t="shared" si="11"/>
        <v/>
      </c>
      <c r="W44" s="28" t="str">
        <f t="shared" si="11"/>
        <v/>
      </c>
      <c r="X44" s="29" t="str">
        <f t="shared" si="11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8"/>
        <v/>
      </c>
      <c r="M45" s="19" t="str">
        <f t="shared" si="9"/>
        <v/>
      </c>
      <c r="N45" s="19" t="str">
        <f t="shared" si="10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1"/>
        <v/>
      </c>
      <c r="S45" s="27" t="str">
        <f t="shared" si="11"/>
        <v/>
      </c>
      <c r="T45" s="28" t="str">
        <f t="shared" si="11"/>
        <v/>
      </c>
      <c r="U45" s="28" t="str">
        <f t="shared" si="11"/>
        <v/>
      </c>
      <c r="V45" s="28" t="str">
        <f t="shared" si="11"/>
        <v/>
      </c>
      <c r="W45" s="28" t="str">
        <f t="shared" si="11"/>
        <v/>
      </c>
      <c r="X45" s="29" t="str">
        <f t="shared" si="11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8"/>
        <v/>
      </c>
      <c r="M46" s="19" t="str">
        <f t="shared" si="9"/>
        <v/>
      </c>
      <c r="N46" s="19" t="str">
        <f t="shared" si="10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1"/>
        <v/>
      </c>
      <c r="S46" s="27" t="str">
        <f t="shared" si="11"/>
        <v/>
      </c>
      <c r="T46" s="28" t="str">
        <f t="shared" si="11"/>
        <v/>
      </c>
      <c r="U46" s="28" t="str">
        <f t="shared" si="11"/>
        <v/>
      </c>
      <c r="V46" s="28" t="str">
        <f t="shared" si="11"/>
        <v/>
      </c>
      <c r="W46" s="28" t="str">
        <f t="shared" si="11"/>
        <v/>
      </c>
      <c r="X46" s="29" t="str">
        <f t="shared" si="11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8"/>
        <v/>
      </c>
      <c r="M47" s="19" t="str">
        <f t="shared" si="9"/>
        <v/>
      </c>
      <c r="N47" s="19" t="str">
        <f t="shared" si="10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1"/>
        <v/>
      </c>
      <c r="S47" s="27" t="str">
        <f t="shared" si="11"/>
        <v/>
      </c>
      <c r="T47" s="28" t="str">
        <f t="shared" si="11"/>
        <v/>
      </c>
      <c r="U47" s="28" t="str">
        <f t="shared" si="11"/>
        <v/>
      </c>
      <c r="V47" s="28" t="str">
        <f t="shared" si="11"/>
        <v/>
      </c>
      <c r="W47" s="28" t="str">
        <f t="shared" si="11"/>
        <v/>
      </c>
      <c r="X47" s="29" t="str">
        <f t="shared" si="11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8"/>
        <v/>
      </c>
      <c r="M48" s="19" t="str">
        <f t="shared" si="9"/>
        <v/>
      </c>
      <c r="N48" s="19" t="str">
        <f t="shared" si="10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1"/>
        <v/>
      </c>
      <c r="S48" s="27" t="str">
        <f t="shared" si="11"/>
        <v/>
      </c>
      <c r="T48" s="28" t="str">
        <f t="shared" si="11"/>
        <v/>
      </c>
      <c r="U48" s="28" t="str">
        <f t="shared" si="11"/>
        <v/>
      </c>
      <c r="V48" s="28" t="str">
        <f t="shared" si="11"/>
        <v/>
      </c>
      <c r="W48" s="28" t="str">
        <f t="shared" si="11"/>
        <v/>
      </c>
      <c r="X48" s="29" t="str">
        <f t="shared" si="11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8"/>
        <v/>
      </c>
      <c r="M49" s="19" t="str">
        <f t="shared" si="9"/>
        <v/>
      </c>
      <c r="N49" s="19" t="str">
        <f t="shared" si="10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1"/>
        <v/>
      </c>
      <c r="S49" s="27" t="str">
        <f t="shared" ref="S49:X64" si="13">IF(C49="","",((C49-C48)*1000)/($B49-$B48))</f>
        <v/>
      </c>
      <c r="T49" s="28" t="str">
        <f t="shared" si="13"/>
        <v/>
      </c>
      <c r="U49" s="28" t="str">
        <f t="shared" si="13"/>
        <v/>
      </c>
      <c r="V49" s="28" t="str">
        <f t="shared" si="13"/>
        <v/>
      </c>
      <c r="W49" s="28" t="str">
        <f t="shared" si="13"/>
        <v/>
      </c>
      <c r="X49" s="29" t="str">
        <f t="shared" si="13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8"/>
        <v/>
      </c>
      <c r="M50" s="19" t="str">
        <f t="shared" si="9"/>
        <v/>
      </c>
      <c r="N50" s="19" t="str">
        <f t="shared" si="10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1"/>
        <v/>
      </c>
      <c r="S50" s="27" t="str">
        <f t="shared" si="13"/>
        <v/>
      </c>
      <c r="T50" s="28" t="str">
        <f t="shared" si="13"/>
        <v/>
      </c>
      <c r="U50" s="28" t="str">
        <f t="shared" si="13"/>
        <v/>
      </c>
      <c r="V50" s="28" t="str">
        <f t="shared" si="13"/>
        <v/>
      </c>
      <c r="W50" s="28" t="str">
        <f t="shared" si="13"/>
        <v/>
      </c>
      <c r="X50" s="29" t="str">
        <f t="shared" si="13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8"/>
        <v/>
      </c>
      <c r="M51" s="19" t="str">
        <f t="shared" si="9"/>
        <v/>
      </c>
      <c r="N51" s="19" t="str">
        <f t="shared" si="10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1"/>
        <v/>
      </c>
      <c r="S51" s="27" t="str">
        <f t="shared" si="13"/>
        <v/>
      </c>
      <c r="T51" s="28" t="str">
        <f t="shared" si="13"/>
        <v/>
      </c>
      <c r="U51" s="28" t="str">
        <f t="shared" si="13"/>
        <v/>
      </c>
      <c r="V51" s="28" t="str">
        <f t="shared" si="13"/>
        <v/>
      </c>
      <c r="W51" s="28" t="str">
        <f t="shared" si="13"/>
        <v/>
      </c>
      <c r="X51" s="29" t="str">
        <f t="shared" si="13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8"/>
        <v/>
      </c>
      <c r="M52" s="19" t="str">
        <f t="shared" si="9"/>
        <v/>
      </c>
      <c r="N52" s="19" t="str">
        <f t="shared" si="10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1"/>
        <v/>
      </c>
      <c r="S52" s="27" t="str">
        <f t="shared" si="13"/>
        <v/>
      </c>
      <c r="T52" s="28" t="str">
        <f t="shared" si="13"/>
        <v/>
      </c>
      <c r="U52" s="28" t="str">
        <f t="shared" si="13"/>
        <v/>
      </c>
      <c r="V52" s="28" t="str">
        <f t="shared" si="13"/>
        <v/>
      </c>
      <c r="W52" s="28" t="str">
        <f t="shared" si="13"/>
        <v/>
      </c>
      <c r="X52" s="29" t="str">
        <f t="shared" si="13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8"/>
        <v/>
      </c>
      <c r="M53" s="19" t="str">
        <f t="shared" si="9"/>
        <v/>
      </c>
      <c r="N53" s="19" t="str">
        <f t="shared" si="10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1"/>
        <v/>
      </c>
      <c r="S53" s="27" t="str">
        <f t="shared" si="13"/>
        <v/>
      </c>
      <c r="T53" s="28" t="str">
        <f t="shared" si="13"/>
        <v/>
      </c>
      <c r="U53" s="28" t="str">
        <f t="shared" si="13"/>
        <v/>
      </c>
      <c r="V53" s="28" t="str">
        <f t="shared" si="13"/>
        <v/>
      </c>
      <c r="W53" s="28" t="str">
        <f t="shared" si="13"/>
        <v/>
      </c>
      <c r="X53" s="29" t="str">
        <f t="shared" si="13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8"/>
        <v/>
      </c>
      <c r="M54" s="19" t="str">
        <f t="shared" si="9"/>
        <v/>
      </c>
      <c r="N54" s="19" t="str">
        <f t="shared" si="10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1"/>
        <v/>
      </c>
      <c r="S54" s="27" t="str">
        <f t="shared" si="13"/>
        <v/>
      </c>
      <c r="T54" s="28" t="str">
        <f t="shared" si="13"/>
        <v/>
      </c>
      <c r="U54" s="28" t="str">
        <f t="shared" si="13"/>
        <v/>
      </c>
      <c r="V54" s="28" t="str">
        <f t="shared" si="13"/>
        <v/>
      </c>
      <c r="W54" s="28" t="str">
        <f t="shared" si="13"/>
        <v/>
      </c>
      <c r="X54" s="29" t="str">
        <f t="shared" si="13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8"/>
        <v/>
      </c>
      <c r="M55" s="19" t="str">
        <f t="shared" si="9"/>
        <v/>
      </c>
      <c r="N55" s="19" t="str">
        <f t="shared" si="10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1"/>
        <v/>
      </c>
      <c r="S55" s="27" t="str">
        <f t="shared" si="13"/>
        <v/>
      </c>
      <c r="T55" s="28" t="str">
        <f t="shared" si="13"/>
        <v/>
      </c>
      <c r="U55" s="28" t="str">
        <f t="shared" si="13"/>
        <v/>
      </c>
      <c r="V55" s="28" t="str">
        <f t="shared" si="13"/>
        <v/>
      </c>
      <c r="W55" s="28" t="str">
        <f t="shared" si="13"/>
        <v/>
      </c>
      <c r="X55" s="29" t="str">
        <f t="shared" si="13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8"/>
        <v/>
      </c>
      <c r="M56" s="19" t="str">
        <f t="shared" si="9"/>
        <v/>
      </c>
      <c r="N56" s="19" t="str">
        <f t="shared" si="10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1"/>
        <v/>
      </c>
      <c r="S56" s="27" t="str">
        <f t="shared" si="13"/>
        <v/>
      </c>
      <c r="T56" s="28" t="str">
        <f t="shared" si="13"/>
        <v/>
      </c>
      <c r="U56" s="28" t="str">
        <f t="shared" si="13"/>
        <v/>
      </c>
      <c r="V56" s="28" t="str">
        <f t="shared" si="13"/>
        <v/>
      </c>
      <c r="W56" s="28" t="str">
        <f t="shared" si="13"/>
        <v/>
      </c>
      <c r="X56" s="29" t="str">
        <f t="shared" si="13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8"/>
        <v/>
      </c>
      <c r="M57" s="19" t="str">
        <f t="shared" si="9"/>
        <v/>
      </c>
      <c r="N57" s="19" t="str">
        <f t="shared" si="10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1"/>
        <v/>
      </c>
      <c r="S57" s="27" t="str">
        <f t="shared" si="13"/>
        <v/>
      </c>
      <c r="T57" s="28" t="str">
        <f t="shared" si="13"/>
        <v/>
      </c>
      <c r="U57" s="28" t="str">
        <f t="shared" si="13"/>
        <v/>
      </c>
      <c r="V57" s="28" t="str">
        <f t="shared" si="13"/>
        <v/>
      </c>
      <c r="W57" s="28" t="str">
        <f t="shared" si="13"/>
        <v/>
      </c>
      <c r="X57" s="29" t="str">
        <f t="shared" si="13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8"/>
        <v/>
      </c>
      <c r="M58" s="19" t="str">
        <f t="shared" si="9"/>
        <v/>
      </c>
      <c r="N58" s="19" t="str">
        <f t="shared" si="10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1"/>
        <v/>
      </c>
      <c r="S58" s="27" t="str">
        <f t="shared" si="13"/>
        <v/>
      </c>
      <c r="T58" s="28" t="str">
        <f t="shared" si="13"/>
        <v/>
      </c>
      <c r="U58" s="28" t="str">
        <f t="shared" si="13"/>
        <v/>
      </c>
      <c r="V58" s="28" t="str">
        <f t="shared" si="13"/>
        <v/>
      </c>
      <c r="W58" s="28" t="str">
        <f t="shared" si="13"/>
        <v/>
      </c>
      <c r="X58" s="29" t="str">
        <f t="shared" si="13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8"/>
        <v/>
      </c>
      <c r="M59" s="19" t="str">
        <f t="shared" si="9"/>
        <v/>
      </c>
      <c r="N59" s="19" t="str">
        <f t="shared" si="10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1"/>
        <v/>
      </c>
      <c r="S59" s="27" t="str">
        <f t="shared" si="13"/>
        <v/>
      </c>
      <c r="T59" s="28" t="str">
        <f t="shared" si="13"/>
        <v/>
      </c>
      <c r="U59" s="28" t="str">
        <f t="shared" si="13"/>
        <v/>
      </c>
      <c r="V59" s="28" t="str">
        <f t="shared" si="13"/>
        <v/>
      </c>
      <c r="W59" s="28" t="str">
        <f t="shared" si="13"/>
        <v/>
      </c>
      <c r="X59" s="29" t="str">
        <f t="shared" si="13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8"/>
        <v/>
      </c>
      <c r="M60" s="19" t="str">
        <f t="shared" si="9"/>
        <v/>
      </c>
      <c r="N60" s="19" t="str">
        <f t="shared" si="10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1"/>
        <v/>
      </c>
      <c r="S60" s="27" t="str">
        <f t="shared" si="13"/>
        <v/>
      </c>
      <c r="T60" s="28" t="str">
        <f t="shared" si="13"/>
        <v/>
      </c>
      <c r="U60" s="28" t="str">
        <f t="shared" si="13"/>
        <v/>
      </c>
      <c r="V60" s="28" t="str">
        <f t="shared" si="13"/>
        <v/>
      </c>
      <c r="W60" s="28" t="str">
        <f t="shared" si="13"/>
        <v/>
      </c>
      <c r="X60" s="29" t="str">
        <f t="shared" si="13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8"/>
        <v/>
      </c>
      <c r="M61" s="19" t="str">
        <f t="shared" si="9"/>
        <v/>
      </c>
      <c r="N61" s="19" t="str">
        <f t="shared" si="10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1"/>
        <v/>
      </c>
      <c r="S61" s="27" t="str">
        <f t="shared" si="13"/>
        <v/>
      </c>
      <c r="T61" s="28" t="str">
        <f t="shared" si="13"/>
        <v/>
      </c>
      <c r="U61" s="28" t="str">
        <f t="shared" si="13"/>
        <v/>
      </c>
      <c r="V61" s="28" t="str">
        <f t="shared" si="13"/>
        <v/>
      </c>
      <c r="W61" s="28" t="str">
        <f t="shared" si="13"/>
        <v/>
      </c>
      <c r="X61" s="29" t="str">
        <f t="shared" si="13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8"/>
        <v/>
      </c>
      <c r="M62" s="19" t="str">
        <f t="shared" si="9"/>
        <v/>
      </c>
      <c r="N62" s="19" t="str">
        <f t="shared" si="10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si="1"/>
        <v/>
      </c>
      <c r="S62" s="27" t="str">
        <f t="shared" si="13"/>
        <v/>
      </c>
      <c r="T62" s="28" t="str">
        <f t="shared" si="13"/>
        <v/>
      </c>
      <c r="U62" s="28" t="str">
        <f t="shared" si="13"/>
        <v/>
      </c>
      <c r="V62" s="28" t="str">
        <f t="shared" si="13"/>
        <v/>
      </c>
      <c r="W62" s="28" t="str">
        <f t="shared" si="13"/>
        <v/>
      </c>
      <c r="X62" s="29" t="str">
        <f t="shared" si="13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8"/>
        <v/>
      </c>
      <c r="M63" s="19" t="str">
        <f t="shared" si="9"/>
        <v/>
      </c>
      <c r="N63" s="19" t="str">
        <f t="shared" si="10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1"/>
        <v/>
      </c>
      <c r="S63" s="27" t="str">
        <f t="shared" si="13"/>
        <v/>
      </c>
      <c r="T63" s="28" t="str">
        <f t="shared" si="13"/>
        <v/>
      </c>
      <c r="U63" s="28" t="str">
        <f t="shared" si="13"/>
        <v/>
      </c>
      <c r="V63" s="28" t="str">
        <f t="shared" si="13"/>
        <v/>
      </c>
      <c r="W63" s="28" t="str">
        <f t="shared" si="13"/>
        <v/>
      </c>
      <c r="X63" s="29" t="str">
        <f t="shared" si="13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8"/>
        <v/>
      </c>
      <c r="M64" s="19" t="str">
        <f t="shared" si="9"/>
        <v/>
      </c>
      <c r="N64" s="19" t="str">
        <f t="shared" si="10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1"/>
        <v/>
      </c>
      <c r="S64" s="27" t="str">
        <f t="shared" si="13"/>
        <v/>
      </c>
      <c r="T64" s="28" t="str">
        <f t="shared" si="13"/>
        <v/>
      </c>
      <c r="U64" s="28" t="str">
        <f t="shared" si="13"/>
        <v/>
      </c>
      <c r="V64" s="28" t="str">
        <f t="shared" si="13"/>
        <v/>
      </c>
      <c r="W64" s="28" t="str">
        <f t="shared" si="13"/>
        <v/>
      </c>
      <c r="X64" s="29" t="str">
        <f t="shared" si="13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8"/>
        <v/>
      </c>
      <c r="M65" s="19" t="str">
        <f t="shared" si="9"/>
        <v/>
      </c>
      <c r="N65" s="19" t="str">
        <f t="shared" si="10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1"/>
        <v/>
      </c>
      <c r="S65" s="27" t="str">
        <f t="shared" ref="S65:X80" si="14">IF(C65="","",((C65-C64)*1000)/($B65-$B64))</f>
        <v/>
      </c>
      <c r="T65" s="28" t="str">
        <f t="shared" si="14"/>
        <v/>
      </c>
      <c r="U65" s="28" t="str">
        <f t="shared" si="14"/>
        <v/>
      </c>
      <c r="V65" s="28" t="str">
        <f t="shared" si="14"/>
        <v/>
      </c>
      <c r="W65" s="28" t="str">
        <f t="shared" si="14"/>
        <v/>
      </c>
      <c r="X65" s="29" t="str">
        <f t="shared" si="14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8"/>
        <v/>
      </c>
      <c r="M66" s="19" t="str">
        <f t="shared" si="9"/>
        <v/>
      </c>
      <c r="N66" s="19" t="str">
        <f t="shared" si="10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1"/>
        <v/>
      </c>
      <c r="S66" s="27" t="str">
        <f t="shared" si="14"/>
        <v/>
      </c>
      <c r="T66" s="28" t="str">
        <f t="shared" si="14"/>
        <v/>
      </c>
      <c r="U66" s="28" t="str">
        <f t="shared" si="14"/>
        <v/>
      </c>
      <c r="V66" s="28" t="str">
        <f t="shared" si="14"/>
        <v/>
      </c>
      <c r="W66" s="28" t="str">
        <f t="shared" si="14"/>
        <v/>
      </c>
      <c r="X66" s="29" t="str">
        <f t="shared" si="14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8"/>
        <v/>
      </c>
      <c r="M67" s="19" t="str">
        <f t="shared" si="9"/>
        <v/>
      </c>
      <c r="N67" s="19" t="str">
        <f t="shared" si="10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1"/>
        <v/>
      </c>
      <c r="S67" s="27" t="str">
        <f t="shared" si="14"/>
        <v/>
      </c>
      <c r="T67" s="28" t="str">
        <f t="shared" si="14"/>
        <v/>
      </c>
      <c r="U67" s="28" t="str">
        <f t="shared" si="14"/>
        <v/>
      </c>
      <c r="V67" s="28" t="str">
        <f t="shared" si="14"/>
        <v/>
      </c>
      <c r="W67" s="28" t="str">
        <f t="shared" si="14"/>
        <v/>
      </c>
      <c r="X67" s="29" t="str">
        <f t="shared" si="14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8"/>
        <v/>
      </c>
      <c r="M68" s="19" t="str">
        <f t="shared" si="9"/>
        <v/>
      </c>
      <c r="N68" s="19" t="str">
        <f t="shared" si="10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1"/>
        <v/>
      </c>
      <c r="S68" s="27" t="str">
        <f t="shared" si="14"/>
        <v/>
      </c>
      <c r="T68" s="28" t="str">
        <f t="shared" si="14"/>
        <v/>
      </c>
      <c r="U68" s="28" t="str">
        <f t="shared" si="14"/>
        <v/>
      </c>
      <c r="V68" s="28" t="str">
        <f t="shared" si="14"/>
        <v/>
      </c>
      <c r="W68" s="28" t="str">
        <f t="shared" si="14"/>
        <v/>
      </c>
      <c r="X68" s="29" t="str">
        <f t="shared" si="14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8"/>
        <v/>
      </c>
      <c r="M69" s="19" t="str">
        <f t="shared" si="9"/>
        <v/>
      </c>
      <c r="N69" s="19" t="str">
        <f t="shared" si="10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1"/>
        <v/>
      </c>
      <c r="S69" s="27" t="str">
        <f t="shared" si="14"/>
        <v/>
      </c>
      <c r="T69" s="28" t="str">
        <f t="shared" si="14"/>
        <v/>
      </c>
      <c r="U69" s="28" t="str">
        <f t="shared" si="14"/>
        <v/>
      </c>
      <c r="V69" s="28" t="str">
        <f t="shared" si="14"/>
        <v/>
      </c>
      <c r="W69" s="28" t="str">
        <f t="shared" si="14"/>
        <v/>
      </c>
      <c r="X69" s="29" t="str">
        <f t="shared" si="14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8"/>
        <v/>
      </c>
      <c r="M70" s="19" t="str">
        <f t="shared" si="9"/>
        <v/>
      </c>
      <c r="N70" s="19" t="str">
        <f t="shared" si="10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1"/>
        <v/>
      </c>
      <c r="S70" s="27" t="str">
        <f t="shared" si="14"/>
        <v/>
      </c>
      <c r="T70" s="28" t="str">
        <f t="shared" si="14"/>
        <v/>
      </c>
      <c r="U70" s="28" t="str">
        <f t="shared" si="14"/>
        <v/>
      </c>
      <c r="V70" s="28" t="str">
        <f t="shared" si="14"/>
        <v/>
      </c>
      <c r="W70" s="28" t="str">
        <f t="shared" si="14"/>
        <v/>
      </c>
      <c r="X70" s="29" t="str">
        <f t="shared" si="14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8"/>
        <v/>
      </c>
      <c r="M71" s="19" t="str">
        <f t="shared" si="9"/>
        <v/>
      </c>
      <c r="N71" s="19" t="str">
        <f t="shared" si="10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1"/>
        <v/>
      </c>
      <c r="S71" s="27" t="str">
        <f t="shared" si="14"/>
        <v/>
      </c>
      <c r="T71" s="28" t="str">
        <f t="shared" si="14"/>
        <v/>
      </c>
      <c r="U71" s="28" t="str">
        <f t="shared" si="14"/>
        <v/>
      </c>
      <c r="V71" s="28" t="str">
        <f t="shared" si="14"/>
        <v/>
      </c>
      <c r="W71" s="28" t="str">
        <f t="shared" si="14"/>
        <v/>
      </c>
      <c r="X71" s="29" t="str">
        <f t="shared" si="14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8"/>
        <v/>
      </c>
      <c r="M72" s="19" t="str">
        <f t="shared" si="9"/>
        <v/>
      </c>
      <c r="N72" s="19" t="str">
        <f t="shared" si="10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1"/>
        <v/>
      </c>
      <c r="S72" s="27" t="str">
        <f t="shared" si="14"/>
        <v/>
      </c>
      <c r="T72" s="28" t="str">
        <f t="shared" si="14"/>
        <v/>
      </c>
      <c r="U72" s="28" t="str">
        <f t="shared" si="14"/>
        <v/>
      </c>
      <c r="V72" s="28" t="str">
        <f t="shared" si="14"/>
        <v/>
      </c>
      <c r="W72" s="28" t="str">
        <f t="shared" si="14"/>
        <v/>
      </c>
      <c r="X72" s="29" t="str">
        <f t="shared" si="14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8"/>
        <v/>
      </c>
      <c r="M73" s="19" t="str">
        <f t="shared" si="9"/>
        <v/>
      </c>
      <c r="N73" s="19" t="str">
        <f t="shared" si="10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1"/>
        <v/>
      </c>
      <c r="S73" s="27" t="str">
        <f t="shared" si="14"/>
        <v/>
      </c>
      <c r="T73" s="28" t="str">
        <f t="shared" si="14"/>
        <v/>
      </c>
      <c r="U73" s="28" t="str">
        <f t="shared" si="14"/>
        <v/>
      </c>
      <c r="V73" s="28" t="str">
        <f t="shared" si="14"/>
        <v/>
      </c>
      <c r="W73" s="28" t="str">
        <f t="shared" si="14"/>
        <v/>
      </c>
      <c r="X73" s="29" t="str">
        <f t="shared" si="14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8"/>
        <v/>
      </c>
      <c r="M74" s="19" t="str">
        <f t="shared" si="9"/>
        <v/>
      </c>
      <c r="N74" s="19" t="str">
        <f t="shared" si="10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1"/>
        <v/>
      </c>
      <c r="S74" s="27" t="str">
        <f t="shared" si="14"/>
        <v/>
      </c>
      <c r="T74" s="28" t="str">
        <f t="shared" si="14"/>
        <v/>
      </c>
      <c r="U74" s="28" t="str">
        <f t="shared" si="14"/>
        <v/>
      </c>
      <c r="V74" s="28" t="str">
        <f t="shared" si="14"/>
        <v/>
      </c>
      <c r="W74" s="28" t="str">
        <f t="shared" si="14"/>
        <v/>
      </c>
      <c r="X74" s="29" t="str">
        <f t="shared" si="14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8"/>
        <v/>
      </c>
      <c r="M75" s="19" t="str">
        <f t="shared" si="9"/>
        <v/>
      </c>
      <c r="N75" s="19" t="str">
        <f t="shared" si="10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1"/>
        <v/>
      </c>
      <c r="S75" s="27" t="str">
        <f t="shared" si="14"/>
        <v/>
      </c>
      <c r="T75" s="28" t="str">
        <f t="shared" si="14"/>
        <v/>
      </c>
      <c r="U75" s="28" t="str">
        <f t="shared" si="14"/>
        <v/>
      </c>
      <c r="V75" s="28" t="str">
        <f t="shared" si="14"/>
        <v/>
      </c>
      <c r="W75" s="28" t="str">
        <f t="shared" si="14"/>
        <v/>
      </c>
      <c r="X75" s="29" t="str">
        <f t="shared" si="14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8"/>
        <v/>
      </c>
      <c r="M76" s="19" t="str">
        <f t="shared" si="9"/>
        <v/>
      </c>
      <c r="N76" s="19" t="str">
        <f t="shared" si="10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1"/>
        <v/>
      </c>
      <c r="S76" s="27" t="str">
        <f t="shared" si="14"/>
        <v/>
      </c>
      <c r="T76" s="28" t="str">
        <f t="shared" si="14"/>
        <v/>
      </c>
      <c r="U76" s="28" t="str">
        <f t="shared" si="14"/>
        <v/>
      </c>
      <c r="V76" s="28" t="str">
        <f t="shared" si="14"/>
        <v/>
      </c>
      <c r="W76" s="28" t="str">
        <f t="shared" si="14"/>
        <v/>
      </c>
      <c r="X76" s="29" t="str">
        <f t="shared" si="14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8"/>
        <v/>
      </c>
      <c r="M77" s="19" t="str">
        <f t="shared" si="9"/>
        <v/>
      </c>
      <c r="N77" s="19" t="str">
        <f t="shared" si="10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1"/>
        <v/>
      </c>
      <c r="S77" s="27" t="str">
        <f t="shared" si="14"/>
        <v/>
      </c>
      <c r="T77" s="28" t="str">
        <f t="shared" si="14"/>
        <v/>
      </c>
      <c r="U77" s="28" t="str">
        <f t="shared" si="14"/>
        <v/>
      </c>
      <c r="V77" s="28" t="str">
        <f t="shared" si="14"/>
        <v/>
      </c>
      <c r="W77" s="28" t="str">
        <f t="shared" si="14"/>
        <v/>
      </c>
      <c r="X77" s="29" t="str">
        <f t="shared" si="14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8"/>
        <v/>
      </c>
      <c r="M78" s="19" t="str">
        <f t="shared" si="9"/>
        <v/>
      </c>
      <c r="N78" s="19" t="str">
        <f t="shared" si="10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1"/>
        <v/>
      </c>
      <c r="S78" s="27" t="str">
        <f t="shared" si="14"/>
        <v/>
      </c>
      <c r="T78" s="28" t="str">
        <f t="shared" si="14"/>
        <v/>
      </c>
      <c r="U78" s="28" t="str">
        <f t="shared" si="14"/>
        <v/>
      </c>
      <c r="V78" s="28" t="str">
        <f t="shared" si="14"/>
        <v/>
      </c>
      <c r="W78" s="28" t="str">
        <f t="shared" si="14"/>
        <v/>
      </c>
      <c r="X78" s="29" t="str">
        <f t="shared" si="14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8"/>
        <v/>
      </c>
      <c r="M79" s="19" t="str">
        <f t="shared" si="9"/>
        <v/>
      </c>
      <c r="N79" s="19" t="str">
        <f t="shared" si="10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1"/>
        <v/>
      </c>
      <c r="S79" s="27" t="str">
        <f t="shared" si="14"/>
        <v/>
      </c>
      <c r="T79" s="28" t="str">
        <f t="shared" si="14"/>
        <v/>
      </c>
      <c r="U79" s="28" t="str">
        <f t="shared" si="14"/>
        <v/>
      </c>
      <c r="V79" s="28" t="str">
        <f t="shared" si="14"/>
        <v/>
      </c>
      <c r="W79" s="28" t="str">
        <f t="shared" si="14"/>
        <v/>
      </c>
      <c r="X79" s="29" t="str">
        <f t="shared" si="14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8"/>
        <v/>
      </c>
      <c r="M80" s="19" t="str">
        <f t="shared" si="9"/>
        <v/>
      </c>
      <c r="N80" s="19" t="str">
        <f t="shared" si="10"/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ref="R80:R111" si="15">IF(ISBLANK(I80),"",(I80-I$16)*1000)</f>
        <v/>
      </c>
      <c r="S80" s="27" t="str">
        <f t="shared" si="14"/>
        <v/>
      </c>
      <c r="T80" s="28" t="str">
        <f t="shared" si="14"/>
        <v/>
      </c>
      <c r="U80" s="28" t="str">
        <f t="shared" si="14"/>
        <v/>
      </c>
      <c r="V80" s="28" t="str">
        <f t="shared" si="14"/>
        <v/>
      </c>
      <c r="W80" s="28" t="str">
        <f t="shared" si="14"/>
        <v/>
      </c>
      <c r="X80" s="29" t="str">
        <f t="shared" si="14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8"/>
        <v/>
      </c>
      <c r="M81" s="19" t="str">
        <f t="shared" si="9"/>
        <v/>
      </c>
      <c r="N81" s="19" t="str">
        <f t="shared" si="10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5"/>
        <v/>
      </c>
      <c r="S81" s="27" t="str">
        <f t="shared" ref="S81:X96" si="16">IF(C81="","",((C81-C80)*1000)/($B81-$B80))</f>
        <v/>
      </c>
      <c r="T81" s="28" t="str">
        <f t="shared" si="16"/>
        <v/>
      </c>
      <c r="U81" s="28" t="str">
        <f t="shared" si="16"/>
        <v/>
      </c>
      <c r="V81" s="28" t="str">
        <f t="shared" si="16"/>
        <v/>
      </c>
      <c r="W81" s="28" t="str">
        <f t="shared" si="16"/>
        <v/>
      </c>
      <c r="X81" s="29" t="str">
        <f t="shared" si="16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8"/>
        <v/>
      </c>
      <c r="M82" s="19" t="str">
        <f t="shared" si="9"/>
        <v/>
      </c>
      <c r="N82" s="19" t="str">
        <f t="shared" si="10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5"/>
        <v/>
      </c>
      <c r="S82" s="27" t="str">
        <f t="shared" si="16"/>
        <v/>
      </c>
      <c r="T82" s="28" t="str">
        <f t="shared" si="16"/>
        <v/>
      </c>
      <c r="U82" s="28" t="str">
        <f t="shared" si="16"/>
        <v/>
      </c>
      <c r="V82" s="28" t="str">
        <f t="shared" si="16"/>
        <v/>
      </c>
      <c r="W82" s="28" t="str">
        <f t="shared" si="16"/>
        <v/>
      </c>
      <c r="X82" s="29" t="str">
        <f t="shared" si="16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8"/>
        <v/>
      </c>
      <c r="M83" s="19" t="str">
        <f t="shared" si="9"/>
        <v/>
      </c>
      <c r="N83" s="19" t="str">
        <f t="shared" si="10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5"/>
        <v/>
      </c>
      <c r="S83" s="27" t="str">
        <f t="shared" si="16"/>
        <v/>
      </c>
      <c r="T83" s="28" t="str">
        <f t="shared" si="16"/>
        <v/>
      </c>
      <c r="U83" s="28" t="str">
        <f t="shared" si="16"/>
        <v/>
      </c>
      <c r="V83" s="28" t="str">
        <f t="shared" si="16"/>
        <v/>
      </c>
      <c r="W83" s="28" t="str">
        <f t="shared" si="16"/>
        <v/>
      </c>
      <c r="X83" s="29" t="str">
        <f t="shared" si="16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8"/>
        <v/>
      </c>
      <c r="M84" s="19" t="str">
        <f t="shared" si="9"/>
        <v/>
      </c>
      <c r="N84" s="19" t="str">
        <f t="shared" si="10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5"/>
        <v/>
      </c>
      <c r="S84" s="27" t="str">
        <f t="shared" si="16"/>
        <v/>
      </c>
      <c r="T84" s="28" t="str">
        <f t="shared" si="16"/>
        <v/>
      </c>
      <c r="U84" s="28" t="str">
        <f t="shared" si="16"/>
        <v/>
      </c>
      <c r="V84" s="28" t="str">
        <f t="shared" si="16"/>
        <v/>
      </c>
      <c r="W84" s="28" t="str">
        <f t="shared" si="16"/>
        <v/>
      </c>
      <c r="X84" s="29" t="str">
        <f t="shared" si="16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8"/>
        <v/>
      </c>
      <c r="M85" s="19" t="str">
        <f t="shared" si="9"/>
        <v/>
      </c>
      <c r="N85" s="19" t="str">
        <f t="shared" si="10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5"/>
        <v/>
      </c>
      <c r="S85" s="27" t="str">
        <f t="shared" si="16"/>
        <v/>
      </c>
      <c r="T85" s="28" t="str">
        <f t="shared" si="16"/>
        <v/>
      </c>
      <c r="U85" s="28" t="str">
        <f t="shared" si="16"/>
        <v/>
      </c>
      <c r="V85" s="28" t="str">
        <f t="shared" si="16"/>
        <v/>
      </c>
      <c r="W85" s="28" t="str">
        <f t="shared" si="16"/>
        <v/>
      </c>
      <c r="X85" s="29" t="str">
        <f t="shared" si="16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8"/>
        <v/>
      </c>
      <c r="M86" s="19" t="str">
        <f t="shared" si="9"/>
        <v/>
      </c>
      <c r="N86" s="19" t="str">
        <f t="shared" si="10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5"/>
        <v/>
      </c>
      <c r="S86" s="27" t="str">
        <f t="shared" si="16"/>
        <v/>
      </c>
      <c r="T86" s="28" t="str">
        <f t="shared" si="16"/>
        <v/>
      </c>
      <c r="U86" s="28" t="str">
        <f t="shared" si="16"/>
        <v/>
      </c>
      <c r="V86" s="28" t="str">
        <f t="shared" si="16"/>
        <v/>
      </c>
      <c r="W86" s="28" t="str">
        <f t="shared" si="16"/>
        <v/>
      </c>
      <c r="X86" s="29" t="str">
        <f t="shared" si="16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8"/>
        <v/>
      </c>
      <c r="M87" s="19" t="str">
        <f t="shared" si="9"/>
        <v/>
      </c>
      <c r="N87" s="19" t="str">
        <f t="shared" si="10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5"/>
        <v/>
      </c>
      <c r="S87" s="27" t="str">
        <f t="shared" si="16"/>
        <v/>
      </c>
      <c r="T87" s="28" t="str">
        <f t="shared" si="16"/>
        <v/>
      </c>
      <c r="U87" s="28" t="str">
        <f t="shared" si="16"/>
        <v/>
      </c>
      <c r="V87" s="28" t="str">
        <f t="shared" si="16"/>
        <v/>
      </c>
      <c r="W87" s="28" t="str">
        <f t="shared" si="16"/>
        <v/>
      </c>
      <c r="X87" s="29" t="str">
        <f t="shared" si="16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8"/>
        <v/>
      </c>
      <c r="M88" s="19" t="str">
        <f t="shared" si="9"/>
        <v/>
      </c>
      <c r="N88" s="19" t="str">
        <f t="shared" si="10"/>
        <v/>
      </c>
      <c r="O88" s="19" t="str">
        <f t="shared" si="5"/>
        <v/>
      </c>
      <c r="P88" s="19" t="str">
        <f t="shared" si="6"/>
        <v/>
      </c>
      <c r="Q88" s="19" t="str">
        <f t="shared" si="7"/>
        <v/>
      </c>
      <c r="R88" s="19" t="str">
        <f t="shared" si="15"/>
        <v/>
      </c>
      <c r="S88" s="27" t="str">
        <f t="shared" si="16"/>
        <v/>
      </c>
      <c r="T88" s="28" t="str">
        <f t="shared" si="16"/>
        <v/>
      </c>
      <c r="U88" s="28" t="str">
        <f t="shared" si="16"/>
        <v/>
      </c>
      <c r="V88" s="28" t="str">
        <f t="shared" si="16"/>
        <v/>
      </c>
      <c r="W88" s="28" t="str">
        <f t="shared" si="16"/>
        <v/>
      </c>
      <c r="X88" s="29" t="str">
        <f t="shared" si="16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8"/>
        <v/>
      </c>
      <c r="M89" s="19" t="str">
        <f t="shared" si="9"/>
        <v/>
      </c>
      <c r="N89" s="19" t="str">
        <f t="shared" si="10"/>
        <v/>
      </c>
      <c r="O89" s="19" t="str">
        <f t="shared" si="5"/>
        <v/>
      </c>
      <c r="P89" s="19" t="str">
        <f t="shared" si="6"/>
        <v/>
      </c>
      <c r="Q89" s="19" t="str">
        <f t="shared" si="7"/>
        <v/>
      </c>
      <c r="R89" s="19" t="str">
        <f t="shared" si="15"/>
        <v/>
      </c>
      <c r="S89" s="27" t="str">
        <f t="shared" si="16"/>
        <v/>
      </c>
      <c r="T89" s="28" t="str">
        <f t="shared" si="16"/>
        <v/>
      </c>
      <c r="U89" s="28" t="str">
        <f t="shared" si="16"/>
        <v/>
      </c>
      <c r="V89" s="28" t="str">
        <f t="shared" si="16"/>
        <v/>
      </c>
      <c r="W89" s="28" t="str">
        <f t="shared" si="16"/>
        <v/>
      </c>
      <c r="X89" s="29" t="str">
        <f t="shared" si="16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8"/>
        <v/>
      </c>
      <c r="M90" s="19" t="str">
        <f t="shared" si="9"/>
        <v/>
      </c>
      <c r="N90" s="19" t="str">
        <f t="shared" si="10"/>
        <v/>
      </c>
      <c r="O90" s="19" t="str">
        <f t="shared" si="5"/>
        <v/>
      </c>
      <c r="P90" s="19" t="str">
        <f t="shared" si="6"/>
        <v/>
      </c>
      <c r="Q90" s="19" t="str">
        <f t="shared" si="7"/>
        <v/>
      </c>
      <c r="R90" s="19" t="str">
        <f t="shared" si="15"/>
        <v/>
      </c>
      <c r="S90" s="27" t="str">
        <f t="shared" si="16"/>
        <v/>
      </c>
      <c r="T90" s="28" t="str">
        <f t="shared" si="16"/>
        <v/>
      </c>
      <c r="U90" s="28" t="str">
        <f t="shared" si="16"/>
        <v/>
      </c>
      <c r="V90" s="28" t="str">
        <f t="shared" si="16"/>
        <v/>
      </c>
      <c r="W90" s="28" t="str">
        <f t="shared" si="16"/>
        <v/>
      </c>
      <c r="X90" s="29" t="str">
        <f t="shared" si="16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8"/>
        <v/>
      </c>
      <c r="M91" s="19" t="str">
        <f t="shared" si="9"/>
        <v/>
      </c>
      <c r="N91" s="19" t="str">
        <f t="shared" si="10"/>
        <v/>
      </c>
      <c r="O91" s="19" t="str">
        <f t="shared" si="5"/>
        <v/>
      </c>
      <c r="P91" s="19" t="str">
        <f t="shared" si="6"/>
        <v/>
      </c>
      <c r="Q91" s="19" t="str">
        <f t="shared" si="7"/>
        <v/>
      </c>
      <c r="R91" s="19" t="str">
        <f t="shared" si="15"/>
        <v/>
      </c>
      <c r="S91" s="27" t="str">
        <f t="shared" si="16"/>
        <v/>
      </c>
      <c r="T91" s="28" t="str">
        <f t="shared" si="16"/>
        <v/>
      </c>
      <c r="U91" s="28" t="str">
        <f t="shared" si="16"/>
        <v/>
      </c>
      <c r="V91" s="28" t="str">
        <f t="shared" si="16"/>
        <v/>
      </c>
      <c r="W91" s="28" t="str">
        <f t="shared" si="16"/>
        <v/>
      </c>
      <c r="X91" s="29" t="str">
        <f t="shared" si="16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8"/>
        <v/>
      </c>
      <c r="M92" s="19" t="str">
        <f t="shared" si="9"/>
        <v/>
      </c>
      <c r="N92" s="19" t="str">
        <f t="shared" si="10"/>
        <v/>
      </c>
      <c r="O92" s="19" t="str">
        <f t="shared" si="5"/>
        <v/>
      </c>
      <c r="P92" s="19" t="str">
        <f t="shared" si="6"/>
        <v/>
      </c>
      <c r="Q92" s="19" t="str">
        <f t="shared" si="7"/>
        <v/>
      </c>
      <c r="R92" s="19" t="str">
        <f t="shared" si="15"/>
        <v/>
      </c>
      <c r="S92" s="27" t="str">
        <f t="shared" si="16"/>
        <v/>
      </c>
      <c r="T92" s="28" t="str">
        <f t="shared" si="16"/>
        <v/>
      </c>
      <c r="U92" s="28" t="str">
        <f t="shared" si="16"/>
        <v/>
      </c>
      <c r="V92" s="28" t="str">
        <f t="shared" si="16"/>
        <v/>
      </c>
      <c r="W92" s="28" t="str">
        <f t="shared" si="16"/>
        <v/>
      </c>
      <c r="X92" s="29" t="str">
        <f t="shared" si="16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8"/>
        <v/>
      </c>
      <c r="M93" s="19" t="str">
        <f t="shared" si="9"/>
        <v/>
      </c>
      <c r="N93" s="19" t="str">
        <f t="shared" si="10"/>
        <v/>
      </c>
      <c r="O93" s="19" t="str">
        <f t="shared" ref="O93:O153" si="17">IF(ISBLANK(F93),"",((F93-F$28)*1000)+L$28)</f>
        <v/>
      </c>
      <c r="P93" s="19" t="str">
        <f t="shared" ref="P93:P153" si="18">IF(ISBLANK(G93),"",((G93-G$28)*1000)+M$28)</f>
        <v/>
      </c>
      <c r="Q93" s="19" t="str">
        <f t="shared" ref="Q93:Q153" si="19">IF(ISBLANK(H93),"",((H93-H$28)*1000)+N$28)</f>
        <v/>
      </c>
      <c r="R93" s="19" t="str">
        <f t="shared" si="15"/>
        <v/>
      </c>
      <c r="S93" s="27" t="str">
        <f t="shared" si="16"/>
        <v/>
      </c>
      <c r="T93" s="28" t="str">
        <f t="shared" si="16"/>
        <v/>
      </c>
      <c r="U93" s="28" t="str">
        <f t="shared" si="16"/>
        <v/>
      </c>
      <c r="V93" s="28" t="str">
        <f t="shared" si="16"/>
        <v/>
      </c>
      <c r="W93" s="28" t="str">
        <f t="shared" si="16"/>
        <v/>
      </c>
      <c r="X93" s="29" t="str">
        <f t="shared" si="16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8"/>
        <v/>
      </c>
      <c r="M94" s="19" t="str">
        <f t="shared" si="9"/>
        <v/>
      </c>
      <c r="N94" s="19" t="str">
        <f t="shared" si="10"/>
        <v/>
      </c>
      <c r="O94" s="19" t="str">
        <f t="shared" si="17"/>
        <v/>
      </c>
      <c r="P94" s="19" t="str">
        <f t="shared" si="18"/>
        <v/>
      </c>
      <c r="Q94" s="19" t="str">
        <f t="shared" si="19"/>
        <v/>
      </c>
      <c r="R94" s="19" t="str">
        <f t="shared" si="15"/>
        <v/>
      </c>
      <c r="S94" s="27" t="str">
        <f t="shared" si="16"/>
        <v/>
      </c>
      <c r="T94" s="28" t="str">
        <f t="shared" si="16"/>
        <v/>
      </c>
      <c r="U94" s="28" t="str">
        <f t="shared" si="16"/>
        <v/>
      </c>
      <c r="V94" s="28" t="str">
        <f t="shared" si="16"/>
        <v/>
      </c>
      <c r="W94" s="28" t="str">
        <f t="shared" si="16"/>
        <v/>
      </c>
      <c r="X94" s="29" t="str">
        <f t="shared" si="16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53" si="20">IF(ISBLANK(C95),"",((C95-C$30)*1000)+L$29)</f>
        <v/>
      </c>
      <c r="M95" s="19" t="str">
        <f t="shared" ref="M95:M153" si="21">IF(ISBLANK(D95),"",((D95-D$30)*1000)+M$29)</f>
        <v/>
      </c>
      <c r="N95" s="19" t="str">
        <f t="shared" ref="N95:N153" si="22">IF(ISBLANK(E95),"",((E95-E$30)*1000)+N$29)</f>
        <v/>
      </c>
      <c r="O95" s="19" t="str">
        <f t="shared" si="17"/>
        <v/>
      </c>
      <c r="P95" s="19" t="str">
        <f t="shared" si="18"/>
        <v/>
      </c>
      <c r="Q95" s="19" t="str">
        <f t="shared" si="19"/>
        <v/>
      </c>
      <c r="R95" s="19" t="str">
        <f t="shared" si="15"/>
        <v/>
      </c>
      <c r="S95" s="27" t="str">
        <f t="shared" si="16"/>
        <v/>
      </c>
      <c r="T95" s="28" t="str">
        <f t="shared" si="16"/>
        <v/>
      </c>
      <c r="U95" s="28" t="str">
        <f t="shared" si="16"/>
        <v/>
      </c>
      <c r="V95" s="28" t="str">
        <f t="shared" si="16"/>
        <v/>
      </c>
      <c r="W95" s="28" t="str">
        <f t="shared" si="16"/>
        <v/>
      </c>
      <c r="X95" s="29" t="str">
        <f t="shared" si="16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0"/>
        <v/>
      </c>
      <c r="M96" s="19" t="str">
        <f t="shared" si="21"/>
        <v/>
      </c>
      <c r="N96" s="19" t="str">
        <f t="shared" si="22"/>
        <v/>
      </c>
      <c r="O96" s="19" t="str">
        <f t="shared" si="17"/>
        <v/>
      </c>
      <c r="P96" s="19" t="str">
        <f t="shared" si="18"/>
        <v/>
      </c>
      <c r="Q96" s="19" t="str">
        <f t="shared" si="19"/>
        <v/>
      </c>
      <c r="R96" s="19" t="str">
        <f t="shared" si="15"/>
        <v/>
      </c>
      <c r="S96" s="27" t="str">
        <f t="shared" si="16"/>
        <v/>
      </c>
      <c r="T96" s="28" t="str">
        <f t="shared" si="16"/>
        <v/>
      </c>
      <c r="U96" s="28" t="str">
        <f t="shared" si="16"/>
        <v/>
      </c>
      <c r="V96" s="28" t="str">
        <f t="shared" si="16"/>
        <v/>
      </c>
      <c r="W96" s="28" t="str">
        <f t="shared" si="16"/>
        <v/>
      </c>
      <c r="X96" s="29" t="str">
        <f t="shared" si="16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0"/>
        <v/>
      </c>
      <c r="M97" s="19" t="str">
        <f t="shared" si="21"/>
        <v/>
      </c>
      <c r="N97" s="19" t="str">
        <f t="shared" si="22"/>
        <v/>
      </c>
      <c r="O97" s="19" t="str">
        <f t="shared" si="17"/>
        <v/>
      </c>
      <c r="P97" s="19" t="str">
        <f t="shared" si="18"/>
        <v/>
      </c>
      <c r="Q97" s="19" t="str">
        <f t="shared" si="19"/>
        <v/>
      </c>
      <c r="R97" s="19" t="str">
        <f t="shared" si="15"/>
        <v/>
      </c>
      <c r="S97" s="27" t="str">
        <f t="shared" ref="S97:X112" si="23">IF(C97="","",((C97-C96)*1000)/($B97-$B96))</f>
        <v/>
      </c>
      <c r="T97" s="28" t="str">
        <f t="shared" si="23"/>
        <v/>
      </c>
      <c r="U97" s="28" t="str">
        <f t="shared" si="23"/>
        <v/>
      </c>
      <c r="V97" s="28" t="str">
        <f t="shared" si="23"/>
        <v/>
      </c>
      <c r="W97" s="28" t="str">
        <f t="shared" si="23"/>
        <v/>
      </c>
      <c r="X97" s="29" t="str">
        <f t="shared" si="2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0"/>
        <v/>
      </c>
      <c r="M98" s="19" t="str">
        <f t="shared" si="21"/>
        <v/>
      </c>
      <c r="N98" s="19" t="str">
        <f t="shared" si="22"/>
        <v/>
      </c>
      <c r="O98" s="19" t="str">
        <f t="shared" si="17"/>
        <v/>
      </c>
      <c r="P98" s="19" t="str">
        <f t="shared" si="18"/>
        <v/>
      </c>
      <c r="Q98" s="19" t="str">
        <f t="shared" si="19"/>
        <v/>
      </c>
      <c r="R98" s="19" t="str">
        <f t="shared" si="15"/>
        <v/>
      </c>
      <c r="S98" s="27" t="str">
        <f t="shared" si="23"/>
        <v/>
      </c>
      <c r="T98" s="28" t="str">
        <f t="shared" si="23"/>
        <v/>
      </c>
      <c r="U98" s="28" t="str">
        <f t="shared" si="23"/>
        <v/>
      </c>
      <c r="V98" s="28" t="str">
        <f t="shared" si="23"/>
        <v/>
      </c>
      <c r="W98" s="28" t="str">
        <f t="shared" si="23"/>
        <v/>
      </c>
      <c r="X98" s="29" t="str">
        <f t="shared" si="2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0"/>
        <v/>
      </c>
      <c r="M99" s="19" t="str">
        <f t="shared" si="21"/>
        <v/>
      </c>
      <c r="N99" s="19" t="str">
        <f t="shared" si="22"/>
        <v/>
      </c>
      <c r="O99" s="19" t="str">
        <f t="shared" si="17"/>
        <v/>
      </c>
      <c r="P99" s="19" t="str">
        <f t="shared" si="18"/>
        <v/>
      </c>
      <c r="Q99" s="19" t="str">
        <f t="shared" si="19"/>
        <v/>
      </c>
      <c r="R99" s="19" t="str">
        <f t="shared" si="15"/>
        <v/>
      </c>
      <c r="S99" s="27" t="str">
        <f t="shared" si="23"/>
        <v/>
      </c>
      <c r="T99" s="28" t="str">
        <f t="shared" si="23"/>
        <v/>
      </c>
      <c r="U99" s="28" t="str">
        <f t="shared" si="23"/>
        <v/>
      </c>
      <c r="V99" s="28" t="str">
        <f t="shared" si="23"/>
        <v/>
      </c>
      <c r="W99" s="28" t="str">
        <f t="shared" si="23"/>
        <v/>
      </c>
      <c r="X99" s="29" t="str">
        <f t="shared" si="2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0"/>
        <v/>
      </c>
      <c r="M100" s="19" t="str">
        <f t="shared" si="21"/>
        <v/>
      </c>
      <c r="N100" s="19" t="str">
        <f t="shared" si="22"/>
        <v/>
      </c>
      <c r="O100" s="19" t="str">
        <f t="shared" si="17"/>
        <v/>
      </c>
      <c r="P100" s="19" t="str">
        <f t="shared" si="18"/>
        <v/>
      </c>
      <c r="Q100" s="19" t="str">
        <f t="shared" si="19"/>
        <v/>
      </c>
      <c r="R100" s="19" t="str">
        <f t="shared" si="15"/>
        <v/>
      </c>
      <c r="S100" s="27" t="str">
        <f t="shared" si="23"/>
        <v/>
      </c>
      <c r="T100" s="28" t="str">
        <f t="shared" si="23"/>
        <v/>
      </c>
      <c r="U100" s="28" t="str">
        <f t="shared" si="23"/>
        <v/>
      </c>
      <c r="V100" s="28" t="str">
        <f t="shared" si="23"/>
        <v/>
      </c>
      <c r="W100" s="28" t="str">
        <f t="shared" si="23"/>
        <v/>
      </c>
      <c r="X100" s="29" t="str">
        <f t="shared" si="2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0"/>
        <v/>
      </c>
      <c r="M101" s="19" t="str">
        <f t="shared" si="21"/>
        <v/>
      </c>
      <c r="N101" s="19" t="str">
        <f t="shared" si="22"/>
        <v/>
      </c>
      <c r="O101" s="19" t="str">
        <f t="shared" si="17"/>
        <v/>
      </c>
      <c r="P101" s="19" t="str">
        <f t="shared" si="18"/>
        <v/>
      </c>
      <c r="Q101" s="19" t="str">
        <f t="shared" si="19"/>
        <v/>
      </c>
      <c r="R101" s="19" t="str">
        <f t="shared" si="15"/>
        <v/>
      </c>
      <c r="S101" s="27" t="str">
        <f t="shared" si="23"/>
        <v/>
      </c>
      <c r="T101" s="28" t="str">
        <f t="shared" si="23"/>
        <v/>
      </c>
      <c r="U101" s="28" t="str">
        <f t="shared" si="23"/>
        <v/>
      </c>
      <c r="V101" s="28" t="str">
        <f t="shared" si="23"/>
        <v/>
      </c>
      <c r="W101" s="28" t="str">
        <f t="shared" si="23"/>
        <v/>
      </c>
      <c r="X101" s="29" t="str">
        <f t="shared" si="2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0"/>
        <v/>
      </c>
      <c r="M102" s="19" t="str">
        <f t="shared" si="21"/>
        <v/>
      </c>
      <c r="N102" s="19" t="str">
        <f t="shared" si="22"/>
        <v/>
      </c>
      <c r="O102" s="19" t="str">
        <f t="shared" si="17"/>
        <v/>
      </c>
      <c r="P102" s="19" t="str">
        <f t="shared" si="18"/>
        <v/>
      </c>
      <c r="Q102" s="19" t="str">
        <f t="shared" si="19"/>
        <v/>
      </c>
      <c r="R102" s="19" t="str">
        <f t="shared" si="15"/>
        <v/>
      </c>
      <c r="S102" s="27" t="str">
        <f t="shared" si="23"/>
        <v/>
      </c>
      <c r="T102" s="28" t="str">
        <f t="shared" si="23"/>
        <v/>
      </c>
      <c r="U102" s="28" t="str">
        <f t="shared" si="23"/>
        <v/>
      </c>
      <c r="V102" s="28" t="str">
        <f t="shared" si="23"/>
        <v/>
      </c>
      <c r="W102" s="28" t="str">
        <f t="shared" si="23"/>
        <v/>
      </c>
      <c r="X102" s="29" t="str">
        <f t="shared" si="2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0"/>
        <v/>
      </c>
      <c r="M103" s="19" t="str">
        <f t="shared" si="21"/>
        <v/>
      </c>
      <c r="N103" s="19" t="str">
        <f t="shared" si="22"/>
        <v/>
      </c>
      <c r="O103" s="19" t="str">
        <f t="shared" si="17"/>
        <v/>
      </c>
      <c r="P103" s="19" t="str">
        <f t="shared" si="18"/>
        <v/>
      </c>
      <c r="Q103" s="19" t="str">
        <f t="shared" si="19"/>
        <v/>
      </c>
      <c r="R103" s="19" t="str">
        <f t="shared" si="15"/>
        <v/>
      </c>
      <c r="S103" s="27" t="str">
        <f t="shared" si="23"/>
        <v/>
      </c>
      <c r="T103" s="28" t="str">
        <f t="shared" si="23"/>
        <v/>
      </c>
      <c r="U103" s="28" t="str">
        <f t="shared" si="23"/>
        <v/>
      </c>
      <c r="V103" s="28" t="str">
        <f t="shared" si="23"/>
        <v/>
      </c>
      <c r="W103" s="28" t="str">
        <f t="shared" si="23"/>
        <v/>
      </c>
      <c r="X103" s="29" t="str">
        <f t="shared" si="2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0"/>
        <v/>
      </c>
      <c r="M104" s="19" t="str">
        <f t="shared" si="21"/>
        <v/>
      </c>
      <c r="N104" s="19" t="str">
        <f t="shared" si="22"/>
        <v/>
      </c>
      <c r="O104" s="19" t="str">
        <f t="shared" si="17"/>
        <v/>
      </c>
      <c r="P104" s="19" t="str">
        <f t="shared" si="18"/>
        <v/>
      </c>
      <c r="Q104" s="19" t="str">
        <f t="shared" si="19"/>
        <v/>
      </c>
      <c r="R104" s="19" t="str">
        <f t="shared" si="15"/>
        <v/>
      </c>
      <c r="S104" s="27" t="str">
        <f t="shared" si="23"/>
        <v/>
      </c>
      <c r="T104" s="28" t="str">
        <f t="shared" si="23"/>
        <v/>
      </c>
      <c r="U104" s="28" t="str">
        <f t="shared" si="23"/>
        <v/>
      </c>
      <c r="V104" s="28" t="str">
        <f t="shared" si="23"/>
        <v/>
      </c>
      <c r="W104" s="28" t="str">
        <f t="shared" si="23"/>
        <v/>
      </c>
      <c r="X104" s="29" t="str">
        <f t="shared" si="2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0"/>
        <v/>
      </c>
      <c r="M105" s="19" t="str">
        <f t="shared" si="21"/>
        <v/>
      </c>
      <c r="N105" s="19" t="str">
        <f t="shared" si="22"/>
        <v/>
      </c>
      <c r="O105" s="19" t="str">
        <f t="shared" si="17"/>
        <v/>
      </c>
      <c r="P105" s="19" t="str">
        <f t="shared" si="18"/>
        <v/>
      </c>
      <c r="Q105" s="19" t="str">
        <f t="shared" si="19"/>
        <v/>
      </c>
      <c r="R105" s="19" t="str">
        <f t="shared" si="15"/>
        <v/>
      </c>
      <c r="S105" s="27" t="str">
        <f t="shared" si="23"/>
        <v/>
      </c>
      <c r="T105" s="28" t="str">
        <f t="shared" si="23"/>
        <v/>
      </c>
      <c r="U105" s="28" t="str">
        <f t="shared" si="23"/>
        <v/>
      </c>
      <c r="V105" s="28" t="str">
        <f t="shared" si="23"/>
        <v/>
      </c>
      <c r="W105" s="28" t="str">
        <f t="shared" si="23"/>
        <v/>
      </c>
      <c r="X105" s="29" t="str">
        <f t="shared" si="2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0"/>
        <v/>
      </c>
      <c r="M106" s="19" t="str">
        <f t="shared" si="21"/>
        <v/>
      </c>
      <c r="N106" s="19" t="str">
        <f t="shared" si="22"/>
        <v/>
      </c>
      <c r="O106" s="19" t="str">
        <f t="shared" si="17"/>
        <v/>
      </c>
      <c r="P106" s="19" t="str">
        <f t="shared" si="18"/>
        <v/>
      </c>
      <c r="Q106" s="19" t="str">
        <f t="shared" si="19"/>
        <v/>
      </c>
      <c r="R106" s="19" t="str">
        <f t="shared" si="15"/>
        <v/>
      </c>
      <c r="S106" s="27" t="str">
        <f t="shared" si="23"/>
        <v/>
      </c>
      <c r="T106" s="28" t="str">
        <f t="shared" si="23"/>
        <v/>
      </c>
      <c r="U106" s="28" t="str">
        <f t="shared" si="23"/>
        <v/>
      </c>
      <c r="V106" s="28" t="str">
        <f t="shared" si="23"/>
        <v/>
      </c>
      <c r="W106" s="28" t="str">
        <f t="shared" si="23"/>
        <v/>
      </c>
      <c r="X106" s="29" t="str">
        <f t="shared" si="2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0"/>
        <v/>
      </c>
      <c r="M107" s="19" t="str">
        <f t="shared" si="21"/>
        <v/>
      </c>
      <c r="N107" s="19" t="str">
        <f t="shared" si="22"/>
        <v/>
      </c>
      <c r="O107" s="19" t="str">
        <f t="shared" si="17"/>
        <v/>
      </c>
      <c r="P107" s="19" t="str">
        <f t="shared" si="18"/>
        <v/>
      </c>
      <c r="Q107" s="19" t="str">
        <f t="shared" si="19"/>
        <v/>
      </c>
      <c r="R107" s="19" t="str">
        <f t="shared" si="15"/>
        <v/>
      </c>
      <c r="S107" s="27" t="str">
        <f t="shared" si="23"/>
        <v/>
      </c>
      <c r="T107" s="28" t="str">
        <f t="shared" si="23"/>
        <v/>
      </c>
      <c r="U107" s="28" t="str">
        <f t="shared" si="23"/>
        <v/>
      </c>
      <c r="V107" s="28" t="str">
        <f t="shared" si="23"/>
        <v/>
      </c>
      <c r="W107" s="28" t="str">
        <f t="shared" si="23"/>
        <v/>
      </c>
      <c r="X107" s="29" t="str">
        <f t="shared" si="2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0"/>
        <v/>
      </c>
      <c r="M108" s="19" t="str">
        <f t="shared" si="21"/>
        <v/>
      </c>
      <c r="N108" s="19" t="str">
        <f t="shared" si="22"/>
        <v/>
      </c>
      <c r="O108" s="19" t="str">
        <f t="shared" si="17"/>
        <v/>
      </c>
      <c r="P108" s="19" t="str">
        <f t="shared" si="18"/>
        <v/>
      </c>
      <c r="Q108" s="19" t="str">
        <f t="shared" si="19"/>
        <v/>
      </c>
      <c r="R108" s="19" t="str">
        <f t="shared" si="15"/>
        <v/>
      </c>
      <c r="S108" s="27" t="str">
        <f t="shared" si="23"/>
        <v/>
      </c>
      <c r="T108" s="28" t="str">
        <f t="shared" si="23"/>
        <v/>
      </c>
      <c r="U108" s="28" t="str">
        <f t="shared" si="23"/>
        <v/>
      </c>
      <c r="V108" s="28" t="str">
        <f t="shared" si="23"/>
        <v/>
      </c>
      <c r="W108" s="28" t="str">
        <f t="shared" si="23"/>
        <v/>
      </c>
      <c r="X108" s="29" t="str">
        <f t="shared" si="2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0"/>
        <v/>
      </c>
      <c r="M109" s="19" t="str">
        <f t="shared" si="21"/>
        <v/>
      </c>
      <c r="N109" s="19" t="str">
        <f t="shared" si="22"/>
        <v/>
      </c>
      <c r="O109" s="19" t="str">
        <f t="shared" si="17"/>
        <v/>
      </c>
      <c r="P109" s="19" t="str">
        <f t="shared" si="18"/>
        <v/>
      </c>
      <c r="Q109" s="19" t="str">
        <f t="shared" si="19"/>
        <v/>
      </c>
      <c r="R109" s="19" t="str">
        <f t="shared" si="15"/>
        <v/>
      </c>
      <c r="S109" s="27" t="str">
        <f t="shared" si="23"/>
        <v/>
      </c>
      <c r="T109" s="28" t="str">
        <f t="shared" si="23"/>
        <v/>
      </c>
      <c r="U109" s="28" t="str">
        <f t="shared" si="23"/>
        <v/>
      </c>
      <c r="V109" s="28" t="str">
        <f t="shared" si="23"/>
        <v/>
      </c>
      <c r="W109" s="28" t="str">
        <f t="shared" si="23"/>
        <v/>
      </c>
      <c r="X109" s="29" t="str">
        <f t="shared" si="2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0"/>
        <v/>
      </c>
      <c r="M110" s="19" t="str">
        <f t="shared" si="21"/>
        <v/>
      </c>
      <c r="N110" s="19" t="str">
        <f t="shared" si="22"/>
        <v/>
      </c>
      <c r="O110" s="19" t="str">
        <f t="shared" si="17"/>
        <v/>
      </c>
      <c r="P110" s="19" t="str">
        <f t="shared" si="18"/>
        <v/>
      </c>
      <c r="Q110" s="19" t="str">
        <f t="shared" si="19"/>
        <v/>
      </c>
      <c r="R110" s="19" t="str">
        <f t="shared" si="15"/>
        <v/>
      </c>
      <c r="S110" s="27" t="str">
        <f t="shared" si="23"/>
        <v/>
      </c>
      <c r="T110" s="28" t="str">
        <f t="shared" si="23"/>
        <v/>
      </c>
      <c r="U110" s="28" t="str">
        <f t="shared" si="23"/>
        <v/>
      </c>
      <c r="V110" s="28" t="str">
        <f t="shared" si="23"/>
        <v/>
      </c>
      <c r="W110" s="28" t="str">
        <f t="shared" si="23"/>
        <v/>
      </c>
      <c r="X110" s="29" t="str">
        <f t="shared" si="2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0"/>
        <v/>
      </c>
      <c r="M111" s="19" t="str">
        <f t="shared" si="21"/>
        <v/>
      </c>
      <c r="N111" s="19" t="str">
        <f t="shared" si="22"/>
        <v/>
      </c>
      <c r="O111" s="19" t="str">
        <f t="shared" si="17"/>
        <v/>
      </c>
      <c r="P111" s="19" t="str">
        <f t="shared" si="18"/>
        <v/>
      </c>
      <c r="Q111" s="19" t="str">
        <f t="shared" si="19"/>
        <v/>
      </c>
      <c r="R111" s="19" t="str">
        <f t="shared" si="15"/>
        <v/>
      </c>
      <c r="S111" s="27" t="str">
        <f t="shared" si="23"/>
        <v/>
      </c>
      <c r="T111" s="28" t="str">
        <f t="shared" si="23"/>
        <v/>
      </c>
      <c r="U111" s="28" t="str">
        <f t="shared" si="23"/>
        <v/>
      </c>
      <c r="V111" s="28" t="str">
        <f t="shared" si="23"/>
        <v/>
      </c>
      <c r="W111" s="28" t="str">
        <f t="shared" si="23"/>
        <v/>
      </c>
      <c r="X111" s="29" t="str">
        <f t="shared" si="2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0"/>
        <v/>
      </c>
      <c r="M112" s="19" t="str">
        <f t="shared" si="21"/>
        <v/>
      </c>
      <c r="N112" s="19" t="str">
        <f t="shared" si="22"/>
        <v/>
      </c>
      <c r="O112" s="19" t="str">
        <f t="shared" si="17"/>
        <v/>
      </c>
      <c r="P112" s="19" t="str">
        <f t="shared" si="18"/>
        <v/>
      </c>
      <c r="Q112" s="19" t="str">
        <f t="shared" si="19"/>
        <v/>
      </c>
      <c r="R112" s="19" t="str">
        <f t="shared" ref="R112:R143" si="24">IF(ISBLANK(I112),"",(I112-I$16)*1000)</f>
        <v/>
      </c>
      <c r="S112" s="27" t="str">
        <f t="shared" si="23"/>
        <v/>
      </c>
      <c r="T112" s="28" t="str">
        <f t="shared" si="23"/>
        <v/>
      </c>
      <c r="U112" s="28" t="str">
        <f t="shared" si="23"/>
        <v/>
      </c>
      <c r="V112" s="28" t="str">
        <f t="shared" si="23"/>
        <v/>
      </c>
      <c r="W112" s="28" t="str">
        <f t="shared" si="23"/>
        <v/>
      </c>
      <c r="X112" s="29" t="str">
        <f t="shared" si="2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0"/>
        <v/>
      </c>
      <c r="M113" s="19" t="str">
        <f t="shared" si="21"/>
        <v/>
      </c>
      <c r="N113" s="19" t="str">
        <f t="shared" si="22"/>
        <v/>
      </c>
      <c r="O113" s="19" t="str">
        <f t="shared" si="17"/>
        <v/>
      </c>
      <c r="P113" s="19" t="str">
        <f t="shared" si="18"/>
        <v/>
      </c>
      <c r="Q113" s="19" t="str">
        <f t="shared" si="19"/>
        <v/>
      </c>
      <c r="R113" s="19" t="str">
        <f t="shared" si="24"/>
        <v/>
      </c>
      <c r="S113" s="27" t="str">
        <f t="shared" ref="S113:X128" si="25">IF(C113="","",((C113-C112)*1000)/($B113-$B112))</f>
        <v/>
      </c>
      <c r="T113" s="28" t="str">
        <f t="shared" si="25"/>
        <v/>
      </c>
      <c r="U113" s="28" t="str">
        <f t="shared" si="25"/>
        <v/>
      </c>
      <c r="V113" s="28" t="str">
        <f t="shared" si="25"/>
        <v/>
      </c>
      <c r="W113" s="28" t="str">
        <f t="shared" si="25"/>
        <v/>
      </c>
      <c r="X113" s="29" t="str">
        <f t="shared" si="25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0"/>
        <v/>
      </c>
      <c r="M114" s="19" t="str">
        <f t="shared" si="21"/>
        <v/>
      </c>
      <c r="N114" s="19" t="str">
        <f t="shared" si="22"/>
        <v/>
      </c>
      <c r="O114" s="19" t="str">
        <f t="shared" si="17"/>
        <v/>
      </c>
      <c r="P114" s="19" t="str">
        <f t="shared" si="18"/>
        <v/>
      </c>
      <c r="Q114" s="19" t="str">
        <f t="shared" si="19"/>
        <v/>
      </c>
      <c r="R114" s="19" t="str">
        <f t="shared" si="24"/>
        <v/>
      </c>
      <c r="S114" s="27" t="str">
        <f t="shared" si="25"/>
        <v/>
      </c>
      <c r="T114" s="28" t="str">
        <f t="shared" si="25"/>
        <v/>
      </c>
      <c r="U114" s="28" t="str">
        <f t="shared" si="25"/>
        <v/>
      </c>
      <c r="V114" s="28" t="str">
        <f t="shared" si="25"/>
        <v/>
      </c>
      <c r="W114" s="28" t="str">
        <f t="shared" si="25"/>
        <v/>
      </c>
      <c r="X114" s="29" t="str">
        <f t="shared" si="25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0"/>
        <v/>
      </c>
      <c r="M115" s="19" t="str">
        <f t="shared" si="21"/>
        <v/>
      </c>
      <c r="N115" s="19" t="str">
        <f t="shared" si="22"/>
        <v/>
      </c>
      <c r="O115" s="19" t="str">
        <f t="shared" si="17"/>
        <v/>
      </c>
      <c r="P115" s="19" t="str">
        <f t="shared" si="18"/>
        <v/>
      </c>
      <c r="Q115" s="19" t="str">
        <f t="shared" si="19"/>
        <v/>
      </c>
      <c r="R115" s="19" t="str">
        <f t="shared" si="24"/>
        <v/>
      </c>
      <c r="S115" s="27" t="str">
        <f t="shared" si="25"/>
        <v/>
      </c>
      <c r="T115" s="28" t="str">
        <f t="shared" si="25"/>
        <v/>
      </c>
      <c r="U115" s="28" t="str">
        <f t="shared" si="25"/>
        <v/>
      </c>
      <c r="V115" s="28" t="str">
        <f t="shared" si="25"/>
        <v/>
      </c>
      <c r="W115" s="28" t="str">
        <f t="shared" si="25"/>
        <v/>
      </c>
      <c r="X115" s="29" t="str">
        <f t="shared" si="25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0"/>
        <v/>
      </c>
      <c r="M116" s="19" t="str">
        <f t="shared" si="21"/>
        <v/>
      </c>
      <c r="N116" s="19" t="str">
        <f t="shared" si="22"/>
        <v/>
      </c>
      <c r="O116" s="19" t="str">
        <f t="shared" si="17"/>
        <v/>
      </c>
      <c r="P116" s="19" t="str">
        <f t="shared" si="18"/>
        <v/>
      </c>
      <c r="Q116" s="19" t="str">
        <f t="shared" si="19"/>
        <v/>
      </c>
      <c r="R116" s="19" t="str">
        <f t="shared" si="24"/>
        <v/>
      </c>
      <c r="S116" s="27" t="str">
        <f t="shared" si="25"/>
        <v/>
      </c>
      <c r="T116" s="28" t="str">
        <f t="shared" si="25"/>
        <v/>
      </c>
      <c r="U116" s="28" t="str">
        <f t="shared" si="25"/>
        <v/>
      </c>
      <c r="V116" s="28" t="str">
        <f t="shared" si="25"/>
        <v/>
      </c>
      <c r="W116" s="28" t="str">
        <f t="shared" si="25"/>
        <v/>
      </c>
      <c r="X116" s="29" t="str">
        <f t="shared" si="25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20"/>
        <v/>
      </c>
      <c r="M117" s="19" t="str">
        <f t="shared" si="21"/>
        <v/>
      </c>
      <c r="N117" s="19" t="str">
        <f t="shared" si="22"/>
        <v/>
      </c>
      <c r="O117" s="19" t="str">
        <f t="shared" si="17"/>
        <v/>
      </c>
      <c r="P117" s="19" t="str">
        <f t="shared" si="18"/>
        <v/>
      </c>
      <c r="Q117" s="19" t="str">
        <f t="shared" si="19"/>
        <v/>
      </c>
      <c r="R117" s="19" t="str">
        <f t="shared" si="24"/>
        <v/>
      </c>
      <c r="S117" s="27" t="str">
        <f t="shared" si="25"/>
        <v/>
      </c>
      <c r="T117" s="28" t="str">
        <f t="shared" si="25"/>
        <v/>
      </c>
      <c r="U117" s="28" t="str">
        <f t="shared" si="25"/>
        <v/>
      </c>
      <c r="V117" s="28" t="str">
        <f t="shared" si="25"/>
        <v/>
      </c>
      <c r="W117" s="28" t="str">
        <f t="shared" si="25"/>
        <v/>
      </c>
      <c r="X117" s="29" t="str">
        <f t="shared" si="25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20"/>
        <v/>
      </c>
      <c r="M118" s="19" t="str">
        <f t="shared" si="21"/>
        <v/>
      </c>
      <c r="N118" s="19" t="str">
        <f t="shared" si="22"/>
        <v/>
      </c>
      <c r="O118" s="19" t="str">
        <f t="shared" si="17"/>
        <v/>
      </c>
      <c r="P118" s="19" t="str">
        <f t="shared" si="18"/>
        <v/>
      </c>
      <c r="Q118" s="19" t="str">
        <f t="shared" si="19"/>
        <v/>
      </c>
      <c r="R118" s="19" t="str">
        <f t="shared" si="24"/>
        <v/>
      </c>
      <c r="S118" s="27" t="str">
        <f t="shared" si="25"/>
        <v/>
      </c>
      <c r="T118" s="28" t="str">
        <f t="shared" si="25"/>
        <v/>
      </c>
      <c r="U118" s="28" t="str">
        <f t="shared" si="25"/>
        <v/>
      </c>
      <c r="V118" s="28" t="str">
        <f t="shared" si="25"/>
        <v/>
      </c>
      <c r="W118" s="28" t="str">
        <f t="shared" si="25"/>
        <v/>
      </c>
      <c r="X118" s="29" t="str">
        <f t="shared" si="25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0"/>
        <v/>
      </c>
      <c r="M119" s="19" t="str">
        <f t="shared" si="21"/>
        <v/>
      </c>
      <c r="N119" s="19" t="str">
        <f t="shared" si="22"/>
        <v/>
      </c>
      <c r="O119" s="19" t="str">
        <f t="shared" si="17"/>
        <v/>
      </c>
      <c r="P119" s="19" t="str">
        <f t="shared" si="18"/>
        <v/>
      </c>
      <c r="Q119" s="19" t="str">
        <f t="shared" si="19"/>
        <v/>
      </c>
      <c r="R119" s="19" t="str">
        <f t="shared" si="24"/>
        <v/>
      </c>
      <c r="S119" s="27" t="str">
        <f t="shared" si="25"/>
        <v/>
      </c>
      <c r="T119" s="28" t="str">
        <f t="shared" si="25"/>
        <v/>
      </c>
      <c r="U119" s="28" t="str">
        <f t="shared" si="25"/>
        <v/>
      </c>
      <c r="V119" s="28" t="str">
        <f t="shared" si="25"/>
        <v/>
      </c>
      <c r="W119" s="28" t="str">
        <f t="shared" si="25"/>
        <v/>
      </c>
      <c r="X119" s="29" t="str">
        <f t="shared" si="25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0"/>
        <v/>
      </c>
      <c r="M120" s="19" t="str">
        <f t="shared" si="21"/>
        <v/>
      </c>
      <c r="N120" s="19" t="str">
        <f t="shared" si="22"/>
        <v/>
      </c>
      <c r="O120" s="19" t="str">
        <f t="shared" si="17"/>
        <v/>
      </c>
      <c r="P120" s="19" t="str">
        <f t="shared" si="18"/>
        <v/>
      </c>
      <c r="Q120" s="19" t="str">
        <f t="shared" si="19"/>
        <v/>
      </c>
      <c r="R120" s="19" t="str">
        <f t="shared" si="24"/>
        <v/>
      </c>
      <c r="S120" s="27" t="str">
        <f t="shared" si="25"/>
        <v/>
      </c>
      <c r="T120" s="28" t="str">
        <f t="shared" si="25"/>
        <v/>
      </c>
      <c r="U120" s="28" t="str">
        <f t="shared" si="25"/>
        <v/>
      </c>
      <c r="V120" s="28" t="str">
        <f t="shared" si="25"/>
        <v/>
      </c>
      <c r="W120" s="28" t="str">
        <f t="shared" si="25"/>
        <v/>
      </c>
      <c r="X120" s="29" t="str">
        <f t="shared" si="25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0"/>
        <v/>
      </c>
      <c r="M121" s="19" t="str">
        <f t="shared" si="21"/>
        <v/>
      </c>
      <c r="N121" s="19" t="str">
        <f t="shared" si="22"/>
        <v/>
      </c>
      <c r="O121" s="19" t="str">
        <f t="shared" si="17"/>
        <v/>
      </c>
      <c r="P121" s="19" t="str">
        <f t="shared" si="18"/>
        <v/>
      </c>
      <c r="Q121" s="19" t="str">
        <f t="shared" si="19"/>
        <v/>
      </c>
      <c r="R121" s="19" t="str">
        <f t="shared" si="24"/>
        <v/>
      </c>
      <c r="S121" s="27" t="str">
        <f t="shared" si="25"/>
        <v/>
      </c>
      <c r="T121" s="28" t="str">
        <f t="shared" si="25"/>
        <v/>
      </c>
      <c r="U121" s="28" t="str">
        <f t="shared" si="25"/>
        <v/>
      </c>
      <c r="V121" s="28" t="str">
        <f t="shared" si="25"/>
        <v/>
      </c>
      <c r="W121" s="28" t="str">
        <f t="shared" si="25"/>
        <v/>
      </c>
      <c r="X121" s="29" t="str">
        <f t="shared" si="25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0"/>
        <v/>
      </c>
      <c r="M122" s="19" t="str">
        <f t="shared" si="21"/>
        <v/>
      </c>
      <c r="N122" s="19" t="str">
        <f t="shared" si="22"/>
        <v/>
      </c>
      <c r="O122" s="19" t="str">
        <f t="shared" si="17"/>
        <v/>
      </c>
      <c r="P122" s="19" t="str">
        <f t="shared" si="18"/>
        <v/>
      </c>
      <c r="Q122" s="19" t="str">
        <f t="shared" si="19"/>
        <v/>
      </c>
      <c r="R122" s="19" t="str">
        <f t="shared" si="24"/>
        <v/>
      </c>
      <c r="S122" s="27" t="str">
        <f t="shared" si="25"/>
        <v/>
      </c>
      <c r="T122" s="28" t="str">
        <f t="shared" si="25"/>
        <v/>
      </c>
      <c r="U122" s="28" t="str">
        <f t="shared" si="25"/>
        <v/>
      </c>
      <c r="V122" s="28" t="str">
        <f t="shared" si="25"/>
        <v/>
      </c>
      <c r="W122" s="28" t="str">
        <f t="shared" si="25"/>
        <v/>
      </c>
      <c r="X122" s="29" t="str">
        <f t="shared" si="25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0"/>
        <v/>
      </c>
      <c r="M123" s="19" t="str">
        <f t="shared" si="21"/>
        <v/>
      </c>
      <c r="N123" s="19" t="str">
        <f t="shared" si="22"/>
        <v/>
      </c>
      <c r="O123" s="19" t="str">
        <f t="shared" si="17"/>
        <v/>
      </c>
      <c r="P123" s="19" t="str">
        <f t="shared" si="18"/>
        <v/>
      </c>
      <c r="Q123" s="19" t="str">
        <f t="shared" si="19"/>
        <v/>
      </c>
      <c r="R123" s="19" t="str">
        <f t="shared" si="24"/>
        <v/>
      </c>
      <c r="S123" s="27" t="str">
        <f t="shared" si="25"/>
        <v/>
      </c>
      <c r="T123" s="28" t="str">
        <f t="shared" si="25"/>
        <v/>
      </c>
      <c r="U123" s="28" t="str">
        <f t="shared" si="25"/>
        <v/>
      </c>
      <c r="V123" s="28" t="str">
        <f t="shared" si="25"/>
        <v/>
      </c>
      <c r="W123" s="28" t="str">
        <f t="shared" si="25"/>
        <v/>
      </c>
      <c r="X123" s="29" t="str">
        <f t="shared" si="25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0"/>
        <v/>
      </c>
      <c r="M124" s="19" t="str">
        <f t="shared" si="21"/>
        <v/>
      </c>
      <c r="N124" s="19" t="str">
        <f t="shared" si="22"/>
        <v/>
      </c>
      <c r="O124" s="19" t="str">
        <f t="shared" si="17"/>
        <v/>
      </c>
      <c r="P124" s="19" t="str">
        <f t="shared" si="18"/>
        <v/>
      </c>
      <c r="Q124" s="19" t="str">
        <f t="shared" si="19"/>
        <v/>
      </c>
      <c r="R124" s="19" t="str">
        <f t="shared" si="24"/>
        <v/>
      </c>
      <c r="S124" s="27" t="str">
        <f t="shared" si="25"/>
        <v/>
      </c>
      <c r="T124" s="28" t="str">
        <f t="shared" si="25"/>
        <v/>
      </c>
      <c r="U124" s="28" t="str">
        <f t="shared" si="25"/>
        <v/>
      </c>
      <c r="V124" s="28" t="str">
        <f t="shared" si="25"/>
        <v/>
      </c>
      <c r="W124" s="28" t="str">
        <f t="shared" si="25"/>
        <v/>
      </c>
      <c r="X124" s="29" t="str">
        <f t="shared" si="25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0"/>
        <v/>
      </c>
      <c r="M125" s="19" t="str">
        <f t="shared" si="21"/>
        <v/>
      </c>
      <c r="N125" s="19" t="str">
        <f t="shared" si="22"/>
        <v/>
      </c>
      <c r="O125" s="19" t="str">
        <f t="shared" si="17"/>
        <v/>
      </c>
      <c r="P125" s="19" t="str">
        <f t="shared" si="18"/>
        <v/>
      </c>
      <c r="Q125" s="19" t="str">
        <f t="shared" si="19"/>
        <v/>
      </c>
      <c r="R125" s="19" t="str">
        <f t="shared" si="24"/>
        <v/>
      </c>
      <c r="S125" s="27" t="str">
        <f t="shared" si="25"/>
        <v/>
      </c>
      <c r="T125" s="28" t="str">
        <f t="shared" si="25"/>
        <v/>
      </c>
      <c r="U125" s="28" t="str">
        <f t="shared" si="25"/>
        <v/>
      </c>
      <c r="V125" s="28" t="str">
        <f t="shared" si="25"/>
        <v/>
      </c>
      <c r="W125" s="28" t="str">
        <f t="shared" si="25"/>
        <v/>
      </c>
      <c r="X125" s="29" t="str">
        <f t="shared" si="25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0"/>
        <v/>
      </c>
      <c r="M126" s="19" t="str">
        <f t="shared" si="21"/>
        <v/>
      </c>
      <c r="N126" s="19" t="str">
        <f t="shared" si="22"/>
        <v/>
      </c>
      <c r="O126" s="19" t="str">
        <f t="shared" si="17"/>
        <v/>
      </c>
      <c r="P126" s="19" t="str">
        <f t="shared" si="18"/>
        <v/>
      </c>
      <c r="Q126" s="19" t="str">
        <f t="shared" si="19"/>
        <v/>
      </c>
      <c r="R126" s="19" t="str">
        <f t="shared" si="24"/>
        <v/>
      </c>
      <c r="S126" s="27" t="str">
        <f t="shared" si="25"/>
        <v/>
      </c>
      <c r="T126" s="28" t="str">
        <f t="shared" si="25"/>
        <v/>
      </c>
      <c r="U126" s="28" t="str">
        <f t="shared" si="25"/>
        <v/>
      </c>
      <c r="V126" s="28" t="str">
        <f t="shared" si="25"/>
        <v/>
      </c>
      <c r="W126" s="28" t="str">
        <f t="shared" si="25"/>
        <v/>
      </c>
      <c r="X126" s="29" t="str">
        <f t="shared" si="25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0"/>
        <v/>
      </c>
      <c r="M127" s="19" t="str">
        <f t="shared" si="21"/>
        <v/>
      </c>
      <c r="N127" s="19" t="str">
        <f t="shared" si="22"/>
        <v/>
      </c>
      <c r="O127" s="19" t="str">
        <f t="shared" si="17"/>
        <v/>
      </c>
      <c r="P127" s="19" t="str">
        <f t="shared" si="18"/>
        <v/>
      </c>
      <c r="Q127" s="19" t="str">
        <f t="shared" si="19"/>
        <v/>
      </c>
      <c r="R127" s="19" t="str">
        <f t="shared" si="24"/>
        <v/>
      </c>
      <c r="S127" s="27" t="str">
        <f t="shared" si="25"/>
        <v/>
      </c>
      <c r="T127" s="28" t="str">
        <f t="shared" si="25"/>
        <v/>
      </c>
      <c r="U127" s="28" t="str">
        <f t="shared" si="25"/>
        <v/>
      </c>
      <c r="V127" s="28" t="str">
        <f t="shared" si="25"/>
        <v/>
      </c>
      <c r="W127" s="28" t="str">
        <f t="shared" si="25"/>
        <v/>
      </c>
      <c r="X127" s="29" t="str">
        <f t="shared" si="25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0"/>
        <v/>
      </c>
      <c r="M128" s="19" t="str">
        <f t="shared" si="21"/>
        <v/>
      </c>
      <c r="N128" s="19" t="str">
        <f t="shared" si="22"/>
        <v/>
      </c>
      <c r="O128" s="19" t="str">
        <f t="shared" si="17"/>
        <v/>
      </c>
      <c r="P128" s="19" t="str">
        <f t="shared" si="18"/>
        <v/>
      </c>
      <c r="Q128" s="19" t="str">
        <f t="shared" si="19"/>
        <v/>
      </c>
      <c r="R128" s="19" t="str">
        <f t="shared" si="24"/>
        <v/>
      </c>
      <c r="S128" s="27" t="str">
        <f t="shared" si="25"/>
        <v/>
      </c>
      <c r="T128" s="28" t="str">
        <f t="shared" si="25"/>
        <v/>
      </c>
      <c r="U128" s="28" t="str">
        <f t="shared" si="25"/>
        <v/>
      </c>
      <c r="V128" s="28" t="str">
        <f t="shared" si="25"/>
        <v/>
      </c>
      <c r="W128" s="28" t="str">
        <f t="shared" si="25"/>
        <v/>
      </c>
      <c r="X128" s="29" t="str">
        <f t="shared" si="25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0"/>
        <v/>
      </c>
      <c r="M129" s="19" t="str">
        <f t="shared" si="21"/>
        <v/>
      </c>
      <c r="N129" s="19" t="str">
        <f t="shared" si="22"/>
        <v/>
      </c>
      <c r="O129" s="19" t="str">
        <f t="shared" si="17"/>
        <v/>
      </c>
      <c r="P129" s="19" t="str">
        <f t="shared" si="18"/>
        <v/>
      </c>
      <c r="Q129" s="19" t="str">
        <f t="shared" si="19"/>
        <v/>
      </c>
      <c r="R129" s="19" t="str">
        <f t="shared" si="24"/>
        <v/>
      </c>
      <c r="S129" s="27" t="str">
        <f t="shared" ref="S129:X144" si="26">IF(C129="","",((C129-C128)*1000)/($B129-$B128))</f>
        <v/>
      </c>
      <c r="T129" s="28" t="str">
        <f t="shared" si="26"/>
        <v/>
      </c>
      <c r="U129" s="28" t="str">
        <f t="shared" si="26"/>
        <v/>
      </c>
      <c r="V129" s="28" t="str">
        <f t="shared" si="26"/>
        <v/>
      </c>
      <c r="W129" s="28" t="str">
        <f t="shared" si="26"/>
        <v/>
      </c>
      <c r="X129" s="29" t="str">
        <f t="shared" si="26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0"/>
        <v/>
      </c>
      <c r="M130" s="19" t="str">
        <f t="shared" si="21"/>
        <v/>
      </c>
      <c r="N130" s="19" t="str">
        <f t="shared" si="22"/>
        <v/>
      </c>
      <c r="O130" s="19" t="str">
        <f t="shared" si="17"/>
        <v/>
      </c>
      <c r="P130" s="19" t="str">
        <f t="shared" si="18"/>
        <v/>
      </c>
      <c r="Q130" s="19" t="str">
        <f t="shared" si="19"/>
        <v/>
      </c>
      <c r="R130" s="19" t="str">
        <f t="shared" si="24"/>
        <v/>
      </c>
      <c r="S130" s="27" t="str">
        <f t="shared" si="26"/>
        <v/>
      </c>
      <c r="T130" s="28" t="str">
        <f t="shared" si="26"/>
        <v/>
      </c>
      <c r="U130" s="28" t="str">
        <f t="shared" si="26"/>
        <v/>
      </c>
      <c r="V130" s="28" t="str">
        <f t="shared" si="26"/>
        <v/>
      </c>
      <c r="W130" s="28" t="str">
        <f t="shared" si="26"/>
        <v/>
      </c>
      <c r="X130" s="29" t="str">
        <f t="shared" si="26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0"/>
        <v/>
      </c>
      <c r="M131" s="19" t="str">
        <f t="shared" si="21"/>
        <v/>
      </c>
      <c r="N131" s="19" t="str">
        <f t="shared" si="22"/>
        <v/>
      </c>
      <c r="O131" s="19" t="str">
        <f t="shared" si="17"/>
        <v/>
      </c>
      <c r="P131" s="19" t="str">
        <f t="shared" si="18"/>
        <v/>
      </c>
      <c r="Q131" s="19" t="str">
        <f t="shared" si="19"/>
        <v/>
      </c>
      <c r="R131" s="19" t="str">
        <f t="shared" si="24"/>
        <v/>
      </c>
      <c r="S131" s="27" t="str">
        <f t="shared" si="26"/>
        <v/>
      </c>
      <c r="T131" s="28" t="str">
        <f t="shared" si="26"/>
        <v/>
      </c>
      <c r="U131" s="28" t="str">
        <f t="shared" si="26"/>
        <v/>
      </c>
      <c r="V131" s="28" t="str">
        <f t="shared" si="26"/>
        <v/>
      </c>
      <c r="W131" s="28" t="str">
        <f t="shared" si="26"/>
        <v/>
      </c>
      <c r="X131" s="29" t="str">
        <f t="shared" si="26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0"/>
        <v/>
      </c>
      <c r="M132" s="19" t="str">
        <f t="shared" si="21"/>
        <v/>
      </c>
      <c r="N132" s="19" t="str">
        <f t="shared" si="22"/>
        <v/>
      </c>
      <c r="O132" s="19" t="str">
        <f t="shared" si="17"/>
        <v/>
      </c>
      <c r="P132" s="19" t="str">
        <f t="shared" si="18"/>
        <v/>
      </c>
      <c r="Q132" s="19" t="str">
        <f t="shared" si="19"/>
        <v/>
      </c>
      <c r="R132" s="19" t="str">
        <f t="shared" si="24"/>
        <v/>
      </c>
      <c r="S132" s="27" t="str">
        <f t="shared" si="26"/>
        <v/>
      </c>
      <c r="T132" s="28" t="str">
        <f t="shared" si="26"/>
        <v/>
      </c>
      <c r="U132" s="28" t="str">
        <f t="shared" si="26"/>
        <v/>
      </c>
      <c r="V132" s="28" t="str">
        <f t="shared" si="26"/>
        <v/>
      </c>
      <c r="W132" s="28" t="str">
        <f t="shared" si="26"/>
        <v/>
      </c>
      <c r="X132" s="29" t="str">
        <f t="shared" si="26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0"/>
        <v/>
      </c>
      <c r="M133" s="19" t="str">
        <f t="shared" si="21"/>
        <v/>
      </c>
      <c r="N133" s="19" t="str">
        <f t="shared" si="22"/>
        <v/>
      </c>
      <c r="O133" s="19" t="str">
        <f t="shared" si="17"/>
        <v/>
      </c>
      <c r="P133" s="19" t="str">
        <f t="shared" si="18"/>
        <v/>
      </c>
      <c r="Q133" s="19" t="str">
        <f t="shared" si="19"/>
        <v/>
      </c>
      <c r="R133" s="19" t="str">
        <f t="shared" si="24"/>
        <v/>
      </c>
      <c r="S133" s="27" t="str">
        <f t="shared" si="26"/>
        <v/>
      </c>
      <c r="T133" s="28" t="str">
        <f t="shared" si="26"/>
        <v/>
      </c>
      <c r="U133" s="28" t="str">
        <f t="shared" si="26"/>
        <v/>
      </c>
      <c r="V133" s="28" t="str">
        <f t="shared" si="26"/>
        <v/>
      </c>
      <c r="W133" s="28" t="str">
        <f t="shared" si="26"/>
        <v/>
      </c>
      <c r="X133" s="29" t="str">
        <f t="shared" si="26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0"/>
        <v/>
      </c>
      <c r="M134" s="19" t="str">
        <f t="shared" si="21"/>
        <v/>
      </c>
      <c r="N134" s="19" t="str">
        <f t="shared" si="22"/>
        <v/>
      </c>
      <c r="O134" s="19" t="str">
        <f t="shared" si="17"/>
        <v/>
      </c>
      <c r="P134" s="19" t="str">
        <f t="shared" si="18"/>
        <v/>
      </c>
      <c r="Q134" s="19" t="str">
        <f t="shared" si="19"/>
        <v/>
      </c>
      <c r="R134" s="19" t="str">
        <f t="shared" si="24"/>
        <v/>
      </c>
      <c r="S134" s="27" t="str">
        <f t="shared" si="26"/>
        <v/>
      </c>
      <c r="T134" s="28" t="str">
        <f t="shared" si="26"/>
        <v/>
      </c>
      <c r="U134" s="28" t="str">
        <f t="shared" si="26"/>
        <v/>
      </c>
      <c r="V134" s="28" t="str">
        <f t="shared" si="26"/>
        <v/>
      </c>
      <c r="W134" s="28" t="str">
        <f t="shared" si="26"/>
        <v/>
      </c>
      <c r="X134" s="29" t="str">
        <f t="shared" si="26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0"/>
        <v/>
      </c>
      <c r="M135" s="19" t="str">
        <f t="shared" si="21"/>
        <v/>
      </c>
      <c r="N135" s="19" t="str">
        <f t="shared" si="22"/>
        <v/>
      </c>
      <c r="O135" s="19" t="str">
        <f t="shared" si="17"/>
        <v/>
      </c>
      <c r="P135" s="19" t="str">
        <f t="shared" si="18"/>
        <v/>
      </c>
      <c r="Q135" s="19" t="str">
        <f t="shared" si="19"/>
        <v/>
      </c>
      <c r="R135" s="19" t="str">
        <f t="shared" si="24"/>
        <v/>
      </c>
      <c r="S135" s="27" t="str">
        <f t="shared" si="26"/>
        <v/>
      </c>
      <c r="T135" s="28" t="str">
        <f t="shared" si="26"/>
        <v/>
      </c>
      <c r="U135" s="28" t="str">
        <f t="shared" si="26"/>
        <v/>
      </c>
      <c r="V135" s="28" t="str">
        <f t="shared" si="26"/>
        <v/>
      </c>
      <c r="W135" s="28" t="str">
        <f t="shared" si="26"/>
        <v/>
      </c>
      <c r="X135" s="29" t="str">
        <f t="shared" si="26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0"/>
        <v/>
      </c>
      <c r="M136" s="19" t="str">
        <f t="shared" si="21"/>
        <v/>
      </c>
      <c r="N136" s="19" t="str">
        <f t="shared" si="22"/>
        <v/>
      </c>
      <c r="O136" s="19" t="str">
        <f t="shared" si="17"/>
        <v/>
      </c>
      <c r="P136" s="19" t="str">
        <f t="shared" si="18"/>
        <v/>
      </c>
      <c r="Q136" s="19" t="str">
        <f t="shared" si="19"/>
        <v/>
      </c>
      <c r="R136" s="19" t="str">
        <f t="shared" si="24"/>
        <v/>
      </c>
      <c r="S136" s="27" t="str">
        <f t="shared" si="26"/>
        <v/>
      </c>
      <c r="T136" s="28" t="str">
        <f t="shared" si="26"/>
        <v/>
      </c>
      <c r="U136" s="28" t="str">
        <f t="shared" si="26"/>
        <v/>
      </c>
      <c r="V136" s="28" t="str">
        <f t="shared" si="26"/>
        <v/>
      </c>
      <c r="W136" s="28" t="str">
        <f t="shared" si="26"/>
        <v/>
      </c>
      <c r="X136" s="29" t="str">
        <f t="shared" si="26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0"/>
        <v/>
      </c>
      <c r="M137" s="19" t="str">
        <f t="shared" si="21"/>
        <v/>
      </c>
      <c r="N137" s="19" t="str">
        <f t="shared" si="22"/>
        <v/>
      </c>
      <c r="O137" s="19" t="str">
        <f t="shared" si="17"/>
        <v/>
      </c>
      <c r="P137" s="19" t="str">
        <f t="shared" si="18"/>
        <v/>
      </c>
      <c r="Q137" s="19" t="str">
        <f t="shared" si="19"/>
        <v/>
      </c>
      <c r="R137" s="19" t="str">
        <f t="shared" si="24"/>
        <v/>
      </c>
      <c r="S137" s="27" t="str">
        <f t="shared" si="26"/>
        <v/>
      </c>
      <c r="T137" s="28" t="str">
        <f t="shared" si="26"/>
        <v/>
      </c>
      <c r="U137" s="28" t="str">
        <f t="shared" si="26"/>
        <v/>
      </c>
      <c r="V137" s="28" t="str">
        <f t="shared" si="26"/>
        <v/>
      </c>
      <c r="W137" s="28" t="str">
        <f t="shared" si="26"/>
        <v/>
      </c>
      <c r="X137" s="29" t="str">
        <f t="shared" si="26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0"/>
        <v/>
      </c>
      <c r="M138" s="19" t="str">
        <f t="shared" si="21"/>
        <v/>
      </c>
      <c r="N138" s="19" t="str">
        <f t="shared" si="22"/>
        <v/>
      </c>
      <c r="O138" s="19" t="str">
        <f t="shared" si="17"/>
        <v/>
      </c>
      <c r="P138" s="19" t="str">
        <f t="shared" si="18"/>
        <v/>
      </c>
      <c r="Q138" s="19" t="str">
        <f t="shared" si="19"/>
        <v/>
      </c>
      <c r="R138" s="19" t="str">
        <f t="shared" si="24"/>
        <v/>
      </c>
      <c r="S138" s="27" t="str">
        <f t="shared" si="26"/>
        <v/>
      </c>
      <c r="T138" s="28" t="str">
        <f t="shared" si="26"/>
        <v/>
      </c>
      <c r="U138" s="28" t="str">
        <f t="shared" si="26"/>
        <v/>
      </c>
      <c r="V138" s="28" t="str">
        <f t="shared" si="26"/>
        <v/>
      </c>
      <c r="W138" s="28" t="str">
        <f t="shared" si="26"/>
        <v/>
      </c>
      <c r="X138" s="29" t="str">
        <f t="shared" si="26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0"/>
        <v/>
      </c>
      <c r="M139" s="19" t="str">
        <f t="shared" si="21"/>
        <v/>
      </c>
      <c r="N139" s="19" t="str">
        <f t="shared" si="22"/>
        <v/>
      </c>
      <c r="O139" s="19" t="str">
        <f t="shared" si="17"/>
        <v/>
      </c>
      <c r="P139" s="19" t="str">
        <f t="shared" si="18"/>
        <v/>
      </c>
      <c r="Q139" s="19" t="str">
        <f t="shared" si="19"/>
        <v/>
      </c>
      <c r="R139" s="19" t="str">
        <f t="shared" si="24"/>
        <v/>
      </c>
      <c r="S139" s="27" t="str">
        <f t="shared" si="26"/>
        <v/>
      </c>
      <c r="T139" s="28" t="str">
        <f t="shared" si="26"/>
        <v/>
      </c>
      <c r="U139" s="28" t="str">
        <f t="shared" si="26"/>
        <v/>
      </c>
      <c r="V139" s="28" t="str">
        <f t="shared" si="26"/>
        <v/>
      </c>
      <c r="W139" s="28" t="str">
        <f t="shared" si="26"/>
        <v/>
      </c>
      <c r="X139" s="29" t="str">
        <f t="shared" si="26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0"/>
        <v/>
      </c>
      <c r="M140" s="19" t="str">
        <f t="shared" si="21"/>
        <v/>
      </c>
      <c r="N140" s="19" t="str">
        <f t="shared" si="22"/>
        <v/>
      </c>
      <c r="O140" s="19" t="str">
        <f t="shared" si="17"/>
        <v/>
      </c>
      <c r="P140" s="19" t="str">
        <f t="shared" si="18"/>
        <v/>
      </c>
      <c r="Q140" s="19" t="str">
        <f t="shared" si="19"/>
        <v/>
      </c>
      <c r="R140" s="19" t="str">
        <f t="shared" si="24"/>
        <v/>
      </c>
      <c r="S140" s="27" t="str">
        <f t="shared" si="26"/>
        <v/>
      </c>
      <c r="T140" s="28" t="str">
        <f t="shared" si="26"/>
        <v/>
      </c>
      <c r="U140" s="28" t="str">
        <f t="shared" si="26"/>
        <v/>
      </c>
      <c r="V140" s="28" t="str">
        <f t="shared" si="26"/>
        <v/>
      </c>
      <c r="W140" s="28" t="str">
        <f t="shared" si="26"/>
        <v/>
      </c>
      <c r="X140" s="29" t="str">
        <f t="shared" si="26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0"/>
        <v/>
      </c>
      <c r="M141" s="19" t="str">
        <f t="shared" si="21"/>
        <v/>
      </c>
      <c r="N141" s="19" t="str">
        <f t="shared" si="22"/>
        <v/>
      </c>
      <c r="O141" s="19" t="str">
        <f t="shared" si="17"/>
        <v/>
      </c>
      <c r="P141" s="19" t="str">
        <f t="shared" si="18"/>
        <v/>
      </c>
      <c r="Q141" s="19" t="str">
        <f t="shared" si="19"/>
        <v/>
      </c>
      <c r="R141" s="19" t="str">
        <f t="shared" si="24"/>
        <v/>
      </c>
      <c r="S141" s="27" t="str">
        <f t="shared" si="26"/>
        <v/>
      </c>
      <c r="T141" s="28" t="str">
        <f t="shared" si="26"/>
        <v/>
      </c>
      <c r="U141" s="28" t="str">
        <f t="shared" si="26"/>
        <v/>
      </c>
      <c r="V141" s="28" t="str">
        <f t="shared" si="26"/>
        <v/>
      </c>
      <c r="W141" s="28" t="str">
        <f t="shared" si="26"/>
        <v/>
      </c>
      <c r="X141" s="29" t="str">
        <f t="shared" si="26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0"/>
        <v/>
      </c>
      <c r="M142" s="19" t="str">
        <f t="shared" si="21"/>
        <v/>
      </c>
      <c r="N142" s="19" t="str">
        <f t="shared" si="22"/>
        <v/>
      </c>
      <c r="O142" s="19" t="str">
        <f t="shared" si="17"/>
        <v/>
      </c>
      <c r="P142" s="19" t="str">
        <f t="shared" si="18"/>
        <v/>
      </c>
      <c r="Q142" s="19" t="str">
        <f t="shared" si="19"/>
        <v/>
      </c>
      <c r="R142" s="19" t="str">
        <f t="shared" si="24"/>
        <v/>
      </c>
      <c r="S142" s="27" t="str">
        <f t="shared" si="26"/>
        <v/>
      </c>
      <c r="T142" s="28" t="str">
        <f t="shared" si="26"/>
        <v/>
      </c>
      <c r="U142" s="28" t="str">
        <f t="shared" si="26"/>
        <v/>
      </c>
      <c r="V142" s="28" t="str">
        <f t="shared" si="26"/>
        <v/>
      </c>
      <c r="W142" s="28" t="str">
        <f t="shared" si="26"/>
        <v/>
      </c>
      <c r="X142" s="29" t="str">
        <f t="shared" si="26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0"/>
        <v/>
      </c>
      <c r="M143" s="19" t="str">
        <f t="shared" si="21"/>
        <v/>
      </c>
      <c r="N143" s="19" t="str">
        <f t="shared" si="22"/>
        <v/>
      </c>
      <c r="O143" s="19" t="str">
        <f t="shared" si="17"/>
        <v/>
      </c>
      <c r="P143" s="19" t="str">
        <f t="shared" si="18"/>
        <v/>
      </c>
      <c r="Q143" s="19" t="str">
        <f t="shared" si="19"/>
        <v/>
      </c>
      <c r="R143" s="19" t="str">
        <f t="shared" si="24"/>
        <v/>
      </c>
      <c r="S143" s="27" t="str">
        <f t="shared" si="26"/>
        <v/>
      </c>
      <c r="T143" s="28" t="str">
        <f t="shared" si="26"/>
        <v/>
      </c>
      <c r="U143" s="28" t="str">
        <f t="shared" si="26"/>
        <v/>
      </c>
      <c r="V143" s="28" t="str">
        <f t="shared" si="26"/>
        <v/>
      </c>
      <c r="W143" s="28" t="str">
        <f t="shared" si="26"/>
        <v/>
      </c>
      <c r="X143" s="29" t="str">
        <f t="shared" si="26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0"/>
        <v/>
      </c>
      <c r="M144" s="19" t="str">
        <f t="shared" si="21"/>
        <v/>
      </c>
      <c r="N144" s="19" t="str">
        <f t="shared" si="22"/>
        <v/>
      </c>
      <c r="O144" s="19" t="str">
        <f t="shared" si="17"/>
        <v/>
      </c>
      <c r="P144" s="19" t="str">
        <f t="shared" si="18"/>
        <v/>
      </c>
      <c r="Q144" s="19" t="str">
        <f t="shared" si="19"/>
        <v/>
      </c>
      <c r="R144" s="19" t="str">
        <f t="shared" ref="R144:R153" si="27">IF(ISBLANK(I144),"",(I144-I$16)*1000)</f>
        <v/>
      </c>
      <c r="S144" s="27" t="str">
        <f t="shared" si="26"/>
        <v/>
      </c>
      <c r="T144" s="28" t="str">
        <f t="shared" si="26"/>
        <v/>
      </c>
      <c r="U144" s="28" t="str">
        <f t="shared" si="26"/>
        <v/>
      </c>
      <c r="V144" s="28" t="str">
        <f t="shared" si="26"/>
        <v/>
      </c>
      <c r="W144" s="28" t="str">
        <f t="shared" si="26"/>
        <v/>
      </c>
      <c r="X144" s="29" t="str">
        <f t="shared" si="26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0"/>
        <v/>
      </c>
      <c r="M145" s="19" t="str">
        <f t="shared" si="21"/>
        <v/>
      </c>
      <c r="N145" s="19" t="str">
        <f t="shared" si="22"/>
        <v/>
      </c>
      <c r="O145" s="19" t="str">
        <f t="shared" si="17"/>
        <v/>
      </c>
      <c r="P145" s="19" t="str">
        <f t="shared" si="18"/>
        <v/>
      </c>
      <c r="Q145" s="19" t="str">
        <f t="shared" si="19"/>
        <v/>
      </c>
      <c r="R145" s="19" t="str">
        <f t="shared" si="27"/>
        <v/>
      </c>
      <c r="S145" s="27" t="str">
        <f t="shared" ref="S145:X153" si="28">IF(C145="","",((C145-C144)*1000)/($B145-$B144))</f>
        <v/>
      </c>
      <c r="T145" s="28" t="str">
        <f t="shared" si="28"/>
        <v/>
      </c>
      <c r="U145" s="28" t="str">
        <f t="shared" si="28"/>
        <v/>
      </c>
      <c r="V145" s="28" t="str">
        <f t="shared" si="28"/>
        <v/>
      </c>
      <c r="W145" s="28" t="str">
        <f t="shared" si="28"/>
        <v/>
      </c>
      <c r="X145" s="29" t="str">
        <f t="shared" si="28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0"/>
        <v/>
      </c>
      <c r="M146" s="19" t="str">
        <f t="shared" si="21"/>
        <v/>
      </c>
      <c r="N146" s="19" t="str">
        <f t="shared" si="22"/>
        <v/>
      </c>
      <c r="O146" s="19" t="str">
        <f t="shared" si="17"/>
        <v/>
      </c>
      <c r="P146" s="19" t="str">
        <f t="shared" si="18"/>
        <v/>
      </c>
      <c r="Q146" s="19" t="str">
        <f t="shared" si="19"/>
        <v/>
      </c>
      <c r="R146" s="19" t="str">
        <f t="shared" si="27"/>
        <v/>
      </c>
      <c r="S146" s="27" t="str">
        <f t="shared" si="28"/>
        <v/>
      </c>
      <c r="T146" s="28" t="str">
        <f t="shared" si="28"/>
        <v/>
      </c>
      <c r="U146" s="28" t="str">
        <f t="shared" si="28"/>
        <v/>
      </c>
      <c r="V146" s="28" t="str">
        <f t="shared" si="28"/>
        <v/>
      </c>
      <c r="W146" s="28" t="str">
        <f t="shared" si="28"/>
        <v/>
      </c>
      <c r="X146" s="29" t="str">
        <f t="shared" si="28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0"/>
        <v/>
      </c>
      <c r="M147" s="19" t="str">
        <f t="shared" si="21"/>
        <v/>
      </c>
      <c r="N147" s="19" t="str">
        <f t="shared" si="22"/>
        <v/>
      </c>
      <c r="O147" s="19" t="str">
        <f t="shared" si="17"/>
        <v/>
      </c>
      <c r="P147" s="19" t="str">
        <f t="shared" si="18"/>
        <v/>
      </c>
      <c r="Q147" s="19" t="str">
        <f t="shared" si="19"/>
        <v/>
      </c>
      <c r="R147" s="19" t="str">
        <f t="shared" si="27"/>
        <v/>
      </c>
      <c r="S147" s="27" t="str">
        <f t="shared" si="28"/>
        <v/>
      </c>
      <c r="T147" s="28" t="str">
        <f t="shared" si="28"/>
        <v/>
      </c>
      <c r="U147" s="28" t="str">
        <f t="shared" si="28"/>
        <v/>
      </c>
      <c r="V147" s="28" t="str">
        <f t="shared" si="28"/>
        <v/>
      </c>
      <c r="W147" s="28" t="str">
        <f t="shared" si="28"/>
        <v/>
      </c>
      <c r="X147" s="29" t="str">
        <f t="shared" si="28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0"/>
        <v/>
      </c>
      <c r="M148" s="19" t="str">
        <f t="shared" si="21"/>
        <v/>
      </c>
      <c r="N148" s="19" t="str">
        <f t="shared" si="22"/>
        <v/>
      </c>
      <c r="O148" s="19" t="str">
        <f t="shared" si="17"/>
        <v/>
      </c>
      <c r="P148" s="19" t="str">
        <f t="shared" si="18"/>
        <v/>
      </c>
      <c r="Q148" s="19" t="str">
        <f t="shared" si="19"/>
        <v/>
      </c>
      <c r="R148" s="19" t="str">
        <f t="shared" si="27"/>
        <v/>
      </c>
      <c r="S148" s="27" t="str">
        <f t="shared" si="28"/>
        <v/>
      </c>
      <c r="T148" s="28" t="str">
        <f t="shared" si="28"/>
        <v/>
      </c>
      <c r="U148" s="28" t="str">
        <f t="shared" si="28"/>
        <v/>
      </c>
      <c r="V148" s="28" t="str">
        <f t="shared" si="28"/>
        <v/>
      </c>
      <c r="W148" s="28" t="str">
        <f t="shared" si="28"/>
        <v/>
      </c>
      <c r="X148" s="29" t="str">
        <f t="shared" si="28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0"/>
        <v/>
      </c>
      <c r="M149" s="19" t="str">
        <f t="shared" si="21"/>
        <v/>
      </c>
      <c r="N149" s="19" t="str">
        <f t="shared" si="22"/>
        <v/>
      </c>
      <c r="O149" s="19" t="str">
        <f t="shared" si="17"/>
        <v/>
      </c>
      <c r="P149" s="19" t="str">
        <f t="shared" si="18"/>
        <v/>
      </c>
      <c r="Q149" s="19" t="str">
        <f t="shared" si="19"/>
        <v/>
      </c>
      <c r="R149" s="19" t="str">
        <f t="shared" si="27"/>
        <v/>
      </c>
      <c r="S149" s="27" t="str">
        <f t="shared" si="28"/>
        <v/>
      </c>
      <c r="T149" s="28" t="str">
        <f t="shared" si="28"/>
        <v/>
      </c>
      <c r="U149" s="28" t="str">
        <f t="shared" si="28"/>
        <v/>
      </c>
      <c r="V149" s="28" t="str">
        <f t="shared" si="28"/>
        <v/>
      </c>
      <c r="W149" s="28" t="str">
        <f t="shared" si="28"/>
        <v/>
      </c>
      <c r="X149" s="29" t="str">
        <f t="shared" si="28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0"/>
        <v/>
      </c>
      <c r="M150" s="19" t="str">
        <f t="shared" si="21"/>
        <v/>
      </c>
      <c r="N150" s="19" t="str">
        <f t="shared" si="22"/>
        <v/>
      </c>
      <c r="O150" s="19" t="str">
        <f t="shared" si="17"/>
        <v/>
      </c>
      <c r="P150" s="19" t="str">
        <f t="shared" si="18"/>
        <v/>
      </c>
      <c r="Q150" s="19" t="str">
        <f t="shared" si="19"/>
        <v/>
      </c>
      <c r="R150" s="19" t="str">
        <f t="shared" si="27"/>
        <v/>
      </c>
      <c r="S150" s="27" t="str">
        <f t="shared" si="28"/>
        <v/>
      </c>
      <c r="T150" s="28" t="str">
        <f t="shared" si="28"/>
        <v/>
      </c>
      <c r="U150" s="28" t="str">
        <f t="shared" si="28"/>
        <v/>
      </c>
      <c r="V150" s="28" t="str">
        <f t="shared" si="28"/>
        <v/>
      </c>
      <c r="W150" s="28" t="str">
        <f t="shared" si="28"/>
        <v/>
      </c>
      <c r="X150" s="29" t="str">
        <f t="shared" si="28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0"/>
        <v/>
      </c>
      <c r="M151" s="19" t="str">
        <f t="shared" si="21"/>
        <v/>
      </c>
      <c r="N151" s="19" t="str">
        <f t="shared" si="22"/>
        <v/>
      </c>
      <c r="O151" s="19" t="str">
        <f t="shared" si="17"/>
        <v/>
      </c>
      <c r="P151" s="19" t="str">
        <f t="shared" si="18"/>
        <v/>
      </c>
      <c r="Q151" s="19" t="str">
        <f t="shared" si="19"/>
        <v/>
      </c>
      <c r="R151" s="19" t="str">
        <f t="shared" si="27"/>
        <v/>
      </c>
      <c r="S151" s="27" t="str">
        <f t="shared" si="28"/>
        <v/>
      </c>
      <c r="T151" s="28" t="str">
        <f t="shared" si="28"/>
        <v/>
      </c>
      <c r="U151" s="28" t="str">
        <f t="shared" si="28"/>
        <v/>
      </c>
      <c r="V151" s="28" t="str">
        <f t="shared" si="28"/>
        <v/>
      </c>
      <c r="W151" s="28" t="str">
        <f t="shared" si="28"/>
        <v/>
      </c>
      <c r="X151" s="29" t="str">
        <f t="shared" si="28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0"/>
        <v/>
      </c>
      <c r="M152" s="19" t="str">
        <f t="shared" si="21"/>
        <v/>
      </c>
      <c r="N152" s="19" t="str">
        <f t="shared" si="22"/>
        <v/>
      </c>
      <c r="O152" s="19" t="str">
        <f t="shared" si="17"/>
        <v/>
      </c>
      <c r="P152" s="19" t="str">
        <f t="shared" si="18"/>
        <v/>
      </c>
      <c r="Q152" s="19" t="str">
        <f t="shared" si="19"/>
        <v/>
      </c>
      <c r="R152" s="19" t="str">
        <f t="shared" si="27"/>
        <v/>
      </c>
      <c r="S152" s="27" t="str">
        <f t="shared" si="28"/>
        <v/>
      </c>
      <c r="T152" s="28" t="str">
        <f t="shared" si="28"/>
        <v/>
      </c>
      <c r="U152" s="28" t="str">
        <f t="shared" si="28"/>
        <v/>
      </c>
      <c r="V152" s="28" t="str">
        <f t="shared" si="28"/>
        <v/>
      </c>
      <c r="W152" s="28" t="str">
        <f t="shared" si="28"/>
        <v/>
      </c>
      <c r="X152" s="29" t="str">
        <f t="shared" si="28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0"/>
        <v/>
      </c>
      <c r="M153" s="19" t="str">
        <f t="shared" si="21"/>
        <v/>
      </c>
      <c r="N153" s="19" t="str">
        <f t="shared" si="22"/>
        <v/>
      </c>
      <c r="O153" s="19" t="str">
        <f t="shared" si="17"/>
        <v/>
      </c>
      <c r="P153" s="19" t="str">
        <f t="shared" si="18"/>
        <v/>
      </c>
      <c r="Q153" s="19" t="str">
        <f t="shared" si="19"/>
        <v/>
      </c>
      <c r="R153" s="19" t="str">
        <f t="shared" si="27"/>
        <v/>
      </c>
      <c r="S153" s="27" t="str">
        <f t="shared" si="28"/>
        <v/>
      </c>
      <c r="T153" s="28" t="str">
        <f t="shared" si="28"/>
        <v/>
      </c>
      <c r="U153" s="28" t="str">
        <f t="shared" si="28"/>
        <v/>
      </c>
      <c r="V153" s="28" t="str">
        <f t="shared" si="28"/>
        <v/>
      </c>
      <c r="W153" s="28" t="str">
        <f t="shared" si="28"/>
        <v/>
      </c>
      <c r="X153" s="29" t="str">
        <f t="shared" si="28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0:J12"/>
    <mergeCell ref="K10:S12"/>
    <mergeCell ref="T10:Y12"/>
    <mergeCell ref="B9:O9"/>
    <mergeCell ref="P9:Y9"/>
    <mergeCell ref="J5:Q5"/>
    <mergeCell ref="R5:V5"/>
    <mergeCell ref="E6:I6"/>
    <mergeCell ref="J6:Q6"/>
    <mergeCell ref="AA9:AI9"/>
    <mergeCell ref="R6:V6"/>
    <mergeCell ref="W6:Y6"/>
    <mergeCell ref="E7:I7"/>
    <mergeCell ref="J7:Q7"/>
    <mergeCell ref="R7:V7"/>
    <mergeCell ref="W7:Y7"/>
    <mergeCell ref="J14:K14"/>
    <mergeCell ref="W5:Y5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R8:V8"/>
    <mergeCell ref="B5:D8"/>
    <mergeCell ref="E5:I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0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3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TZ-28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 t="s">
        <v>54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41772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41774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/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471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729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55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43">
        <v>41774</v>
      </c>
      <c r="C16" s="14">
        <v>12.981999999999999</v>
      </c>
      <c r="D16" s="15">
        <v>8.4309999999999992</v>
      </c>
      <c r="E16" s="15">
        <v>7.7450000000000001</v>
      </c>
      <c r="F16" s="42"/>
      <c r="G16" s="42"/>
      <c r="H16" s="42"/>
      <c r="I16" s="41">
        <v>104.111</v>
      </c>
      <c r="J16" s="62">
        <v>743</v>
      </c>
      <c r="K16" s="55">
        <f>IF(ISBLANK(J16),"",(J16-$J$8))</f>
        <v>14</v>
      </c>
      <c r="L16" s="19">
        <f t="shared" ref="L16:Q47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41775</v>
      </c>
      <c r="C17" s="25">
        <v>12.98</v>
      </c>
      <c r="D17" s="26">
        <v>8.43</v>
      </c>
      <c r="E17" s="26">
        <v>7.7450000000000001</v>
      </c>
      <c r="F17" s="16"/>
      <c r="G17" s="16"/>
      <c r="H17" s="16"/>
      <c r="I17" s="17">
        <v>104.11</v>
      </c>
      <c r="J17" s="58">
        <v>750</v>
      </c>
      <c r="K17" s="18">
        <f>IF(ISBLANK(J17),"",(J17-$J$8))</f>
        <v>21</v>
      </c>
      <c r="L17" s="19">
        <f t="shared" si="0"/>
        <v>-1.9999999999988916</v>
      </c>
      <c r="M17" s="19">
        <f t="shared" si="0"/>
        <v>-0.99999999999944578</v>
      </c>
      <c r="N17" s="19">
        <f t="shared" si="0"/>
        <v>0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-1.0000000000047748</v>
      </c>
      <c r="S17" s="27">
        <f t="shared" ref="S17:X32" si="2">IF(C17="","",((C17-C16)*1000)/($B17-$B16))</f>
        <v>-1.9999999999988916</v>
      </c>
      <c r="T17" s="28">
        <f t="shared" si="2"/>
        <v>-0.99999999999944578</v>
      </c>
      <c r="U17" s="28">
        <f t="shared" si="2"/>
        <v>0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24"/>
    </row>
    <row r="18" spans="2:25" ht="15" customHeight="1" x14ac:dyDescent="0.2">
      <c r="B18" s="31">
        <v>41778</v>
      </c>
      <c r="C18" s="25">
        <v>12.98</v>
      </c>
      <c r="D18" s="26">
        <v>8.43</v>
      </c>
      <c r="E18" s="26">
        <v>7.7450000000000001</v>
      </c>
      <c r="F18" s="16"/>
      <c r="G18" s="16"/>
      <c r="H18" s="16"/>
      <c r="I18" s="17">
        <v>104.11</v>
      </c>
      <c r="J18" s="58">
        <v>763</v>
      </c>
      <c r="K18" s="18">
        <f t="shared" ref="K18:K29" si="3">IF(ISBLANK(J18),"",(J18-$J$8))</f>
        <v>34</v>
      </c>
      <c r="L18" s="19">
        <f t="shared" si="0"/>
        <v>-1.9999999999988916</v>
      </c>
      <c r="M18" s="19">
        <f t="shared" si="0"/>
        <v>-0.99999999999944578</v>
      </c>
      <c r="N18" s="19">
        <f t="shared" si="0"/>
        <v>0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-1.0000000000047748</v>
      </c>
      <c r="S18" s="27">
        <f t="shared" si="2"/>
        <v>0</v>
      </c>
      <c r="T18" s="28">
        <f t="shared" si="2"/>
        <v>0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41779</v>
      </c>
      <c r="C19" s="25">
        <v>12.98</v>
      </c>
      <c r="D19" s="26">
        <v>8.43</v>
      </c>
      <c r="E19" s="26">
        <v>7.7450000000000001</v>
      </c>
      <c r="F19" s="16"/>
      <c r="G19" s="16"/>
      <c r="H19" s="16"/>
      <c r="I19" s="17">
        <v>104.11</v>
      </c>
      <c r="J19" s="58">
        <v>774</v>
      </c>
      <c r="K19" s="18">
        <f t="shared" si="3"/>
        <v>45</v>
      </c>
      <c r="L19" s="19">
        <f t="shared" si="0"/>
        <v>-1.9999999999988916</v>
      </c>
      <c r="M19" s="19">
        <f t="shared" si="0"/>
        <v>-0.99999999999944578</v>
      </c>
      <c r="N19" s="19">
        <f t="shared" si="0"/>
        <v>0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-1.0000000000047748</v>
      </c>
      <c r="S19" s="27">
        <f t="shared" si="2"/>
        <v>0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41780</v>
      </c>
      <c r="C20" s="25">
        <v>12.98</v>
      </c>
      <c r="D20" s="26">
        <v>8.4309999999999992</v>
      </c>
      <c r="E20" s="26">
        <v>7.7439999999999998</v>
      </c>
      <c r="F20" s="16"/>
      <c r="G20" s="16"/>
      <c r="H20" s="16"/>
      <c r="I20" s="17">
        <v>104.11</v>
      </c>
      <c r="J20" s="58">
        <v>782</v>
      </c>
      <c r="K20" s="18">
        <f t="shared" si="3"/>
        <v>53</v>
      </c>
      <c r="L20" s="19">
        <f t="shared" si="0"/>
        <v>-1.9999999999988916</v>
      </c>
      <c r="M20" s="19">
        <f t="shared" si="0"/>
        <v>0</v>
      </c>
      <c r="N20" s="19">
        <f t="shared" si="0"/>
        <v>-1.000000000000334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-1.0000000000047748</v>
      </c>
      <c r="S20" s="27">
        <f t="shared" si="2"/>
        <v>0</v>
      </c>
      <c r="T20" s="28">
        <f t="shared" si="2"/>
        <v>0.99999999999944578</v>
      </c>
      <c r="U20" s="28">
        <f t="shared" si="2"/>
        <v>-1.000000000000334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41781</v>
      </c>
      <c r="C21" s="25">
        <v>12.98</v>
      </c>
      <c r="D21" s="26">
        <v>8.4309999999999992</v>
      </c>
      <c r="E21" s="26">
        <v>7.7430000000000003</v>
      </c>
      <c r="F21" s="16"/>
      <c r="G21" s="16"/>
      <c r="H21" s="16"/>
      <c r="I21" s="17">
        <v>104.111</v>
      </c>
      <c r="J21" s="58">
        <v>792</v>
      </c>
      <c r="K21" s="18">
        <f t="shared" si="3"/>
        <v>63</v>
      </c>
      <c r="L21" s="19">
        <f t="shared" si="0"/>
        <v>-1.9999999999988916</v>
      </c>
      <c r="M21" s="19">
        <f t="shared" si="0"/>
        <v>0</v>
      </c>
      <c r="N21" s="19">
        <f t="shared" si="0"/>
        <v>-1.9999999999997797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0</v>
      </c>
      <c r="S21" s="27">
        <f t="shared" si="2"/>
        <v>0</v>
      </c>
      <c r="T21" s="28">
        <f t="shared" si="2"/>
        <v>0</v>
      </c>
      <c r="U21" s="28">
        <f t="shared" si="2"/>
        <v>-0.99999999999944578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41782</v>
      </c>
      <c r="C22" s="25">
        <v>12.978999999999999</v>
      </c>
      <c r="D22" s="26">
        <v>8.43</v>
      </c>
      <c r="E22" s="26">
        <v>7.7439999999999998</v>
      </c>
      <c r="F22" s="16"/>
      <c r="G22" s="16"/>
      <c r="H22" s="16"/>
      <c r="I22" s="17">
        <v>104.111</v>
      </c>
      <c r="J22" s="58">
        <v>801</v>
      </c>
      <c r="K22" s="18">
        <f t="shared" si="3"/>
        <v>72</v>
      </c>
      <c r="L22" s="19">
        <f t="shared" si="0"/>
        <v>-3.0000000000001137</v>
      </c>
      <c r="M22" s="19">
        <f t="shared" si="0"/>
        <v>-0.99999999999944578</v>
      </c>
      <c r="N22" s="19">
        <f t="shared" si="0"/>
        <v>-1.000000000000334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0</v>
      </c>
      <c r="S22" s="27">
        <f t="shared" si="2"/>
        <v>-1.0000000000012221</v>
      </c>
      <c r="T22" s="28">
        <f t="shared" si="2"/>
        <v>-0.99999999999944578</v>
      </c>
      <c r="U22" s="28">
        <f t="shared" si="2"/>
        <v>0.99999999999944578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41785</v>
      </c>
      <c r="C23" s="25">
        <v>12.978999999999999</v>
      </c>
      <c r="D23" s="26">
        <v>8.43</v>
      </c>
      <c r="E23" s="26">
        <v>7.7439999999999998</v>
      </c>
      <c r="F23" s="16"/>
      <c r="G23" s="16"/>
      <c r="H23" s="16"/>
      <c r="I23" s="17">
        <v>104.111</v>
      </c>
      <c r="J23" s="58">
        <v>813</v>
      </c>
      <c r="K23" s="18">
        <f t="shared" si="3"/>
        <v>84</v>
      </c>
      <c r="L23" s="19">
        <f t="shared" si="0"/>
        <v>-3.0000000000001137</v>
      </c>
      <c r="M23" s="19">
        <f t="shared" si="0"/>
        <v>-0.99999999999944578</v>
      </c>
      <c r="N23" s="19">
        <f t="shared" si="0"/>
        <v>-1.000000000000334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0</v>
      </c>
      <c r="S23" s="27">
        <f t="shared" si="2"/>
        <v>0</v>
      </c>
      <c r="T23" s="28">
        <f t="shared" si="2"/>
        <v>0</v>
      </c>
      <c r="U23" s="28">
        <f t="shared" si="2"/>
        <v>0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41786</v>
      </c>
      <c r="C24" s="25">
        <v>12.978999999999999</v>
      </c>
      <c r="D24" s="26">
        <v>8.43</v>
      </c>
      <c r="E24" s="26">
        <v>7.7430000000000003</v>
      </c>
      <c r="F24" s="16"/>
      <c r="G24" s="16"/>
      <c r="H24" s="16"/>
      <c r="I24" s="17">
        <v>104.11</v>
      </c>
      <c r="J24" s="58">
        <v>821</v>
      </c>
      <c r="K24" s="18">
        <f t="shared" si="3"/>
        <v>92</v>
      </c>
      <c r="L24" s="19">
        <f t="shared" si="0"/>
        <v>-3.0000000000001137</v>
      </c>
      <c r="M24" s="19">
        <f t="shared" si="0"/>
        <v>-0.99999999999944578</v>
      </c>
      <c r="N24" s="19">
        <f t="shared" si="0"/>
        <v>-1.9999999999997797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-1.0000000000047748</v>
      </c>
      <c r="S24" s="27">
        <f t="shared" si="2"/>
        <v>0</v>
      </c>
      <c r="T24" s="28">
        <f t="shared" si="2"/>
        <v>0</v>
      </c>
      <c r="U24" s="28">
        <f t="shared" si="2"/>
        <v>-0.99999999999944578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41787</v>
      </c>
      <c r="C25" s="25">
        <v>12.98</v>
      </c>
      <c r="D25" s="26">
        <v>8.4309999999999992</v>
      </c>
      <c r="E25" s="26">
        <v>7.7430000000000003</v>
      </c>
      <c r="F25" s="16"/>
      <c r="G25" s="16"/>
      <c r="H25" s="16"/>
      <c r="I25" s="17">
        <v>104.11</v>
      </c>
      <c r="J25" s="58">
        <v>837</v>
      </c>
      <c r="K25" s="18">
        <f t="shared" si="3"/>
        <v>108</v>
      </c>
      <c r="L25" s="19">
        <f t="shared" si="0"/>
        <v>-1.9999999999988916</v>
      </c>
      <c r="M25" s="19">
        <f t="shared" si="0"/>
        <v>0</v>
      </c>
      <c r="N25" s="19">
        <f t="shared" si="0"/>
        <v>-1.9999999999997797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-1.0000000000047748</v>
      </c>
      <c r="S25" s="27">
        <f t="shared" si="2"/>
        <v>1.0000000000012221</v>
      </c>
      <c r="T25" s="28">
        <f t="shared" si="2"/>
        <v>0.99999999999944578</v>
      </c>
      <c r="U25" s="28">
        <f t="shared" si="2"/>
        <v>0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41788</v>
      </c>
      <c r="C26" s="25">
        <v>12.98</v>
      </c>
      <c r="D26" s="26">
        <v>8.4290000000000003</v>
      </c>
      <c r="E26" s="26">
        <v>7.7439999999999998</v>
      </c>
      <c r="F26" s="16"/>
      <c r="G26" s="16"/>
      <c r="H26" s="16"/>
      <c r="I26" s="17">
        <v>104.11</v>
      </c>
      <c r="J26" s="58">
        <v>844</v>
      </c>
      <c r="K26" s="18">
        <f t="shared" si="3"/>
        <v>115</v>
      </c>
      <c r="L26" s="19">
        <f t="shared" si="0"/>
        <v>-1.9999999999988916</v>
      </c>
      <c r="M26" s="19">
        <f t="shared" si="0"/>
        <v>-1.9999999999988916</v>
      </c>
      <c r="N26" s="19">
        <f t="shared" si="0"/>
        <v>-1.000000000000334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-1.0000000000047748</v>
      </c>
      <c r="S26" s="27">
        <f t="shared" si="2"/>
        <v>0</v>
      </c>
      <c r="T26" s="28">
        <f t="shared" si="2"/>
        <v>-1.9999999999988916</v>
      </c>
      <c r="U26" s="28">
        <f t="shared" si="2"/>
        <v>0.99999999999944578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41789</v>
      </c>
      <c r="C27" s="25">
        <v>12.978999999999999</v>
      </c>
      <c r="D27" s="26">
        <v>8.43</v>
      </c>
      <c r="E27" s="26">
        <v>7.7439999999999998</v>
      </c>
      <c r="F27" s="16"/>
      <c r="G27" s="16"/>
      <c r="H27" s="16"/>
      <c r="I27" s="17">
        <v>104.11</v>
      </c>
      <c r="J27" s="58">
        <v>851</v>
      </c>
      <c r="K27" s="18">
        <f t="shared" si="3"/>
        <v>122</v>
      </c>
      <c r="L27" s="19">
        <f t="shared" si="0"/>
        <v>-3.0000000000001137</v>
      </c>
      <c r="M27" s="19">
        <f t="shared" si="0"/>
        <v>-0.99999999999944578</v>
      </c>
      <c r="N27" s="19">
        <f t="shared" si="0"/>
        <v>-1.000000000000334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-1.0000000000047748</v>
      </c>
      <c r="S27" s="27">
        <f t="shared" si="2"/>
        <v>-1.0000000000012221</v>
      </c>
      <c r="T27" s="28">
        <f t="shared" si="2"/>
        <v>0.99999999999944578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41792</v>
      </c>
      <c r="C28" s="25">
        <v>12.98</v>
      </c>
      <c r="D28" s="26">
        <v>8.43</v>
      </c>
      <c r="E28" s="26">
        <v>7.7430000000000003</v>
      </c>
      <c r="F28" s="16"/>
      <c r="G28" s="16"/>
      <c r="H28" s="16"/>
      <c r="I28" s="17">
        <v>104.11</v>
      </c>
      <c r="J28" s="58">
        <v>865</v>
      </c>
      <c r="K28" s="18">
        <f t="shared" si="3"/>
        <v>136</v>
      </c>
      <c r="L28" s="19">
        <f t="shared" si="0"/>
        <v>-1.9999999999988916</v>
      </c>
      <c r="M28" s="19">
        <f t="shared" si="0"/>
        <v>-0.99999999999944578</v>
      </c>
      <c r="N28" s="19">
        <f t="shared" si="0"/>
        <v>-1.9999999999997797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1"/>
        <v>-1.0000000000047748</v>
      </c>
      <c r="S28" s="27">
        <f t="shared" si="2"/>
        <v>0.33333333333374071</v>
      </c>
      <c r="T28" s="28">
        <f t="shared" si="2"/>
        <v>0</v>
      </c>
      <c r="U28" s="28">
        <f t="shared" si="2"/>
        <v>-0.33333333333314857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41793</v>
      </c>
      <c r="C29" s="25">
        <v>12.98</v>
      </c>
      <c r="D29" s="26">
        <v>8.43</v>
      </c>
      <c r="E29" s="26">
        <v>7.7430000000000003</v>
      </c>
      <c r="F29" s="16"/>
      <c r="G29" s="16"/>
      <c r="H29" s="16"/>
      <c r="I29" s="17">
        <v>104.11</v>
      </c>
      <c r="J29" s="58">
        <v>874</v>
      </c>
      <c r="K29" s="18">
        <f t="shared" si="3"/>
        <v>145</v>
      </c>
      <c r="L29" s="19">
        <f t="shared" si="0"/>
        <v>-1.9999999999988916</v>
      </c>
      <c r="M29" s="19">
        <f t="shared" si="0"/>
        <v>-0.99999999999944578</v>
      </c>
      <c r="N29" s="19">
        <f t="shared" si="0"/>
        <v>-1.9999999999997797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1"/>
        <v>-1.0000000000047748</v>
      </c>
      <c r="S29" s="27">
        <f t="shared" si="2"/>
        <v>0</v>
      </c>
      <c r="T29" s="28">
        <f t="shared" si="2"/>
        <v>0</v>
      </c>
      <c r="U29" s="28">
        <f t="shared" si="2"/>
        <v>0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41800</v>
      </c>
      <c r="C30" s="25">
        <v>12.978</v>
      </c>
      <c r="D30" s="26">
        <v>8.43</v>
      </c>
      <c r="E30" s="26">
        <v>7.742</v>
      </c>
      <c r="F30" s="16"/>
      <c r="G30" s="16"/>
      <c r="H30" s="16"/>
      <c r="I30" s="17">
        <v>104.10899999999999</v>
      </c>
      <c r="J30" s="58">
        <v>929</v>
      </c>
      <c r="K30" s="18">
        <f t="shared" ref="K30:K36" si="4">IF(ISBLANK(J30),"",(J30-$J$8))</f>
        <v>200</v>
      </c>
      <c r="L30" s="19">
        <f t="shared" si="0"/>
        <v>-3.9999999999995595</v>
      </c>
      <c r="M30" s="19">
        <f t="shared" si="0"/>
        <v>-0.99999999999944578</v>
      </c>
      <c r="N30" s="19">
        <f t="shared" si="0"/>
        <v>-3.0000000000001137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1"/>
        <v>-2.0000000000095497</v>
      </c>
      <c r="S30" s="27">
        <f t="shared" si="2"/>
        <v>-0.28571428571438112</v>
      </c>
      <c r="T30" s="28">
        <f t="shared" si="2"/>
        <v>0</v>
      </c>
      <c r="U30" s="28">
        <f t="shared" si="2"/>
        <v>-0.14285714285719056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41829</v>
      </c>
      <c r="C31" s="64">
        <v>12.978</v>
      </c>
      <c r="D31" s="65">
        <v>8.43</v>
      </c>
      <c r="E31" s="26">
        <v>7.742</v>
      </c>
      <c r="F31" s="16">
        <v>13.657</v>
      </c>
      <c r="G31" s="16">
        <v>10.128</v>
      </c>
      <c r="H31" s="16">
        <v>10.231999999999999</v>
      </c>
      <c r="I31" s="17">
        <v>104.1</v>
      </c>
      <c r="J31" s="58">
        <v>793</v>
      </c>
      <c r="K31" s="18">
        <f t="shared" si="4"/>
        <v>64</v>
      </c>
      <c r="L31" s="19">
        <f t="shared" si="0"/>
        <v>-3.9999999999995595</v>
      </c>
      <c r="M31" s="19">
        <f t="shared" si="0"/>
        <v>-0.99999999999944578</v>
      </c>
      <c r="N31" s="19">
        <f t="shared" si="0"/>
        <v>-3.0000000000001137</v>
      </c>
      <c r="O31" s="19">
        <f>IF(ISBLANK(F31),"",((F31-F$31)*1000)+L$31)</f>
        <v>-3.9999999999995595</v>
      </c>
      <c r="P31" s="19">
        <f>IF(ISBLANK(G31),"",((G31-G$31)*1000)+M$31)</f>
        <v>-0.99999999999944578</v>
      </c>
      <c r="Q31" s="19">
        <f>IF(ISBLANK(H31),"",((H31-H$31)*1000)+N$31)</f>
        <v>-3.0000000000001137</v>
      </c>
      <c r="R31" s="19">
        <f t="shared" si="1"/>
        <v>-11.000000000009891</v>
      </c>
      <c r="S31" s="27">
        <f t="shared" si="2"/>
        <v>0</v>
      </c>
      <c r="T31" s="28">
        <f t="shared" si="2"/>
        <v>0</v>
      </c>
      <c r="U31" s="28">
        <f t="shared" si="2"/>
        <v>0</v>
      </c>
      <c r="V31" s="28"/>
      <c r="W31" s="28"/>
      <c r="X31" s="29"/>
      <c r="Y31" s="24"/>
    </row>
    <row r="32" spans="2:25" ht="15" customHeight="1" x14ac:dyDescent="0.2">
      <c r="B32" s="31">
        <v>41830</v>
      </c>
      <c r="C32" s="64">
        <v>12.978</v>
      </c>
      <c r="D32" s="65">
        <v>8.43</v>
      </c>
      <c r="E32" s="65">
        <v>7.742</v>
      </c>
      <c r="F32" s="16">
        <v>13.656000000000001</v>
      </c>
      <c r="G32" s="16">
        <v>10.127000000000001</v>
      </c>
      <c r="H32" s="16">
        <v>10.23</v>
      </c>
      <c r="I32" s="66">
        <v>104.1</v>
      </c>
      <c r="J32" s="58">
        <v>808</v>
      </c>
      <c r="K32" s="18">
        <f t="shared" si="4"/>
        <v>79</v>
      </c>
      <c r="L32" s="19">
        <f t="shared" si="0"/>
        <v>-3.9999999999995595</v>
      </c>
      <c r="M32" s="19">
        <f t="shared" si="0"/>
        <v>-0.99999999999944578</v>
      </c>
      <c r="N32" s="19">
        <f t="shared" si="0"/>
        <v>-3.0000000000001137</v>
      </c>
      <c r="O32" s="19">
        <f t="shared" ref="O32:O95" si="5">IF(ISBLANK(F32),"",((F32-F$31)*1000)+L$31)</f>
        <v>-4.9999999999990052</v>
      </c>
      <c r="P32" s="19">
        <f t="shared" ref="P32:P95" si="6">IF(ISBLANK(G32),"",((G32-G$31)*1000)+M$31)</f>
        <v>-1.9999999999988916</v>
      </c>
      <c r="Q32" s="19">
        <f t="shared" ref="Q32:Q95" si="7">IF(ISBLANK(H32),"",((H32-H$31)*1000)+N$31)</f>
        <v>-4.9999999999990052</v>
      </c>
      <c r="R32" s="19">
        <f t="shared" si="1"/>
        <v>-11.000000000009891</v>
      </c>
      <c r="S32" s="27">
        <f t="shared" si="2"/>
        <v>0</v>
      </c>
      <c r="T32" s="28">
        <f t="shared" si="2"/>
        <v>0</v>
      </c>
      <c r="U32" s="28">
        <f t="shared" si="2"/>
        <v>0</v>
      </c>
      <c r="V32" s="28">
        <f t="shared" si="2"/>
        <v>-0.99999999999944578</v>
      </c>
      <c r="W32" s="28">
        <f t="shared" si="2"/>
        <v>-0.99999999999944578</v>
      </c>
      <c r="X32" s="29">
        <f t="shared" si="2"/>
        <v>-1.9999999999988916</v>
      </c>
      <c r="Y32" s="24"/>
    </row>
    <row r="33" spans="2:25" ht="15" customHeight="1" x14ac:dyDescent="0.2">
      <c r="B33" s="31">
        <v>41834</v>
      </c>
      <c r="C33" s="64">
        <v>12.978</v>
      </c>
      <c r="D33" s="45">
        <v>7.7430000000000003</v>
      </c>
      <c r="E33" s="65">
        <v>7.742</v>
      </c>
      <c r="F33" s="16">
        <v>13.657</v>
      </c>
      <c r="G33" s="16">
        <v>10.127000000000001</v>
      </c>
      <c r="H33" s="16">
        <v>10.23</v>
      </c>
      <c r="I33" s="17">
        <v>104.098</v>
      </c>
      <c r="J33" s="58">
        <v>845</v>
      </c>
      <c r="K33" s="18">
        <f t="shared" si="4"/>
        <v>116</v>
      </c>
      <c r="L33" s="19">
        <f t="shared" si="0"/>
        <v>-3.9999999999995595</v>
      </c>
      <c r="M33" s="19">
        <f>IF(ISBLANK(D33),"",((D33-D$33)*1000)+M$32)</f>
        <v>-0.99999999999944578</v>
      </c>
      <c r="N33" s="19">
        <f t="shared" si="0"/>
        <v>-3.0000000000001137</v>
      </c>
      <c r="O33" s="19">
        <f t="shared" si="5"/>
        <v>-3.9999999999995595</v>
      </c>
      <c r="P33" s="19">
        <f t="shared" si="6"/>
        <v>-1.9999999999988916</v>
      </c>
      <c r="Q33" s="19">
        <f t="shared" si="7"/>
        <v>-4.9999999999990052</v>
      </c>
      <c r="R33" s="19">
        <f t="shared" si="1"/>
        <v>-13.00000000000523</v>
      </c>
      <c r="S33" s="27">
        <f t="shared" ref="S33:X48" si="8">IF(C33="","",((C33-C32)*1000)/($B33-$B32))</f>
        <v>0</v>
      </c>
      <c r="T33" s="28">
        <f t="shared" si="8"/>
        <v>-171.74999999999986</v>
      </c>
      <c r="U33" s="28">
        <f t="shared" si="8"/>
        <v>0</v>
      </c>
      <c r="V33" s="28">
        <f t="shared" si="8"/>
        <v>0.24999999999986144</v>
      </c>
      <c r="W33" s="28">
        <f t="shared" si="8"/>
        <v>0</v>
      </c>
      <c r="X33" s="29">
        <f t="shared" si="8"/>
        <v>0</v>
      </c>
      <c r="Y33" s="24"/>
    </row>
    <row r="34" spans="2:25" ht="15" customHeight="1" x14ac:dyDescent="0.2">
      <c r="B34" s="31">
        <v>41835</v>
      </c>
      <c r="C34" s="64">
        <v>12.978</v>
      </c>
      <c r="D34" s="26">
        <v>7.742</v>
      </c>
      <c r="E34" s="65">
        <v>7.742</v>
      </c>
      <c r="F34" s="16">
        <v>13.656000000000001</v>
      </c>
      <c r="G34" s="16">
        <v>10.125999999999999</v>
      </c>
      <c r="H34" s="16">
        <v>10.23</v>
      </c>
      <c r="I34" s="17">
        <v>104.098</v>
      </c>
      <c r="J34" s="58">
        <v>857</v>
      </c>
      <c r="K34" s="18">
        <f t="shared" si="4"/>
        <v>128</v>
      </c>
      <c r="L34" s="19">
        <f t="shared" si="0"/>
        <v>-3.9999999999995595</v>
      </c>
      <c r="M34" s="19">
        <f t="shared" ref="M34:M97" si="9">IF(ISBLANK(D34),"",((D34-D$33)*1000)+M$32)</f>
        <v>-1.9999999999997797</v>
      </c>
      <c r="N34" s="19">
        <f t="shared" si="0"/>
        <v>-3.0000000000001137</v>
      </c>
      <c r="O34" s="19">
        <f t="shared" si="5"/>
        <v>-4.9999999999990052</v>
      </c>
      <c r="P34" s="19">
        <f t="shared" si="6"/>
        <v>-3.0000000000001137</v>
      </c>
      <c r="Q34" s="19">
        <f t="shared" si="7"/>
        <v>-4.9999999999990052</v>
      </c>
      <c r="R34" s="19">
        <f t="shared" si="1"/>
        <v>-13.00000000000523</v>
      </c>
      <c r="S34" s="27">
        <f t="shared" si="8"/>
        <v>0</v>
      </c>
      <c r="T34" s="28">
        <f t="shared" si="8"/>
        <v>-1.000000000000334</v>
      </c>
      <c r="U34" s="28">
        <f t="shared" si="8"/>
        <v>0</v>
      </c>
      <c r="V34" s="28">
        <f t="shared" si="8"/>
        <v>-0.99999999999944578</v>
      </c>
      <c r="W34" s="28">
        <f t="shared" si="8"/>
        <v>-1.0000000000012221</v>
      </c>
      <c r="X34" s="29">
        <f t="shared" si="8"/>
        <v>0</v>
      </c>
      <c r="Y34" s="24"/>
    </row>
    <row r="35" spans="2:25" ht="15" customHeight="1" x14ac:dyDescent="0.2">
      <c r="B35" s="31">
        <v>41879</v>
      </c>
      <c r="C35" s="64"/>
      <c r="D35" s="26"/>
      <c r="E35" s="65"/>
      <c r="F35" s="16">
        <v>13.657</v>
      </c>
      <c r="G35" s="16">
        <v>10.125999999999999</v>
      </c>
      <c r="H35" s="16">
        <v>10.23</v>
      </c>
      <c r="I35" s="17">
        <v>104.098</v>
      </c>
      <c r="J35" s="58">
        <v>943</v>
      </c>
      <c r="K35" s="18">
        <f t="shared" si="4"/>
        <v>214</v>
      </c>
      <c r="L35" s="19" t="str">
        <f t="shared" si="0"/>
        <v/>
      </c>
      <c r="M35" s="19" t="str">
        <f t="shared" si="9"/>
        <v/>
      </c>
      <c r="N35" s="19" t="str">
        <f t="shared" si="0"/>
        <v/>
      </c>
      <c r="O35" s="19">
        <f t="shared" si="5"/>
        <v>-3.9999999999995595</v>
      </c>
      <c r="P35" s="19">
        <f t="shared" si="6"/>
        <v>-3.0000000000001137</v>
      </c>
      <c r="Q35" s="19">
        <f t="shared" si="7"/>
        <v>-4.9999999999990052</v>
      </c>
      <c r="R35" s="19">
        <f t="shared" si="1"/>
        <v>-13.00000000000523</v>
      </c>
      <c r="S35" s="27" t="str">
        <f t="shared" si="8"/>
        <v/>
      </c>
      <c r="T35" s="28" t="str">
        <f t="shared" si="8"/>
        <v/>
      </c>
      <c r="U35" s="28" t="str">
        <f t="shared" si="8"/>
        <v/>
      </c>
      <c r="V35" s="28">
        <f t="shared" si="8"/>
        <v>2.272727272726013E-2</v>
      </c>
      <c r="W35" s="28">
        <f t="shared" si="8"/>
        <v>0</v>
      </c>
      <c r="X35" s="29">
        <f t="shared" si="8"/>
        <v>0</v>
      </c>
      <c r="Y35" s="24"/>
    </row>
    <row r="36" spans="2:25" ht="15" customHeight="1" x14ac:dyDescent="0.2">
      <c r="B36" s="31">
        <v>41913</v>
      </c>
      <c r="C36" s="64"/>
      <c r="D36" s="26"/>
      <c r="E36" s="65"/>
      <c r="F36" s="16">
        <v>13.657</v>
      </c>
      <c r="G36" s="16">
        <v>10.125</v>
      </c>
      <c r="H36" s="16">
        <v>10.231</v>
      </c>
      <c r="I36" s="17">
        <v>104.098</v>
      </c>
      <c r="J36" s="58">
        <v>943</v>
      </c>
      <c r="K36" s="18">
        <f t="shared" si="4"/>
        <v>214</v>
      </c>
      <c r="L36" s="19" t="str">
        <f t="shared" si="0"/>
        <v/>
      </c>
      <c r="M36" s="19" t="str">
        <f t="shared" si="9"/>
        <v/>
      </c>
      <c r="N36" s="19" t="str">
        <f t="shared" si="0"/>
        <v/>
      </c>
      <c r="O36" s="19">
        <f t="shared" si="5"/>
        <v>-3.9999999999995595</v>
      </c>
      <c r="P36" s="19">
        <f t="shared" si="6"/>
        <v>-3.9999999999995595</v>
      </c>
      <c r="Q36" s="19">
        <f t="shared" si="7"/>
        <v>-3.9999999999995595</v>
      </c>
      <c r="R36" s="19">
        <f t="shared" si="1"/>
        <v>-13.00000000000523</v>
      </c>
      <c r="S36" s="27" t="str">
        <f t="shared" si="8"/>
        <v/>
      </c>
      <c r="T36" s="28" t="str">
        <f t="shared" si="8"/>
        <v/>
      </c>
      <c r="U36" s="28" t="str">
        <f t="shared" si="8"/>
        <v/>
      </c>
      <c r="V36" s="28">
        <f t="shared" si="8"/>
        <v>0</v>
      </c>
      <c r="W36" s="28">
        <f t="shared" si="8"/>
        <v>-2.9411764705866053E-2</v>
      </c>
      <c r="X36" s="29">
        <f t="shared" si="8"/>
        <v>2.9411764705866053E-2</v>
      </c>
      <c r="Y36" s="24"/>
    </row>
    <row r="37" spans="2:25" ht="15" customHeight="1" x14ac:dyDescent="0.2">
      <c r="B37" s="31">
        <v>42032</v>
      </c>
      <c r="C37" s="64"/>
      <c r="D37" s="26"/>
      <c r="E37" s="65"/>
      <c r="F37" s="16">
        <v>13.656000000000001</v>
      </c>
      <c r="G37" s="16">
        <v>10.124000000000001</v>
      </c>
      <c r="H37" s="16">
        <v>10.231</v>
      </c>
      <c r="I37" s="17">
        <v>104.098</v>
      </c>
      <c r="J37" s="58">
        <v>943</v>
      </c>
      <c r="K37" s="18">
        <f>IF(ISBLANK(J37),"",(J37-$J$8))</f>
        <v>214</v>
      </c>
      <c r="L37" s="19" t="str">
        <f t="shared" si="0"/>
        <v/>
      </c>
      <c r="M37" s="19" t="str">
        <f t="shared" si="9"/>
        <v/>
      </c>
      <c r="N37" s="19" t="str">
        <f t="shared" si="0"/>
        <v/>
      </c>
      <c r="O37" s="19">
        <f t="shared" si="5"/>
        <v>-4.9999999999990052</v>
      </c>
      <c r="P37" s="19">
        <f t="shared" si="6"/>
        <v>-4.9999999999990052</v>
      </c>
      <c r="Q37" s="19">
        <f t="shared" si="7"/>
        <v>-3.9999999999995595</v>
      </c>
      <c r="R37" s="19">
        <f t="shared" si="1"/>
        <v>-13.00000000000523</v>
      </c>
      <c r="S37" s="27" t="str">
        <f t="shared" si="8"/>
        <v/>
      </c>
      <c r="T37" s="28" t="str">
        <f t="shared" si="8"/>
        <v/>
      </c>
      <c r="U37" s="28" t="str">
        <f t="shared" si="8"/>
        <v/>
      </c>
      <c r="V37" s="28">
        <f t="shared" si="8"/>
        <v>-8.403361344533157E-3</v>
      </c>
      <c r="W37" s="28">
        <f t="shared" si="8"/>
        <v>-8.403361344533157E-3</v>
      </c>
      <c r="X37" s="29">
        <f t="shared" si="8"/>
        <v>0</v>
      </c>
      <c r="Y37" s="24"/>
    </row>
    <row r="38" spans="2:25" ht="15" customHeight="1" x14ac:dyDescent="0.2">
      <c r="B38" s="31">
        <v>42121</v>
      </c>
      <c r="C38" s="25"/>
      <c r="D38" s="26"/>
      <c r="E38" s="26"/>
      <c r="F38" s="16">
        <v>13.656000000000001</v>
      </c>
      <c r="G38" s="16">
        <v>10.125</v>
      </c>
      <c r="H38" s="16">
        <v>10.23</v>
      </c>
      <c r="I38" s="17">
        <v>104.09699999999999</v>
      </c>
      <c r="J38" s="58">
        <v>943</v>
      </c>
      <c r="K38" s="18">
        <f>IF(ISBLANK(J38),"",(J38-$J$8))</f>
        <v>214</v>
      </c>
      <c r="L38" s="19" t="str">
        <f t="shared" si="0"/>
        <v/>
      </c>
      <c r="M38" s="19" t="str">
        <f t="shared" si="9"/>
        <v/>
      </c>
      <c r="N38" s="19" t="str">
        <f t="shared" si="0"/>
        <v/>
      </c>
      <c r="O38" s="19">
        <f t="shared" si="5"/>
        <v>-4.9999999999990052</v>
      </c>
      <c r="P38" s="19">
        <f t="shared" si="6"/>
        <v>-3.9999999999995595</v>
      </c>
      <c r="Q38" s="19">
        <f t="shared" si="7"/>
        <v>-4.9999999999990052</v>
      </c>
      <c r="R38" s="19">
        <f t="shared" si="1"/>
        <v>-14.000000000010004</v>
      </c>
      <c r="S38" s="27" t="str">
        <f t="shared" si="8"/>
        <v/>
      </c>
      <c r="T38" s="28" t="str">
        <f t="shared" si="8"/>
        <v/>
      </c>
      <c r="U38" s="28" t="str">
        <f t="shared" si="8"/>
        <v/>
      </c>
      <c r="V38" s="28">
        <f t="shared" si="8"/>
        <v>0</v>
      </c>
      <c r="W38" s="28">
        <f t="shared" si="8"/>
        <v>1.1235955056173547E-2</v>
      </c>
      <c r="X38" s="29">
        <f t="shared" si="8"/>
        <v>-1.1235955056173547E-2</v>
      </c>
      <c r="Y38" s="24"/>
    </row>
    <row r="39" spans="2:25" ht="15" customHeight="1" x14ac:dyDescent="0.2">
      <c r="B39" s="31">
        <v>42223</v>
      </c>
      <c r="C39" s="64"/>
      <c r="D39" s="26"/>
      <c r="E39" s="65"/>
      <c r="F39" s="16">
        <v>13.656000000000001</v>
      </c>
      <c r="G39" s="16">
        <v>10.125</v>
      </c>
      <c r="H39" s="16">
        <v>10.23</v>
      </c>
      <c r="I39" s="17">
        <v>104.098</v>
      </c>
      <c r="J39" s="32">
        <v>1304</v>
      </c>
      <c r="K39" s="18">
        <f t="shared" ref="K39:K102" si="10">IF(ISBLANK(J39),"",(J39-$J$8))</f>
        <v>575</v>
      </c>
      <c r="L39" s="19" t="str">
        <f t="shared" si="0"/>
        <v/>
      </c>
      <c r="M39" s="19" t="str">
        <f t="shared" si="9"/>
        <v/>
      </c>
      <c r="N39" s="19" t="str">
        <f t="shared" si="0"/>
        <v/>
      </c>
      <c r="O39" s="19">
        <f t="shared" si="5"/>
        <v>-4.9999999999990052</v>
      </c>
      <c r="P39" s="19">
        <f t="shared" si="6"/>
        <v>-3.9999999999995595</v>
      </c>
      <c r="Q39" s="19">
        <f t="shared" si="7"/>
        <v>-4.9999999999990052</v>
      </c>
      <c r="R39" s="19">
        <f t="shared" si="1"/>
        <v>-13.00000000000523</v>
      </c>
      <c r="S39" s="27" t="str">
        <f t="shared" si="8"/>
        <v/>
      </c>
      <c r="T39" s="28" t="str">
        <f t="shared" si="8"/>
        <v/>
      </c>
      <c r="U39" s="28" t="str">
        <f t="shared" si="8"/>
        <v/>
      </c>
      <c r="V39" s="28">
        <f t="shared" si="8"/>
        <v>0</v>
      </c>
      <c r="W39" s="28">
        <f t="shared" si="8"/>
        <v>0</v>
      </c>
      <c r="X39" s="29">
        <f t="shared" si="8"/>
        <v>0</v>
      </c>
      <c r="Y39" s="24"/>
    </row>
    <row r="40" spans="2:25" ht="15" customHeight="1" x14ac:dyDescent="0.2">
      <c r="B40" s="31">
        <v>42326</v>
      </c>
      <c r="C40" s="25"/>
      <c r="D40" s="26"/>
      <c r="E40" s="26"/>
      <c r="F40" s="16">
        <v>13.657</v>
      </c>
      <c r="G40" s="16">
        <v>10.125</v>
      </c>
      <c r="H40" s="16">
        <v>10.231999999999999</v>
      </c>
      <c r="I40" s="17">
        <v>104.098</v>
      </c>
      <c r="J40" s="32">
        <v>2248</v>
      </c>
      <c r="K40" s="18">
        <f t="shared" si="10"/>
        <v>1519</v>
      </c>
      <c r="L40" s="19" t="str">
        <f t="shared" si="0"/>
        <v/>
      </c>
      <c r="M40" s="19" t="str">
        <f t="shared" si="9"/>
        <v/>
      </c>
      <c r="N40" s="19" t="str">
        <f t="shared" si="0"/>
        <v/>
      </c>
      <c r="O40" s="19">
        <f t="shared" si="5"/>
        <v>-3.9999999999995595</v>
      </c>
      <c r="P40" s="19">
        <f t="shared" si="6"/>
        <v>-3.9999999999995595</v>
      </c>
      <c r="Q40" s="19">
        <f t="shared" si="7"/>
        <v>-3.0000000000001137</v>
      </c>
      <c r="R40" s="19">
        <f t="shared" si="1"/>
        <v>-13.00000000000523</v>
      </c>
      <c r="S40" s="27" t="str">
        <f t="shared" si="8"/>
        <v/>
      </c>
      <c r="T40" s="28" t="str">
        <f t="shared" si="8"/>
        <v/>
      </c>
      <c r="U40" s="28" t="str">
        <f t="shared" si="8"/>
        <v/>
      </c>
      <c r="V40" s="28">
        <f t="shared" si="8"/>
        <v>9.7087378640722897E-3</v>
      </c>
      <c r="W40" s="28">
        <f t="shared" si="8"/>
        <v>0</v>
      </c>
      <c r="X40" s="29">
        <f t="shared" si="8"/>
        <v>1.9417475728144579E-2</v>
      </c>
      <c r="Y40" s="24"/>
    </row>
    <row r="41" spans="2:25" ht="15" customHeight="1" x14ac:dyDescent="0.2">
      <c r="B41" s="31">
        <v>42416</v>
      </c>
      <c r="C41" s="64">
        <v>12.978</v>
      </c>
      <c r="D41" s="26">
        <v>7.7450000000000001</v>
      </c>
      <c r="E41" s="65">
        <v>7.742</v>
      </c>
      <c r="F41" s="16">
        <v>13.657</v>
      </c>
      <c r="G41" s="16">
        <v>10.125</v>
      </c>
      <c r="H41" s="16">
        <v>10.23</v>
      </c>
      <c r="I41" s="17">
        <v>104.09699999999999</v>
      </c>
      <c r="J41" s="58">
        <v>2519</v>
      </c>
      <c r="K41" s="18">
        <f t="shared" si="10"/>
        <v>1790</v>
      </c>
      <c r="L41" s="19"/>
      <c r="M41" s="19"/>
      <c r="N41" s="19"/>
      <c r="O41" s="19">
        <f t="shared" si="5"/>
        <v>-3.9999999999995595</v>
      </c>
      <c r="P41" s="19">
        <f t="shared" si="6"/>
        <v>-3.9999999999995595</v>
      </c>
      <c r="Q41" s="19">
        <f t="shared" si="7"/>
        <v>-4.9999999999990052</v>
      </c>
      <c r="R41" s="19">
        <f t="shared" si="1"/>
        <v>-14.000000000010004</v>
      </c>
      <c r="S41" s="27"/>
      <c r="T41" s="28"/>
      <c r="U41" s="28"/>
      <c r="V41" s="28">
        <f t="shared" si="8"/>
        <v>0</v>
      </c>
      <c r="W41" s="28">
        <f t="shared" si="8"/>
        <v>0</v>
      </c>
      <c r="X41" s="29">
        <f t="shared" si="8"/>
        <v>-2.2222222222209907E-2</v>
      </c>
      <c r="Y41" s="24"/>
    </row>
    <row r="42" spans="2:25" ht="15" customHeight="1" x14ac:dyDescent="0.2">
      <c r="B42" s="31">
        <v>42530</v>
      </c>
      <c r="C42" s="64"/>
      <c r="D42" s="26"/>
      <c r="E42" s="65"/>
      <c r="F42" s="16">
        <v>13.656000000000001</v>
      </c>
      <c r="G42" s="16">
        <v>10.125</v>
      </c>
      <c r="H42" s="16">
        <v>10.228</v>
      </c>
      <c r="I42" s="17">
        <v>104.096</v>
      </c>
      <c r="J42" s="58">
        <v>2608</v>
      </c>
      <c r="K42" s="18">
        <f t="shared" si="10"/>
        <v>1879</v>
      </c>
      <c r="L42" s="19" t="str">
        <f t="shared" si="0"/>
        <v/>
      </c>
      <c r="M42" s="19" t="str">
        <f t="shared" si="9"/>
        <v/>
      </c>
      <c r="N42" s="19" t="str">
        <f t="shared" si="0"/>
        <v/>
      </c>
      <c r="O42" s="19">
        <f t="shared" si="5"/>
        <v>-4.9999999999990052</v>
      </c>
      <c r="P42" s="19">
        <f t="shared" si="6"/>
        <v>-3.9999999999995595</v>
      </c>
      <c r="Q42" s="19">
        <f t="shared" si="7"/>
        <v>-6.9999999999996732</v>
      </c>
      <c r="R42" s="19">
        <f t="shared" si="1"/>
        <v>-15.000000000000568</v>
      </c>
      <c r="S42" s="27" t="str">
        <f t="shared" si="8"/>
        <v/>
      </c>
      <c r="T42" s="28" t="str">
        <f t="shared" si="8"/>
        <v/>
      </c>
      <c r="U42" s="28" t="str">
        <f t="shared" si="8"/>
        <v/>
      </c>
      <c r="V42" s="28">
        <f t="shared" si="8"/>
        <v>-8.7719298245565423E-3</v>
      </c>
      <c r="W42" s="28">
        <f t="shared" si="8"/>
        <v>0</v>
      </c>
      <c r="X42" s="29">
        <f t="shared" si="8"/>
        <v>-1.7543859649128666E-2</v>
      </c>
      <c r="Y42" s="24"/>
    </row>
    <row r="43" spans="2:25" ht="15" customHeight="1" x14ac:dyDescent="0.2">
      <c r="B43" s="31"/>
      <c r="C43" s="64"/>
      <c r="D43" s="26"/>
      <c r="E43" s="65"/>
      <c r="F43" s="16"/>
      <c r="G43" s="16"/>
      <c r="H43" s="16"/>
      <c r="I43" s="17"/>
      <c r="J43" s="58"/>
      <c r="K43" s="18" t="str">
        <f t="shared" si="10"/>
        <v/>
      </c>
      <c r="L43" s="19" t="str">
        <f t="shared" si="0"/>
        <v/>
      </c>
      <c r="M43" s="19" t="str">
        <f t="shared" si="9"/>
        <v/>
      </c>
      <c r="N43" s="19" t="str">
        <f t="shared" si="0"/>
        <v/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 t="str">
        <f t="shared" si="1"/>
        <v/>
      </c>
      <c r="S43" s="27" t="str">
        <f t="shared" si="8"/>
        <v/>
      </c>
      <c r="T43" s="28" t="str">
        <f t="shared" si="8"/>
        <v/>
      </c>
      <c r="U43" s="28" t="str">
        <f t="shared" si="8"/>
        <v/>
      </c>
      <c r="V43" s="28" t="str">
        <f t="shared" si="8"/>
        <v/>
      </c>
      <c r="W43" s="28" t="str">
        <f t="shared" si="8"/>
        <v/>
      </c>
      <c r="X43" s="29" t="str">
        <f t="shared" si="8"/>
        <v/>
      </c>
      <c r="Y43" s="24"/>
    </row>
    <row r="44" spans="2:25" ht="15" customHeight="1" x14ac:dyDescent="0.2">
      <c r="B44" s="31"/>
      <c r="C44" s="64"/>
      <c r="D44" s="26"/>
      <c r="E44" s="65"/>
      <c r="F44" s="16"/>
      <c r="G44" s="16"/>
      <c r="H44" s="16"/>
      <c r="I44" s="17"/>
      <c r="J44" s="58"/>
      <c r="K44" s="18" t="str">
        <f t="shared" si="10"/>
        <v/>
      </c>
      <c r="L44" s="19" t="str">
        <f t="shared" si="0"/>
        <v/>
      </c>
      <c r="M44" s="19" t="str">
        <f t="shared" si="9"/>
        <v/>
      </c>
      <c r="N44" s="19" t="str">
        <f t="shared" si="0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1"/>
        <v/>
      </c>
      <c r="S44" s="27" t="str">
        <f t="shared" si="8"/>
        <v/>
      </c>
      <c r="T44" s="28" t="str">
        <f t="shared" si="8"/>
        <v/>
      </c>
      <c r="U44" s="28" t="str">
        <f t="shared" si="8"/>
        <v/>
      </c>
      <c r="V44" s="28" t="str">
        <f t="shared" si="8"/>
        <v/>
      </c>
      <c r="W44" s="28" t="str">
        <f t="shared" si="8"/>
        <v/>
      </c>
      <c r="X44" s="29" t="str">
        <f t="shared" si="8"/>
        <v/>
      </c>
      <c r="Y44" s="24"/>
    </row>
    <row r="45" spans="2:25" ht="15" customHeight="1" x14ac:dyDescent="0.2">
      <c r="B45" s="31"/>
      <c r="C45" s="64"/>
      <c r="D45" s="26"/>
      <c r="E45" s="65"/>
      <c r="F45" s="16"/>
      <c r="G45" s="16"/>
      <c r="H45" s="16"/>
      <c r="I45" s="17"/>
      <c r="J45" s="58"/>
      <c r="K45" s="18" t="str">
        <f t="shared" si="10"/>
        <v/>
      </c>
      <c r="L45" s="19" t="str">
        <f t="shared" si="0"/>
        <v/>
      </c>
      <c r="M45" s="19" t="str">
        <f t="shared" si="9"/>
        <v/>
      </c>
      <c r="N45" s="19" t="str">
        <f t="shared" si="0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1"/>
        <v/>
      </c>
      <c r="S45" s="27" t="str">
        <f t="shared" si="8"/>
        <v/>
      </c>
      <c r="T45" s="28" t="str">
        <f t="shared" si="8"/>
        <v/>
      </c>
      <c r="U45" s="28" t="str">
        <f t="shared" si="8"/>
        <v/>
      </c>
      <c r="V45" s="28" t="str">
        <f t="shared" si="8"/>
        <v/>
      </c>
      <c r="W45" s="28" t="str">
        <f t="shared" si="8"/>
        <v/>
      </c>
      <c r="X45" s="29" t="str">
        <f t="shared" si="8"/>
        <v/>
      </c>
      <c r="Y45" s="24"/>
    </row>
    <row r="46" spans="2:25" ht="15" customHeight="1" x14ac:dyDescent="0.2">
      <c r="B46" s="31"/>
      <c r="C46" s="64"/>
      <c r="D46" s="26"/>
      <c r="E46" s="65"/>
      <c r="F46" s="16"/>
      <c r="G46" s="16"/>
      <c r="H46" s="16"/>
      <c r="I46" s="17"/>
      <c r="J46" s="58"/>
      <c r="K46" s="18" t="str">
        <f t="shared" si="10"/>
        <v/>
      </c>
      <c r="L46" s="19" t="str">
        <f t="shared" si="0"/>
        <v/>
      </c>
      <c r="M46" s="19" t="str">
        <f t="shared" si="9"/>
        <v/>
      </c>
      <c r="N46" s="19" t="str">
        <f t="shared" si="0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1"/>
        <v/>
      </c>
      <c r="S46" s="27" t="str">
        <f t="shared" si="8"/>
        <v/>
      </c>
      <c r="T46" s="28" t="str">
        <f t="shared" si="8"/>
        <v/>
      </c>
      <c r="U46" s="28" t="str">
        <f t="shared" si="8"/>
        <v/>
      </c>
      <c r="V46" s="28" t="str">
        <f t="shared" si="8"/>
        <v/>
      </c>
      <c r="W46" s="28" t="str">
        <f t="shared" si="8"/>
        <v/>
      </c>
      <c r="X46" s="29" t="str">
        <f t="shared" si="8"/>
        <v/>
      </c>
      <c r="Y46" s="24"/>
    </row>
    <row r="47" spans="2:25" ht="15" customHeight="1" x14ac:dyDescent="0.2">
      <c r="B47" s="31"/>
      <c r="C47" s="64"/>
      <c r="D47" s="26"/>
      <c r="E47" s="65"/>
      <c r="F47" s="16"/>
      <c r="G47" s="16"/>
      <c r="H47" s="16"/>
      <c r="I47" s="17"/>
      <c r="J47" s="58"/>
      <c r="K47" s="18" t="str">
        <f t="shared" si="10"/>
        <v/>
      </c>
      <c r="L47" s="19" t="str">
        <f t="shared" si="0"/>
        <v/>
      </c>
      <c r="M47" s="19" t="str">
        <f t="shared" si="9"/>
        <v/>
      </c>
      <c r="N47" s="19" t="str">
        <f t="shared" si="0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1"/>
        <v/>
      </c>
      <c r="S47" s="27" t="str">
        <f t="shared" si="8"/>
        <v/>
      </c>
      <c r="T47" s="28" t="str">
        <f t="shared" si="8"/>
        <v/>
      </c>
      <c r="U47" s="28" t="str">
        <f t="shared" si="8"/>
        <v/>
      </c>
      <c r="V47" s="28" t="str">
        <f t="shared" si="8"/>
        <v/>
      </c>
      <c r="W47" s="28" t="str">
        <f t="shared" si="8"/>
        <v/>
      </c>
      <c r="X47" s="29" t="str">
        <f t="shared" si="8"/>
        <v/>
      </c>
      <c r="Y47" s="24"/>
    </row>
    <row r="48" spans="2:25" ht="15" customHeight="1" x14ac:dyDescent="0.2">
      <c r="B48" s="31"/>
      <c r="C48" s="64"/>
      <c r="D48" s="26"/>
      <c r="E48" s="65"/>
      <c r="F48" s="16"/>
      <c r="G48" s="16"/>
      <c r="H48" s="16"/>
      <c r="I48" s="17"/>
      <c r="J48" s="58"/>
      <c r="K48" s="18" t="str">
        <f t="shared" si="10"/>
        <v/>
      </c>
      <c r="L48" s="19" t="str">
        <f t="shared" ref="L48:N79" si="11">IF(ISBLANK(C48),"",(C48-C$16)*1000)</f>
        <v/>
      </c>
      <c r="M48" s="19" t="str">
        <f t="shared" si="9"/>
        <v/>
      </c>
      <c r="N48" s="19" t="str">
        <f t="shared" si="11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1"/>
        <v/>
      </c>
      <c r="S48" s="27" t="str">
        <f t="shared" si="8"/>
        <v/>
      </c>
      <c r="T48" s="28" t="str">
        <f t="shared" si="8"/>
        <v/>
      </c>
      <c r="U48" s="28" t="str">
        <f t="shared" si="8"/>
        <v/>
      </c>
      <c r="V48" s="28" t="str">
        <f t="shared" si="8"/>
        <v/>
      </c>
      <c r="W48" s="28" t="str">
        <f t="shared" si="8"/>
        <v/>
      </c>
      <c r="X48" s="29" t="str">
        <f t="shared" si="8"/>
        <v/>
      </c>
      <c r="Y48" s="24"/>
    </row>
    <row r="49" spans="2:25" ht="15" customHeight="1" x14ac:dyDescent="0.2">
      <c r="B49" s="31"/>
      <c r="C49" s="64"/>
      <c r="D49" s="26"/>
      <c r="E49" s="65"/>
      <c r="F49" s="16"/>
      <c r="G49" s="16"/>
      <c r="H49" s="16"/>
      <c r="I49" s="17"/>
      <c r="J49" s="58"/>
      <c r="K49" s="18" t="str">
        <f t="shared" si="10"/>
        <v/>
      </c>
      <c r="L49" s="19" t="str">
        <f t="shared" si="11"/>
        <v/>
      </c>
      <c r="M49" s="19" t="str">
        <f t="shared" si="9"/>
        <v/>
      </c>
      <c r="N49" s="19" t="str">
        <f t="shared" si="11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1"/>
        <v/>
      </c>
      <c r="S49" s="27" t="str">
        <f t="shared" ref="S49:X64" si="12">IF(C49="","",((C49-C48)*1000)/($B49-$B48))</f>
        <v/>
      </c>
      <c r="T49" s="28" t="str">
        <f t="shared" si="12"/>
        <v/>
      </c>
      <c r="U49" s="28" t="str">
        <f t="shared" si="12"/>
        <v/>
      </c>
      <c r="V49" s="28" t="str">
        <f t="shared" si="12"/>
        <v/>
      </c>
      <c r="W49" s="28" t="str">
        <f t="shared" si="12"/>
        <v/>
      </c>
      <c r="X49" s="29" t="str">
        <f t="shared" si="12"/>
        <v/>
      </c>
      <c r="Y49" s="24"/>
    </row>
    <row r="50" spans="2:25" ht="15" customHeight="1" x14ac:dyDescent="0.2">
      <c r="B50" s="31"/>
      <c r="C50" s="64"/>
      <c r="D50" s="26"/>
      <c r="E50" s="65"/>
      <c r="F50" s="16"/>
      <c r="G50" s="16"/>
      <c r="H50" s="16"/>
      <c r="I50" s="17"/>
      <c r="J50" s="58"/>
      <c r="K50" s="18" t="str">
        <f t="shared" si="10"/>
        <v/>
      </c>
      <c r="L50" s="19" t="str">
        <f t="shared" si="11"/>
        <v/>
      </c>
      <c r="M50" s="19" t="str">
        <f t="shared" si="9"/>
        <v/>
      </c>
      <c r="N50" s="19" t="str">
        <f t="shared" si="11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1"/>
        <v/>
      </c>
      <c r="S50" s="27" t="str">
        <f t="shared" si="12"/>
        <v/>
      </c>
      <c r="T50" s="28" t="str">
        <f t="shared" si="12"/>
        <v/>
      </c>
      <c r="U50" s="28" t="str">
        <f t="shared" si="12"/>
        <v/>
      </c>
      <c r="V50" s="28" t="str">
        <f t="shared" si="12"/>
        <v/>
      </c>
      <c r="W50" s="28" t="str">
        <f t="shared" si="12"/>
        <v/>
      </c>
      <c r="X50" s="29" t="str">
        <f t="shared" si="12"/>
        <v/>
      </c>
      <c r="Y50" s="24"/>
    </row>
    <row r="51" spans="2:25" ht="15" customHeight="1" x14ac:dyDescent="0.2">
      <c r="B51" s="31"/>
      <c r="C51" s="64"/>
      <c r="D51" s="26"/>
      <c r="E51" s="65"/>
      <c r="F51" s="16"/>
      <c r="G51" s="16"/>
      <c r="H51" s="16"/>
      <c r="I51" s="17"/>
      <c r="J51" s="58"/>
      <c r="K51" s="18" t="str">
        <f t="shared" si="10"/>
        <v/>
      </c>
      <c r="L51" s="19" t="str">
        <f t="shared" si="11"/>
        <v/>
      </c>
      <c r="M51" s="19" t="str">
        <f t="shared" si="9"/>
        <v/>
      </c>
      <c r="N51" s="19" t="str">
        <f t="shared" si="11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1"/>
        <v/>
      </c>
      <c r="S51" s="27" t="str">
        <f t="shared" si="12"/>
        <v/>
      </c>
      <c r="T51" s="28" t="str">
        <f t="shared" si="12"/>
        <v/>
      </c>
      <c r="U51" s="28" t="str">
        <f t="shared" si="12"/>
        <v/>
      </c>
      <c r="V51" s="28" t="str">
        <f t="shared" si="12"/>
        <v/>
      </c>
      <c r="W51" s="28" t="str">
        <f t="shared" si="12"/>
        <v/>
      </c>
      <c r="X51" s="29" t="str">
        <f t="shared" si="12"/>
        <v/>
      </c>
      <c r="Y51" s="24"/>
    </row>
    <row r="52" spans="2:25" ht="15" customHeight="1" x14ac:dyDescent="0.2">
      <c r="B52" s="31"/>
      <c r="C52" s="64"/>
      <c r="D52" s="26"/>
      <c r="E52" s="65"/>
      <c r="F52" s="16"/>
      <c r="G52" s="16"/>
      <c r="H52" s="16"/>
      <c r="I52" s="17"/>
      <c r="J52" s="58"/>
      <c r="K52" s="18" t="str">
        <f t="shared" si="10"/>
        <v/>
      </c>
      <c r="L52" s="19" t="str">
        <f t="shared" si="11"/>
        <v/>
      </c>
      <c r="M52" s="19" t="str">
        <f t="shared" si="9"/>
        <v/>
      </c>
      <c r="N52" s="19" t="str">
        <f t="shared" si="11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1"/>
        <v/>
      </c>
      <c r="S52" s="27" t="str">
        <f t="shared" si="12"/>
        <v/>
      </c>
      <c r="T52" s="28" t="str">
        <f t="shared" si="12"/>
        <v/>
      </c>
      <c r="U52" s="28" t="str">
        <f t="shared" si="12"/>
        <v/>
      </c>
      <c r="V52" s="28" t="str">
        <f t="shared" si="12"/>
        <v/>
      </c>
      <c r="W52" s="28" t="str">
        <f t="shared" si="12"/>
        <v/>
      </c>
      <c r="X52" s="29" t="str">
        <f t="shared" si="12"/>
        <v/>
      </c>
      <c r="Y52" s="24"/>
    </row>
    <row r="53" spans="2:25" ht="15" customHeight="1" x14ac:dyDescent="0.2">
      <c r="B53" s="31"/>
      <c r="C53" s="64"/>
      <c r="D53" s="26"/>
      <c r="E53" s="65"/>
      <c r="F53" s="16"/>
      <c r="G53" s="16"/>
      <c r="H53" s="16"/>
      <c r="I53" s="17"/>
      <c r="J53" s="58"/>
      <c r="K53" s="18" t="str">
        <f t="shared" si="10"/>
        <v/>
      </c>
      <c r="L53" s="19" t="str">
        <f t="shared" si="11"/>
        <v/>
      </c>
      <c r="M53" s="19" t="str">
        <f t="shared" si="9"/>
        <v/>
      </c>
      <c r="N53" s="19" t="str">
        <f t="shared" si="11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1"/>
        <v/>
      </c>
      <c r="S53" s="27" t="str">
        <f t="shared" si="12"/>
        <v/>
      </c>
      <c r="T53" s="28" t="str">
        <f t="shared" si="12"/>
        <v/>
      </c>
      <c r="U53" s="28" t="str">
        <f t="shared" si="12"/>
        <v/>
      </c>
      <c r="V53" s="28" t="str">
        <f t="shared" si="12"/>
        <v/>
      </c>
      <c r="W53" s="28" t="str">
        <f t="shared" si="12"/>
        <v/>
      </c>
      <c r="X53" s="29" t="str">
        <f t="shared" si="12"/>
        <v/>
      </c>
      <c r="Y53" s="24"/>
    </row>
    <row r="54" spans="2:25" ht="15" customHeight="1" x14ac:dyDescent="0.2">
      <c r="B54" s="31"/>
      <c r="C54" s="64"/>
      <c r="D54" s="26"/>
      <c r="E54" s="65"/>
      <c r="F54" s="16"/>
      <c r="G54" s="16"/>
      <c r="H54" s="16"/>
      <c r="I54" s="17"/>
      <c r="J54" s="58"/>
      <c r="K54" s="18" t="str">
        <f t="shared" si="10"/>
        <v/>
      </c>
      <c r="L54" s="19" t="str">
        <f t="shared" si="11"/>
        <v/>
      </c>
      <c r="M54" s="19" t="str">
        <f t="shared" si="9"/>
        <v/>
      </c>
      <c r="N54" s="19" t="str">
        <f t="shared" si="11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1"/>
        <v/>
      </c>
      <c r="S54" s="27" t="str">
        <f t="shared" si="12"/>
        <v/>
      </c>
      <c r="T54" s="28" t="str">
        <f t="shared" si="12"/>
        <v/>
      </c>
      <c r="U54" s="28" t="str">
        <f t="shared" si="12"/>
        <v/>
      </c>
      <c r="V54" s="28" t="str">
        <f t="shared" si="12"/>
        <v/>
      </c>
      <c r="W54" s="28" t="str">
        <f t="shared" si="12"/>
        <v/>
      </c>
      <c r="X54" s="29" t="str">
        <f t="shared" si="12"/>
        <v/>
      </c>
      <c r="Y54" s="24"/>
    </row>
    <row r="55" spans="2:25" ht="15" customHeight="1" x14ac:dyDescent="0.2">
      <c r="B55" s="31"/>
      <c r="C55" s="64"/>
      <c r="D55" s="26"/>
      <c r="E55" s="65"/>
      <c r="F55" s="16"/>
      <c r="G55" s="16"/>
      <c r="H55" s="16"/>
      <c r="I55" s="17"/>
      <c r="J55" s="58"/>
      <c r="K55" s="18" t="str">
        <f t="shared" si="10"/>
        <v/>
      </c>
      <c r="L55" s="19" t="str">
        <f t="shared" si="11"/>
        <v/>
      </c>
      <c r="M55" s="19" t="str">
        <f t="shared" si="9"/>
        <v/>
      </c>
      <c r="N55" s="19" t="str">
        <f t="shared" si="11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1"/>
        <v/>
      </c>
      <c r="S55" s="27" t="str">
        <f t="shared" si="12"/>
        <v/>
      </c>
      <c r="T55" s="28" t="str">
        <f t="shared" si="12"/>
        <v/>
      </c>
      <c r="U55" s="28" t="str">
        <f t="shared" si="12"/>
        <v/>
      </c>
      <c r="V55" s="28" t="str">
        <f t="shared" si="12"/>
        <v/>
      </c>
      <c r="W55" s="28" t="str">
        <f t="shared" si="12"/>
        <v/>
      </c>
      <c r="X55" s="29" t="str">
        <f t="shared" si="12"/>
        <v/>
      </c>
      <c r="Y55" s="24"/>
    </row>
    <row r="56" spans="2:25" ht="15" customHeight="1" x14ac:dyDescent="0.2">
      <c r="B56" s="31"/>
      <c r="C56" s="64"/>
      <c r="D56" s="26"/>
      <c r="E56" s="65"/>
      <c r="F56" s="16"/>
      <c r="G56" s="16"/>
      <c r="H56" s="16"/>
      <c r="I56" s="17"/>
      <c r="J56" s="58"/>
      <c r="K56" s="18" t="str">
        <f t="shared" si="10"/>
        <v/>
      </c>
      <c r="L56" s="19" t="str">
        <f t="shared" si="11"/>
        <v/>
      </c>
      <c r="M56" s="19" t="str">
        <f t="shared" si="9"/>
        <v/>
      </c>
      <c r="N56" s="19" t="str">
        <f t="shared" si="11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1"/>
        <v/>
      </c>
      <c r="S56" s="27" t="str">
        <f t="shared" si="12"/>
        <v/>
      </c>
      <c r="T56" s="28" t="str">
        <f t="shared" si="12"/>
        <v/>
      </c>
      <c r="U56" s="28" t="str">
        <f t="shared" si="12"/>
        <v/>
      </c>
      <c r="V56" s="28" t="str">
        <f t="shared" si="12"/>
        <v/>
      </c>
      <c r="W56" s="28" t="str">
        <f t="shared" si="12"/>
        <v/>
      </c>
      <c r="X56" s="29" t="str">
        <f t="shared" si="12"/>
        <v/>
      </c>
      <c r="Y56" s="24"/>
    </row>
    <row r="57" spans="2:25" ht="15" customHeight="1" x14ac:dyDescent="0.2">
      <c r="B57" s="31"/>
      <c r="C57" s="64"/>
      <c r="D57" s="26"/>
      <c r="E57" s="65"/>
      <c r="F57" s="16"/>
      <c r="G57" s="16"/>
      <c r="H57" s="16"/>
      <c r="I57" s="17"/>
      <c r="J57" s="58"/>
      <c r="K57" s="18" t="str">
        <f t="shared" si="10"/>
        <v/>
      </c>
      <c r="L57" s="19" t="str">
        <f t="shared" si="11"/>
        <v/>
      </c>
      <c r="M57" s="19" t="str">
        <f t="shared" si="9"/>
        <v/>
      </c>
      <c r="N57" s="19" t="str">
        <f t="shared" si="11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1"/>
        <v/>
      </c>
      <c r="S57" s="27" t="str">
        <f t="shared" si="12"/>
        <v/>
      </c>
      <c r="T57" s="28" t="str">
        <f t="shared" si="12"/>
        <v/>
      </c>
      <c r="U57" s="28" t="str">
        <f t="shared" si="12"/>
        <v/>
      </c>
      <c r="V57" s="28" t="str">
        <f t="shared" si="12"/>
        <v/>
      </c>
      <c r="W57" s="28" t="str">
        <f t="shared" si="12"/>
        <v/>
      </c>
      <c r="X57" s="29" t="str">
        <f t="shared" si="12"/>
        <v/>
      </c>
      <c r="Y57" s="24"/>
    </row>
    <row r="58" spans="2:25" ht="15" customHeight="1" x14ac:dyDescent="0.2">
      <c r="B58" s="31"/>
      <c r="C58" s="64"/>
      <c r="D58" s="26"/>
      <c r="E58" s="65"/>
      <c r="F58" s="16"/>
      <c r="G58" s="16"/>
      <c r="H58" s="16"/>
      <c r="I58" s="17"/>
      <c r="J58" s="58"/>
      <c r="K58" s="18" t="str">
        <f t="shared" si="10"/>
        <v/>
      </c>
      <c r="L58" s="19" t="str">
        <f t="shared" si="11"/>
        <v/>
      </c>
      <c r="M58" s="19" t="str">
        <f t="shared" si="9"/>
        <v/>
      </c>
      <c r="N58" s="19" t="str">
        <f t="shared" si="11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1"/>
        <v/>
      </c>
      <c r="S58" s="27" t="str">
        <f t="shared" si="12"/>
        <v/>
      </c>
      <c r="T58" s="28" t="str">
        <f t="shared" si="12"/>
        <v/>
      </c>
      <c r="U58" s="28" t="str">
        <f t="shared" si="12"/>
        <v/>
      </c>
      <c r="V58" s="28" t="str">
        <f t="shared" si="12"/>
        <v/>
      </c>
      <c r="W58" s="28" t="str">
        <f t="shared" si="12"/>
        <v/>
      </c>
      <c r="X58" s="29" t="str">
        <f t="shared" si="12"/>
        <v/>
      </c>
      <c r="Y58" s="24"/>
    </row>
    <row r="59" spans="2:25" ht="15" customHeight="1" x14ac:dyDescent="0.2">
      <c r="B59" s="31"/>
      <c r="C59" s="64"/>
      <c r="D59" s="26"/>
      <c r="E59" s="65"/>
      <c r="F59" s="16"/>
      <c r="G59" s="16"/>
      <c r="H59" s="16"/>
      <c r="I59" s="17"/>
      <c r="J59" s="58"/>
      <c r="K59" s="18" t="str">
        <f t="shared" si="10"/>
        <v/>
      </c>
      <c r="L59" s="19" t="str">
        <f t="shared" si="11"/>
        <v/>
      </c>
      <c r="M59" s="19" t="str">
        <f t="shared" si="9"/>
        <v/>
      </c>
      <c r="N59" s="19" t="str">
        <f t="shared" si="11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1"/>
        <v/>
      </c>
      <c r="S59" s="27" t="str">
        <f t="shared" si="12"/>
        <v/>
      </c>
      <c r="T59" s="28" t="str">
        <f t="shared" si="12"/>
        <v/>
      </c>
      <c r="U59" s="28" t="str">
        <f t="shared" si="12"/>
        <v/>
      </c>
      <c r="V59" s="28" t="str">
        <f t="shared" si="12"/>
        <v/>
      </c>
      <c r="W59" s="28" t="str">
        <f t="shared" si="12"/>
        <v/>
      </c>
      <c r="X59" s="29" t="str">
        <f t="shared" si="12"/>
        <v/>
      </c>
      <c r="Y59" s="24"/>
    </row>
    <row r="60" spans="2:25" ht="15" customHeight="1" x14ac:dyDescent="0.2">
      <c r="B60" s="31"/>
      <c r="C60" s="64"/>
      <c r="D60" s="26"/>
      <c r="E60" s="65"/>
      <c r="F60" s="16"/>
      <c r="G60" s="16"/>
      <c r="H60" s="16"/>
      <c r="I60" s="17"/>
      <c r="J60" s="58"/>
      <c r="K60" s="18" t="str">
        <f t="shared" si="10"/>
        <v/>
      </c>
      <c r="L60" s="19" t="str">
        <f t="shared" si="11"/>
        <v/>
      </c>
      <c r="M60" s="19" t="str">
        <f t="shared" si="9"/>
        <v/>
      </c>
      <c r="N60" s="19" t="str">
        <f t="shared" si="11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1"/>
        <v/>
      </c>
      <c r="S60" s="27" t="str">
        <f t="shared" si="12"/>
        <v/>
      </c>
      <c r="T60" s="28" t="str">
        <f t="shared" si="12"/>
        <v/>
      </c>
      <c r="U60" s="28" t="str">
        <f t="shared" si="12"/>
        <v/>
      </c>
      <c r="V60" s="28" t="str">
        <f t="shared" si="12"/>
        <v/>
      </c>
      <c r="W60" s="28" t="str">
        <f t="shared" si="12"/>
        <v/>
      </c>
      <c r="X60" s="29" t="str">
        <f t="shared" si="12"/>
        <v/>
      </c>
      <c r="Y60" s="24"/>
    </row>
    <row r="61" spans="2:25" ht="15" customHeight="1" x14ac:dyDescent="0.2">
      <c r="B61" s="31"/>
      <c r="C61" s="64"/>
      <c r="D61" s="26"/>
      <c r="E61" s="65"/>
      <c r="F61" s="16"/>
      <c r="G61" s="16"/>
      <c r="H61" s="16"/>
      <c r="I61" s="17"/>
      <c r="J61" s="58"/>
      <c r="K61" s="18" t="str">
        <f t="shared" si="10"/>
        <v/>
      </c>
      <c r="L61" s="19" t="str">
        <f t="shared" si="11"/>
        <v/>
      </c>
      <c r="M61" s="19" t="str">
        <f t="shared" si="9"/>
        <v/>
      </c>
      <c r="N61" s="19" t="str">
        <f t="shared" si="11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1"/>
        <v/>
      </c>
      <c r="S61" s="27" t="str">
        <f t="shared" si="12"/>
        <v/>
      </c>
      <c r="T61" s="28" t="str">
        <f t="shared" si="12"/>
        <v/>
      </c>
      <c r="U61" s="28" t="str">
        <f t="shared" si="12"/>
        <v/>
      </c>
      <c r="V61" s="28" t="str">
        <f t="shared" si="12"/>
        <v/>
      </c>
      <c r="W61" s="28" t="str">
        <f t="shared" si="12"/>
        <v/>
      </c>
      <c r="X61" s="29" t="str">
        <f t="shared" si="12"/>
        <v/>
      </c>
      <c r="Y61" s="24"/>
    </row>
    <row r="62" spans="2:25" ht="15" customHeight="1" x14ac:dyDescent="0.2">
      <c r="B62" s="31"/>
      <c r="C62" s="64"/>
      <c r="D62" s="26"/>
      <c r="E62" s="65"/>
      <c r="F62" s="16"/>
      <c r="G62" s="16"/>
      <c r="H62" s="16"/>
      <c r="I62" s="17"/>
      <c r="J62" s="58"/>
      <c r="K62" s="18" t="str">
        <f t="shared" si="10"/>
        <v/>
      </c>
      <c r="L62" s="19" t="str">
        <f t="shared" si="11"/>
        <v/>
      </c>
      <c r="M62" s="19" t="str">
        <f t="shared" si="9"/>
        <v/>
      </c>
      <c r="N62" s="19" t="str">
        <f t="shared" si="11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si="1"/>
        <v/>
      </c>
      <c r="S62" s="27" t="str">
        <f t="shared" si="12"/>
        <v/>
      </c>
      <c r="T62" s="28" t="str">
        <f t="shared" si="12"/>
        <v/>
      </c>
      <c r="U62" s="28" t="str">
        <f t="shared" si="12"/>
        <v/>
      </c>
      <c r="V62" s="28" t="str">
        <f t="shared" si="12"/>
        <v/>
      </c>
      <c r="W62" s="28" t="str">
        <f t="shared" si="12"/>
        <v/>
      </c>
      <c r="X62" s="29" t="str">
        <f t="shared" si="12"/>
        <v/>
      </c>
      <c r="Y62" s="24"/>
    </row>
    <row r="63" spans="2:25" ht="15" customHeight="1" x14ac:dyDescent="0.2">
      <c r="B63" s="31"/>
      <c r="C63" s="64"/>
      <c r="D63" s="26"/>
      <c r="E63" s="65"/>
      <c r="F63" s="16"/>
      <c r="G63" s="16"/>
      <c r="H63" s="16"/>
      <c r="I63" s="17"/>
      <c r="J63" s="58"/>
      <c r="K63" s="18" t="str">
        <f t="shared" si="10"/>
        <v/>
      </c>
      <c r="L63" s="19" t="str">
        <f t="shared" si="11"/>
        <v/>
      </c>
      <c r="M63" s="19" t="str">
        <f t="shared" si="9"/>
        <v/>
      </c>
      <c r="N63" s="19" t="str">
        <f t="shared" si="11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1"/>
        <v/>
      </c>
      <c r="S63" s="27" t="str">
        <f t="shared" si="12"/>
        <v/>
      </c>
      <c r="T63" s="28" t="str">
        <f t="shared" si="12"/>
        <v/>
      </c>
      <c r="U63" s="28" t="str">
        <f t="shared" si="12"/>
        <v/>
      </c>
      <c r="V63" s="28" t="str">
        <f t="shared" si="12"/>
        <v/>
      </c>
      <c r="W63" s="28" t="str">
        <f t="shared" si="12"/>
        <v/>
      </c>
      <c r="X63" s="29" t="str">
        <f t="shared" si="12"/>
        <v/>
      </c>
      <c r="Y63" s="24"/>
    </row>
    <row r="64" spans="2:25" ht="15" customHeight="1" x14ac:dyDescent="0.2">
      <c r="B64" s="31"/>
      <c r="C64" s="64"/>
      <c r="D64" s="26"/>
      <c r="E64" s="65"/>
      <c r="F64" s="16"/>
      <c r="G64" s="16"/>
      <c r="H64" s="16"/>
      <c r="I64" s="17"/>
      <c r="J64" s="58"/>
      <c r="K64" s="18" t="str">
        <f t="shared" si="10"/>
        <v/>
      </c>
      <c r="L64" s="19" t="str">
        <f t="shared" si="11"/>
        <v/>
      </c>
      <c r="M64" s="19" t="str">
        <f t="shared" si="9"/>
        <v/>
      </c>
      <c r="N64" s="19" t="str">
        <f t="shared" si="11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1"/>
        <v/>
      </c>
      <c r="S64" s="27" t="str">
        <f t="shared" si="12"/>
        <v/>
      </c>
      <c r="T64" s="28" t="str">
        <f t="shared" si="12"/>
        <v/>
      </c>
      <c r="U64" s="28" t="str">
        <f t="shared" si="12"/>
        <v/>
      </c>
      <c r="V64" s="28" t="str">
        <f t="shared" si="12"/>
        <v/>
      </c>
      <c r="W64" s="28" t="str">
        <f t="shared" si="12"/>
        <v/>
      </c>
      <c r="X64" s="29" t="str">
        <f t="shared" si="12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0"/>
        <v/>
      </c>
      <c r="L65" s="19" t="str">
        <f t="shared" si="11"/>
        <v/>
      </c>
      <c r="M65" s="19" t="str">
        <f t="shared" si="9"/>
        <v/>
      </c>
      <c r="N65" s="19" t="str">
        <f t="shared" si="11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1"/>
        <v/>
      </c>
      <c r="S65" s="27" t="str">
        <f t="shared" ref="S65:X80" si="13">IF(C65="","",((C65-C64)*1000)/($B65-$B64))</f>
        <v/>
      </c>
      <c r="T65" s="28" t="str">
        <f t="shared" si="13"/>
        <v/>
      </c>
      <c r="U65" s="28" t="str">
        <f t="shared" si="13"/>
        <v/>
      </c>
      <c r="V65" s="28" t="str">
        <f t="shared" si="13"/>
        <v/>
      </c>
      <c r="W65" s="28" t="str">
        <f t="shared" si="13"/>
        <v/>
      </c>
      <c r="X65" s="29" t="str">
        <f t="shared" si="13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0"/>
        <v/>
      </c>
      <c r="L66" s="19" t="str">
        <f t="shared" si="11"/>
        <v/>
      </c>
      <c r="M66" s="19" t="str">
        <f t="shared" si="9"/>
        <v/>
      </c>
      <c r="N66" s="19" t="str">
        <f t="shared" si="11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1"/>
        <v/>
      </c>
      <c r="S66" s="27" t="str">
        <f t="shared" si="13"/>
        <v/>
      </c>
      <c r="T66" s="28" t="str">
        <f t="shared" si="13"/>
        <v/>
      </c>
      <c r="U66" s="28" t="str">
        <f t="shared" si="13"/>
        <v/>
      </c>
      <c r="V66" s="28" t="str">
        <f t="shared" si="13"/>
        <v/>
      </c>
      <c r="W66" s="28" t="str">
        <f t="shared" si="13"/>
        <v/>
      </c>
      <c r="X66" s="29" t="str">
        <f t="shared" si="13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0"/>
        <v/>
      </c>
      <c r="L67" s="19" t="str">
        <f t="shared" si="11"/>
        <v/>
      </c>
      <c r="M67" s="19" t="str">
        <f t="shared" si="9"/>
        <v/>
      </c>
      <c r="N67" s="19" t="str">
        <f t="shared" si="11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1"/>
        <v/>
      </c>
      <c r="S67" s="27" t="str">
        <f t="shared" si="13"/>
        <v/>
      </c>
      <c r="T67" s="28" t="str">
        <f t="shared" si="13"/>
        <v/>
      </c>
      <c r="U67" s="28" t="str">
        <f t="shared" si="13"/>
        <v/>
      </c>
      <c r="V67" s="28" t="str">
        <f t="shared" si="13"/>
        <v/>
      </c>
      <c r="W67" s="28" t="str">
        <f t="shared" si="13"/>
        <v/>
      </c>
      <c r="X67" s="29" t="str">
        <f t="shared" si="13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0"/>
        <v/>
      </c>
      <c r="L68" s="19" t="str">
        <f t="shared" si="11"/>
        <v/>
      </c>
      <c r="M68" s="19" t="str">
        <f t="shared" si="9"/>
        <v/>
      </c>
      <c r="N68" s="19" t="str">
        <f t="shared" si="11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1"/>
        <v/>
      </c>
      <c r="S68" s="27" t="str">
        <f t="shared" si="13"/>
        <v/>
      </c>
      <c r="T68" s="28" t="str">
        <f t="shared" si="13"/>
        <v/>
      </c>
      <c r="U68" s="28" t="str">
        <f t="shared" si="13"/>
        <v/>
      </c>
      <c r="V68" s="28" t="str">
        <f t="shared" si="13"/>
        <v/>
      </c>
      <c r="W68" s="28" t="str">
        <f t="shared" si="13"/>
        <v/>
      </c>
      <c r="X68" s="29" t="str">
        <f t="shared" si="13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0"/>
        <v/>
      </c>
      <c r="L69" s="19" t="str">
        <f t="shared" si="11"/>
        <v/>
      </c>
      <c r="M69" s="19" t="str">
        <f t="shared" si="9"/>
        <v/>
      </c>
      <c r="N69" s="19" t="str">
        <f t="shared" si="11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1"/>
        <v/>
      </c>
      <c r="S69" s="27" t="str">
        <f t="shared" si="13"/>
        <v/>
      </c>
      <c r="T69" s="28" t="str">
        <f t="shared" si="13"/>
        <v/>
      </c>
      <c r="U69" s="28" t="str">
        <f t="shared" si="13"/>
        <v/>
      </c>
      <c r="V69" s="28" t="str">
        <f t="shared" si="13"/>
        <v/>
      </c>
      <c r="W69" s="28" t="str">
        <f t="shared" si="13"/>
        <v/>
      </c>
      <c r="X69" s="29" t="str">
        <f t="shared" si="13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0"/>
        <v/>
      </c>
      <c r="L70" s="19" t="str">
        <f t="shared" si="11"/>
        <v/>
      </c>
      <c r="M70" s="19" t="str">
        <f t="shared" si="9"/>
        <v/>
      </c>
      <c r="N70" s="19" t="str">
        <f t="shared" si="11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1"/>
        <v/>
      </c>
      <c r="S70" s="27" t="str">
        <f t="shared" si="13"/>
        <v/>
      </c>
      <c r="T70" s="28" t="str">
        <f t="shared" si="13"/>
        <v/>
      </c>
      <c r="U70" s="28" t="str">
        <f t="shared" si="13"/>
        <v/>
      </c>
      <c r="V70" s="28" t="str">
        <f t="shared" si="13"/>
        <v/>
      </c>
      <c r="W70" s="28" t="str">
        <f t="shared" si="13"/>
        <v/>
      </c>
      <c r="X70" s="29" t="str">
        <f t="shared" si="13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0"/>
        <v/>
      </c>
      <c r="L71" s="19" t="str">
        <f t="shared" si="11"/>
        <v/>
      </c>
      <c r="M71" s="19" t="str">
        <f t="shared" si="9"/>
        <v/>
      </c>
      <c r="N71" s="19" t="str">
        <f t="shared" si="11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1"/>
        <v/>
      </c>
      <c r="S71" s="27" t="str">
        <f t="shared" si="13"/>
        <v/>
      </c>
      <c r="T71" s="28" t="str">
        <f t="shared" si="13"/>
        <v/>
      </c>
      <c r="U71" s="28" t="str">
        <f t="shared" si="13"/>
        <v/>
      </c>
      <c r="V71" s="28" t="str">
        <f t="shared" si="13"/>
        <v/>
      </c>
      <c r="W71" s="28" t="str">
        <f t="shared" si="13"/>
        <v/>
      </c>
      <c r="X71" s="29" t="str">
        <f t="shared" si="13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0"/>
        <v/>
      </c>
      <c r="L72" s="19" t="str">
        <f t="shared" si="11"/>
        <v/>
      </c>
      <c r="M72" s="19" t="str">
        <f t="shared" si="9"/>
        <v/>
      </c>
      <c r="N72" s="19" t="str">
        <f t="shared" si="11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1"/>
        <v/>
      </c>
      <c r="S72" s="27" t="str">
        <f t="shared" si="13"/>
        <v/>
      </c>
      <c r="T72" s="28" t="str">
        <f t="shared" si="13"/>
        <v/>
      </c>
      <c r="U72" s="28" t="str">
        <f t="shared" si="13"/>
        <v/>
      </c>
      <c r="V72" s="28" t="str">
        <f t="shared" si="13"/>
        <v/>
      </c>
      <c r="W72" s="28" t="str">
        <f t="shared" si="13"/>
        <v/>
      </c>
      <c r="X72" s="29" t="str">
        <f t="shared" si="13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0"/>
        <v/>
      </c>
      <c r="L73" s="19" t="str">
        <f t="shared" si="11"/>
        <v/>
      </c>
      <c r="M73" s="19" t="str">
        <f t="shared" si="9"/>
        <v/>
      </c>
      <c r="N73" s="19" t="str">
        <f t="shared" si="11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1"/>
        <v/>
      </c>
      <c r="S73" s="27" t="str">
        <f t="shared" si="13"/>
        <v/>
      </c>
      <c r="T73" s="28" t="str">
        <f t="shared" si="13"/>
        <v/>
      </c>
      <c r="U73" s="28" t="str">
        <f t="shared" si="13"/>
        <v/>
      </c>
      <c r="V73" s="28" t="str">
        <f t="shared" si="13"/>
        <v/>
      </c>
      <c r="W73" s="28" t="str">
        <f t="shared" si="13"/>
        <v/>
      </c>
      <c r="X73" s="29" t="str">
        <f t="shared" si="13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0"/>
        <v/>
      </c>
      <c r="L74" s="19" t="str">
        <f t="shared" si="11"/>
        <v/>
      </c>
      <c r="M74" s="19" t="str">
        <f t="shared" si="9"/>
        <v/>
      </c>
      <c r="N74" s="19" t="str">
        <f t="shared" si="11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1"/>
        <v/>
      </c>
      <c r="S74" s="27" t="str">
        <f t="shared" si="13"/>
        <v/>
      </c>
      <c r="T74" s="28" t="str">
        <f t="shared" si="13"/>
        <v/>
      </c>
      <c r="U74" s="28" t="str">
        <f t="shared" si="13"/>
        <v/>
      </c>
      <c r="V74" s="28" t="str">
        <f t="shared" si="13"/>
        <v/>
      </c>
      <c r="W74" s="28" t="str">
        <f t="shared" si="13"/>
        <v/>
      </c>
      <c r="X74" s="29" t="str">
        <f t="shared" si="13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0"/>
        <v/>
      </c>
      <c r="L75" s="19" t="str">
        <f t="shared" si="11"/>
        <v/>
      </c>
      <c r="M75" s="19" t="str">
        <f t="shared" si="9"/>
        <v/>
      </c>
      <c r="N75" s="19" t="str">
        <f t="shared" si="11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1"/>
        <v/>
      </c>
      <c r="S75" s="27" t="str">
        <f t="shared" si="13"/>
        <v/>
      </c>
      <c r="T75" s="28" t="str">
        <f t="shared" si="13"/>
        <v/>
      </c>
      <c r="U75" s="28" t="str">
        <f t="shared" si="13"/>
        <v/>
      </c>
      <c r="V75" s="28" t="str">
        <f t="shared" si="13"/>
        <v/>
      </c>
      <c r="W75" s="28" t="str">
        <f t="shared" si="13"/>
        <v/>
      </c>
      <c r="X75" s="29" t="str">
        <f t="shared" si="13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0"/>
        <v/>
      </c>
      <c r="L76" s="19" t="str">
        <f t="shared" si="11"/>
        <v/>
      </c>
      <c r="M76" s="19" t="str">
        <f t="shared" si="9"/>
        <v/>
      </c>
      <c r="N76" s="19" t="str">
        <f t="shared" si="11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1"/>
        <v/>
      </c>
      <c r="S76" s="27" t="str">
        <f t="shared" si="13"/>
        <v/>
      </c>
      <c r="T76" s="28" t="str">
        <f t="shared" si="13"/>
        <v/>
      </c>
      <c r="U76" s="28" t="str">
        <f t="shared" si="13"/>
        <v/>
      </c>
      <c r="V76" s="28" t="str">
        <f t="shared" si="13"/>
        <v/>
      </c>
      <c r="W76" s="28" t="str">
        <f t="shared" si="13"/>
        <v/>
      </c>
      <c r="X76" s="29" t="str">
        <f t="shared" si="13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0"/>
        <v/>
      </c>
      <c r="L77" s="19" t="str">
        <f t="shared" si="11"/>
        <v/>
      </c>
      <c r="M77" s="19" t="str">
        <f t="shared" si="9"/>
        <v/>
      </c>
      <c r="N77" s="19" t="str">
        <f t="shared" si="11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1"/>
        <v/>
      </c>
      <c r="S77" s="27" t="str">
        <f t="shared" si="13"/>
        <v/>
      </c>
      <c r="T77" s="28" t="str">
        <f t="shared" si="13"/>
        <v/>
      </c>
      <c r="U77" s="28" t="str">
        <f t="shared" si="13"/>
        <v/>
      </c>
      <c r="V77" s="28" t="str">
        <f t="shared" si="13"/>
        <v/>
      </c>
      <c r="W77" s="28" t="str">
        <f t="shared" si="13"/>
        <v/>
      </c>
      <c r="X77" s="29" t="str">
        <f t="shared" si="13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0"/>
        <v/>
      </c>
      <c r="L78" s="19" t="str">
        <f t="shared" si="11"/>
        <v/>
      </c>
      <c r="M78" s="19" t="str">
        <f t="shared" si="9"/>
        <v/>
      </c>
      <c r="N78" s="19" t="str">
        <f t="shared" si="11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1"/>
        <v/>
      </c>
      <c r="S78" s="27" t="str">
        <f t="shared" si="13"/>
        <v/>
      </c>
      <c r="T78" s="28" t="str">
        <f t="shared" si="13"/>
        <v/>
      </c>
      <c r="U78" s="28" t="str">
        <f t="shared" si="13"/>
        <v/>
      </c>
      <c r="V78" s="28" t="str">
        <f t="shared" si="13"/>
        <v/>
      </c>
      <c r="W78" s="28" t="str">
        <f t="shared" si="13"/>
        <v/>
      </c>
      <c r="X78" s="29" t="str">
        <f t="shared" si="13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0"/>
        <v/>
      </c>
      <c r="L79" s="19" t="str">
        <f t="shared" si="11"/>
        <v/>
      </c>
      <c r="M79" s="19" t="str">
        <f t="shared" si="9"/>
        <v/>
      </c>
      <c r="N79" s="19" t="str">
        <f t="shared" si="11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1"/>
        <v/>
      </c>
      <c r="S79" s="27" t="str">
        <f t="shared" si="13"/>
        <v/>
      </c>
      <c r="T79" s="28" t="str">
        <f t="shared" si="13"/>
        <v/>
      </c>
      <c r="U79" s="28" t="str">
        <f t="shared" si="13"/>
        <v/>
      </c>
      <c r="V79" s="28" t="str">
        <f t="shared" si="13"/>
        <v/>
      </c>
      <c r="W79" s="28" t="str">
        <f t="shared" si="13"/>
        <v/>
      </c>
      <c r="X79" s="29" t="str">
        <f t="shared" si="13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0"/>
        <v/>
      </c>
      <c r="L80" s="19" t="str">
        <f t="shared" ref="L80:L111" si="14">IF(ISBLANK(C80),"",(C80-C$16)*1000)</f>
        <v/>
      </c>
      <c r="M80" s="19" t="str">
        <f t="shared" si="9"/>
        <v/>
      </c>
      <c r="N80" s="19" t="str">
        <f t="shared" ref="N80:N111" si="15">IF(ISBLANK(E80),"",(E80-E$16)*1000)</f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ref="R80:R111" si="16">IF(ISBLANK(I80),"",(I80-I$16)*1000)</f>
        <v/>
      </c>
      <c r="S80" s="27" t="str">
        <f t="shared" si="13"/>
        <v/>
      </c>
      <c r="T80" s="28" t="str">
        <f t="shared" si="13"/>
        <v/>
      </c>
      <c r="U80" s="28" t="str">
        <f t="shared" si="13"/>
        <v/>
      </c>
      <c r="V80" s="28" t="str">
        <f t="shared" si="13"/>
        <v/>
      </c>
      <c r="W80" s="28" t="str">
        <f t="shared" si="13"/>
        <v/>
      </c>
      <c r="X80" s="29" t="str">
        <f t="shared" si="13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0"/>
        <v/>
      </c>
      <c r="L81" s="19" t="str">
        <f t="shared" si="14"/>
        <v/>
      </c>
      <c r="M81" s="19" t="str">
        <f t="shared" si="9"/>
        <v/>
      </c>
      <c r="N81" s="19" t="str">
        <f t="shared" si="15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6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10"/>
        <v/>
      </c>
      <c r="L82" s="19" t="str">
        <f t="shared" si="14"/>
        <v/>
      </c>
      <c r="M82" s="19" t="str">
        <f t="shared" si="9"/>
        <v/>
      </c>
      <c r="N82" s="19" t="str">
        <f t="shared" si="15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6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10"/>
        <v/>
      </c>
      <c r="L83" s="19" t="str">
        <f t="shared" si="14"/>
        <v/>
      </c>
      <c r="M83" s="19" t="str">
        <f t="shared" si="9"/>
        <v/>
      </c>
      <c r="N83" s="19" t="str">
        <f t="shared" si="15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6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10"/>
        <v/>
      </c>
      <c r="L84" s="19" t="str">
        <f t="shared" si="14"/>
        <v/>
      </c>
      <c r="M84" s="19" t="str">
        <f t="shared" si="9"/>
        <v/>
      </c>
      <c r="N84" s="19" t="str">
        <f t="shared" si="15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6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10"/>
        <v/>
      </c>
      <c r="L85" s="19" t="str">
        <f t="shared" si="14"/>
        <v/>
      </c>
      <c r="M85" s="19" t="str">
        <f t="shared" si="9"/>
        <v/>
      </c>
      <c r="N85" s="19" t="str">
        <f t="shared" si="15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6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10"/>
        <v/>
      </c>
      <c r="L86" s="19" t="str">
        <f t="shared" si="14"/>
        <v/>
      </c>
      <c r="M86" s="19" t="str">
        <f t="shared" si="9"/>
        <v/>
      </c>
      <c r="N86" s="19" t="str">
        <f t="shared" si="15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6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10"/>
        <v/>
      </c>
      <c r="L87" s="19" t="str">
        <f t="shared" si="14"/>
        <v/>
      </c>
      <c r="M87" s="19" t="str">
        <f t="shared" si="9"/>
        <v/>
      </c>
      <c r="N87" s="19" t="str">
        <f t="shared" si="15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6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10"/>
        <v/>
      </c>
      <c r="L88" s="19" t="str">
        <f t="shared" si="14"/>
        <v/>
      </c>
      <c r="M88" s="19" t="str">
        <f t="shared" si="9"/>
        <v/>
      </c>
      <c r="N88" s="19" t="str">
        <f t="shared" si="15"/>
        <v/>
      </c>
      <c r="O88" s="19" t="str">
        <f t="shared" si="5"/>
        <v/>
      </c>
      <c r="P88" s="19" t="str">
        <f t="shared" si="6"/>
        <v/>
      </c>
      <c r="Q88" s="19" t="str">
        <f t="shared" si="7"/>
        <v/>
      </c>
      <c r="R88" s="19" t="str">
        <f t="shared" si="16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10"/>
        <v/>
      </c>
      <c r="L89" s="19" t="str">
        <f t="shared" si="14"/>
        <v/>
      </c>
      <c r="M89" s="19" t="str">
        <f t="shared" si="9"/>
        <v/>
      </c>
      <c r="N89" s="19" t="str">
        <f t="shared" si="15"/>
        <v/>
      </c>
      <c r="O89" s="19" t="str">
        <f t="shared" si="5"/>
        <v/>
      </c>
      <c r="P89" s="19" t="str">
        <f t="shared" si="6"/>
        <v/>
      </c>
      <c r="Q89" s="19" t="str">
        <f t="shared" si="7"/>
        <v/>
      </c>
      <c r="R89" s="19" t="str">
        <f t="shared" si="16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10"/>
        <v/>
      </c>
      <c r="L90" s="19" t="str">
        <f t="shared" si="14"/>
        <v/>
      </c>
      <c r="M90" s="19" t="str">
        <f t="shared" si="9"/>
        <v/>
      </c>
      <c r="N90" s="19" t="str">
        <f t="shared" si="15"/>
        <v/>
      </c>
      <c r="O90" s="19" t="str">
        <f t="shared" si="5"/>
        <v/>
      </c>
      <c r="P90" s="19" t="str">
        <f t="shared" si="6"/>
        <v/>
      </c>
      <c r="Q90" s="19" t="str">
        <f t="shared" si="7"/>
        <v/>
      </c>
      <c r="R90" s="19" t="str">
        <f t="shared" si="16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10"/>
        <v/>
      </c>
      <c r="L91" s="19" t="str">
        <f t="shared" si="14"/>
        <v/>
      </c>
      <c r="M91" s="19" t="str">
        <f t="shared" si="9"/>
        <v/>
      </c>
      <c r="N91" s="19" t="str">
        <f t="shared" si="15"/>
        <v/>
      </c>
      <c r="O91" s="19" t="str">
        <f t="shared" si="5"/>
        <v/>
      </c>
      <c r="P91" s="19" t="str">
        <f t="shared" si="6"/>
        <v/>
      </c>
      <c r="Q91" s="19" t="str">
        <f t="shared" si="7"/>
        <v/>
      </c>
      <c r="R91" s="19" t="str">
        <f t="shared" si="16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10"/>
        <v/>
      </c>
      <c r="L92" s="19" t="str">
        <f t="shared" si="14"/>
        <v/>
      </c>
      <c r="M92" s="19" t="str">
        <f t="shared" si="9"/>
        <v/>
      </c>
      <c r="N92" s="19" t="str">
        <f t="shared" si="15"/>
        <v/>
      </c>
      <c r="O92" s="19" t="str">
        <f t="shared" si="5"/>
        <v/>
      </c>
      <c r="P92" s="19" t="str">
        <f t="shared" si="6"/>
        <v/>
      </c>
      <c r="Q92" s="19" t="str">
        <f t="shared" si="7"/>
        <v/>
      </c>
      <c r="R92" s="19" t="str">
        <f t="shared" si="16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10"/>
        <v/>
      </c>
      <c r="L93" s="19" t="str">
        <f t="shared" si="14"/>
        <v/>
      </c>
      <c r="M93" s="19" t="str">
        <f t="shared" si="9"/>
        <v/>
      </c>
      <c r="N93" s="19" t="str">
        <f t="shared" si="15"/>
        <v/>
      </c>
      <c r="O93" s="19" t="str">
        <f t="shared" si="5"/>
        <v/>
      </c>
      <c r="P93" s="19" t="str">
        <f t="shared" si="6"/>
        <v/>
      </c>
      <c r="Q93" s="19" t="str">
        <f t="shared" si="7"/>
        <v/>
      </c>
      <c r="R93" s="19" t="str">
        <f t="shared" si="16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10"/>
        <v/>
      </c>
      <c r="L94" s="19" t="str">
        <f t="shared" si="14"/>
        <v/>
      </c>
      <c r="M94" s="19" t="str">
        <f t="shared" si="9"/>
        <v/>
      </c>
      <c r="N94" s="19" t="str">
        <f t="shared" si="15"/>
        <v/>
      </c>
      <c r="O94" s="19" t="str">
        <f t="shared" si="5"/>
        <v/>
      </c>
      <c r="P94" s="19" t="str">
        <f t="shared" si="6"/>
        <v/>
      </c>
      <c r="Q94" s="19" t="str">
        <f t="shared" si="7"/>
        <v/>
      </c>
      <c r="R94" s="19" t="str">
        <f t="shared" si="16"/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10"/>
        <v/>
      </c>
      <c r="L95" s="19" t="str">
        <f t="shared" si="14"/>
        <v/>
      </c>
      <c r="M95" s="19" t="str">
        <f t="shared" si="9"/>
        <v/>
      </c>
      <c r="N95" s="19" t="str">
        <f t="shared" si="15"/>
        <v/>
      </c>
      <c r="O95" s="19" t="str">
        <f t="shared" si="5"/>
        <v/>
      </c>
      <c r="P95" s="19" t="str">
        <f t="shared" si="6"/>
        <v/>
      </c>
      <c r="Q95" s="19" t="str">
        <f t="shared" si="7"/>
        <v/>
      </c>
      <c r="R95" s="19" t="str">
        <f t="shared" si="16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10"/>
        <v/>
      </c>
      <c r="L96" s="19" t="str">
        <f t="shared" si="14"/>
        <v/>
      </c>
      <c r="M96" s="19" t="str">
        <f t="shared" si="9"/>
        <v/>
      </c>
      <c r="N96" s="19" t="str">
        <f t="shared" si="15"/>
        <v/>
      </c>
      <c r="O96" s="19" t="str">
        <f t="shared" ref="O96:O153" si="18">IF(ISBLANK(F96),"",((F96-F$31)*1000)+L$31)</f>
        <v/>
      </c>
      <c r="P96" s="19" t="str">
        <f t="shared" ref="P96:P153" si="19">IF(ISBLANK(G96),"",((G96-G$31)*1000)+M$31)</f>
        <v/>
      </c>
      <c r="Q96" s="19" t="str">
        <f t="shared" ref="Q96:Q153" si="20">IF(ISBLANK(H96),"",((H96-H$31)*1000)+N$31)</f>
        <v/>
      </c>
      <c r="R96" s="19" t="str">
        <f t="shared" si="16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10"/>
        <v/>
      </c>
      <c r="L97" s="19" t="str">
        <f t="shared" si="14"/>
        <v/>
      </c>
      <c r="M97" s="19" t="str">
        <f t="shared" si="9"/>
        <v/>
      </c>
      <c r="N97" s="19" t="str">
        <f t="shared" si="15"/>
        <v/>
      </c>
      <c r="O97" s="19" t="str">
        <f t="shared" si="18"/>
        <v/>
      </c>
      <c r="P97" s="19" t="str">
        <f t="shared" si="19"/>
        <v/>
      </c>
      <c r="Q97" s="19" t="str">
        <f t="shared" si="20"/>
        <v/>
      </c>
      <c r="R97" s="19" t="str">
        <f t="shared" si="16"/>
        <v/>
      </c>
      <c r="S97" s="27" t="str">
        <f t="shared" ref="S97:X112" si="21">IF(C97="","",((C97-C96)*1000)/($B97-$B96))</f>
        <v/>
      </c>
      <c r="T97" s="28" t="str">
        <f t="shared" si="21"/>
        <v/>
      </c>
      <c r="U97" s="28" t="str">
        <f t="shared" si="21"/>
        <v/>
      </c>
      <c r="V97" s="28" t="str">
        <f t="shared" si="21"/>
        <v/>
      </c>
      <c r="W97" s="28" t="str">
        <f t="shared" si="21"/>
        <v/>
      </c>
      <c r="X97" s="29" t="str">
        <f t="shared" si="21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0"/>
        <v/>
      </c>
      <c r="L98" s="19" t="str">
        <f t="shared" si="14"/>
        <v/>
      </c>
      <c r="M98" s="19" t="str">
        <f t="shared" ref="M98:M153" si="22">IF(ISBLANK(D98),"",((D98-D$33)*1000)+M$32)</f>
        <v/>
      </c>
      <c r="N98" s="19" t="str">
        <f t="shared" si="15"/>
        <v/>
      </c>
      <c r="O98" s="19" t="str">
        <f t="shared" si="18"/>
        <v/>
      </c>
      <c r="P98" s="19" t="str">
        <f t="shared" si="19"/>
        <v/>
      </c>
      <c r="Q98" s="19" t="str">
        <f t="shared" si="20"/>
        <v/>
      </c>
      <c r="R98" s="19" t="str">
        <f t="shared" si="16"/>
        <v/>
      </c>
      <c r="S98" s="27" t="str">
        <f t="shared" si="21"/>
        <v/>
      </c>
      <c r="T98" s="28" t="str">
        <f t="shared" si="21"/>
        <v/>
      </c>
      <c r="U98" s="28" t="str">
        <f t="shared" si="21"/>
        <v/>
      </c>
      <c r="V98" s="28" t="str">
        <f t="shared" si="21"/>
        <v/>
      </c>
      <c r="W98" s="28" t="str">
        <f t="shared" si="21"/>
        <v/>
      </c>
      <c r="X98" s="29" t="str">
        <f t="shared" si="21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0"/>
        <v/>
      </c>
      <c r="L99" s="19" t="str">
        <f t="shared" si="14"/>
        <v/>
      </c>
      <c r="M99" s="19" t="str">
        <f t="shared" si="22"/>
        <v/>
      </c>
      <c r="N99" s="19" t="str">
        <f t="shared" si="15"/>
        <v/>
      </c>
      <c r="O99" s="19" t="str">
        <f t="shared" si="18"/>
        <v/>
      </c>
      <c r="P99" s="19" t="str">
        <f t="shared" si="19"/>
        <v/>
      </c>
      <c r="Q99" s="19" t="str">
        <f t="shared" si="20"/>
        <v/>
      </c>
      <c r="R99" s="19" t="str">
        <f t="shared" si="16"/>
        <v/>
      </c>
      <c r="S99" s="27" t="str">
        <f t="shared" si="21"/>
        <v/>
      </c>
      <c r="T99" s="28" t="str">
        <f t="shared" si="21"/>
        <v/>
      </c>
      <c r="U99" s="28" t="str">
        <f t="shared" si="21"/>
        <v/>
      </c>
      <c r="V99" s="28" t="str">
        <f t="shared" si="21"/>
        <v/>
      </c>
      <c r="W99" s="28" t="str">
        <f t="shared" si="21"/>
        <v/>
      </c>
      <c r="X99" s="29" t="str">
        <f t="shared" si="21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10"/>
        <v/>
      </c>
      <c r="L100" s="19" t="str">
        <f t="shared" si="14"/>
        <v/>
      </c>
      <c r="M100" s="19" t="str">
        <f t="shared" si="22"/>
        <v/>
      </c>
      <c r="N100" s="19" t="str">
        <f t="shared" si="15"/>
        <v/>
      </c>
      <c r="O100" s="19" t="str">
        <f t="shared" si="18"/>
        <v/>
      </c>
      <c r="P100" s="19" t="str">
        <f t="shared" si="19"/>
        <v/>
      </c>
      <c r="Q100" s="19" t="str">
        <f t="shared" si="20"/>
        <v/>
      </c>
      <c r="R100" s="19" t="str">
        <f t="shared" si="16"/>
        <v/>
      </c>
      <c r="S100" s="27" t="str">
        <f t="shared" si="21"/>
        <v/>
      </c>
      <c r="T100" s="28" t="str">
        <f t="shared" si="21"/>
        <v/>
      </c>
      <c r="U100" s="28" t="str">
        <f t="shared" si="21"/>
        <v/>
      </c>
      <c r="V100" s="28" t="str">
        <f t="shared" si="21"/>
        <v/>
      </c>
      <c r="W100" s="28" t="str">
        <f t="shared" si="21"/>
        <v/>
      </c>
      <c r="X100" s="29" t="str">
        <f t="shared" si="21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10"/>
        <v/>
      </c>
      <c r="L101" s="19" t="str">
        <f t="shared" si="14"/>
        <v/>
      </c>
      <c r="M101" s="19" t="str">
        <f t="shared" si="22"/>
        <v/>
      </c>
      <c r="N101" s="19" t="str">
        <f t="shared" si="15"/>
        <v/>
      </c>
      <c r="O101" s="19" t="str">
        <f t="shared" si="18"/>
        <v/>
      </c>
      <c r="P101" s="19" t="str">
        <f t="shared" si="19"/>
        <v/>
      </c>
      <c r="Q101" s="19" t="str">
        <f t="shared" si="20"/>
        <v/>
      </c>
      <c r="R101" s="19" t="str">
        <f t="shared" si="16"/>
        <v/>
      </c>
      <c r="S101" s="27" t="str">
        <f t="shared" si="21"/>
        <v/>
      </c>
      <c r="T101" s="28" t="str">
        <f t="shared" si="21"/>
        <v/>
      </c>
      <c r="U101" s="28" t="str">
        <f t="shared" si="21"/>
        <v/>
      </c>
      <c r="V101" s="28" t="str">
        <f t="shared" si="21"/>
        <v/>
      </c>
      <c r="W101" s="28" t="str">
        <f t="shared" si="21"/>
        <v/>
      </c>
      <c r="X101" s="29" t="str">
        <f t="shared" si="21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10"/>
        <v/>
      </c>
      <c r="L102" s="19" t="str">
        <f t="shared" si="14"/>
        <v/>
      </c>
      <c r="M102" s="19" t="str">
        <f t="shared" si="22"/>
        <v/>
      </c>
      <c r="N102" s="19" t="str">
        <f t="shared" si="15"/>
        <v/>
      </c>
      <c r="O102" s="19" t="str">
        <f t="shared" si="18"/>
        <v/>
      </c>
      <c r="P102" s="19" t="str">
        <f t="shared" si="19"/>
        <v/>
      </c>
      <c r="Q102" s="19" t="str">
        <f t="shared" si="20"/>
        <v/>
      </c>
      <c r="R102" s="19" t="str">
        <f t="shared" si="16"/>
        <v/>
      </c>
      <c r="S102" s="27" t="str">
        <f t="shared" si="21"/>
        <v/>
      </c>
      <c r="T102" s="28" t="str">
        <f t="shared" si="21"/>
        <v/>
      </c>
      <c r="U102" s="28" t="str">
        <f t="shared" si="21"/>
        <v/>
      </c>
      <c r="V102" s="28" t="str">
        <f t="shared" si="21"/>
        <v/>
      </c>
      <c r="W102" s="28" t="str">
        <f t="shared" si="21"/>
        <v/>
      </c>
      <c r="X102" s="29" t="str">
        <f t="shared" si="21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ref="K103:K153" si="23">IF(ISBLANK(J103),"",(J103-$J$8))</f>
        <v/>
      </c>
      <c r="L103" s="19" t="str">
        <f t="shared" si="14"/>
        <v/>
      </c>
      <c r="M103" s="19" t="str">
        <f t="shared" si="22"/>
        <v/>
      </c>
      <c r="N103" s="19" t="str">
        <f t="shared" si="15"/>
        <v/>
      </c>
      <c r="O103" s="19" t="str">
        <f t="shared" si="18"/>
        <v/>
      </c>
      <c r="P103" s="19" t="str">
        <f t="shared" si="19"/>
        <v/>
      </c>
      <c r="Q103" s="19" t="str">
        <f t="shared" si="20"/>
        <v/>
      </c>
      <c r="R103" s="19" t="str">
        <f t="shared" si="16"/>
        <v/>
      </c>
      <c r="S103" s="27" t="str">
        <f t="shared" si="21"/>
        <v/>
      </c>
      <c r="T103" s="28" t="str">
        <f t="shared" si="21"/>
        <v/>
      </c>
      <c r="U103" s="28" t="str">
        <f t="shared" si="21"/>
        <v/>
      </c>
      <c r="V103" s="28" t="str">
        <f t="shared" si="21"/>
        <v/>
      </c>
      <c r="W103" s="28" t="str">
        <f t="shared" si="21"/>
        <v/>
      </c>
      <c r="X103" s="29" t="str">
        <f t="shared" si="21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23"/>
        <v/>
      </c>
      <c r="L104" s="19" t="str">
        <f t="shared" si="14"/>
        <v/>
      </c>
      <c r="M104" s="19" t="str">
        <f t="shared" si="22"/>
        <v/>
      </c>
      <c r="N104" s="19" t="str">
        <f t="shared" si="15"/>
        <v/>
      </c>
      <c r="O104" s="19" t="str">
        <f t="shared" si="18"/>
        <v/>
      </c>
      <c r="P104" s="19" t="str">
        <f t="shared" si="19"/>
        <v/>
      </c>
      <c r="Q104" s="19" t="str">
        <f t="shared" si="20"/>
        <v/>
      </c>
      <c r="R104" s="19" t="str">
        <f t="shared" si="16"/>
        <v/>
      </c>
      <c r="S104" s="27" t="str">
        <f t="shared" si="21"/>
        <v/>
      </c>
      <c r="T104" s="28" t="str">
        <f t="shared" si="21"/>
        <v/>
      </c>
      <c r="U104" s="28" t="str">
        <f t="shared" si="21"/>
        <v/>
      </c>
      <c r="V104" s="28" t="str">
        <f t="shared" si="21"/>
        <v/>
      </c>
      <c r="W104" s="28" t="str">
        <f t="shared" si="21"/>
        <v/>
      </c>
      <c r="X104" s="29" t="str">
        <f t="shared" si="21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23"/>
        <v/>
      </c>
      <c r="L105" s="19" t="str">
        <f t="shared" si="14"/>
        <v/>
      </c>
      <c r="M105" s="19" t="str">
        <f t="shared" si="22"/>
        <v/>
      </c>
      <c r="N105" s="19" t="str">
        <f t="shared" si="15"/>
        <v/>
      </c>
      <c r="O105" s="19" t="str">
        <f t="shared" si="18"/>
        <v/>
      </c>
      <c r="P105" s="19" t="str">
        <f t="shared" si="19"/>
        <v/>
      </c>
      <c r="Q105" s="19" t="str">
        <f t="shared" si="20"/>
        <v/>
      </c>
      <c r="R105" s="19" t="str">
        <f t="shared" si="16"/>
        <v/>
      </c>
      <c r="S105" s="27" t="str">
        <f t="shared" si="21"/>
        <v/>
      </c>
      <c r="T105" s="28" t="str">
        <f t="shared" si="21"/>
        <v/>
      </c>
      <c r="U105" s="28" t="str">
        <f t="shared" si="21"/>
        <v/>
      </c>
      <c r="V105" s="28" t="str">
        <f t="shared" si="21"/>
        <v/>
      </c>
      <c r="W105" s="28" t="str">
        <f t="shared" si="21"/>
        <v/>
      </c>
      <c r="X105" s="29" t="str">
        <f t="shared" si="21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23"/>
        <v/>
      </c>
      <c r="L106" s="19" t="str">
        <f t="shared" si="14"/>
        <v/>
      </c>
      <c r="M106" s="19" t="str">
        <f t="shared" si="22"/>
        <v/>
      </c>
      <c r="N106" s="19" t="str">
        <f t="shared" si="15"/>
        <v/>
      </c>
      <c r="O106" s="19" t="str">
        <f t="shared" si="18"/>
        <v/>
      </c>
      <c r="P106" s="19" t="str">
        <f t="shared" si="19"/>
        <v/>
      </c>
      <c r="Q106" s="19" t="str">
        <f t="shared" si="20"/>
        <v/>
      </c>
      <c r="R106" s="19" t="str">
        <f t="shared" si="16"/>
        <v/>
      </c>
      <c r="S106" s="27" t="str">
        <f t="shared" si="21"/>
        <v/>
      </c>
      <c r="T106" s="28" t="str">
        <f t="shared" si="21"/>
        <v/>
      </c>
      <c r="U106" s="28" t="str">
        <f t="shared" si="21"/>
        <v/>
      </c>
      <c r="V106" s="28" t="str">
        <f t="shared" si="21"/>
        <v/>
      </c>
      <c r="W106" s="28" t="str">
        <f t="shared" si="21"/>
        <v/>
      </c>
      <c r="X106" s="29" t="str">
        <f t="shared" si="21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23"/>
        <v/>
      </c>
      <c r="L107" s="19" t="str">
        <f t="shared" si="14"/>
        <v/>
      </c>
      <c r="M107" s="19" t="str">
        <f t="shared" si="22"/>
        <v/>
      </c>
      <c r="N107" s="19" t="str">
        <f t="shared" si="15"/>
        <v/>
      </c>
      <c r="O107" s="19" t="str">
        <f t="shared" si="18"/>
        <v/>
      </c>
      <c r="P107" s="19" t="str">
        <f t="shared" si="19"/>
        <v/>
      </c>
      <c r="Q107" s="19" t="str">
        <f t="shared" si="20"/>
        <v/>
      </c>
      <c r="R107" s="19" t="str">
        <f t="shared" si="16"/>
        <v/>
      </c>
      <c r="S107" s="27" t="str">
        <f t="shared" si="21"/>
        <v/>
      </c>
      <c r="T107" s="28" t="str">
        <f t="shared" si="21"/>
        <v/>
      </c>
      <c r="U107" s="28" t="str">
        <f t="shared" si="21"/>
        <v/>
      </c>
      <c r="V107" s="28" t="str">
        <f t="shared" si="21"/>
        <v/>
      </c>
      <c r="W107" s="28" t="str">
        <f t="shared" si="21"/>
        <v/>
      </c>
      <c r="X107" s="29" t="str">
        <f t="shared" si="21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23"/>
        <v/>
      </c>
      <c r="L108" s="19" t="str">
        <f t="shared" si="14"/>
        <v/>
      </c>
      <c r="M108" s="19" t="str">
        <f t="shared" si="22"/>
        <v/>
      </c>
      <c r="N108" s="19" t="str">
        <f t="shared" si="15"/>
        <v/>
      </c>
      <c r="O108" s="19" t="str">
        <f t="shared" si="18"/>
        <v/>
      </c>
      <c r="P108" s="19" t="str">
        <f t="shared" si="19"/>
        <v/>
      </c>
      <c r="Q108" s="19" t="str">
        <f t="shared" si="20"/>
        <v/>
      </c>
      <c r="R108" s="19" t="str">
        <f t="shared" si="16"/>
        <v/>
      </c>
      <c r="S108" s="27" t="str">
        <f t="shared" si="21"/>
        <v/>
      </c>
      <c r="T108" s="28" t="str">
        <f t="shared" si="21"/>
        <v/>
      </c>
      <c r="U108" s="28" t="str">
        <f t="shared" si="21"/>
        <v/>
      </c>
      <c r="V108" s="28" t="str">
        <f t="shared" si="21"/>
        <v/>
      </c>
      <c r="W108" s="28" t="str">
        <f t="shared" si="21"/>
        <v/>
      </c>
      <c r="X108" s="29" t="str">
        <f t="shared" si="21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23"/>
        <v/>
      </c>
      <c r="L109" s="19" t="str">
        <f t="shared" si="14"/>
        <v/>
      </c>
      <c r="M109" s="19" t="str">
        <f t="shared" si="22"/>
        <v/>
      </c>
      <c r="N109" s="19" t="str">
        <f t="shared" si="15"/>
        <v/>
      </c>
      <c r="O109" s="19" t="str">
        <f t="shared" si="18"/>
        <v/>
      </c>
      <c r="P109" s="19" t="str">
        <f t="shared" si="19"/>
        <v/>
      </c>
      <c r="Q109" s="19" t="str">
        <f t="shared" si="20"/>
        <v/>
      </c>
      <c r="R109" s="19" t="str">
        <f t="shared" si="16"/>
        <v/>
      </c>
      <c r="S109" s="27" t="str">
        <f t="shared" si="21"/>
        <v/>
      </c>
      <c r="T109" s="28" t="str">
        <f t="shared" si="21"/>
        <v/>
      </c>
      <c r="U109" s="28" t="str">
        <f t="shared" si="21"/>
        <v/>
      </c>
      <c r="V109" s="28" t="str">
        <f t="shared" si="21"/>
        <v/>
      </c>
      <c r="W109" s="28" t="str">
        <f t="shared" si="21"/>
        <v/>
      </c>
      <c r="X109" s="29" t="str">
        <f t="shared" si="21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23"/>
        <v/>
      </c>
      <c r="L110" s="19" t="str">
        <f t="shared" si="14"/>
        <v/>
      </c>
      <c r="M110" s="19" t="str">
        <f t="shared" si="22"/>
        <v/>
      </c>
      <c r="N110" s="19" t="str">
        <f t="shared" si="15"/>
        <v/>
      </c>
      <c r="O110" s="19" t="str">
        <f t="shared" si="18"/>
        <v/>
      </c>
      <c r="P110" s="19" t="str">
        <f t="shared" si="19"/>
        <v/>
      </c>
      <c r="Q110" s="19" t="str">
        <f t="shared" si="20"/>
        <v/>
      </c>
      <c r="R110" s="19" t="str">
        <f t="shared" si="16"/>
        <v/>
      </c>
      <c r="S110" s="27" t="str">
        <f t="shared" si="21"/>
        <v/>
      </c>
      <c r="T110" s="28" t="str">
        <f t="shared" si="21"/>
        <v/>
      </c>
      <c r="U110" s="28" t="str">
        <f t="shared" si="21"/>
        <v/>
      </c>
      <c r="V110" s="28" t="str">
        <f t="shared" si="21"/>
        <v/>
      </c>
      <c r="W110" s="28" t="str">
        <f t="shared" si="21"/>
        <v/>
      </c>
      <c r="X110" s="29" t="str">
        <f t="shared" si="21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23"/>
        <v/>
      </c>
      <c r="L111" s="19" t="str">
        <f t="shared" si="14"/>
        <v/>
      </c>
      <c r="M111" s="19" t="str">
        <f t="shared" si="22"/>
        <v/>
      </c>
      <c r="N111" s="19" t="str">
        <f t="shared" si="15"/>
        <v/>
      </c>
      <c r="O111" s="19" t="str">
        <f t="shared" si="18"/>
        <v/>
      </c>
      <c r="P111" s="19" t="str">
        <f t="shared" si="19"/>
        <v/>
      </c>
      <c r="Q111" s="19" t="str">
        <f t="shared" si="20"/>
        <v/>
      </c>
      <c r="R111" s="19" t="str">
        <f t="shared" si="16"/>
        <v/>
      </c>
      <c r="S111" s="27" t="str">
        <f t="shared" si="21"/>
        <v/>
      </c>
      <c r="T111" s="28" t="str">
        <f t="shared" si="21"/>
        <v/>
      </c>
      <c r="U111" s="28" t="str">
        <f t="shared" si="21"/>
        <v/>
      </c>
      <c r="V111" s="28" t="str">
        <f t="shared" si="21"/>
        <v/>
      </c>
      <c r="W111" s="28" t="str">
        <f t="shared" si="21"/>
        <v/>
      </c>
      <c r="X111" s="29" t="str">
        <f t="shared" si="21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23"/>
        <v/>
      </c>
      <c r="L112" s="19" t="str">
        <f t="shared" ref="L112:L143" si="24">IF(ISBLANK(C112),"",(C112-C$16)*1000)</f>
        <v/>
      </c>
      <c r="M112" s="19" t="str">
        <f t="shared" si="22"/>
        <v/>
      </c>
      <c r="N112" s="19" t="str">
        <f t="shared" ref="N112:N143" si="25">IF(ISBLANK(E112),"",(E112-E$16)*1000)</f>
        <v/>
      </c>
      <c r="O112" s="19" t="str">
        <f t="shared" si="18"/>
        <v/>
      </c>
      <c r="P112" s="19" t="str">
        <f t="shared" si="19"/>
        <v/>
      </c>
      <c r="Q112" s="19" t="str">
        <f t="shared" si="20"/>
        <v/>
      </c>
      <c r="R112" s="19" t="str">
        <f t="shared" ref="R112:R143" si="26">IF(ISBLANK(I112),"",(I112-I$16)*1000)</f>
        <v/>
      </c>
      <c r="S112" s="27" t="str">
        <f t="shared" si="21"/>
        <v/>
      </c>
      <c r="T112" s="28" t="str">
        <f t="shared" si="21"/>
        <v/>
      </c>
      <c r="U112" s="28" t="str">
        <f t="shared" si="21"/>
        <v/>
      </c>
      <c r="V112" s="28" t="str">
        <f t="shared" si="21"/>
        <v/>
      </c>
      <c r="W112" s="28" t="str">
        <f t="shared" si="21"/>
        <v/>
      </c>
      <c r="X112" s="29" t="str">
        <f t="shared" si="21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23"/>
        <v/>
      </c>
      <c r="L113" s="19" t="str">
        <f t="shared" si="24"/>
        <v/>
      </c>
      <c r="M113" s="19" t="str">
        <f t="shared" si="22"/>
        <v/>
      </c>
      <c r="N113" s="19" t="str">
        <f t="shared" si="25"/>
        <v/>
      </c>
      <c r="O113" s="19" t="str">
        <f t="shared" si="18"/>
        <v/>
      </c>
      <c r="P113" s="19" t="str">
        <f t="shared" si="19"/>
        <v/>
      </c>
      <c r="Q113" s="19" t="str">
        <f t="shared" si="20"/>
        <v/>
      </c>
      <c r="R113" s="19" t="str">
        <f t="shared" si="26"/>
        <v/>
      </c>
      <c r="S113" s="27" t="str">
        <f t="shared" ref="S113:X128" si="27">IF(C113="","",((C113-C112)*1000)/($B113-$B112))</f>
        <v/>
      </c>
      <c r="T113" s="28" t="str">
        <f t="shared" si="27"/>
        <v/>
      </c>
      <c r="U113" s="28" t="str">
        <f t="shared" si="27"/>
        <v/>
      </c>
      <c r="V113" s="28" t="str">
        <f t="shared" si="27"/>
        <v/>
      </c>
      <c r="W113" s="28" t="str">
        <f t="shared" si="27"/>
        <v/>
      </c>
      <c r="X113" s="29" t="str">
        <f t="shared" si="27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23"/>
        <v/>
      </c>
      <c r="L114" s="19" t="str">
        <f t="shared" si="24"/>
        <v/>
      </c>
      <c r="M114" s="19" t="str">
        <f t="shared" si="22"/>
        <v/>
      </c>
      <c r="N114" s="19" t="str">
        <f t="shared" si="25"/>
        <v/>
      </c>
      <c r="O114" s="19" t="str">
        <f t="shared" si="18"/>
        <v/>
      </c>
      <c r="P114" s="19" t="str">
        <f t="shared" si="19"/>
        <v/>
      </c>
      <c r="Q114" s="19" t="str">
        <f t="shared" si="20"/>
        <v/>
      </c>
      <c r="R114" s="19" t="str">
        <f t="shared" si="26"/>
        <v/>
      </c>
      <c r="S114" s="27" t="str">
        <f t="shared" si="27"/>
        <v/>
      </c>
      <c r="T114" s="28" t="str">
        <f t="shared" si="27"/>
        <v/>
      </c>
      <c r="U114" s="28" t="str">
        <f t="shared" si="27"/>
        <v/>
      </c>
      <c r="V114" s="28" t="str">
        <f t="shared" si="27"/>
        <v/>
      </c>
      <c r="W114" s="28" t="str">
        <f t="shared" si="27"/>
        <v/>
      </c>
      <c r="X114" s="29" t="str">
        <f t="shared" si="2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23"/>
        <v/>
      </c>
      <c r="L115" s="19" t="str">
        <f t="shared" si="24"/>
        <v/>
      </c>
      <c r="M115" s="19" t="str">
        <f t="shared" si="22"/>
        <v/>
      </c>
      <c r="N115" s="19" t="str">
        <f t="shared" si="25"/>
        <v/>
      </c>
      <c r="O115" s="19" t="str">
        <f t="shared" si="18"/>
        <v/>
      </c>
      <c r="P115" s="19" t="str">
        <f t="shared" si="19"/>
        <v/>
      </c>
      <c r="Q115" s="19" t="str">
        <f t="shared" si="20"/>
        <v/>
      </c>
      <c r="R115" s="19" t="str">
        <f t="shared" si="26"/>
        <v/>
      </c>
      <c r="S115" s="27" t="str">
        <f t="shared" si="27"/>
        <v/>
      </c>
      <c r="T115" s="28" t="str">
        <f t="shared" si="27"/>
        <v/>
      </c>
      <c r="U115" s="28" t="str">
        <f t="shared" si="27"/>
        <v/>
      </c>
      <c r="V115" s="28" t="str">
        <f t="shared" si="27"/>
        <v/>
      </c>
      <c r="W115" s="28" t="str">
        <f t="shared" si="27"/>
        <v/>
      </c>
      <c r="X115" s="29" t="str">
        <f t="shared" si="2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23"/>
        <v/>
      </c>
      <c r="L116" s="19" t="str">
        <f t="shared" si="24"/>
        <v/>
      </c>
      <c r="M116" s="19" t="str">
        <f t="shared" si="22"/>
        <v/>
      </c>
      <c r="N116" s="19" t="str">
        <f t="shared" si="25"/>
        <v/>
      </c>
      <c r="O116" s="19" t="str">
        <f t="shared" si="18"/>
        <v/>
      </c>
      <c r="P116" s="19" t="str">
        <f t="shared" si="19"/>
        <v/>
      </c>
      <c r="Q116" s="19" t="str">
        <f t="shared" si="20"/>
        <v/>
      </c>
      <c r="R116" s="19" t="str">
        <f t="shared" si="26"/>
        <v/>
      </c>
      <c r="S116" s="27" t="str">
        <f t="shared" si="27"/>
        <v/>
      </c>
      <c r="T116" s="28" t="str">
        <f t="shared" si="27"/>
        <v/>
      </c>
      <c r="U116" s="28" t="str">
        <f t="shared" si="27"/>
        <v/>
      </c>
      <c r="V116" s="28" t="str">
        <f t="shared" si="27"/>
        <v/>
      </c>
      <c r="W116" s="28" t="str">
        <f t="shared" si="27"/>
        <v/>
      </c>
      <c r="X116" s="29" t="str">
        <f t="shared" si="2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23"/>
        <v/>
      </c>
      <c r="L117" s="19" t="str">
        <f t="shared" si="24"/>
        <v/>
      </c>
      <c r="M117" s="19" t="str">
        <f t="shared" si="22"/>
        <v/>
      </c>
      <c r="N117" s="19" t="str">
        <f t="shared" si="25"/>
        <v/>
      </c>
      <c r="O117" s="19" t="str">
        <f t="shared" si="18"/>
        <v/>
      </c>
      <c r="P117" s="19" t="str">
        <f t="shared" si="19"/>
        <v/>
      </c>
      <c r="Q117" s="19" t="str">
        <f t="shared" si="20"/>
        <v/>
      </c>
      <c r="R117" s="19" t="str">
        <f t="shared" si="26"/>
        <v/>
      </c>
      <c r="S117" s="27" t="str">
        <f t="shared" si="27"/>
        <v/>
      </c>
      <c r="T117" s="28" t="str">
        <f t="shared" si="27"/>
        <v/>
      </c>
      <c r="U117" s="28" t="str">
        <f t="shared" si="27"/>
        <v/>
      </c>
      <c r="V117" s="28" t="str">
        <f t="shared" si="27"/>
        <v/>
      </c>
      <c r="W117" s="28" t="str">
        <f t="shared" si="27"/>
        <v/>
      </c>
      <c r="X117" s="29" t="str">
        <f t="shared" si="2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23"/>
        <v/>
      </c>
      <c r="L118" s="19" t="str">
        <f t="shared" si="24"/>
        <v/>
      </c>
      <c r="M118" s="19" t="str">
        <f t="shared" si="22"/>
        <v/>
      </c>
      <c r="N118" s="19" t="str">
        <f t="shared" si="25"/>
        <v/>
      </c>
      <c r="O118" s="19" t="str">
        <f t="shared" si="18"/>
        <v/>
      </c>
      <c r="P118" s="19" t="str">
        <f t="shared" si="19"/>
        <v/>
      </c>
      <c r="Q118" s="19" t="str">
        <f t="shared" si="20"/>
        <v/>
      </c>
      <c r="R118" s="19" t="str">
        <f t="shared" si="26"/>
        <v/>
      </c>
      <c r="S118" s="27" t="str">
        <f t="shared" si="27"/>
        <v/>
      </c>
      <c r="T118" s="28" t="str">
        <f t="shared" si="27"/>
        <v/>
      </c>
      <c r="U118" s="28" t="str">
        <f t="shared" si="27"/>
        <v/>
      </c>
      <c r="V118" s="28" t="str">
        <f t="shared" si="27"/>
        <v/>
      </c>
      <c r="W118" s="28" t="str">
        <f t="shared" si="27"/>
        <v/>
      </c>
      <c r="X118" s="29" t="str">
        <f t="shared" si="2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23"/>
        <v/>
      </c>
      <c r="L119" s="19" t="str">
        <f t="shared" si="24"/>
        <v/>
      </c>
      <c r="M119" s="19" t="str">
        <f t="shared" si="22"/>
        <v/>
      </c>
      <c r="N119" s="19" t="str">
        <f t="shared" si="25"/>
        <v/>
      </c>
      <c r="O119" s="19" t="str">
        <f t="shared" si="18"/>
        <v/>
      </c>
      <c r="P119" s="19" t="str">
        <f t="shared" si="19"/>
        <v/>
      </c>
      <c r="Q119" s="19" t="str">
        <f t="shared" si="20"/>
        <v/>
      </c>
      <c r="R119" s="19" t="str">
        <f t="shared" si="26"/>
        <v/>
      </c>
      <c r="S119" s="27" t="str">
        <f t="shared" si="27"/>
        <v/>
      </c>
      <c r="T119" s="28" t="str">
        <f t="shared" si="27"/>
        <v/>
      </c>
      <c r="U119" s="28" t="str">
        <f t="shared" si="27"/>
        <v/>
      </c>
      <c r="V119" s="28" t="str">
        <f t="shared" si="27"/>
        <v/>
      </c>
      <c r="W119" s="28" t="str">
        <f t="shared" si="27"/>
        <v/>
      </c>
      <c r="X119" s="29" t="str">
        <f t="shared" si="2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23"/>
        <v/>
      </c>
      <c r="L120" s="19" t="str">
        <f t="shared" si="24"/>
        <v/>
      </c>
      <c r="M120" s="19" t="str">
        <f t="shared" si="22"/>
        <v/>
      </c>
      <c r="N120" s="19" t="str">
        <f t="shared" si="25"/>
        <v/>
      </c>
      <c r="O120" s="19" t="str">
        <f t="shared" si="18"/>
        <v/>
      </c>
      <c r="P120" s="19" t="str">
        <f t="shared" si="19"/>
        <v/>
      </c>
      <c r="Q120" s="19" t="str">
        <f t="shared" si="20"/>
        <v/>
      </c>
      <c r="R120" s="19" t="str">
        <f t="shared" si="26"/>
        <v/>
      </c>
      <c r="S120" s="27" t="str">
        <f t="shared" si="27"/>
        <v/>
      </c>
      <c r="T120" s="28" t="str">
        <f t="shared" si="27"/>
        <v/>
      </c>
      <c r="U120" s="28" t="str">
        <f t="shared" si="27"/>
        <v/>
      </c>
      <c r="V120" s="28" t="str">
        <f t="shared" si="27"/>
        <v/>
      </c>
      <c r="W120" s="28" t="str">
        <f t="shared" si="27"/>
        <v/>
      </c>
      <c r="X120" s="29" t="str">
        <f t="shared" si="2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23"/>
        <v/>
      </c>
      <c r="L121" s="19" t="str">
        <f t="shared" si="24"/>
        <v/>
      </c>
      <c r="M121" s="19" t="str">
        <f t="shared" si="22"/>
        <v/>
      </c>
      <c r="N121" s="19" t="str">
        <f t="shared" si="25"/>
        <v/>
      </c>
      <c r="O121" s="19" t="str">
        <f t="shared" si="18"/>
        <v/>
      </c>
      <c r="P121" s="19" t="str">
        <f t="shared" si="19"/>
        <v/>
      </c>
      <c r="Q121" s="19" t="str">
        <f t="shared" si="20"/>
        <v/>
      </c>
      <c r="R121" s="19" t="str">
        <f t="shared" si="26"/>
        <v/>
      </c>
      <c r="S121" s="27" t="str">
        <f t="shared" si="27"/>
        <v/>
      </c>
      <c r="T121" s="28" t="str">
        <f t="shared" si="27"/>
        <v/>
      </c>
      <c r="U121" s="28" t="str">
        <f t="shared" si="27"/>
        <v/>
      </c>
      <c r="V121" s="28" t="str">
        <f t="shared" si="27"/>
        <v/>
      </c>
      <c r="W121" s="28" t="str">
        <f t="shared" si="27"/>
        <v/>
      </c>
      <c r="X121" s="29" t="str">
        <f t="shared" si="2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23"/>
        <v/>
      </c>
      <c r="L122" s="19" t="str">
        <f t="shared" si="24"/>
        <v/>
      </c>
      <c r="M122" s="19" t="str">
        <f t="shared" si="22"/>
        <v/>
      </c>
      <c r="N122" s="19" t="str">
        <f t="shared" si="25"/>
        <v/>
      </c>
      <c r="O122" s="19" t="str">
        <f t="shared" si="18"/>
        <v/>
      </c>
      <c r="P122" s="19" t="str">
        <f t="shared" si="19"/>
        <v/>
      </c>
      <c r="Q122" s="19" t="str">
        <f t="shared" si="20"/>
        <v/>
      </c>
      <c r="R122" s="19" t="str">
        <f t="shared" si="26"/>
        <v/>
      </c>
      <c r="S122" s="27" t="str">
        <f t="shared" si="27"/>
        <v/>
      </c>
      <c r="T122" s="28" t="str">
        <f t="shared" si="27"/>
        <v/>
      </c>
      <c r="U122" s="28" t="str">
        <f t="shared" si="27"/>
        <v/>
      </c>
      <c r="V122" s="28" t="str">
        <f t="shared" si="27"/>
        <v/>
      </c>
      <c r="W122" s="28" t="str">
        <f t="shared" si="27"/>
        <v/>
      </c>
      <c r="X122" s="29" t="str">
        <f t="shared" si="2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23"/>
        <v/>
      </c>
      <c r="L123" s="19" t="str">
        <f t="shared" si="24"/>
        <v/>
      </c>
      <c r="M123" s="19" t="str">
        <f t="shared" si="22"/>
        <v/>
      </c>
      <c r="N123" s="19" t="str">
        <f t="shared" si="25"/>
        <v/>
      </c>
      <c r="O123" s="19" t="str">
        <f t="shared" si="18"/>
        <v/>
      </c>
      <c r="P123" s="19" t="str">
        <f t="shared" si="19"/>
        <v/>
      </c>
      <c r="Q123" s="19" t="str">
        <f t="shared" si="20"/>
        <v/>
      </c>
      <c r="R123" s="19" t="str">
        <f t="shared" si="26"/>
        <v/>
      </c>
      <c r="S123" s="27" t="str">
        <f t="shared" si="27"/>
        <v/>
      </c>
      <c r="T123" s="28" t="str">
        <f t="shared" si="27"/>
        <v/>
      </c>
      <c r="U123" s="28" t="str">
        <f t="shared" si="27"/>
        <v/>
      </c>
      <c r="V123" s="28" t="str">
        <f t="shared" si="27"/>
        <v/>
      </c>
      <c r="W123" s="28" t="str">
        <f t="shared" si="27"/>
        <v/>
      </c>
      <c r="X123" s="29" t="str">
        <f t="shared" si="2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23"/>
        <v/>
      </c>
      <c r="L124" s="19" t="str">
        <f t="shared" si="24"/>
        <v/>
      </c>
      <c r="M124" s="19" t="str">
        <f t="shared" si="22"/>
        <v/>
      </c>
      <c r="N124" s="19" t="str">
        <f t="shared" si="25"/>
        <v/>
      </c>
      <c r="O124" s="19" t="str">
        <f t="shared" si="18"/>
        <v/>
      </c>
      <c r="P124" s="19" t="str">
        <f t="shared" si="19"/>
        <v/>
      </c>
      <c r="Q124" s="19" t="str">
        <f t="shared" si="20"/>
        <v/>
      </c>
      <c r="R124" s="19" t="str">
        <f t="shared" si="26"/>
        <v/>
      </c>
      <c r="S124" s="27" t="str">
        <f t="shared" si="27"/>
        <v/>
      </c>
      <c r="T124" s="28" t="str">
        <f t="shared" si="27"/>
        <v/>
      </c>
      <c r="U124" s="28" t="str">
        <f t="shared" si="27"/>
        <v/>
      </c>
      <c r="V124" s="28" t="str">
        <f t="shared" si="27"/>
        <v/>
      </c>
      <c r="W124" s="28" t="str">
        <f t="shared" si="27"/>
        <v/>
      </c>
      <c r="X124" s="29" t="str">
        <f t="shared" si="2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23"/>
        <v/>
      </c>
      <c r="L125" s="19" t="str">
        <f t="shared" si="24"/>
        <v/>
      </c>
      <c r="M125" s="19" t="str">
        <f t="shared" si="22"/>
        <v/>
      </c>
      <c r="N125" s="19" t="str">
        <f t="shared" si="25"/>
        <v/>
      </c>
      <c r="O125" s="19" t="str">
        <f t="shared" si="18"/>
        <v/>
      </c>
      <c r="P125" s="19" t="str">
        <f t="shared" si="19"/>
        <v/>
      </c>
      <c r="Q125" s="19" t="str">
        <f t="shared" si="20"/>
        <v/>
      </c>
      <c r="R125" s="19" t="str">
        <f t="shared" si="26"/>
        <v/>
      </c>
      <c r="S125" s="27" t="str">
        <f t="shared" si="27"/>
        <v/>
      </c>
      <c r="T125" s="28" t="str">
        <f t="shared" si="27"/>
        <v/>
      </c>
      <c r="U125" s="28" t="str">
        <f t="shared" si="27"/>
        <v/>
      </c>
      <c r="V125" s="28" t="str">
        <f t="shared" si="27"/>
        <v/>
      </c>
      <c r="W125" s="28" t="str">
        <f t="shared" si="27"/>
        <v/>
      </c>
      <c r="X125" s="29" t="str">
        <f t="shared" si="2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23"/>
        <v/>
      </c>
      <c r="L126" s="19" t="str">
        <f t="shared" si="24"/>
        <v/>
      </c>
      <c r="M126" s="19" t="str">
        <f t="shared" si="22"/>
        <v/>
      </c>
      <c r="N126" s="19" t="str">
        <f t="shared" si="25"/>
        <v/>
      </c>
      <c r="O126" s="19" t="str">
        <f t="shared" si="18"/>
        <v/>
      </c>
      <c r="P126" s="19" t="str">
        <f t="shared" si="19"/>
        <v/>
      </c>
      <c r="Q126" s="19" t="str">
        <f t="shared" si="20"/>
        <v/>
      </c>
      <c r="R126" s="19" t="str">
        <f t="shared" si="26"/>
        <v/>
      </c>
      <c r="S126" s="27" t="str">
        <f t="shared" si="27"/>
        <v/>
      </c>
      <c r="T126" s="28" t="str">
        <f t="shared" si="27"/>
        <v/>
      </c>
      <c r="U126" s="28" t="str">
        <f t="shared" si="27"/>
        <v/>
      </c>
      <c r="V126" s="28" t="str">
        <f t="shared" si="27"/>
        <v/>
      </c>
      <c r="W126" s="28" t="str">
        <f t="shared" si="27"/>
        <v/>
      </c>
      <c r="X126" s="29" t="str">
        <f t="shared" si="2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23"/>
        <v/>
      </c>
      <c r="L127" s="19" t="str">
        <f t="shared" si="24"/>
        <v/>
      </c>
      <c r="M127" s="19" t="str">
        <f t="shared" si="22"/>
        <v/>
      </c>
      <c r="N127" s="19" t="str">
        <f t="shared" si="25"/>
        <v/>
      </c>
      <c r="O127" s="19" t="str">
        <f t="shared" si="18"/>
        <v/>
      </c>
      <c r="P127" s="19" t="str">
        <f t="shared" si="19"/>
        <v/>
      </c>
      <c r="Q127" s="19" t="str">
        <f t="shared" si="20"/>
        <v/>
      </c>
      <c r="R127" s="19" t="str">
        <f t="shared" si="26"/>
        <v/>
      </c>
      <c r="S127" s="27" t="str">
        <f t="shared" si="27"/>
        <v/>
      </c>
      <c r="T127" s="28" t="str">
        <f t="shared" si="27"/>
        <v/>
      </c>
      <c r="U127" s="28" t="str">
        <f t="shared" si="27"/>
        <v/>
      </c>
      <c r="V127" s="28" t="str">
        <f t="shared" si="27"/>
        <v/>
      </c>
      <c r="W127" s="28" t="str">
        <f t="shared" si="27"/>
        <v/>
      </c>
      <c r="X127" s="29" t="str">
        <f t="shared" si="2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23"/>
        <v/>
      </c>
      <c r="L128" s="19" t="str">
        <f t="shared" si="24"/>
        <v/>
      </c>
      <c r="M128" s="19" t="str">
        <f t="shared" si="22"/>
        <v/>
      </c>
      <c r="N128" s="19" t="str">
        <f t="shared" si="25"/>
        <v/>
      </c>
      <c r="O128" s="19" t="str">
        <f t="shared" si="18"/>
        <v/>
      </c>
      <c r="P128" s="19" t="str">
        <f t="shared" si="19"/>
        <v/>
      </c>
      <c r="Q128" s="19" t="str">
        <f t="shared" si="20"/>
        <v/>
      </c>
      <c r="R128" s="19" t="str">
        <f t="shared" si="26"/>
        <v/>
      </c>
      <c r="S128" s="27" t="str">
        <f t="shared" si="27"/>
        <v/>
      </c>
      <c r="T128" s="28" t="str">
        <f t="shared" si="27"/>
        <v/>
      </c>
      <c r="U128" s="28" t="str">
        <f t="shared" si="27"/>
        <v/>
      </c>
      <c r="V128" s="28" t="str">
        <f t="shared" si="27"/>
        <v/>
      </c>
      <c r="W128" s="28" t="str">
        <f t="shared" si="27"/>
        <v/>
      </c>
      <c r="X128" s="29" t="str">
        <f t="shared" si="2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23"/>
        <v/>
      </c>
      <c r="L129" s="19" t="str">
        <f t="shared" si="24"/>
        <v/>
      </c>
      <c r="M129" s="19" t="str">
        <f t="shared" si="22"/>
        <v/>
      </c>
      <c r="N129" s="19" t="str">
        <f t="shared" si="25"/>
        <v/>
      </c>
      <c r="O129" s="19" t="str">
        <f t="shared" si="18"/>
        <v/>
      </c>
      <c r="P129" s="19" t="str">
        <f t="shared" si="19"/>
        <v/>
      </c>
      <c r="Q129" s="19" t="str">
        <f t="shared" si="20"/>
        <v/>
      </c>
      <c r="R129" s="19" t="str">
        <f t="shared" si="26"/>
        <v/>
      </c>
      <c r="S129" s="27" t="str">
        <f t="shared" ref="S129:X144" si="28">IF(C129="","",((C129-C128)*1000)/($B129-$B128))</f>
        <v/>
      </c>
      <c r="T129" s="28" t="str">
        <f t="shared" si="28"/>
        <v/>
      </c>
      <c r="U129" s="28" t="str">
        <f t="shared" si="28"/>
        <v/>
      </c>
      <c r="V129" s="28" t="str">
        <f t="shared" si="28"/>
        <v/>
      </c>
      <c r="W129" s="28" t="str">
        <f t="shared" si="28"/>
        <v/>
      </c>
      <c r="X129" s="29" t="str">
        <f t="shared" si="28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23"/>
        <v/>
      </c>
      <c r="L130" s="19" t="str">
        <f t="shared" si="24"/>
        <v/>
      </c>
      <c r="M130" s="19" t="str">
        <f t="shared" si="22"/>
        <v/>
      </c>
      <c r="N130" s="19" t="str">
        <f t="shared" si="25"/>
        <v/>
      </c>
      <c r="O130" s="19" t="str">
        <f t="shared" si="18"/>
        <v/>
      </c>
      <c r="P130" s="19" t="str">
        <f t="shared" si="19"/>
        <v/>
      </c>
      <c r="Q130" s="19" t="str">
        <f t="shared" si="20"/>
        <v/>
      </c>
      <c r="R130" s="19" t="str">
        <f t="shared" si="26"/>
        <v/>
      </c>
      <c r="S130" s="27" t="str">
        <f t="shared" si="28"/>
        <v/>
      </c>
      <c r="T130" s="28" t="str">
        <f t="shared" si="28"/>
        <v/>
      </c>
      <c r="U130" s="28" t="str">
        <f t="shared" si="28"/>
        <v/>
      </c>
      <c r="V130" s="28" t="str">
        <f t="shared" si="28"/>
        <v/>
      </c>
      <c r="W130" s="28" t="str">
        <f t="shared" si="28"/>
        <v/>
      </c>
      <c r="X130" s="29" t="str">
        <f t="shared" si="28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23"/>
        <v/>
      </c>
      <c r="L131" s="19" t="str">
        <f t="shared" si="24"/>
        <v/>
      </c>
      <c r="M131" s="19" t="str">
        <f t="shared" si="22"/>
        <v/>
      </c>
      <c r="N131" s="19" t="str">
        <f t="shared" si="25"/>
        <v/>
      </c>
      <c r="O131" s="19" t="str">
        <f t="shared" si="18"/>
        <v/>
      </c>
      <c r="P131" s="19" t="str">
        <f t="shared" si="19"/>
        <v/>
      </c>
      <c r="Q131" s="19" t="str">
        <f t="shared" si="20"/>
        <v/>
      </c>
      <c r="R131" s="19" t="str">
        <f t="shared" si="26"/>
        <v/>
      </c>
      <c r="S131" s="27" t="str">
        <f t="shared" si="28"/>
        <v/>
      </c>
      <c r="T131" s="28" t="str">
        <f t="shared" si="28"/>
        <v/>
      </c>
      <c r="U131" s="28" t="str">
        <f t="shared" si="28"/>
        <v/>
      </c>
      <c r="V131" s="28" t="str">
        <f t="shared" si="28"/>
        <v/>
      </c>
      <c r="W131" s="28" t="str">
        <f t="shared" si="28"/>
        <v/>
      </c>
      <c r="X131" s="29" t="str">
        <f t="shared" si="28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23"/>
        <v/>
      </c>
      <c r="L132" s="19" t="str">
        <f t="shared" si="24"/>
        <v/>
      </c>
      <c r="M132" s="19" t="str">
        <f t="shared" si="22"/>
        <v/>
      </c>
      <c r="N132" s="19" t="str">
        <f t="shared" si="25"/>
        <v/>
      </c>
      <c r="O132" s="19" t="str">
        <f t="shared" si="18"/>
        <v/>
      </c>
      <c r="P132" s="19" t="str">
        <f t="shared" si="19"/>
        <v/>
      </c>
      <c r="Q132" s="19" t="str">
        <f t="shared" si="20"/>
        <v/>
      </c>
      <c r="R132" s="19" t="str">
        <f t="shared" si="26"/>
        <v/>
      </c>
      <c r="S132" s="27" t="str">
        <f t="shared" si="28"/>
        <v/>
      </c>
      <c r="T132" s="28" t="str">
        <f t="shared" si="28"/>
        <v/>
      </c>
      <c r="U132" s="28" t="str">
        <f t="shared" si="28"/>
        <v/>
      </c>
      <c r="V132" s="28" t="str">
        <f t="shared" si="28"/>
        <v/>
      </c>
      <c r="W132" s="28" t="str">
        <f t="shared" si="28"/>
        <v/>
      </c>
      <c r="X132" s="29" t="str">
        <f t="shared" si="28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23"/>
        <v/>
      </c>
      <c r="L133" s="19" t="str">
        <f t="shared" si="24"/>
        <v/>
      </c>
      <c r="M133" s="19" t="str">
        <f t="shared" si="22"/>
        <v/>
      </c>
      <c r="N133" s="19" t="str">
        <f t="shared" si="25"/>
        <v/>
      </c>
      <c r="O133" s="19" t="str">
        <f t="shared" si="18"/>
        <v/>
      </c>
      <c r="P133" s="19" t="str">
        <f t="shared" si="19"/>
        <v/>
      </c>
      <c r="Q133" s="19" t="str">
        <f t="shared" si="20"/>
        <v/>
      </c>
      <c r="R133" s="19" t="str">
        <f t="shared" si="26"/>
        <v/>
      </c>
      <c r="S133" s="27" t="str">
        <f t="shared" si="28"/>
        <v/>
      </c>
      <c r="T133" s="28" t="str">
        <f t="shared" si="28"/>
        <v/>
      </c>
      <c r="U133" s="28" t="str">
        <f t="shared" si="28"/>
        <v/>
      </c>
      <c r="V133" s="28" t="str">
        <f t="shared" si="28"/>
        <v/>
      </c>
      <c r="W133" s="28" t="str">
        <f t="shared" si="28"/>
        <v/>
      </c>
      <c r="X133" s="29" t="str">
        <f t="shared" si="28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23"/>
        <v/>
      </c>
      <c r="L134" s="19" t="str">
        <f t="shared" si="24"/>
        <v/>
      </c>
      <c r="M134" s="19" t="str">
        <f t="shared" si="22"/>
        <v/>
      </c>
      <c r="N134" s="19" t="str">
        <f t="shared" si="25"/>
        <v/>
      </c>
      <c r="O134" s="19" t="str">
        <f t="shared" si="18"/>
        <v/>
      </c>
      <c r="P134" s="19" t="str">
        <f t="shared" si="19"/>
        <v/>
      </c>
      <c r="Q134" s="19" t="str">
        <f t="shared" si="20"/>
        <v/>
      </c>
      <c r="R134" s="19" t="str">
        <f t="shared" si="26"/>
        <v/>
      </c>
      <c r="S134" s="27" t="str">
        <f t="shared" si="28"/>
        <v/>
      </c>
      <c r="T134" s="28" t="str">
        <f t="shared" si="28"/>
        <v/>
      </c>
      <c r="U134" s="28" t="str">
        <f t="shared" si="28"/>
        <v/>
      </c>
      <c r="V134" s="28" t="str">
        <f t="shared" si="28"/>
        <v/>
      </c>
      <c r="W134" s="28" t="str">
        <f t="shared" si="28"/>
        <v/>
      </c>
      <c r="X134" s="29" t="str">
        <f t="shared" si="28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23"/>
        <v/>
      </c>
      <c r="L135" s="19" t="str">
        <f t="shared" si="24"/>
        <v/>
      </c>
      <c r="M135" s="19" t="str">
        <f t="shared" si="22"/>
        <v/>
      </c>
      <c r="N135" s="19" t="str">
        <f t="shared" si="25"/>
        <v/>
      </c>
      <c r="O135" s="19" t="str">
        <f t="shared" si="18"/>
        <v/>
      </c>
      <c r="P135" s="19" t="str">
        <f t="shared" si="19"/>
        <v/>
      </c>
      <c r="Q135" s="19" t="str">
        <f t="shared" si="20"/>
        <v/>
      </c>
      <c r="R135" s="19" t="str">
        <f t="shared" si="26"/>
        <v/>
      </c>
      <c r="S135" s="27" t="str">
        <f t="shared" si="28"/>
        <v/>
      </c>
      <c r="T135" s="28" t="str">
        <f t="shared" si="28"/>
        <v/>
      </c>
      <c r="U135" s="28" t="str">
        <f t="shared" si="28"/>
        <v/>
      </c>
      <c r="V135" s="28" t="str">
        <f t="shared" si="28"/>
        <v/>
      </c>
      <c r="W135" s="28" t="str">
        <f t="shared" si="28"/>
        <v/>
      </c>
      <c r="X135" s="29" t="str">
        <f t="shared" si="28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23"/>
        <v/>
      </c>
      <c r="L136" s="19" t="str">
        <f t="shared" si="24"/>
        <v/>
      </c>
      <c r="M136" s="19" t="str">
        <f t="shared" si="22"/>
        <v/>
      </c>
      <c r="N136" s="19" t="str">
        <f t="shared" si="25"/>
        <v/>
      </c>
      <c r="O136" s="19" t="str">
        <f t="shared" si="18"/>
        <v/>
      </c>
      <c r="P136" s="19" t="str">
        <f t="shared" si="19"/>
        <v/>
      </c>
      <c r="Q136" s="19" t="str">
        <f t="shared" si="20"/>
        <v/>
      </c>
      <c r="R136" s="19" t="str">
        <f t="shared" si="26"/>
        <v/>
      </c>
      <c r="S136" s="27" t="str">
        <f t="shared" si="28"/>
        <v/>
      </c>
      <c r="T136" s="28" t="str">
        <f t="shared" si="28"/>
        <v/>
      </c>
      <c r="U136" s="28" t="str">
        <f t="shared" si="28"/>
        <v/>
      </c>
      <c r="V136" s="28" t="str">
        <f t="shared" si="28"/>
        <v/>
      </c>
      <c r="W136" s="28" t="str">
        <f t="shared" si="28"/>
        <v/>
      </c>
      <c r="X136" s="29" t="str">
        <f t="shared" si="28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23"/>
        <v/>
      </c>
      <c r="L137" s="19" t="str">
        <f t="shared" si="24"/>
        <v/>
      </c>
      <c r="M137" s="19" t="str">
        <f t="shared" si="22"/>
        <v/>
      </c>
      <c r="N137" s="19" t="str">
        <f t="shared" si="25"/>
        <v/>
      </c>
      <c r="O137" s="19" t="str">
        <f t="shared" si="18"/>
        <v/>
      </c>
      <c r="P137" s="19" t="str">
        <f t="shared" si="19"/>
        <v/>
      </c>
      <c r="Q137" s="19" t="str">
        <f t="shared" si="20"/>
        <v/>
      </c>
      <c r="R137" s="19" t="str">
        <f t="shared" si="26"/>
        <v/>
      </c>
      <c r="S137" s="27" t="str">
        <f t="shared" si="28"/>
        <v/>
      </c>
      <c r="T137" s="28" t="str">
        <f t="shared" si="28"/>
        <v/>
      </c>
      <c r="U137" s="28" t="str">
        <f t="shared" si="28"/>
        <v/>
      </c>
      <c r="V137" s="28" t="str">
        <f t="shared" si="28"/>
        <v/>
      </c>
      <c r="W137" s="28" t="str">
        <f t="shared" si="28"/>
        <v/>
      </c>
      <c r="X137" s="29" t="str">
        <f t="shared" si="28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23"/>
        <v/>
      </c>
      <c r="L138" s="19" t="str">
        <f t="shared" si="24"/>
        <v/>
      </c>
      <c r="M138" s="19" t="str">
        <f t="shared" si="22"/>
        <v/>
      </c>
      <c r="N138" s="19" t="str">
        <f t="shared" si="25"/>
        <v/>
      </c>
      <c r="O138" s="19" t="str">
        <f t="shared" si="18"/>
        <v/>
      </c>
      <c r="P138" s="19" t="str">
        <f t="shared" si="19"/>
        <v/>
      </c>
      <c r="Q138" s="19" t="str">
        <f t="shared" si="20"/>
        <v/>
      </c>
      <c r="R138" s="19" t="str">
        <f t="shared" si="26"/>
        <v/>
      </c>
      <c r="S138" s="27" t="str">
        <f t="shared" si="28"/>
        <v/>
      </c>
      <c r="T138" s="28" t="str">
        <f t="shared" si="28"/>
        <v/>
      </c>
      <c r="U138" s="28" t="str">
        <f t="shared" si="28"/>
        <v/>
      </c>
      <c r="V138" s="28" t="str">
        <f t="shared" si="28"/>
        <v/>
      </c>
      <c r="W138" s="28" t="str">
        <f t="shared" si="28"/>
        <v/>
      </c>
      <c r="X138" s="29" t="str">
        <f t="shared" si="28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23"/>
        <v/>
      </c>
      <c r="L139" s="19" t="str">
        <f t="shared" si="24"/>
        <v/>
      </c>
      <c r="M139" s="19" t="str">
        <f t="shared" si="22"/>
        <v/>
      </c>
      <c r="N139" s="19" t="str">
        <f t="shared" si="25"/>
        <v/>
      </c>
      <c r="O139" s="19" t="str">
        <f t="shared" si="18"/>
        <v/>
      </c>
      <c r="P139" s="19" t="str">
        <f t="shared" si="19"/>
        <v/>
      </c>
      <c r="Q139" s="19" t="str">
        <f t="shared" si="20"/>
        <v/>
      </c>
      <c r="R139" s="19" t="str">
        <f t="shared" si="26"/>
        <v/>
      </c>
      <c r="S139" s="27" t="str">
        <f t="shared" si="28"/>
        <v/>
      </c>
      <c r="T139" s="28" t="str">
        <f t="shared" si="28"/>
        <v/>
      </c>
      <c r="U139" s="28" t="str">
        <f t="shared" si="28"/>
        <v/>
      </c>
      <c r="V139" s="28" t="str">
        <f t="shared" si="28"/>
        <v/>
      </c>
      <c r="W139" s="28" t="str">
        <f t="shared" si="28"/>
        <v/>
      </c>
      <c r="X139" s="29" t="str">
        <f t="shared" si="28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23"/>
        <v/>
      </c>
      <c r="L140" s="19" t="str">
        <f t="shared" si="24"/>
        <v/>
      </c>
      <c r="M140" s="19" t="str">
        <f t="shared" si="22"/>
        <v/>
      </c>
      <c r="N140" s="19" t="str">
        <f t="shared" si="25"/>
        <v/>
      </c>
      <c r="O140" s="19" t="str">
        <f t="shared" si="18"/>
        <v/>
      </c>
      <c r="P140" s="19" t="str">
        <f t="shared" si="19"/>
        <v/>
      </c>
      <c r="Q140" s="19" t="str">
        <f t="shared" si="20"/>
        <v/>
      </c>
      <c r="R140" s="19" t="str">
        <f t="shared" si="26"/>
        <v/>
      </c>
      <c r="S140" s="27" t="str">
        <f t="shared" si="28"/>
        <v/>
      </c>
      <c r="T140" s="28" t="str">
        <f t="shared" si="28"/>
        <v/>
      </c>
      <c r="U140" s="28" t="str">
        <f t="shared" si="28"/>
        <v/>
      </c>
      <c r="V140" s="28" t="str">
        <f t="shared" si="28"/>
        <v/>
      </c>
      <c r="W140" s="28" t="str">
        <f t="shared" si="28"/>
        <v/>
      </c>
      <c r="X140" s="29" t="str">
        <f t="shared" si="28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23"/>
        <v/>
      </c>
      <c r="L141" s="19" t="str">
        <f t="shared" si="24"/>
        <v/>
      </c>
      <c r="M141" s="19" t="str">
        <f t="shared" si="22"/>
        <v/>
      </c>
      <c r="N141" s="19" t="str">
        <f t="shared" si="25"/>
        <v/>
      </c>
      <c r="O141" s="19" t="str">
        <f t="shared" si="18"/>
        <v/>
      </c>
      <c r="P141" s="19" t="str">
        <f t="shared" si="19"/>
        <v/>
      </c>
      <c r="Q141" s="19" t="str">
        <f t="shared" si="20"/>
        <v/>
      </c>
      <c r="R141" s="19" t="str">
        <f t="shared" si="26"/>
        <v/>
      </c>
      <c r="S141" s="27" t="str">
        <f t="shared" si="28"/>
        <v/>
      </c>
      <c r="T141" s="28" t="str">
        <f t="shared" si="28"/>
        <v/>
      </c>
      <c r="U141" s="28" t="str">
        <f t="shared" si="28"/>
        <v/>
      </c>
      <c r="V141" s="28" t="str">
        <f t="shared" si="28"/>
        <v/>
      </c>
      <c r="W141" s="28" t="str">
        <f t="shared" si="28"/>
        <v/>
      </c>
      <c r="X141" s="29" t="str">
        <f t="shared" si="28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23"/>
        <v/>
      </c>
      <c r="L142" s="19" t="str">
        <f t="shared" si="24"/>
        <v/>
      </c>
      <c r="M142" s="19" t="str">
        <f t="shared" si="22"/>
        <v/>
      </c>
      <c r="N142" s="19" t="str">
        <f t="shared" si="25"/>
        <v/>
      </c>
      <c r="O142" s="19" t="str">
        <f t="shared" si="18"/>
        <v/>
      </c>
      <c r="P142" s="19" t="str">
        <f t="shared" si="19"/>
        <v/>
      </c>
      <c r="Q142" s="19" t="str">
        <f t="shared" si="20"/>
        <v/>
      </c>
      <c r="R142" s="19" t="str">
        <f t="shared" si="26"/>
        <v/>
      </c>
      <c r="S142" s="27" t="str">
        <f t="shared" si="28"/>
        <v/>
      </c>
      <c r="T142" s="28" t="str">
        <f t="shared" si="28"/>
        <v/>
      </c>
      <c r="U142" s="28" t="str">
        <f t="shared" si="28"/>
        <v/>
      </c>
      <c r="V142" s="28" t="str">
        <f t="shared" si="28"/>
        <v/>
      </c>
      <c r="W142" s="28" t="str">
        <f t="shared" si="28"/>
        <v/>
      </c>
      <c r="X142" s="29" t="str">
        <f t="shared" si="28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23"/>
        <v/>
      </c>
      <c r="L143" s="19" t="str">
        <f t="shared" si="24"/>
        <v/>
      </c>
      <c r="M143" s="19" t="str">
        <f t="shared" si="22"/>
        <v/>
      </c>
      <c r="N143" s="19" t="str">
        <f t="shared" si="25"/>
        <v/>
      </c>
      <c r="O143" s="19" t="str">
        <f t="shared" si="18"/>
        <v/>
      </c>
      <c r="P143" s="19" t="str">
        <f t="shared" si="19"/>
        <v/>
      </c>
      <c r="Q143" s="19" t="str">
        <f t="shared" si="20"/>
        <v/>
      </c>
      <c r="R143" s="19" t="str">
        <f t="shared" si="26"/>
        <v/>
      </c>
      <c r="S143" s="27" t="str">
        <f t="shared" si="28"/>
        <v/>
      </c>
      <c r="T143" s="28" t="str">
        <f t="shared" si="28"/>
        <v/>
      </c>
      <c r="U143" s="28" t="str">
        <f t="shared" si="28"/>
        <v/>
      </c>
      <c r="V143" s="28" t="str">
        <f t="shared" si="28"/>
        <v/>
      </c>
      <c r="W143" s="28" t="str">
        <f t="shared" si="28"/>
        <v/>
      </c>
      <c r="X143" s="29" t="str">
        <f t="shared" si="28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23"/>
        <v/>
      </c>
      <c r="L144" s="19" t="str">
        <f t="shared" ref="L144:L153" si="29">IF(ISBLANK(C144),"",(C144-C$16)*1000)</f>
        <v/>
      </c>
      <c r="M144" s="19" t="str">
        <f t="shared" si="22"/>
        <v/>
      </c>
      <c r="N144" s="19" t="str">
        <f t="shared" ref="N144:N153" si="30">IF(ISBLANK(E144),"",(E144-E$16)*1000)</f>
        <v/>
      </c>
      <c r="O144" s="19" t="str">
        <f t="shared" si="18"/>
        <v/>
      </c>
      <c r="P144" s="19" t="str">
        <f t="shared" si="19"/>
        <v/>
      </c>
      <c r="Q144" s="19" t="str">
        <f t="shared" si="20"/>
        <v/>
      </c>
      <c r="R144" s="19" t="str">
        <f t="shared" ref="R144:R153" si="31">IF(ISBLANK(I144),"",(I144-I$16)*1000)</f>
        <v/>
      </c>
      <c r="S144" s="27" t="str">
        <f t="shared" si="28"/>
        <v/>
      </c>
      <c r="T144" s="28" t="str">
        <f t="shared" si="28"/>
        <v/>
      </c>
      <c r="U144" s="28" t="str">
        <f t="shared" si="28"/>
        <v/>
      </c>
      <c r="V144" s="28" t="str">
        <f t="shared" si="28"/>
        <v/>
      </c>
      <c r="W144" s="28" t="str">
        <f t="shared" si="28"/>
        <v/>
      </c>
      <c r="X144" s="29" t="str">
        <f t="shared" si="28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23"/>
        <v/>
      </c>
      <c r="L145" s="19" t="str">
        <f t="shared" si="29"/>
        <v/>
      </c>
      <c r="M145" s="19" t="str">
        <f t="shared" si="22"/>
        <v/>
      </c>
      <c r="N145" s="19" t="str">
        <f t="shared" si="30"/>
        <v/>
      </c>
      <c r="O145" s="19" t="str">
        <f t="shared" si="18"/>
        <v/>
      </c>
      <c r="P145" s="19" t="str">
        <f t="shared" si="19"/>
        <v/>
      </c>
      <c r="Q145" s="19" t="str">
        <f t="shared" si="20"/>
        <v/>
      </c>
      <c r="R145" s="19" t="str">
        <f t="shared" si="31"/>
        <v/>
      </c>
      <c r="S145" s="27" t="str">
        <f t="shared" ref="S145:X153" si="32">IF(C145="","",((C145-C144)*1000)/($B145-$B144))</f>
        <v/>
      </c>
      <c r="T145" s="28" t="str">
        <f t="shared" si="32"/>
        <v/>
      </c>
      <c r="U145" s="28" t="str">
        <f t="shared" si="32"/>
        <v/>
      </c>
      <c r="V145" s="28" t="str">
        <f t="shared" si="32"/>
        <v/>
      </c>
      <c r="W145" s="28" t="str">
        <f t="shared" si="32"/>
        <v/>
      </c>
      <c r="X145" s="29" t="str">
        <f t="shared" si="32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23"/>
        <v/>
      </c>
      <c r="L146" s="19" t="str">
        <f t="shared" si="29"/>
        <v/>
      </c>
      <c r="M146" s="19" t="str">
        <f t="shared" si="22"/>
        <v/>
      </c>
      <c r="N146" s="19" t="str">
        <f t="shared" si="30"/>
        <v/>
      </c>
      <c r="O146" s="19" t="str">
        <f t="shared" si="18"/>
        <v/>
      </c>
      <c r="P146" s="19" t="str">
        <f t="shared" si="19"/>
        <v/>
      </c>
      <c r="Q146" s="19" t="str">
        <f t="shared" si="20"/>
        <v/>
      </c>
      <c r="R146" s="19" t="str">
        <f t="shared" si="31"/>
        <v/>
      </c>
      <c r="S146" s="27" t="str">
        <f t="shared" si="32"/>
        <v/>
      </c>
      <c r="T146" s="28" t="str">
        <f t="shared" si="32"/>
        <v/>
      </c>
      <c r="U146" s="28" t="str">
        <f t="shared" si="32"/>
        <v/>
      </c>
      <c r="V146" s="28" t="str">
        <f t="shared" si="32"/>
        <v/>
      </c>
      <c r="W146" s="28" t="str">
        <f t="shared" si="32"/>
        <v/>
      </c>
      <c r="X146" s="29" t="str">
        <f t="shared" si="32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23"/>
        <v/>
      </c>
      <c r="L147" s="19" t="str">
        <f t="shared" si="29"/>
        <v/>
      </c>
      <c r="M147" s="19" t="str">
        <f t="shared" si="22"/>
        <v/>
      </c>
      <c r="N147" s="19" t="str">
        <f t="shared" si="30"/>
        <v/>
      </c>
      <c r="O147" s="19" t="str">
        <f t="shared" si="18"/>
        <v/>
      </c>
      <c r="P147" s="19" t="str">
        <f t="shared" si="19"/>
        <v/>
      </c>
      <c r="Q147" s="19" t="str">
        <f t="shared" si="20"/>
        <v/>
      </c>
      <c r="R147" s="19" t="str">
        <f t="shared" si="31"/>
        <v/>
      </c>
      <c r="S147" s="27" t="str">
        <f t="shared" si="32"/>
        <v/>
      </c>
      <c r="T147" s="28" t="str">
        <f t="shared" si="32"/>
        <v/>
      </c>
      <c r="U147" s="28" t="str">
        <f t="shared" si="32"/>
        <v/>
      </c>
      <c r="V147" s="28" t="str">
        <f t="shared" si="32"/>
        <v/>
      </c>
      <c r="W147" s="28" t="str">
        <f t="shared" si="32"/>
        <v/>
      </c>
      <c r="X147" s="29" t="str">
        <f t="shared" si="32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23"/>
        <v/>
      </c>
      <c r="L148" s="19" t="str">
        <f t="shared" si="29"/>
        <v/>
      </c>
      <c r="M148" s="19" t="str">
        <f t="shared" si="22"/>
        <v/>
      </c>
      <c r="N148" s="19" t="str">
        <f t="shared" si="30"/>
        <v/>
      </c>
      <c r="O148" s="19" t="str">
        <f t="shared" si="18"/>
        <v/>
      </c>
      <c r="P148" s="19" t="str">
        <f t="shared" si="19"/>
        <v/>
      </c>
      <c r="Q148" s="19" t="str">
        <f t="shared" si="20"/>
        <v/>
      </c>
      <c r="R148" s="19" t="str">
        <f t="shared" si="31"/>
        <v/>
      </c>
      <c r="S148" s="27" t="str">
        <f t="shared" si="32"/>
        <v/>
      </c>
      <c r="T148" s="28" t="str">
        <f t="shared" si="32"/>
        <v/>
      </c>
      <c r="U148" s="28" t="str">
        <f t="shared" si="32"/>
        <v/>
      </c>
      <c r="V148" s="28" t="str">
        <f t="shared" si="32"/>
        <v/>
      </c>
      <c r="W148" s="28" t="str">
        <f t="shared" si="32"/>
        <v/>
      </c>
      <c r="X148" s="29" t="str">
        <f t="shared" si="32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23"/>
        <v/>
      </c>
      <c r="L149" s="19" t="str">
        <f t="shared" si="29"/>
        <v/>
      </c>
      <c r="M149" s="19" t="str">
        <f t="shared" si="22"/>
        <v/>
      </c>
      <c r="N149" s="19" t="str">
        <f t="shared" si="30"/>
        <v/>
      </c>
      <c r="O149" s="19" t="str">
        <f t="shared" si="18"/>
        <v/>
      </c>
      <c r="P149" s="19" t="str">
        <f t="shared" si="19"/>
        <v/>
      </c>
      <c r="Q149" s="19" t="str">
        <f t="shared" si="20"/>
        <v/>
      </c>
      <c r="R149" s="19" t="str">
        <f t="shared" si="31"/>
        <v/>
      </c>
      <c r="S149" s="27" t="str">
        <f t="shared" si="32"/>
        <v/>
      </c>
      <c r="T149" s="28" t="str">
        <f t="shared" si="32"/>
        <v/>
      </c>
      <c r="U149" s="28" t="str">
        <f t="shared" si="32"/>
        <v/>
      </c>
      <c r="V149" s="28" t="str">
        <f t="shared" si="32"/>
        <v/>
      </c>
      <c r="W149" s="28" t="str">
        <f t="shared" si="32"/>
        <v/>
      </c>
      <c r="X149" s="29" t="str">
        <f t="shared" si="32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23"/>
        <v/>
      </c>
      <c r="L150" s="19" t="str">
        <f t="shared" si="29"/>
        <v/>
      </c>
      <c r="M150" s="19" t="str">
        <f t="shared" si="22"/>
        <v/>
      </c>
      <c r="N150" s="19" t="str">
        <f t="shared" si="30"/>
        <v/>
      </c>
      <c r="O150" s="19" t="str">
        <f t="shared" si="18"/>
        <v/>
      </c>
      <c r="P150" s="19" t="str">
        <f t="shared" si="19"/>
        <v/>
      </c>
      <c r="Q150" s="19" t="str">
        <f t="shared" si="20"/>
        <v/>
      </c>
      <c r="R150" s="19" t="str">
        <f t="shared" si="31"/>
        <v/>
      </c>
      <c r="S150" s="27" t="str">
        <f t="shared" si="32"/>
        <v/>
      </c>
      <c r="T150" s="28" t="str">
        <f t="shared" si="32"/>
        <v/>
      </c>
      <c r="U150" s="28" t="str">
        <f t="shared" si="32"/>
        <v/>
      </c>
      <c r="V150" s="28" t="str">
        <f t="shared" si="32"/>
        <v/>
      </c>
      <c r="W150" s="28" t="str">
        <f t="shared" si="32"/>
        <v/>
      </c>
      <c r="X150" s="29" t="str">
        <f t="shared" si="32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23"/>
        <v/>
      </c>
      <c r="L151" s="19" t="str">
        <f t="shared" si="29"/>
        <v/>
      </c>
      <c r="M151" s="19" t="str">
        <f t="shared" si="22"/>
        <v/>
      </c>
      <c r="N151" s="19" t="str">
        <f t="shared" si="30"/>
        <v/>
      </c>
      <c r="O151" s="19" t="str">
        <f t="shared" si="18"/>
        <v/>
      </c>
      <c r="P151" s="19" t="str">
        <f t="shared" si="19"/>
        <v/>
      </c>
      <c r="Q151" s="19" t="str">
        <f t="shared" si="20"/>
        <v/>
      </c>
      <c r="R151" s="19" t="str">
        <f t="shared" si="31"/>
        <v/>
      </c>
      <c r="S151" s="27" t="str">
        <f t="shared" si="32"/>
        <v/>
      </c>
      <c r="T151" s="28" t="str">
        <f t="shared" si="32"/>
        <v/>
      </c>
      <c r="U151" s="28" t="str">
        <f t="shared" si="32"/>
        <v/>
      </c>
      <c r="V151" s="28" t="str">
        <f t="shared" si="32"/>
        <v/>
      </c>
      <c r="W151" s="28" t="str">
        <f t="shared" si="32"/>
        <v/>
      </c>
      <c r="X151" s="29" t="str">
        <f t="shared" si="32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23"/>
        <v/>
      </c>
      <c r="L152" s="19" t="str">
        <f t="shared" si="29"/>
        <v/>
      </c>
      <c r="M152" s="19" t="str">
        <f t="shared" si="22"/>
        <v/>
      </c>
      <c r="N152" s="19" t="str">
        <f t="shared" si="30"/>
        <v/>
      </c>
      <c r="O152" s="19" t="str">
        <f t="shared" si="18"/>
        <v/>
      </c>
      <c r="P152" s="19" t="str">
        <f t="shared" si="19"/>
        <v/>
      </c>
      <c r="Q152" s="19" t="str">
        <f t="shared" si="20"/>
        <v/>
      </c>
      <c r="R152" s="19" t="str">
        <f t="shared" si="31"/>
        <v/>
      </c>
      <c r="S152" s="27" t="str">
        <f t="shared" si="32"/>
        <v/>
      </c>
      <c r="T152" s="28" t="str">
        <f t="shared" si="32"/>
        <v/>
      </c>
      <c r="U152" s="28" t="str">
        <f t="shared" si="32"/>
        <v/>
      </c>
      <c r="V152" s="28" t="str">
        <f t="shared" si="32"/>
        <v/>
      </c>
      <c r="W152" s="28" t="str">
        <f t="shared" si="32"/>
        <v/>
      </c>
      <c r="X152" s="29" t="str">
        <f t="shared" si="32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23"/>
        <v/>
      </c>
      <c r="L153" s="19" t="str">
        <f t="shared" si="29"/>
        <v/>
      </c>
      <c r="M153" s="19" t="str">
        <f t="shared" si="22"/>
        <v/>
      </c>
      <c r="N153" s="19" t="str">
        <f t="shared" si="30"/>
        <v/>
      </c>
      <c r="O153" s="19" t="str">
        <f t="shared" si="18"/>
        <v/>
      </c>
      <c r="P153" s="19" t="str">
        <f t="shared" si="19"/>
        <v/>
      </c>
      <c r="Q153" s="19" t="str">
        <f t="shared" si="20"/>
        <v/>
      </c>
      <c r="R153" s="19" t="str">
        <f t="shared" si="31"/>
        <v/>
      </c>
      <c r="S153" s="27" t="str">
        <f t="shared" si="32"/>
        <v/>
      </c>
      <c r="T153" s="28" t="str">
        <f t="shared" si="32"/>
        <v/>
      </c>
      <c r="U153" s="28" t="str">
        <f t="shared" si="32"/>
        <v/>
      </c>
      <c r="V153" s="28" t="str">
        <f t="shared" si="32"/>
        <v/>
      </c>
      <c r="W153" s="28" t="str">
        <f t="shared" si="32"/>
        <v/>
      </c>
      <c r="X153" s="29" t="str">
        <f t="shared" si="32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0:J12"/>
    <mergeCell ref="K10:S12"/>
    <mergeCell ref="T10:Y12"/>
    <mergeCell ref="B9:O9"/>
    <mergeCell ref="P9:Y9"/>
    <mergeCell ref="J5:Q5"/>
    <mergeCell ref="R5:V5"/>
    <mergeCell ref="E6:I6"/>
    <mergeCell ref="J6:Q6"/>
    <mergeCell ref="AA9:AI9"/>
    <mergeCell ref="R6:V6"/>
    <mergeCell ref="W6:Y6"/>
    <mergeCell ref="E7:I7"/>
    <mergeCell ref="J7:Q7"/>
    <mergeCell ref="R7:V7"/>
    <mergeCell ref="W7:Y7"/>
    <mergeCell ref="J14:K14"/>
    <mergeCell ref="W5:Y5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R8:V8"/>
    <mergeCell ref="B5:D8"/>
    <mergeCell ref="E5:I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32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0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TZ-30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/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/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/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/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/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800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/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4">
        <v>41785</v>
      </c>
      <c r="C16" s="35">
        <v>13.331</v>
      </c>
      <c r="D16" s="36">
        <v>7.1840000000000002</v>
      </c>
      <c r="E16" s="36">
        <v>9.3170000000000002</v>
      </c>
      <c r="F16" s="37"/>
      <c r="G16" s="37"/>
      <c r="H16" s="37"/>
      <c r="I16" s="41">
        <v>104.676</v>
      </c>
      <c r="J16" s="68">
        <v>813</v>
      </c>
      <c r="K16" s="55">
        <f>IF(ISBLANK(J16),"",(J16-$J$8))</f>
        <v>13</v>
      </c>
      <c r="L16" s="19">
        <f t="shared" ref="L16:L25" si="0">IF(ISBLANK(C16),"",(C16-C$16)*1000)</f>
        <v>0</v>
      </c>
      <c r="M16" s="19">
        <f t="shared" ref="M16:M25" si="1">IF(ISBLANK(D16),"",(D16-D$16)*1000)</f>
        <v>0</v>
      </c>
      <c r="N16" s="19">
        <f t="shared" ref="N16:N25" si="2">IF(ISBLANK(E16),"",(E16-E$16)*1000)</f>
        <v>0</v>
      </c>
      <c r="O16" s="20"/>
      <c r="P16" s="20"/>
      <c r="Q16" s="20"/>
      <c r="R16" s="21">
        <f t="shared" ref="R16:R79" si="3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41786</v>
      </c>
      <c r="C17" s="25">
        <v>13.329000000000001</v>
      </c>
      <c r="D17" s="26">
        <v>7.1829999999999998</v>
      </c>
      <c r="E17" s="26">
        <v>9.3160000000000007</v>
      </c>
      <c r="F17" s="16"/>
      <c r="G17" s="16"/>
      <c r="H17" s="16"/>
      <c r="I17" s="17">
        <v>104.676</v>
      </c>
      <c r="J17" s="58">
        <v>821</v>
      </c>
      <c r="K17" s="18">
        <f t="shared" ref="K17:K22" si="4">IF(ISBLANK(J17),"",(J17-$J$8))</f>
        <v>21</v>
      </c>
      <c r="L17" s="19">
        <f t="shared" si="0"/>
        <v>-1.9999999999988916</v>
      </c>
      <c r="M17" s="19">
        <f t="shared" si="1"/>
        <v>-1.000000000000334</v>
      </c>
      <c r="N17" s="19">
        <f t="shared" si="2"/>
        <v>-0.99999999999944578</v>
      </c>
      <c r="O17" s="19" t="str">
        <f t="shared" ref="O17:O25" si="5">IF(ISBLANK(F17),"",(F17-F$16)*1000)</f>
        <v/>
      </c>
      <c r="P17" s="19" t="str">
        <f t="shared" ref="P17:P25" si="6">IF(ISBLANK(G17),"",(G17-G$16)*1000)</f>
        <v/>
      </c>
      <c r="Q17" s="19" t="str">
        <f t="shared" ref="Q17:Q25" si="7">IF(ISBLANK(H17),"",(H17-H$16)*1000)</f>
        <v/>
      </c>
      <c r="R17" s="19">
        <f t="shared" si="3"/>
        <v>0</v>
      </c>
      <c r="S17" s="27">
        <f t="shared" ref="S17:X32" si="8">IF(C17="","",((C17-C16)*1000)/($B17-$B16))</f>
        <v>-1.9999999999988916</v>
      </c>
      <c r="T17" s="28">
        <f t="shared" si="8"/>
        <v>-1.000000000000334</v>
      </c>
      <c r="U17" s="28">
        <f t="shared" si="8"/>
        <v>-0.99999999999944578</v>
      </c>
      <c r="V17" s="28" t="str">
        <f t="shared" si="8"/>
        <v/>
      </c>
      <c r="W17" s="28" t="str">
        <f t="shared" si="8"/>
        <v/>
      </c>
      <c r="X17" s="29" t="str">
        <f t="shared" si="8"/>
        <v/>
      </c>
      <c r="Y17" s="24"/>
    </row>
    <row r="18" spans="2:25" ht="15" customHeight="1" x14ac:dyDescent="0.2">
      <c r="B18" s="31">
        <v>41787</v>
      </c>
      <c r="C18" s="25">
        <v>13.327999999999999</v>
      </c>
      <c r="D18" s="26">
        <v>7.1840000000000002</v>
      </c>
      <c r="E18" s="26">
        <v>9.3160000000000007</v>
      </c>
      <c r="F18" s="16"/>
      <c r="G18" s="16"/>
      <c r="H18" s="16"/>
      <c r="I18" s="17">
        <v>104.675</v>
      </c>
      <c r="J18" s="58">
        <v>837</v>
      </c>
      <c r="K18" s="18">
        <f t="shared" si="4"/>
        <v>37</v>
      </c>
      <c r="L18" s="19">
        <f t="shared" si="0"/>
        <v>-3.0000000000001137</v>
      </c>
      <c r="M18" s="19">
        <f t="shared" si="1"/>
        <v>0</v>
      </c>
      <c r="N18" s="19">
        <f t="shared" si="2"/>
        <v>-0.99999999999944578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3"/>
        <v>-1.0000000000047748</v>
      </c>
      <c r="S18" s="27">
        <f t="shared" si="8"/>
        <v>-1.0000000000012221</v>
      </c>
      <c r="T18" s="28">
        <f t="shared" si="8"/>
        <v>1.000000000000334</v>
      </c>
      <c r="U18" s="28">
        <f t="shared" si="8"/>
        <v>0</v>
      </c>
      <c r="V18" s="28" t="str">
        <f t="shared" si="8"/>
        <v/>
      </c>
      <c r="W18" s="28" t="str">
        <f t="shared" si="8"/>
        <v/>
      </c>
      <c r="X18" s="29" t="str">
        <f t="shared" si="8"/>
        <v/>
      </c>
      <c r="Y18" s="24"/>
    </row>
    <row r="19" spans="2:25" ht="15" customHeight="1" x14ac:dyDescent="0.2">
      <c r="B19" s="31">
        <v>41788</v>
      </c>
      <c r="C19" s="25">
        <v>13.33</v>
      </c>
      <c r="D19" s="26">
        <v>7.1829999999999998</v>
      </c>
      <c r="E19" s="26">
        <v>9.3160000000000007</v>
      </c>
      <c r="F19" s="16"/>
      <c r="G19" s="16"/>
      <c r="H19" s="16"/>
      <c r="I19" s="17">
        <v>104.675</v>
      </c>
      <c r="J19" s="58">
        <v>844</v>
      </c>
      <c r="K19" s="18">
        <f t="shared" si="4"/>
        <v>44</v>
      </c>
      <c r="L19" s="19">
        <f t="shared" si="0"/>
        <v>-0.99999999999944578</v>
      </c>
      <c r="M19" s="19">
        <f t="shared" si="1"/>
        <v>-1.000000000000334</v>
      </c>
      <c r="N19" s="19">
        <f t="shared" si="2"/>
        <v>-0.99999999999944578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3"/>
        <v>-1.0000000000047748</v>
      </c>
      <c r="S19" s="27">
        <f t="shared" si="8"/>
        <v>2.0000000000006679</v>
      </c>
      <c r="T19" s="28">
        <f t="shared" si="8"/>
        <v>-1.000000000000334</v>
      </c>
      <c r="U19" s="28">
        <f t="shared" si="8"/>
        <v>0</v>
      </c>
      <c r="V19" s="28" t="str">
        <f t="shared" si="8"/>
        <v/>
      </c>
      <c r="W19" s="28" t="str">
        <f t="shared" si="8"/>
        <v/>
      </c>
      <c r="X19" s="29" t="str">
        <f t="shared" si="8"/>
        <v/>
      </c>
      <c r="Y19" s="24"/>
    </row>
    <row r="20" spans="2:25" ht="15" customHeight="1" x14ac:dyDescent="0.2">
      <c r="B20" s="31">
        <v>41789</v>
      </c>
      <c r="C20" s="25">
        <v>13.33</v>
      </c>
      <c r="D20" s="26">
        <v>7.1829999999999998</v>
      </c>
      <c r="E20" s="26">
        <v>9.3160000000000007</v>
      </c>
      <c r="F20" s="16"/>
      <c r="G20" s="16"/>
      <c r="H20" s="16"/>
      <c r="I20" s="17">
        <v>104.675</v>
      </c>
      <c r="J20" s="58">
        <v>851</v>
      </c>
      <c r="K20" s="18">
        <f t="shared" si="4"/>
        <v>51</v>
      </c>
      <c r="L20" s="19">
        <f t="shared" si="0"/>
        <v>-0.99999999999944578</v>
      </c>
      <c r="M20" s="19">
        <f t="shared" si="1"/>
        <v>-1.000000000000334</v>
      </c>
      <c r="N20" s="19">
        <f t="shared" si="2"/>
        <v>-0.99999999999944578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3"/>
        <v>-1.0000000000047748</v>
      </c>
      <c r="S20" s="27">
        <f t="shared" si="8"/>
        <v>0</v>
      </c>
      <c r="T20" s="28">
        <f t="shared" si="8"/>
        <v>0</v>
      </c>
      <c r="U20" s="28">
        <f t="shared" si="8"/>
        <v>0</v>
      </c>
      <c r="V20" s="28" t="str">
        <f t="shared" si="8"/>
        <v/>
      </c>
      <c r="W20" s="28" t="str">
        <f t="shared" si="8"/>
        <v/>
      </c>
      <c r="X20" s="29" t="str">
        <f t="shared" si="8"/>
        <v/>
      </c>
      <c r="Y20" s="24"/>
    </row>
    <row r="21" spans="2:25" ht="15" customHeight="1" x14ac:dyDescent="0.2">
      <c r="B21" s="31">
        <v>41792</v>
      </c>
      <c r="C21" s="25">
        <v>13.329000000000001</v>
      </c>
      <c r="D21" s="26">
        <v>7.1820000000000004</v>
      </c>
      <c r="E21" s="26">
        <v>9.3170000000000002</v>
      </c>
      <c r="F21" s="16"/>
      <c r="G21" s="16"/>
      <c r="H21" s="16"/>
      <c r="I21" s="17">
        <v>104.67400000000001</v>
      </c>
      <c r="J21" s="58">
        <v>865</v>
      </c>
      <c r="K21" s="18">
        <f t="shared" si="4"/>
        <v>65</v>
      </c>
      <c r="L21" s="19">
        <f t="shared" si="0"/>
        <v>-1.9999999999988916</v>
      </c>
      <c r="M21" s="19">
        <f t="shared" si="1"/>
        <v>-1.9999999999997797</v>
      </c>
      <c r="N21" s="19">
        <f t="shared" si="2"/>
        <v>0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3"/>
        <v>-1.9999999999953388</v>
      </c>
      <c r="S21" s="27">
        <f t="shared" si="8"/>
        <v>-0.33333333333314857</v>
      </c>
      <c r="T21" s="28">
        <f t="shared" si="8"/>
        <v>-0.33333333333314857</v>
      </c>
      <c r="U21" s="28">
        <f t="shared" si="8"/>
        <v>0.33333333333314857</v>
      </c>
      <c r="V21" s="28" t="str">
        <f t="shared" si="8"/>
        <v/>
      </c>
      <c r="W21" s="28" t="str">
        <f t="shared" si="8"/>
        <v/>
      </c>
      <c r="X21" s="29" t="str">
        <f t="shared" si="8"/>
        <v/>
      </c>
      <c r="Y21" s="24"/>
    </row>
    <row r="22" spans="2:25" ht="15" customHeight="1" x14ac:dyDescent="0.2">
      <c r="B22" s="31">
        <v>41793</v>
      </c>
      <c r="C22" s="25">
        <v>13.329000000000001</v>
      </c>
      <c r="D22" s="26">
        <v>7.1829999999999998</v>
      </c>
      <c r="E22" s="26">
        <v>9.3170000000000002</v>
      </c>
      <c r="F22" s="16"/>
      <c r="G22" s="16"/>
      <c r="H22" s="16"/>
      <c r="I22" s="17">
        <v>104.67400000000001</v>
      </c>
      <c r="J22" s="58">
        <v>874</v>
      </c>
      <c r="K22" s="18">
        <f t="shared" si="4"/>
        <v>74</v>
      </c>
      <c r="L22" s="19">
        <f t="shared" si="0"/>
        <v>-1.9999999999988916</v>
      </c>
      <c r="M22" s="19">
        <f t="shared" si="1"/>
        <v>-1.000000000000334</v>
      </c>
      <c r="N22" s="19">
        <f t="shared" si="2"/>
        <v>0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3"/>
        <v>-1.9999999999953388</v>
      </c>
      <c r="S22" s="27">
        <f t="shared" si="8"/>
        <v>0</v>
      </c>
      <c r="T22" s="28">
        <f t="shared" si="8"/>
        <v>0.99999999999944578</v>
      </c>
      <c r="U22" s="28">
        <f t="shared" si="8"/>
        <v>0</v>
      </c>
      <c r="V22" s="28" t="str">
        <f t="shared" si="8"/>
        <v/>
      </c>
      <c r="W22" s="28" t="str">
        <f t="shared" si="8"/>
        <v/>
      </c>
      <c r="X22" s="29" t="str">
        <f t="shared" si="8"/>
        <v/>
      </c>
      <c r="Y22" s="24"/>
    </row>
    <row r="23" spans="2:25" ht="15" customHeight="1" x14ac:dyDescent="0.2">
      <c r="B23" s="31">
        <v>41800</v>
      </c>
      <c r="C23" s="25">
        <v>13.327</v>
      </c>
      <c r="D23" s="26">
        <v>7.1829999999999998</v>
      </c>
      <c r="E23" s="26">
        <v>9.3160000000000007</v>
      </c>
      <c r="F23" s="16"/>
      <c r="G23" s="16"/>
      <c r="H23" s="16"/>
      <c r="I23" s="17">
        <v>104.67400000000001</v>
      </c>
      <c r="J23" s="58">
        <v>929</v>
      </c>
      <c r="K23" s="18">
        <f>IF(ISBLANK(J23),"",(J23-$J$8))</f>
        <v>129</v>
      </c>
      <c r="L23" s="19">
        <f t="shared" si="0"/>
        <v>-3.9999999999995595</v>
      </c>
      <c r="M23" s="19">
        <f t="shared" si="1"/>
        <v>-1.000000000000334</v>
      </c>
      <c r="N23" s="19">
        <f t="shared" si="2"/>
        <v>-0.99999999999944578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3"/>
        <v>-1.9999999999953388</v>
      </c>
      <c r="S23" s="27">
        <f t="shared" si="8"/>
        <v>-0.28571428571438112</v>
      </c>
      <c r="T23" s="28">
        <f t="shared" si="8"/>
        <v>0</v>
      </c>
      <c r="U23" s="28">
        <f t="shared" si="8"/>
        <v>-0.14285714285706369</v>
      </c>
      <c r="V23" s="28" t="str">
        <f t="shared" si="8"/>
        <v/>
      </c>
      <c r="W23" s="28" t="str">
        <f t="shared" si="8"/>
        <v/>
      </c>
      <c r="X23" s="29" t="str">
        <f t="shared" si="8"/>
        <v/>
      </c>
      <c r="Y23" s="24"/>
    </row>
    <row r="24" spans="2:25" ht="15" customHeight="1" x14ac:dyDescent="0.2">
      <c r="B24" s="31">
        <v>41829</v>
      </c>
      <c r="C24" s="25">
        <v>13.327999999999999</v>
      </c>
      <c r="D24" s="26">
        <v>7.1829999999999998</v>
      </c>
      <c r="E24" s="26">
        <v>9.3140000000000001</v>
      </c>
      <c r="F24" s="16"/>
      <c r="G24" s="16"/>
      <c r="H24" s="16"/>
      <c r="I24" s="17">
        <v>104.67400000000001</v>
      </c>
      <c r="J24" s="58">
        <v>793</v>
      </c>
      <c r="K24" s="18">
        <f t="shared" ref="K24:K31" si="9">IF(ISBLANK(J24),"",(J24-$J$8))</f>
        <v>-7</v>
      </c>
      <c r="L24" s="19">
        <f t="shared" si="0"/>
        <v>-3.0000000000001137</v>
      </c>
      <c r="M24" s="19">
        <f t="shared" si="1"/>
        <v>-1.000000000000334</v>
      </c>
      <c r="N24" s="19">
        <f t="shared" si="2"/>
        <v>-3.0000000000001137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3"/>
        <v>-1.9999999999953388</v>
      </c>
      <c r="S24" s="27">
        <f t="shared" si="8"/>
        <v>3.4482758620670545E-2</v>
      </c>
      <c r="T24" s="28">
        <f t="shared" si="8"/>
        <v>0</v>
      </c>
      <c r="U24" s="28">
        <f t="shared" si="8"/>
        <v>-6.8965517241402347E-2</v>
      </c>
      <c r="V24" s="28" t="str">
        <f t="shared" si="8"/>
        <v/>
      </c>
      <c r="W24" s="28" t="str">
        <f t="shared" si="8"/>
        <v/>
      </c>
      <c r="X24" s="29" t="str">
        <f t="shared" si="8"/>
        <v/>
      </c>
      <c r="Y24" s="24"/>
    </row>
    <row r="25" spans="2:25" ht="15" customHeight="1" x14ac:dyDescent="0.2">
      <c r="B25" s="31">
        <v>41830</v>
      </c>
      <c r="C25" s="64">
        <v>13.327999999999999</v>
      </c>
      <c r="D25" s="26">
        <v>7.1820000000000004</v>
      </c>
      <c r="E25" s="65">
        <v>9.3140000000000001</v>
      </c>
      <c r="F25" s="16"/>
      <c r="G25" s="16"/>
      <c r="H25" s="16"/>
      <c r="I25" s="17">
        <v>104.672</v>
      </c>
      <c r="J25" s="58">
        <v>808</v>
      </c>
      <c r="K25" s="18">
        <f t="shared" si="9"/>
        <v>8</v>
      </c>
      <c r="L25" s="19">
        <f t="shared" si="0"/>
        <v>-3.0000000000001137</v>
      </c>
      <c r="M25" s="19">
        <f t="shared" si="1"/>
        <v>-1.9999999999997797</v>
      </c>
      <c r="N25" s="19">
        <f t="shared" si="2"/>
        <v>-3.0000000000001137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3"/>
        <v>-4.0000000000048885</v>
      </c>
      <c r="S25" s="27">
        <f t="shared" si="8"/>
        <v>0</v>
      </c>
      <c r="T25" s="28">
        <f t="shared" si="8"/>
        <v>-0.99999999999944578</v>
      </c>
      <c r="U25" s="28">
        <f t="shared" si="8"/>
        <v>0</v>
      </c>
      <c r="V25" s="28" t="str">
        <f t="shared" si="8"/>
        <v/>
      </c>
      <c r="W25" s="28" t="str">
        <f t="shared" si="8"/>
        <v/>
      </c>
      <c r="X25" s="29" t="str">
        <f t="shared" si="8"/>
        <v/>
      </c>
      <c r="Y25" s="24"/>
    </row>
    <row r="26" spans="2:25" ht="15" customHeight="1" x14ac:dyDescent="0.2">
      <c r="B26" s="31">
        <v>41834</v>
      </c>
      <c r="C26" s="64">
        <v>13.327999999999999</v>
      </c>
      <c r="D26" s="65">
        <v>7.1829999999999998</v>
      </c>
      <c r="E26" s="45">
        <v>9.0239999999999991</v>
      </c>
      <c r="F26" s="16">
        <v>13.714</v>
      </c>
      <c r="G26" s="16">
        <v>9.3689999999999998</v>
      </c>
      <c r="H26" s="16">
        <v>10.88</v>
      </c>
      <c r="I26" s="17">
        <v>104.67100000000001</v>
      </c>
      <c r="J26" s="58">
        <v>845</v>
      </c>
      <c r="K26" s="18">
        <f t="shared" si="9"/>
        <v>45</v>
      </c>
      <c r="L26" s="19">
        <f>IF(ISBLANK(C26),"",(C26-C$16)*1000)</f>
        <v>-3.0000000000001137</v>
      </c>
      <c r="M26" s="19">
        <f>IF(ISBLANK(D26),"",(D26-D$16)*1000)</f>
        <v>-1.000000000000334</v>
      </c>
      <c r="N26" s="19">
        <f>IF(ISBLANK(E26),"",((E26-E$26)*1000)+N$25)</f>
        <v>-3.0000000000001137</v>
      </c>
      <c r="O26" s="19">
        <f>IF(ISBLANK(F26),"",((F26-F$26)*1000)+L$26)</f>
        <v>-3.0000000000001137</v>
      </c>
      <c r="P26" s="19">
        <f>IF(ISBLANK(G26),"",((G26-G$26)*1000)+M$26)</f>
        <v>-1.000000000000334</v>
      </c>
      <c r="Q26" s="19">
        <f>IF(ISBLANK(H26),"",((H26-H$26)*1000)+N$26)</f>
        <v>-3.0000000000001137</v>
      </c>
      <c r="R26" s="19">
        <f t="shared" si="3"/>
        <v>-4.9999999999954525</v>
      </c>
      <c r="S26" s="27">
        <f t="shared" si="8"/>
        <v>0</v>
      </c>
      <c r="T26" s="28">
        <f t="shared" si="8"/>
        <v>0.24999999999986144</v>
      </c>
      <c r="U26" s="28">
        <f t="shared" si="8"/>
        <v>-72.500000000000227</v>
      </c>
      <c r="V26" s="28"/>
      <c r="W26" s="28"/>
      <c r="X26" s="29"/>
      <c r="Y26" s="49" t="s">
        <v>53</v>
      </c>
    </row>
    <row r="27" spans="2:25" ht="15" customHeight="1" x14ac:dyDescent="0.2">
      <c r="B27" s="31">
        <v>41835</v>
      </c>
      <c r="C27" s="64">
        <v>13.327999999999999</v>
      </c>
      <c r="D27" s="65">
        <v>7.1829999999999998</v>
      </c>
      <c r="E27" s="26">
        <v>9.0229999999999997</v>
      </c>
      <c r="F27" s="16">
        <v>13.712999999999999</v>
      </c>
      <c r="G27" s="16">
        <v>9.3689999999999998</v>
      </c>
      <c r="H27" s="16">
        <v>10.88</v>
      </c>
      <c r="I27" s="17">
        <v>104.672</v>
      </c>
      <c r="J27" s="58">
        <v>857</v>
      </c>
      <c r="K27" s="18">
        <f t="shared" si="9"/>
        <v>57</v>
      </c>
      <c r="L27" s="19">
        <f>IF(ISBLANK(C27),"",(C27-C$16)*1000)</f>
        <v>-3.0000000000001137</v>
      </c>
      <c r="M27" s="19">
        <f>IF(ISBLANK(D27),"",(D27-D$16)*1000)</f>
        <v>-1.000000000000334</v>
      </c>
      <c r="N27" s="19">
        <f t="shared" ref="N27:N90" si="10">IF(ISBLANK(E27),"",((E27-E$26)*1000)+N$25)</f>
        <v>-3.9999999999995595</v>
      </c>
      <c r="O27" s="19">
        <f t="shared" ref="O27:O90" si="11">IF(ISBLANK(F27),"",((F27-F$26)*1000)+L$26)</f>
        <v>-4.0000000000013358</v>
      </c>
      <c r="P27" s="19">
        <f t="shared" ref="P27:P90" si="12">IF(ISBLANK(G27),"",((G27-G$26)*1000)+M$26)</f>
        <v>-1.000000000000334</v>
      </c>
      <c r="Q27" s="19">
        <f t="shared" ref="Q27:Q90" si="13">IF(ISBLANK(H27),"",((H27-H$26)*1000)+N$26)</f>
        <v>-3.0000000000001137</v>
      </c>
      <c r="R27" s="19">
        <f t="shared" si="3"/>
        <v>-4.0000000000048885</v>
      </c>
      <c r="S27" s="27">
        <f t="shared" si="8"/>
        <v>0</v>
      </c>
      <c r="T27" s="28">
        <f t="shared" si="8"/>
        <v>0</v>
      </c>
      <c r="U27" s="28">
        <f t="shared" si="8"/>
        <v>-0.99999999999944578</v>
      </c>
      <c r="V27" s="28">
        <f t="shared" si="8"/>
        <v>-1.0000000000012221</v>
      </c>
      <c r="W27" s="28">
        <f t="shared" si="8"/>
        <v>0</v>
      </c>
      <c r="X27" s="29">
        <f t="shared" si="8"/>
        <v>0</v>
      </c>
      <c r="Y27" s="24"/>
    </row>
    <row r="28" spans="2:25" ht="15" customHeight="1" x14ac:dyDescent="0.2">
      <c r="B28" s="31">
        <v>41842</v>
      </c>
      <c r="C28" s="82">
        <v>13.164</v>
      </c>
      <c r="D28" s="26">
        <v>7.1829999999999998</v>
      </c>
      <c r="E28" s="26">
        <v>9.0229999999999997</v>
      </c>
      <c r="F28" s="16">
        <v>13.712999999999999</v>
      </c>
      <c r="G28" s="16">
        <v>9.3680000000000003</v>
      </c>
      <c r="H28" s="16">
        <v>10.88</v>
      </c>
      <c r="I28" s="17">
        <v>104.67100000000001</v>
      </c>
      <c r="J28" s="58">
        <v>857</v>
      </c>
      <c r="K28" s="18">
        <f t="shared" si="9"/>
        <v>57</v>
      </c>
      <c r="L28" s="19">
        <f>IF(ISBLANK(C28),"",((C28-C$28)*1000)+L$27)</f>
        <v>-3.0000000000001137</v>
      </c>
      <c r="M28" s="19">
        <f t="shared" ref="M28:M47" si="14">IF(ISBLANK(D28),"",(D28-D$16)*1000)</f>
        <v>-1.000000000000334</v>
      </c>
      <c r="N28" s="19">
        <f t="shared" si="10"/>
        <v>-3.9999999999995595</v>
      </c>
      <c r="O28" s="19">
        <f t="shared" si="11"/>
        <v>-4.0000000000013358</v>
      </c>
      <c r="P28" s="19">
        <f t="shared" si="12"/>
        <v>-1.9999999999997797</v>
      </c>
      <c r="Q28" s="19">
        <f t="shared" si="13"/>
        <v>-3.0000000000001137</v>
      </c>
      <c r="R28" s="19">
        <f t="shared" si="3"/>
        <v>-4.9999999999954525</v>
      </c>
      <c r="S28" s="27">
        <f t="shared" si="8"/>
        <v>-23.428571428571388</v>
      </c>
      <c r="T28" s="28">
        <f t="shared" si="8"/>
        <v>0</v>
      </c>
      <c r="U28" s="28">
        <f t="shared" si="8"/>
        <v>0</v>
      </c>
      <c r="V28" s="28">
        <f t="shared" si="8"/>
        <v>0</v>
      </c>
      <c r="W28" s="28">
        <f t="shared" si="8"/>
        <v>-0.14285714285706369</v>
      </c>
      <c r="X28" s="29">
        <f t="shared" si="8"/>
        <v>0</v>
      </c>
      <c r="Y28" s="49" t="s">
        <v>56</v>
      </c>
    </row>
    <row r="29" spans="2:25" ht="15" customHeight="1" x14ac:dyDescent="0.2">
      <c r="B29" s="31">
        <v>41849</v>
      </c>
      <c r="C29" s="25">
        <v>13.164</v>
      </c>
      <c r="D29" s="26">
        <v>7.1820000000000004</v>
      </c>
      <c r="E29" s="26">
        <v>9.0239999999999991</v>
      </c>
      <c r="F29" s="16">
        <v>13.712</v>
      </c>
      <c r="G29" s="16">
        <v>9.3680000000000003</v>
      </c>
      <c r="H29" s="16">
        <v>10.88</v>
      </c>
      <c r="I29" s="17">
        <v>104.672</v>
      </c>
      <c r="J29" s="58">
        <v>857</v>
      </c>
      <c r="K29" s="18">
        <f t="shared" si="9"/>
        <v>57</v>
      </c>
      <c r="L29" s="19">
        <f t="shared" ref="L29:L92" si="15">IF(ISBLANK(C29),"",((C29-C$28)*1000)+L$27)</f>
        <v>-3.0000000000001137</v>
      </c>
      <c r="M29" s="19">
        <f t="shared" si="14"/>
        <v>-1.9999999999997797</v>
      </c>
      <c r="N29" s="19">
        <f t="shared" si="10"/>
        <v>-3.0000000000001137</v>
      </c>
      <c r="O29" s="19">
        <f t="shared" si="11"/>
        <v>-5.0000000000007816</v>
      </c>
      <c r="P29" s="19">
        <f t="shared" si="12"/>
        <v>-1.9999999999997797</v>
      </c>
      <c r="Q29" s="19">
        <f t="shared" si="13"/>
        <v>-3.0000000000001137</v>
      </c>
      <c r="R29" s="19">
        <f t="shared" si="3"/>
        <v>-4.0000000000048885</v>
      </c>
      <c r="S29" s="27">
        <f t="shared" si="8"/>
        <v>0</v>
      </c>
      <c r="T29" s="28">
        <f t="shared" si="8"/>
        <v>-0.14285714285706369</v>
      </c>
      <c r="U29" s="28">
        <f t="shared" si="8"/>
        <v>0.14285714285706369</v>
      </c>
      <c r="V29" s="28">
        <f t="shared" si="8"/>
        <v>-0.14285714285706369</v>
      </c>
      <c r="W29" s="28">
        <f t="shared" si="8"/>
        <v>0</v>
      </c>
      <c r="X29" s="29">
        <f t="shared" si="8"/>
        <v>0</v>
      </c>
      <c r="Y29" s="24"/>
    </row>
    <row r="30" spans="2:25" ht="15" customHeight="1" x14ac:dyDescent="0.2">
      <c r="B30" s="31">
        <v>41857</v>
      </c>
      <c r="C30" s="25">
        <v>13.164</v>
      </c>
      <c r="D30" s="26">
        <v>7.1829999999999998</v>
      </c>
      <c r="E30" s="26">
        <v>9.0239999999999991</v>
      </c>
      <c r="F30" s="16">
        <v>13.712999999999999</v>
      </c>
      <c r="G30" s="16">
        <v>9.3680000000000003</v>
      </c>
      <c r="H30" s="16">
        <v>10.88</v>
      </c>
      <c r="I30" s="17">
        <v>104.672</v>
      </c>
      <c r="J30" s="58">
        <v>857</v>
      </c>
      <c r="K30" s="18">
        <f t="shared" si="9"/>
        <v>57</v>
      </c>
      <c r="L30" s="19">
        <f t="shared" si="15"/>
        <v>-3.0000000000001137</v>
      </c>
      <c r="M30" s="19">
        <f t="shared" si="14"/>
        <v>-1.000000000000334</v>
      </c>
      <c r="N30" s="19">
        <f t="shared" si="10"/>
        <v>-3.0000000000001137</v>
      </c>
      <c r="O30" s="19">
        <f t="shared" si="11"/>
        <v>-4.0000000000013358</v>
      </c>
      <c r="P30" s="19">
        <f t="shared" si="12"/>
        <v>-1.9999999999997797</v>
      </c>
      <c r="Q30" s="19">
        <f t="shared" si="13"/>
        <v>-3.0000000000001137</v>
      </c>
      <c r="R30" s="19">
        <f t="shared" si="3"/>
        <v>-4.0000000000048885</v>
      </c>
      <c r="S30" s="27">
        <f t="shared" si="8"/>
        <v>0</v>
      </c>
      <c r="T30" s="28">
        <f t="shared" si="8"/>
        <v>0.12499999999993072</v>
      </c>
      <c r="U30" s="28">
        <f t="shared" si="8"/>
        <v>0</v>
      </c>
      <c r="V30" s="28">
        <f t="shared" si="8"/>
        <v>0.12499999999993072</v>
      </c>
      <c r="W30" s="28">
        <f t="shared" si="8"/>
        <v>0</v>
      </c>
      <c r="X30" s="29">
        <f t="shared" si="8"/>
        <v>0</v>
      </c>
      <c r="Y30" s="24"/>
    </row>
    <row r="31" spans="2:25" ht="15" customHeight="1" x14ac:dyDescent="0.2">
      <c r="B31" s="31">
        <v>41871</v>
      </c>
      <c r="C31" s="25">
        <v>13.164</v>
      </c>
      <c r="D31" s="26">
        <v>7.1829999999999998</v>
      </c>
      <c r="E31" s="26">
        <v>9.0229999999999997</v>
      </c>
      <c r="F31" s="16">
        <v>13.712</v>
      </c>
      <c r="G31" s="16">
        <v>9.3680000000000003</v>
      </c>
      <c r="H31" s="16">
        <v>10.88</v>
      </c>
      <c r="I31" s="17">
        <v>104.672</v>
      </c>
      <c r="J31" s="58">
        <v>857</v>
      </c>
      <c r="K31" s="18">
        <f t="shared" si="9"/>
        <v>57</v>
      </c>
      <c r="L31" s="19">
        <f t="shared" si="15"/>
        <v>-3.0000000000001137</v>
      </c>
      <c r="M31" s="19">
        <f t="shared" si="14"/>
        <v>-1.000000000000334</v>
      </c>
      <c r="N31" s="19">
        <f t="shared" si="10"/>
        <v>-3.9999999999995595</v>
      </c>
      <c r="O31" s="19">
        <f t="shared" si="11"/>
        <v>-5.0000000000007816</v>
      </c>
      <c r="P31" s="19">
        <f t="shared" si="12"/>
        <v>-1.9999999999997797</v>
      </c>
      <c r="Q31" s="19">
        <f t="shared" si="13"/>
        <v>-3.0000000000001137</v>
      </c>
      <c r="R31" s="19">
        <f t="shared" si="3"/>
        <v>-4.0000000000048885</v>
      </c>
      <c r="S31" s="27">
        <f t="shared" si="8"/>
        <v>0</v>
      </c>
      <c r="T31" s="28">
        <f t="shared" si="8"/>
        <v>0</v>
      </c>
      <c r="U31" s="28">
        <f t="shared" si="8"/>
        <v>-7.1428571428531845E-2</v>
      </c>
      <c r="V31" s="28">
        <f t="shared" si="8"/>
        <v>-7.1428571428531845E-2</v>
      </c>
      <c r="W31" s="28">
        <f t="shared" si="8"/>
        <v>0</v>
      </c>
      <c r="X31" s="29">
        <f t="shared" si="8"/>
        <v>0</v>
      </c>
      <c r="Y31" s="24"/>
    </row>
    <row r="32" spans="2:25" ht="15" customHeight="1" x14ac:dyDescent="0.2">
      <c r="B32" s="31">
        <v>41879</v>
      </c>
      <c r="C32" s="77">
        <v>13.164</v>
      </c>
      <c r="D32" s="76">
        <v>7.1829999999999998</v>
      </c>
      <c r="E32" s="76">
        <v>9.0229999999999997</v>
      </c>
      <c r="F32" s="16">
        <v>13.712999999999999</v>
      </c>
      <c r="G32" s="16">
        <v>9.3680000000000003</v>
      </c>
      <c r="H32" s="16">
        <v>10.88</v>
      </c>
      <c r="I32" s="17">
        <v>104.672</v>
      </c>
      <c r="J32" s="58">
        <v>943</v>
      </c>
      <c r="K32" s="18">
        <f>IF(ISBLANK(J32),"",(J32-$J$8))</f>
        <v>143</v>
      </c>
      <c r="L32" s="19">
        <f t="shared" si="15"/>
        <v>-3.0000000000001137</v>
      </c>
      <c r="M32" s="19">
        <f t="shared" si="14"/>
        <v>-1.000000000000334</v>
      </c>
      <c r="N32" s="19">
        <f t="shared" si="10"/>
        <v>-3.9999999999995595</v>
      </c>
      <c r="O32" s="19">
        <f t="shared" si="11"/>
        <v>-4.0000000000013358</v>
      </c>
      <c r="P32" s="19">
        <f t="shared" si="12"/>
        <v>-1.9999999999997797</v>
      </c>
      <c r="Q32" s="19">
        <f t="shared" si="13"/>
        <v>-3.0000000000001137</v>
      </c>
      <c r="R32" s="19">
        <f t="shared" si="3"/>
        <v>-4.0000000000048885</v>
      </c>
      <c r="S32" s="27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0.12499999999993072</v>
      </c>
      <c r="W32" s="28">
        <f t="shared" si="8"/>
        <v>0</v>
      </c>
      <c r="X32" s="29">
        <f t="shared" si="8"/>
        <v>0</v>
      </c>
      <c r="Y32" s="24"/>
    </row>
    <row r="33" spans="2:25" ht="15" customHeight="1" x14ac:dyDescent="0.2">
      <c r="B33" s="31">
        <v>41913</v>
      </c>
      <c r="C33" s="77">
        <v>13.164</v>
      </c>
      <c r="D33" s="76">
        <v>7.1829999999999998</v>
      </c>
      <c r="E33" s="76">
        <v>9.0229999999999997</v>
      </c>
      <c r="F33" s="16">
        <v>13.714</v>
      </c>
      <c r="G33" s="16">
        <v>9.3689999999999998</v>
      </c>
      <c r="H33" s="16">
        <v>10.88</v>
      </c>
      <c r="I33" s="17">
        <v>104.67100000000001</v>
      </c>
      <c r="J33" s="58">
        <v>943</v>
      </c>
      <c r="K33" s="18">
        <f>IF(ISBLANK(J33),"",(J33-$J$8))</f>
        <v>143</v>
      </c>
      <c r="L33" s="19">
        <f t="shared" si="15"/>
        <v>-3.0000000000001137</v>
      </c>
      <c r="M33" s="19">
        <f t="shared" si="14"/>
        <v>-1.000000000000334</v>
      </c>
      <c r="N33" s="19">
        <f t="shared" si="10"/>
        <v>-3.9999999999995595</v>
      </c>
      <c r="O33" s="19">
        <f t="shared" si="11"/>
        <v>-3.0000000000001137</v>
      </c>
      <c r="P33" s="19">
        <f t="shared" si="12"/>
        <v>-1.000000000000334</v>
      </c>
      <c r="Q33" s="19">
        <f t="shared" si="13"/>
        <v>-3.0000000000001137</v>
      </c>
      <c r="R33" s="19">
        <f t="shared" si="3"/>
        <v>-4.9999999999954525</v>
      </c>
      <c r="S33" s="27">
        <f t="shared" ref="S33:X48" si="16">IF(C33="","",((C33-C32)*1000)/($B33-$B32))</f>
        <v>0</v>
      </c>
      <c r="T33" s="28">
        <f t="shared" si="16"/>
        <v>0</v>
      </c>
      <c r="U33" s="28">
        <f t="shared" si="16"/>
        <v>0</v>
      </c>
      <c r="V33" s="28">
        <f t="shared" si="16"/>
        <v>2.9411764705918299E-2</v>
      </c>
      <c r="W33" s="28">
        <f t="shared" si="16"/>
        <v>2.9411764705866053E-2</v>
      </c>
      <c r="X33" s="29">
        <f t="shared" si="16"/>
        <v>0</v>
      </c>
      <c r="Y33" s="24"/>
    </row>
    <row r="34" spans="2:25" ht="15" customHeight="1" x14ac:dyDescent="0.2">
      <c r="B34" s="31">
        <v>42032</v>
      </c>
      <c r="C34" s="25">
        <v>13.162000000000001</v>
      </c>
      <c r="D34" s="26">
        <v>7.18</v>
      </c>
      <c r="E34" s="26">
        <v>9.0229999999999997</v>
      </c>
      <c r="F34" s="16">
        <v>13.714</v>
      </c>
      <c r="G34" s="16">
        <v>9.3680000000000003</v>
      </c>
      <c r="H34" s="16">
        <v>10.88</v>
      </c>
      <c r="I34" s="17">
        <v>104.67</v>
      </c>
      <c r="J34" s="58">
        <v>943</v>
      </c>
      <c r="K34" s="18">
        <f>IF(ISBLANK(J34),"",(J34-$J$8))</f>
        <v>143</v>
      </c>
      <c r="L34" s="19">
        <f t="shared" si="15"/>
        <v>-4.9999999999990052</v>
      </c>
      <c r="M34" s="19">
        <f t="shared" si="14"/>
        <v>-4.0000000000004476</v>
      </c>
      <c r="N34" s="19">
        <f t="shared" si="10"/>
        <v>-3.9999999999995595</v>
      </c>
      <c r="O34" s="19">
        <f t="shared" si="11"/>
        <v>-3.0000000000001137</v>
      </c>
      <c r="P34" s="19">
        <f t="shared" si="12"/>
        <v>-1.9999999999997797</v>
      </c>
      <c r="Q34" s="19">
        <f t="shared" si="13"/>
        <v>-3.0000000000001137</v>
      </c>
      <c r="R34" s="19">
        <f t="shared" si="3"/>
        <v>-6.0000000000002274</v>
      </c>
      <c r="S34" s="27">
        <f>IF(C34="","",((C34-C33)*1000)/($B34-$B33))</f>
        <v>-1.6806722689066314E-2</v>
      </c>
      <c r="T34" s="28">
        <f>IF(D34="","",((D34-D33)*1000)/($B34-$B33))</f>
        <v>-2.52100840336144E-2</v>
      </c>
      <c r="U34" s="28">
        <f>IF(E34="","",((E34-E33)*1000)/($B34-$B33))</f>
        <v>0</v>
      </c>
      <c r="V34" s="28">
        <f t="shared" si="16"/>
        <v>0</v>
      </c>
      <c r="W34" s="28">
        <f t="shared" si="16"/>
        <v>-8.403361344533157E-3</v>
      </c>
      <c r="X34" s="29">
        <f t="shared" si="16"/>
        <v>0</v>
      </c>
      <c r="Y34" s="24"/>
    </row>
    <row r="35" spans="2:25" ht="15" customHeight="1" x14ac:dyDescent="0.2">
      <c r="B35" s="31">
        <v>42121</v>
      </c>
      <c r="C35" s="25"/>
      <c r="D35" s="26"/>
      <c r="E35" s="26"/>
      <c r="F35" s="16">
        <v>13.714</v>
      </c>
      <c r="G35" s="16">
        <v>9.3680000000000003</v>
      </c>
      <c r="H35" s="16">
        <v>10.88</v>
      </c>
      <c r="I35" s="17">
        <v>104.67100000000001</v>
      </c>
      <c r="J35" s="58">
        <v>943</v>
      </c>
      <c r="K35" s="18">
        <f>IF(ISBLANK(J35),"",(J35-$J$8))</f>
        <v>143</v>
      </c>
      <c r="L35" s="19" t="str">
        <f t="shared" si="15"/>
        <v/>
      </c>
      <c r="M35" s="19" t="str">
        <f t="shared" si="14"/>
        <v/>
      </c>
      <c r="N35" s="19" t="str">
        <f t="shared" si="10"/>
        <v/>
      </c>
      <c r="O35" s="19">
        <f t="shared" si="11"/>
        <v>-3.0000000000001137</v>
      </c>
      <c r="P35" s="19">
        <f t="shared" si="12"/>
        <v>-1.9999999999997797</v>
      </c>
      <c r="Q35" s="19">
        <f t="shared" si="13"/>
        <v>-3.0000000000001137</v>
      </c>
      <c r="R35" s="19">
        <f t="shared" si="3"/>
        <v>-4.9999999999954525</v>
      </c>
      <c r="S35" s="27" t="str">
        <f t="shared" si="16"/>
        <v/>
      </c>
      <c r="T35" s="28" t="str">
        <f t="shared" si="16"/>
        <v/>
      </c>
      <c r="U35" s="28" t="str">
        <f t="shared" si="16"/>
        <v/>
      </c>
      <c r="V35" s="28">
        <f t="shared" si="16"/>
        <v>0</v>
      </c>
      <c r="W35" s="28">
        <f t="shared" si="16"/>
        <v>0</v>
      </c>
      <c r="X35" s="29">
        <f t="shared" si="16"/>
        <v>0</v>
      </c>
      <c r="Y35" s="24"/>
    </row>
    <row r="36" spans="2:25" ht="15" customHeight="1" x14ac:dyDescent="0.2">
      <c r="B36" s="31">
        <v>42223</v>
      </c>
      <c r="C36" s="25"/>
      <c r="D36" s="26"/>
      <c r="E36" s="26"/>
      <c r="F36" s="16">
        <v>13.712999999999999</v>
      </c>
      <c r="G36" s="16">
        <v>9.3670000000000009</v>
      </c>
      <c r="H36" s="16">
        <v>10.88</v>
      </c>
      <c r="I36" s="17">
        <v>104.67</v>
      </c>
      <c r="J36" s="32">
        <v>1304</v>
      </c>
      <c r="K36" s="18">
        <f t="shared" ref="K36:K99" si="17">IF(ISBLANK(J36),"",(J36-$J$8))</f>
        <v>504</v>
      </c>
      <c r="L36" s="19" t="str">
        <f t="shared" si="15"/>
        <v/>
      </c>
      <c r="M36" s="19" t="str">
        <f t="shared" si="14"/>
        <v/>
      </c>
      <c r="N36" s="19" t="str">
        <f t="shared" si="10"/>
        <v/>
      </c>
      <c r="O36" s="19">
        <f t="shared" si="11"/>
        <v>-4.0000000000013358</v>
      </c>
      <c r="P36" s="19">
        <f t="shared" si="12"/>
        <v>-2.9999999999992255</v>
      </c>
      <c r="Q36" s="19">
        <f t="shared" si="13"/>
        <v>-3.0000000000001137</v>
      </c>
      <c r="R36" s="19">
        <f t="shared" si="3"/>
        <v>-6.0000000000002274</v>
      </c>
      <c r="S36" s="27" t="str">
        <f t="shared" si="16"/>
        <v/>
      </c>
      <c r="T36" s="28" t="str">
        <f t="shared" si="16"/>
        <v/>
      </c>
      <c r="U36" s="28" t="str">
        <f t="shared" si="16"/>
        <v/>
      </c>
      <c r="V36" s="28">
        <f t="shared" si="16"/>
        <v>-9.8039215686394326E-3</v>
      </c>
      <c r="W36" s="28">
        <f t="shared" si="16"/>
        <v>-9.8039215686220177E-3</v>
      </c>
      <c r="X36" s="29">
        <f t="shared" si="16"/>
        <v>0</v>
      </c>
      <c r="Y36" s="24"/>
    </row>
    <row r="37" spans="2:25" ht="15" customHeight="1" x14ac:dyDescent="0.2">
      <c r="B37" s="31">
        <v>42327</v>
      </c>
      <c r="C37" s="25">
        <v>13.163</v>
      </c>
      <c r="D37" s="26">
        <v>7.1820000000000004</v>
      </c>
      <c r="E37" s="26">
        <v>9.0229999999999997</v>
      </c>
      <c r="F37" s="78">
        <v>13.712999999999999</v>
      </c>
      <c r="G37" s="16">
        <v>9.3670000000000009</v>
      </c>
      <c r="H37" s="78">
        <v>10.88</v>
      </c>
      <c r="I37" s="17">
        <v>104.67</v>
      </c>
      <c r="J37" s="32">
        <v>2251</v>
      </c>
      <c r="K37" s="18">
        <f t="shared" si="17"/>
        <v>1451</v>
      </c>
      <c r="L37" s="19">
        <f t="shared" si="15"/>
        <v>-3.9999999999995595</v>
      </c>
      <c r="M37" s="19">
        <f t="shared" si="14"/>
        <v>-1.9999999999997797</v>
      </c>
      <c r="N37" s="19">
        <f t="shared" si="10"/>
        <v>-3.9999999999995595</v>
      </c>
      <c r="O37" s="19">
        <f t="shared" si="11"/>
        <v>-4.0000000000013358</v>
      </c>
      <c r="P37" s="19">
        <f t="shared" si="12"/>
        <v>-2.9999999999992255</v>
      </c>
      <c r="Q37" s="19">
        <f t="shared" si="13"/>
        <v>-3.0000000000001137</v>
      </c>
      <c r="R37" s="19">
        <f t="shared" si="3"/>
        <v>-6.0000000000002274</v>
      </c>
      <c r="S37" s="27"/>
      <c r="T37" s="28"/>
      <c r="U37" s="28"/>
      <c r="V37" s="28">
        <f t="shared" si="16"/>
        <v>0</v>
      </c>
      <c r="W37" s="28">
        <f t="shared" si="16"/>
        <v>0</v>
      </c>
      <c r="X37" s="29">
        <f t="shared" si="16"/>
        <v>0</v>
      </c>
      <c r="Y37" s="24"/>
    </row>
    <row r="38" spans="2:25" ht="15" customHeight="1" x14ac:dyDescent="0.2">
      <c r="B38" s="31">
        <v>42424</v>
      </c>
      <c r="C38" s="73"/>
      <c r="D38" s="26"/>
      <c r="E38" s="71"/>
      <c r="F38" s="78">
        <v>13.712999999999999</v>
      </c>
      <c r="G38" s="16">
        <v>9.3670000000000009</v>
      </c>
      <c r="H38" s="78">
        <v>10.88</v>
      </c>
      <c r="I38" s="17">
        <v>104.67</v>
      </c>
      <c r="J38" s="32">
        <v>2540.5</v>
      </c>
      <c r="K38" s="18">
        <f t="shared" si="17"/>
        <v>1740.5</v>
      </c>
      <c r="L38" s="19" t="str">
        <f t="shared" si="15"/>
        <v/>
      </c>
      <c r="M38" s="19" t="str">
        <f t="shared" si="14"/>
        <v/>
      </c>
      <c r="N38" s="19" t="str">
        <f t="shared" si="10"/>
        <v/>
      </c>
      <c r="O38" s="19">
        <f t="shared" si="11"/>
        <v>-4.0000000000013358</v>
      </c>
      <c r="P38" s="19">
        <f t="shared" si="12"/>
        <v>-2.9999999999992255</v>
      </c>
      <c r="Q38" s="19">
        <f t="shared" si="13"/>
        <v>-3.0000000000001137</v>
      </c>
      <c r="R38" s="19">
        <f t="shared" si="3"/>
        <v>-6.0000000000002274</v>
      </c>
      <c r="S38" s="27" t="str">
        <f t="shared" si="16"/>
        <v/>
      </c>
      <c r="T38" s="28" t="str">
        <f t="shared" si="16"/>
        <v/>
      </c>
      <c r="U38" s="28" t="str">
        <f t="shared" si="16"/>
        <v/>
      </c>
      <c r="V38" s="28">
        <f t="shared" si="16"/>
        <v>0</v>
      </c>
      <c r="W38" s="28">
        <f t="shared" si="16"/>
        <v>0</v>
      </c>
      <c r="X38" s="29">
        <f t="shared" si="16"/>
        <v>0</v>
      </c>
      <c r="Y38" s="24"/>
    </row>
    <row r="39" spans="2:25" ht="15" customHeight="1" x14ac:dyDescent="0.2">
      <c r="B39" s="31">
        <v>42530</v>
      </c>
      <c r="C39" s="26"/>
      <c r="D39" s="26"/>
      <c r="E39" s="26"/>
      <c r="F39" s="78">
        <v>13.712999999999999</v>
      </c>
      <c r="G39" s="16">
        <v>9.3670000000000009</v>
      </c>
      <c r="H39" s="78">
        <v>10.88</v>
      </c>
      <c r="I39" s="17">
        <v>104.669</v>
      </c>
      <c r="J39" s="58">
        <v>2608</v>
      </c>
      <c r="K39" s="18">
        <f t="shared" si="17"/>
        <v>1808</v>
      </c>
      <c r="L39" s="19" t="str">
        <f t="shared" si="15"/>
        <v/>
      </c>
      <c r="M39" s="19" t="str">
        <f t="shared" si="14"/>
        <v/>
      </c>
      <c r="N39" s="19" t="str">
        <f t="shared" si="10"/>
        <v/>
      </c>
      <c r="O39" s="19">
        <f t="shared" si="11"/>
        <v>-4.0000000000013358</v>
      </c>
      <c r="P39" s="19">
        <f t="shared" si="12"/>
        <v>-2.9999999999992255</v>
      </c>
      <c r="Q39" s="19">
        <f t="shared" si="13"/>
        <v>-3.0000000000001137</v>
      </c>
      <c r="R39" s="19">
        <f t="shared" si="3"/>
        <v>-7.0000000000050022</v>
      </c>
      <c r="S39" s="27" t="str">
        <f t="shared" si="16"/>
        <v/>
      </c>
      <c r="T39" s="28" t="str">
        <f t="shared" si="16"/>
        <v/>
      </c>
      <c r="U39" s="28" t="str">
        <f t="shared" si="16"/>
        <v/>
      </c>
      <c r="V39" s="28">
        <f t="shared" si="16"/>
        <v>0</v>
      </c>
      <c r="W39" s="28">
        <f t="shared" si="16"/>
        <v>0</v>
      </c>
      <c r="X39" s="29">
        <f t="shared" si="16"/>
        <v>0</v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18" t="str">
        <f t="shared" si="17"/>
        <v/>
      </c>
      <c r="L40" s="19" t="str">
        <f t="shared" si="15"/>
        <v/>
      </c>
      <c r="M40" s="19" t="str">
        <f t="shared" si="14"/>
        <v/>
      </c>
      <c r="N40" s="19" t="str">
        <f t="shared" si="10"/>
        <v/>
      </c>
      <c r="O40" s="19" t="str">
        <f t="shared" si="11"/>
        <v/>
      </c>
      <c r="P40" s="19" t="str">
        <f t="shared" si="12"/>
        <v/>
      </c>
      <c r="Q40" s="19" t="str">
        <f t="shared" si="13"/>
        <v/>
      </c>
      <c r="R40" s="19" t="str">
        <f t="shared" si="3"/>
        <v/>
      </c>
      <c r="S40" s="27" t="str">
        <f t="shared" si="16"/>
        <v/>
      </c>
      <c r="T40" s="28" t="str">
        <f t="shared" si="16"/>
        <v/>
      </c>
      <c r="U40" s="28" t="str">
        <f t="shared" si="16"/>
        <v/>
      </c>
      <c r="V40" s="28" t="str">
        <f t="shared" si="16"/>
        <v/>
      </c>
      <c r="W40" s="28" t="str">
        <f t="shared" si="16"/>
        <v/>
      </c>
      <c r="X40" s="29" t="str">
        <f t="shared" si="16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18" t="str">
        <f t="shared" si="17"/>
        <v/>
      </c>
      <c r="L41" s="19" t="str">
        <f t="shared" si="15"/>
        <v/>
      </c>
      <c r="M41" s="19" t="str">
        <f t="shared" si="14"/>
        <v/>
      </c>
      <c r="N41" s="19" t="str">
        <f t="shared" si="10"/>
        <v/>
      </c>
      <c r="O41" s="19" t="str">
        <f t="shared" si="11"/>
        <v/>
      </c>
      <c r="P41" s="19" t="str">
        <f t="shared" si="12"/>
        <v/>
      </c>
      <c r="Q41" s="19" t="str">
        <f t="shared" si="13"/>
        <v/>
      </c>
      <c r="R41" s="19" t="str">
        <f t="shared" si="3"/>
        <v/>
      </c>
      <c r="S41" s="27" t="str">
        <f t="shared" si="16"/>
        <v/>
      </c>
      <c r="T41" s="28" t="str">
        <f t="shared" si="16"/>
        <v/>
      </c>
      <c r="U41" s="28" t="str">
        <f t="shared" si="16"/>
        <v/>
      </c>
      <c r="V41" s="28" t="str">
        <f t="shared" si="16"/>
        <v/>
      </c>
      <c r="W41" s="28" t="str">
        <f t="shared" si="16"/>
        <v/>
      </c>
      <c r="X41" s="29" t="str">
        <f t="shared" si="16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18" t="str">
        <f t="shared" si="17"/>
        <v/>
      </c>
      <c r="L42" s="19" t="str">
        <f t="shared" si="15"/>
        <v/>
      </c>
      <c r="M42" s="19" t="str">
        <f t="shared" si="14"/>
        <v/>
      </c>
      <c r="N42" s="19" t="str">
        <f t="shared" si="10"/>
        <v/>
      </c>
      <c r="O42" s="19" t="str">
        <f t="shared" si="11"/>
        <v/>
      </c>
      <c r="P42" s="19" t="str">
        <f t="shared" si="12"/>
        <v/>
      </c>
      <c r="Q42" s="19" t="str">
        <f t="shared" si="13"/>
        <v/>
      </c>
      <c r="R42" s="19" t="str">
        <f t="shared" si="3"/>
        <v/>
      </c>
      <c r="S42" s="27" t="str">
        <f t="shared" si="16"/>
        <v/>
      </c>
      <c r="T42" s="28" t="str">
        <f t="shared" si="16"/>
        <v/>
      </c>
      <c r="U42" s="28" t="str">
        <f t="shared" si="16"/>
        <v/>
      </c>
      <c r="V42" s="28" t="str">
        <f t="shared" si="16"/>
        <v/>
      </c>
      <c r="W42" s="28" t="str">
        <f t="shared" si="16"/>
        <v/>
      </c>
      <c r="X42" s="29" t="str">
        <f t="shared" si="16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 t="str">
        <f t="shared" si="17"/>
        <v/>
      </c>
      <c r="L43" s="19" t="str">
        <f t="shared" si="15"/>
        <v/>
      </c>
      <c r="M43" s="19" t="str">
        <f t="shared" si="14"/>
        <v/>
      </c>
      <c r="N43" s="19" t="str">
        <f t="shared" si="10"/>
        <v/>
      </c>
      <c r="O43" s="19" t="str">
        <f t="shared" si="11"/>
        <v/>
      </c>
      <c r="P43" s="19" t="str">
        <f t="shared" si="12"/>
        <v/>
      </c>
      <c r="Q43" s="19" t="str">
        <f t="shared" si="13"/>
        <v/>
      </c>
      <c r="R43" s="19" t="str">
        <f t="shared" si="3"/>
        <v/>
      </c>
      <c r="S43" s="27" t="str">
        <f t="shared" si="16"/>
        <v/>
      </c>
      <c r="T43" s="28" t="str">
        <f t="shared" si="16"/>
        <v/>
      </c>
      <c r="U43" s="28" t="str">
        <f t="shared" si="16"/>
        <v/>
      </c>
      <c r="V43" s="28" t="str">
        <f t="shared" si="16"/>
        <v/>
      </c>
      <c r="W43" s="28" t="str">
        <f t="shared" si="16"/>
        <v/>
      </c>
      <c r="X43" s="29" t="str">
        <f t="shared" si="16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18" t="str">
        <f t="shared" si="17"/>
        <v/>
      </c>
      <c r="L44" s="19" t="str">
        <f t="shared" si="15"/>
        <v/>
      </c>
      <c r="M44" s="19" t="str">
        <f t="shared" si="14"/>
        <v/>
      </c>
      <c r="N44" s="19" t="str">
        <f t="shared" si="10"/>
        <v/>
      </c>
      <c r="O44" s="19" t="str">
        <f t="shared" si="11"/>
        <v/>
      </c>
      <c r="P44" s="19" t="str">
        <f t="shared" si="12"/>
        <v/>
      </c>
      <c r="Q44" s="19" t="str">
        <f t="shared" si="13"/>
        <v/>
      </c>
      <c r="R44" s="19" t="str">
        <f t="shared" si="3"/>
        <v/>
      </c>
      <c r="S44" s="27" t="str">
        <f t="shared" si="16"/>
        <v/>
      </c>
      <c r="T44" s="28" t="str">
        <f t="shared" si="16"/>
        <v/>
      </c>
      <c r="U44" s="28" t="str">
        <f t="shared" si="16"/>
        <v/>
      </c>
      <c r="V44" s="28" t="str">
        <f t="shared" si="16"/>
        <v/>
      </c>
      <c r="W44" s="28" t="str">
        <f t="shared" si="16"/>
        <v/>
      </c>
      <c r="X44" s="29" t="str">
        <f t="shared" si="16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18" t="str">
        <f t="shared" si="17"/>
        <v/>
      </c>
      <c r="L45" s="19" t="str">
        <f t="shared" si="15"/>
        <v/>
      </c>
      <c r="M45" s="19" t="str">
        <f t="shared" si="14"/>
        <v/>
      </c>
      <c r="N45" s="19" t="str">
        <f t="shared" si="10"/>
        <v/>
      </c>
      <c r="O45" s="19" t="str">
        <f t="shared" si="11"/>
        <v/>
      </c>
      <c r="P45" s="19" t="str">
        <f t="shared" si="12"/>
        <v/>
      </c>
      <c r="Q45" s="19" t="str">
        <f t="shared" si="13"/>
        <v/>
      </c>
      <c r="R45" s="19" t="str">
        <f t="shared" si="3"/>
        <v/>
      </c>
      <c r="S45" s="27" t="str">
        <f t="shared" si="16"/>
        <v/>
      </c>
      <c r="T45" s="28" t="str">
        <f t="shared" si="16"/>
        <v/>
      </c>
      <c r="U45" s="28" t="str">
        <f t="shared" si="16"/>
        <v/>
      </c>
      <c r="V45" s="28" t="str">
        <f t="shared" si="16"/>
        <v/>
      </c>
      <c r="W45" s="28" t="str">
        <f t="shared" si="16"/>
        <v/>
      </c>
      <c r="X45" s="29" t="str">
        <f t="shared" si="16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18" t="str">
        <f t="shared" si="17"/>
        <v/>
      </c>
      <c r="L46" s="19" t="str">
        <f t="shared" si="15"/>
        <v/>
      </c>
      <c r="M46" s="19" t="str">
        <f t="shared" si="14"/>
        <v/>
      </c>
      <c r="N46" s="19" t="str">
        <f t="shared" si="10"/>
        <v/>
      </c>
      <c r="O46" s="19" t="str">
        <f t="shared" si="11"/>
        <v/>
      </c>
      <c r="P46" s="19" t="str">
        <f t="shared" si="12"/>
        <v/>
      </c>
      <c r="Q46" s="19" t="str">
        <f t="shared" si="13"/>
        <v/>
      </c>
      <c r="R46" s="19" t="str">
        <f t="shared" si="3"/>
        <v/>
      </c>
      <c r="S46" s="27" t="str">
        <f t="shared" si="16"/>
        <v/>
      </c>
      <c r="T46" s="28" t="str">
        <f t="shared" si="16"/>
        <v/>
      </c>
      <c r="U46" s="28" t="str">
        <f t="shared" si="16"/>
        <v/>
      </c>
      <c r="V46" s="28" t="str">
        <f t="shared" si="16"/>
        <v/>
      </c>
      <c r="W46" s="28" t="str">
        <f t="shared" si="16"/>
        <v/>
      </c>
      <c r="X46" s="29" t="str">
        <f t="shared" si="16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 t="str">
        <f t="shared" si="17"/>
        <v/>
      </c>
      <c r="L47" s="19" t="str">
        <f t="shared" si="15"/>
        <v/>
      </c>
      <c r="M47" s="19" t="str">
        <f t="shared" si="14"/>
        <v/>
      </c>
      <c r="N47" s="19" t="str">
        <f t="shared" si="10"/>
        <v/>
      </c>
      <c r="O47" s="19" t="str">
        <f t="shared" si="11"/>
        <v/>
      </c>
      <c r="P47" s="19" t="str">
        <f t="shared" si="12"/>
        <v/>
      </c>
      <c r="Q47" s="19" t="str">
        <f t="shared" si="13"/>
        <v/>
      </c>
      <c r="R47" s="19" t="str">
        <f t="shared" si="3"/>
        <v/>
      </c>
      <c r="S47" s="27" t="str">
        <f t="shared" si="16"/>
        <v/>
      </c>
      <c r="T47" s="28" t="str">
        <f t="shared" si="16"/>
        <v/>
      </c>
      <c r="U47" s="28" t="str">
        <f t="shared" si="16"/>
        <v/>
      </c>
      <c r="V47" s="28" t="str">
        <f t="shared" si="16"/>
        <v/>
      </c>
      <c r="W47" s="28" t="str">
        <f t="shared" si="16"/>
        <v/>
      </c>
      <c r="X47" s="29" t="str">
        <f t="shared" si="16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 t="str">
        <f t="shared" si="17"/>
        <v/>
      </c>
      <c r="L48" s="19" t="str">
        <f t="shared" si="15"/>
        <v/>
      </c>
      <c r="M48" s="19" t="str">
        <f t="shared" ref="M48:M79" si="18">IF(ISBLANK(D48),"",(D48-D$16)*1000)</f>
        <v/>
      </c>
      <c r="N48" s="19" t="str">
        <f t="shared" si="10"/>
        <v/>
      </c>
      <c r="O48" s="19" t="str">
        <f t="shared" si="11"/>
        <v/>
      </c>
      <c r="P48" s="19" t="str">
        <f t="shared" si="12"/>
        <v/>
      </c>
      <c r="Q48" s="19" t="str">
        <f t="shared" si="13"/>
        <v/>
      </c>
      <c r="R48" s="19" t="str">
        <f t="shared" si="3"/>
        <v/>
      </c>
      <c r="S48" s="27" t="str">
        <f t="shared" si="16"/>
        <v/>
      </c>
      <c r="T48" s="28" t="str">
        <f t="shared" si="16"/>
        <v/>
      </c>
      <c r="U48" s="28" t="str">
        <f t="shared" si="16"/>
        <v/>
      </c>
      <c r="V48" s="28" t="str">
        <f t="shared" si="16"/>
        <v/>
      </c>
      <c r="W48" s="28" t="str">
        <f t="shared" si="16"/>
        <v/>
      </c>
      <c r="X48" s="29" t="str">
        <f t="shared" si="16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 t="str">
        <f t="shared" si="17"/>
        <v/>
      </c>
      <c r="L49" s="19" t="str">
        <f t="shared" si="15"/>
        <v/>
      </c>
      <c r="M49" s="19" t="str">
        <f t="shared" si="18"/>
        <v/>
      </c>
      <c r="N49" s="19" t="str">
        <f t="shared" si="10"/>
        <v/>
      </c>
      <c r="O49" s="19" t="str">
        <f t="shared" si="11"/>
        <v/>
      </c>
      <c r="P49" s="19" t="str">
        <f t="shared" si="12"/>
        <v/>
      </c>
      <c r="Q49" s="19" t="str">
        <f t="shared" si="13"/>
        <v/>
      </c>
      <c r="R49" s="19" t="str">
        <f t="shared" si="3"/>
        <v/>
      </c>
      <c r="S49" s="27" t="str">
        <f t="shared" ref="S49:X64" si="19">IF(C49="","",((C49-C48)*1000)/($B49-$B48))</f>
        <v/>
      </c>
      <c r="T49" s="28" t="str">
        <f t="shared" si="19"/>
        <v/>
      </c>
      <c r="U49" s="28" t="str">
        <f t="shared" si="19"/>
        <v/>
      </c>
      <c r="V49" s="28" t="str">
        <f t="shared" si="19"/>
        <v/>
      </c>
      <c r="W49" s="28" t="str">
        <f t="shared" si="19"/>
        <v/>
      </c>
      <c r="X49" s="29" t="str">
        <f t="shared" si="19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 t="str">
        <f t="shared" si="17"/>
        <v/>
      </c>
      <c r="L50" s="19" t="str">
        <f t="shared" si="15"/>
        <v/>
      </c>
      <c r="M50" s="19" t="str">
        <f t="shared" si="18"/>
        <v/>
      </c>
      <c r="N50" s="19" t="str">
        <f t="shared" si="10"/>
        <v/>
      </c>
      <c r="O50" s="19" t="str">
        <f t="shared" si="11"/>
        <v/>
      </c>
      <c r="P50" s="19" t="str">
        <f t="shared" si="12"/>
        <v/>
      </c>
      <c r="Q50" s="19" t="str">
        <f t="shared" si="13"/>
        <v/>
      </c>
      <c r="R50" s="19" t="str">
        <f t="shared" si="3"/>
        <v/>
      </c>
      <c r="S50" s="27" t="str">
        <f t="shared" si="19"/>
        <v/>
      </c>
      <c r="T50" s="28" t="str">
        <f t="shared" si="19"/>
        <v/>
      </c>
      <c r="U50" s="28" t="str">
        <f t="shared" si="19"/>
        <v/>
      </c>
      <c r="V50" s="28" t="str">
        <f t="shared" si="19"/>
        <v/>
      </c>
      <c r="W50" s="28" t="str">
        <f t="shared" si="19"/>
        <v/>
      </c>
      <c r="X50" s="29" t="str">
        <f t="shared" si="19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 t="str">
        <f t="shared" si="17"/>
        <v/>
      </c>
      <c r="L51" s="19" t="str">
        <f t="shared" si="15"/>
        <v/>
      </c>
      <c r="M51" s="19" t="str">
        <f t="shared" si="18"/>
        <v/>
      </c>
      <c r="N51" s="19" t="str">
        <f t="shared" si="10"/>
        <v/>
      </c>
      <c r="O51" s="19" t="str">
        <f t="shared" si="11"/>
        <v/>
      </c>
      <c r="P51" s="19" t="str">
        <f t="shared" si="12"/>
        <v/>
      </c>
      <c r="Q51" s="19" t="str">
        <f t="shared" si="13"/>
        <v/>
      </c>
      <c r="R51" s="19" t="str">
        <f t="shared" si="3"/>
        <v/>
      </c>
      <c r="S51" s="27" t="str">
        <f t="shared" si="19"/>
        <v/>
      </c>
      <c r="T51" s="28" t="str">
        <f t="shared" si="19"/>
        <v/>
      </c>
      <c r="U51" s="28" t="str">
        <f t="shared" si="19"/>
        <v/>
      </c>
      <c r="V51" s="28" t="str">
        <f t="shared" si="19"/>
        <v/>
      </c>
      <c r="W51" s="28" t="str">
        <f t="shared" si="19"/>
        <v/>
      </c>
      <c r="X51" s="29" t="str">
        <f t="shared" si="19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 t="str">
        <f t="shared" si="17"/>
        <v/>
      </c>
      <c r="L52" s="19" t="str">
        <f t="shared" si="15"/>
        <v/>
      </c>
      <c r="M52" s="19" t="str">
        <f t="shared" si="18"/>
        <v/>
      </c>
      <c r="N52" s="19" t="str">
        <f t="shared" si="10"/>
        <v/>
      </c>
      <c r="O52" s="19" t="str">
        <f t="shared" si="11"/>
        <v/>
      </c>
      <c r="P52" s="19" t="str">
        <f t="shared" si="12"/>
        <v/>
      </c>
      <c r="Q52" s="19" t="str">
        <f t="shared" si="13"/>
        <v/>
      </c>
      <c r="R52" s="19" t="str">
        <f t="shared" si="3"/>
        <v/>
      </c>
      <c r="S52" s="27" t="str">
        <f t="shared" si="19"/>
        <v/>
      </c>
      <c r="T52" s="28" t="str">
        <f t="shared" si="19"/>
        <v/>
      </c>
      <c r="U52" s="28" t="str">
        <f t="shared" si="19"/>
        <v/>
      </c>
      <c r="V52" s="28" t="str">
        <f t="shared" si="19"/>
        <v/>
      </c>
      <c r="W52" s="28" t="str">
        <f t="shared" si="19"/>
        <v/>
      </c>
      <c r="X52" s="29" t="str">
        <f t="shared" si="19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 t="str">
        <f t="shared" si="17"/>
        <v/>
      </c>
      <c r="L53" s="19" t="str">
        <f t="shared" si="15"/>
        <v/>
      </c>
      <c r="M53" s="19" t="str">
        <f t="shared" si="18"/>
        <v/>
      </c>
      <c r="N53" s="19" t="str">
        <f t="shared" si="10"/>
        <v/>
      </c>
      <c r="O53" s="19" t="str">
        <f t="shared" si="11"/>
        <v/>
      </c>
      <c r="P53" s="19" t="str">
        <f t="shared" si="12"/>
        <v/>
      </c>
      <c r="Q53" s="19" t="str">
        <f t="shared" si="13"/>
        <v/>
      </c>
      <c r="R53" s="19" t="str">
        <f t="shared" si="3"/>
        <v/>
      </c>
      <c r="S53" s="27" t="str">
        <f t="shared" si="19"/>
        <v/>
      </c>
      <c r="T53" s="28" t="str">
        <f t="shared" si="19"/>
        <v/>
      </c>
      <c r="U53" s="28" t="str">
        <f t="shared" si="19"/>
        <v/>
      </c>
      <c r="V53" s="28" t="str">
        <f t="shared" si="19"/>
        <v/>
      </c>
      <c r="W53" s="28" t="str">
        <f t="shared" si="19"/>
        <v/>
      </c>
      <c r="X53" s="29" t="str">
        <f t="shared" si="19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 t="str">
        <f t="shared" si="17"/>
        <v/>
      </c>
      <c r="L54" s="19" t="str">
        <f t="shared" si="15"/>
        <v/>
      </c>
      <c r="M54" s="19" t="str">
        <f t="shared" si="18"/>
        <v/>
      </c>
      <c r="N54" s="19" t="str">
        <f t="shared" si="10"/>
        <v/>
      </c>
      <c r="O54" s="19" t="str">
        <f t="shared" si="11"/>
        <v/>
      </c>
      <c r="P54" s="19" t="str">
        <f t="shared" si="12"/>
        <v/>
      </c>
      <c r="Q54" s="19" t="str">
        <f t="shared" si="13"/>
        <v/>
      </c>
      <c r="R54" s="19" t="str">
        <f t="shared" si="3"/>
        <v/>
      </c>
      <c r="S54" s="27" t="str">
        <f t="shared" si="19"/>
        <v/>
      </c>
      <c r="T54" s="28" t="str">
        <f t="shared" si="19"/>
        <v/>
      </c>
      <c r="U54" s="28" t="str">
        <f t="shared" si="19"/>
        <v/>
      </c>
      <c r="V54" s="28" t="str">
        <f t="shared" si="19"/>
        <v/>
      </c>
      <c r="W54" s="28" t="str">
        <f t="shared" si="19"/>
        <v/>
      </c>
      <c r="X54" s="29" t="str">
        <f t="shared" si="19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 t="str">
        <f t="shared" si="17"/>
        <v/>
      </c>
      <c r="L55" s="19" t="str">
        <f t="shared" si="15"/>
        <v/>
      </c>
      <c r="M55" s="19" t="str">
        <f t="shared" si="18"/>
        <v/>
      </c>
      <c r="N55" s="19" t="str">
        <f t="shared" si="10"/>
        <v/>
      </c>
      <c r="O55" s="19" t="str">
        <f t="shared" si="11"/>
        <v/>
      </c>
      <c r="P55" s="19" t="str">
        <f t="shared" si="12"/>
        <v/>
      </c>
      <c r="Q55" s="19" t="str">
        <f t="shared" si="13"/>
        <v/>
      </c>
      <c r="R55" s="19" t="str">
        <f t="shared" si="3"/>
        <v/>
      </c>
      <c r="S55" s="27" t="str">
        <f t="shared" si="19"/>
        <v/>
      </c>
      <c r="T55" s="28" t="str">
        <f t="shared" si="19"/>
        <v/>
      </c>
      <c r="U55" s="28" t="str">
        <f t="shared" si="19"/>
        <v/>
      </c>
      <c r="V55" s="28" t="str">
        <f t="shared" si="19"/>
        <v/>
      </c>
      <c r="W55" s="28" t="str">
        <f t="shared" si="19"/>
        <v/>
      </c>
      <c r="X55" s="29" t="str">
        <f t="shared" si="19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 t="str">
        <f t="shared" si="17"/>
        <v/>
      </c>
      <c r="L56" s="19" t="str">
        <f t="shared" si="15"/>
        <v/>
      </c>
      <c r="M56" s="19" t="str">
        <f t="shared" si="18"/>
        <v/>
      </c>
      <c r="N56" s="19" t="str">
        <f t="shared" si="10"/>
        <v/>
      </c>
      <c r="O56" s="19" t="str">
        <f t="shared" si="11"/>
        <v/>
      </c>
      <c r="P56" s="19" t="str">
        <f t="shared" si="12"/>
        <v/>
      </c>
      <c r="Q56" s="19" t="str">
        <f t="shared" si="13"/>
        <v/>
      </c>
      <c r="R56" s="19" t="str">
        <f t="shared" si="3"/>
        <v/>
      </c>
      <c r="S56" s="27" t="str">
        <f t="shared" si="19"/>
        <v/>
      </c>
      <c r="T56" s="28" t="str">
        <f t="shared" si="19"/>
        <v/>
      </c>
      <c r="U56" s="28" t="str">
        <f t="shared" si="19"/>
        <v/>
      </c>
      <c r="V56" s="28" t="str">
        <f t="shared" si="19"/>
        <v/>
      </c>
      <c r="W56" s="28" t="str">
        <f t="shared" si="19"/>
        <v/>
      </c>
      <c r="X56" s="29" t="str">
        <f t="shared" si="19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 t="str">
        <f t="shared" si="17"/>
        <v/>
      </c>
      <c r="L57" s="19" t="str">
        <f t="shared" si="15"/>
        <v/>
      </c>
      <c r="M57" s="19" t="str">
        <f t="shared" si="18"/>
        <v/>
      </c>
      <c r="N57" s="19" t="str">
        <f t="shared" si="10"/>
        <v/>
      </c>
      <c r="O57" s="19" t="str">
        <f t="shared" si="11"/>
        <v/>
      </c>
      <c r="P57" s="19" t="str">
        <f t="shared" si="12"/>
        <v/>
      </c>
      <c r="Q57" s="19" t="str">
        <f t="shared" si="13"/>
        <v/>
      </c>
      <c r="R57" s="19" t="str">
        <f t="shared" si="3"/>
        <v/>
      </c>
      <c r="S57" s="27" t="str">
        <f t="shared" si="19"/>
        <v/>
      </c>
      <c r="T57" s="28" t="str">
        <f t="shared" si="19"/>
        <v/>
      </c>
      <c r="U57" s="28" t="str">
        <f t="shared" si="19"/>
        <v/>
      </c>
      <c r="V57" s="28" t="str">
        <f t="shared" si="19"/>
        <v/>
      </c>
      <c r="W57" s="28" t="str">
        <f t="shared" si="19"/>
        <v/>
      </c>
      <c r="X57" s="29" t="str">
        <f t="shared" si="19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 t="str">
        <f t="shared" si="17"/>
        <v/>
      </c>
      <c r="L58" s="19" t="str">
        <f t="shared" si="15"/>
        <v/>
      </c>
      <c r="M58" s="19" t="str">
        <f t="shared" si="18"/>
        <v/>
      </c>
      <c r="N58" s="19" t="str">
        <f t="shared" si="10"/>
        <v/>
      </c>
      <c r="O58" s="19" t="str">
        <f t="shared" si="11"/>
        <v/>
      </c>
      <c r="P58" s="19" t="str">
        <f t="shared" si="12"/>
        <v/>
      </c>
      <c r="Q58" s="19" t="str">
        <f t="shared" si="13"/>
        <v/>
      </c>
      <c r="R58" s="19" t="str">
        <f t="shared" si="3"/>
        <v/>
      </c>
      <c r="S58" s="27" t="str">
        <f t="shared" si="19"/>
        <v/>
      </c>
      <c r="T58" s="28" t="str">
        <f t="shared" si="19"/>
        <v/>
      </c>
      <c r="U58" s="28" t="str">
        <f t="shared" si="19"/>
        <v/>
      </c>
      <c r="V58" s="28" t="str">
        <f t="shared" si="19"/>
        <v/>
      </c>
      <c r="W58" s="28" t="str">
        <f t="shared" si="19"/>
        <v/>
      </c>
      <c r="X58" s="29" t="str">
        <f t="shared" si="19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 t="str">
        <f t="shared" si="17"/>
        <v/>
      </c>
      <c r="L59" s="19" t="str">
        <f t="shared" si="15"/>
        <v/>
      </c>
      <c r="M59" s="19" t="str">
        <f t="shared" si="18"/>
        <v/>
      </c>
      <c r="N59" s="19" t="str">
        <f t="shared" si="10"/>
        <v/>
      </c>
      <c r="O59" s="19" t="str">
        <f t="shared" si="11"/>
        <v/>
      </c>
      <c r="P59" s="19" t="str">
        <f t="shared" si="12"/>
        <v/>
      </c>
      <c r="Q59" s="19" t="str">
        <f t="shared" si="13"/>
        <v/>
      </c>
      <c r="R59" s="19" t="str">
        <f t="shared" si="3"/>
        <v/>
      </c>
      <c r="S59" s="27" t="str">
        <f t="shared" si="19"/>
        <v/>
      </c>
      <c r="T59" s="28" t="str">
        <f t="shared" si="19"/>
        <v/>
      </c>
      <c r="U59" s="28" t="str">
        <f t="shared" si="19"/>
        <v/>
      </c>
      <c r="V59" s="28" t="str">
        <f t="shared" si="19"/>
        <v/>
      </c>
      <c r="W59" s="28" t="str">
        <f t="shared" si="19"/>
        <v/>
      </c>
      <c r="X59" s="29" t="str">
        <f t="shared" si="19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17"/>
        <v/>
      </c>
      <c r="L60" s="19" t="str">
        <f t="shared" si="15"/>
        <v/>
      </c>
      <c r="M60" s="19" t="str">
        <f t="shared" si="18"/>
        <v/>
      </c>
      <c r="N60" s="19" t="str">
        <f t="shared" si="10"/>
        <v/>
      </c>
      <c r="O60" s="19" t="str">
        <f t="shared" si="11"/>
        <v/>
      </c>
      <c r="P60" s="19" t="str">
        <f t="shared" si="12"/>
        <v/>
      </c>
      <c r="Q60" s="19" t="str">
        <f t="shared" si="13"/>
        <v/>
      </c>
      <c r="R60" s="19" t="str">
        <f t="shared" si="3"/>
        <v/>
      </c>
      <c r="S60" s="27" t="str">
        <f t="shared" si="19"/>
        <v/>
      </c>
      <c r="T60" s="28" t="str">
        <f t="shared" si="19"/>
        <v/>
      </c>
      <c r="U60" s="28" t="str">
        <f t="shared" si="19"/>
        <v/>
      </c>
      <c r="V60" s="28" t="str">
        <f t="shared" si="19"/>
        <v/>
      </c>
      <c r="W60" s="28" t="str">
        <f t="shared" si="19"/>
        <v/>
      </c>
      <c r="X60" s="29" t="str">
        <f t="shared" si="19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17"/>
        <v/>
      </c>
      <c r="L61" s="19" t="str">
        <f t="shared" si="15"/>
        <v/>
      </c>
      <c r="M61" s="19" t="str">
        <f t="shared" si="18"/>
        <v/>
      </c>
      <c r="N61" s="19" t="str">
        <f t="shared" si="10"/>
        <v/>
      </c>
      <c r="O61" s="19" t="str">
        <f t="shared" si="11"/>
        <v/>
      </c>
      <c r="P61" s="19" t="str">
        <f t="shared" si="12"/>
        <v/>
      </c>
      <c r="Q61" s="19" t="str">
        <f t="shared" si="13"/>
        <v/>
      </c>
      <c r="R61" s="19" t="str">
        <f t="shared" si="3"/>
        <v/>
      </c>
      <c r="S61" s="27" t="str">
        <f t="shared" si="19"/>
        <v/>
      </c>
      <c r="T61" s="28" t="str">
        <f t="shared" si="19"/>
        <v/>
      </c>
      <c r="U61" s="28" t="str">
        <f t="shared" si="19"/>
        <v/>
      </c>
      <c r="V61" s="28" t="str">
        <f t="shared" si="19"/>
        <v/>
      </c>
      <c r="W61" s="28" t="str">
        <f t="shared" si="19"/>
        <v/>
      </c>
      <c r="X61" s="29" t="str">
        <f t="shared" si="19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17"/>
        <v/>
      </c>
      <c r="L62" s="19" t="str">
        <f t="shared" si="15"/>
        <v/>
      </c>
      <c r="M62" s="19" t="str">
        <f t="shared" si="18"/>
        <v/>
      </c>
      <c r="N62" s="19" t="str">
        <f t="shared" si="10"/>
        <v/>
      </c>
      <c r="O62" s="19" t="str">
        <f t="shared" si="11"/>
        <v/>
      </c>
      <c r="P62" s="19" t="str">
        <f t="shared" si="12"/>
        <v/>
      </c>
      <c r="Q62" s="19" t="str">
        <f t="shared" si="13"/>
        <v/>
      </c>
      <c r="R62" s="19" t="str">
        <f t="shared" si="3"/>
        <v/>
      </c>
      <c r="S62" s="27" t="str">
        <f t="shared" si="19"/>
        <v/>
      </c>
      <c r="T62" s="28" t="str">
        <f t="shared" si="19"/>
        <v/>
      </c>
      <c r="U62" s="28" t="str">
        <f t="shared" si="19"/>
        <v/>
      </c>
      <c r="V62" s="28" t="str">
        <f t="shared" si="19"/>
        <v/>
      </c>
      <c r="W62" s="28" t="str">
        <f t="shared" si="19"/>
        <v/>
      </c>
      <c r="X62" s="29" t="str">
        <f t="shared" si="19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17"/>
        <v/>
      </c>
      <c r="L63" s="19" t="str">
        <f t="shared" si="15"/>
        <v/>
      </c>
      <c r="M63" s="19" t="str">
        <f t="shared" si="18"/>
        <v/>
      </c>
      <c r="N63" s="19" t="str">
        <f t="shared" si="10"/>
        <v/>
      </c>
      <c r="O63" s="19" t="str">
        <f t="shared" si="11"/>
        <v/>
      </c>
      <c r="P63" s="19" t="str">
        <f t="shared" si="12"/>
        <v/>
      </c>
      <c r="Q63" s="19" t="str">
        <f t="shared" si="13"/>
        <v/>
      </c>
      <c r="R63" s="19" t="str">
        <f t="shared" si="3"/>
        <v/>
      </c>
      <c r="S63" s="27" t="str">
        <f t="shared" si="19"/>
        <v/>
      </c>
      <c r="T63" s="28" t="str">
        <f t="shared" si="19"/>
        <v/>
      </c>
      <c r="U63" s="28" t="str">
        <f t="shared" si="19"/>
        <v/>
      </c>
      <c r="V63" s="28" t="str">
        <f t="shared" si="19"/>
        <v/>
      </c>
      <c r="W63" s="28" t="str">
        <f t="shared" si="19"/>
        <v/>
      </c>
      <c r="X63" s="29" t="str">
        <f t="shared" si="19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17"/>
        <v/>
      </c>
      <c r="L64" s="19" t="str">
        <f t="shared" si="15"/>
        <v/>
      </c>
      <c r="M64" s="19" t="str">
        <f t="shared" si="18"/>
        <v/>
      </c>
      <c r="N64" s="19" t="str">
        <f t="shared" si="10"/>
        <v/>
      </c>
      <c r="O64" s="19" t="str">
        <f t="shared" si="11"/>
        <v/>
      </c>
      <c r="P64" s="19" t="str">
        <f t="shared" si="12"/>
        <v/>
      </c>
      <c r="Q64" s="19" t="str">
        <f t="shared" si="13"/>
        <v/>
      </c>
      <c r="R64" s="19" t="str">
        <f t="shared" si="3"/>
        <v/>
      </c>
      <c r="S64" s="27" t="str">
        <f t="shared" si="19"/>
        <v/>
      </c>
      <c r="T64" s="28" t="str">
        <f t="shared" si="19"/>
        <v/>
      </c>
      <c r="U64" s="28" t="str">
        <f t="shared" si="19"/>
        <v/>
      </c>
      <c r="V64" s="28" t="str">
        <f t="shared" si="19"/>
        <v/>
      </c>
      <c r="W64" s="28" t="str">
        <f t="shared" si="19"/>
        <v/>
      </c>
      <c r="X64" s="29" t="str">
        <f t="shared" si="19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7"/>
        <v/>
      </c>
      <c r="L65" s="19" t="str">
        <f t="shared" si="15"/>
        <v/>
      </c>
      <c r="M65" s="19" t="str">
        <f t="shared" si="18"/>
        <v/>
      </c>
      <c r="N65" s="19" t="str">
        <f t="shared" si="10"/>
        <v/>
      </c>
      <c r="O65" s="19" t="str">
        <f t="shared" si="11"/>
        <v/>
      </c>
      <c r="P65" s="19" t="str">
        <f t="shared" si="12"/>
        <v/>
      </c>
      <c r="Q65" s="19" t="str">
        <f t="shared" si="13"/>
        <v/>
      </c>
      <c r="R65" s="19" t="str">
        <f t="shared" si="3"/>
        <v/>
      </c>
      <c r="S65" s="27" t="str">
        <f t="shared" ref="S65:X80" si="20">IF(C65="","",((C65-C64)*1000)/($B65-$B64))</f>
        <v/>
      </c>
      <c r="T65" s="28" t="str">
        <f t="shared" si="20"/>
        <v/>
      </c>
      <c r="U65" s="28" t="str">
        <f t="shared" si="20"/>
        <v/>
      </c>
      <c r="V65" s="28" t="str">
        <f t="shared" si="20"/>
        <v/>
      </c>
      <c r="W65" s="28" t="str">
        <f t="shared" si="20"/>
        <v/>
      </c>
      <c r="X65" s="29" t="str">
        <f t="shared" si="20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7"/>
        <v/>
      </c>
      <c r="L66" s="19" t="str">
        <f t="shared" si="15"/>
        <v/>
      </c>
      <c r="M66" s="19" t="str">
        <f t="shared" si="18"/>
        <v/>
      </c>
      <c r="N66" s="19" t="str">
        <f t="shared" si="10"/>
        <v/>
      </c>
      <c r="O66" s="19" t="str">
        <f t="shared" si="11"/>
        <v/>
      </c>
      <c r="P66" s="19" t="str">
        <f t="shared" si="12"/>
        <v/>
      </c>
      <c r="Q66" s="19" t="str">
        <f t="shared" si="13"/>
        <v/>
      </c>
      <c r="R66" s="19" t="str">
        <f t="shared" si="3"/>
        <v/>
      </c>
      <c r="S66" s="27" t="str">
        <f t="shared" si="20"/>
        <v/>
      </c>
      <c r="T66" s="28" t="str">
        <f t="shared" si="20"/>
        <v/>
      </c>
      <c r="U66" s="28" t="str">
        <f t="shared" si="20"/>
        <v/>
      </c>
      <c r="V66" s="28" t="str">
        <f t="shared" si="20"/>
        <v/>
      </c>
      <c r="W66" s="28" t="str">
        <f t="shared" si="20"/>
        <v/>
      </c>
      <c r="X66" s="29" t="str">
        <f t="shared" si="20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7"/>
        <v/>
      </c>
      <c r="L67" s="19" t="str">
        <f t="shared" si="15"/>
        <v/>
      </c>
      <c r="M67" s="19" t="str">
        <f t="shared" si="18"/>
        <v/>
      </c>
      <c r="N67" s="19" t="str">
        <f t="shared" si="10"/>
        <v/>
      </c>
      <c r="O67" s="19" t="str">
        <f t="shared" si="11"/>
        <v/>
      </c>
      <c r="P67" s="19" t="str">
        <f t="shared" si="12"/>
        <v/>
      </c>
      <c r="Q67" s="19" t="str">
        <f t="shared" si="13"/>
        <v/>
      </c>
      <c r="R67" s="19" t="str">
        <f t="shared" si="3"/>
        <v/>
      </c>
      <c r="S67" s="27" t="str">
        <f t="shared" si="20"/>
        <v/>
      </c>
      <c r="T67" s="28" t="str">
        <f t="shared" si="20"/>
        <v/>
      </c>
      <c r="U67" s="28" t="str">
        <f t="shared" si="20"/>
        <v/>
      </c>
      <c r="V67" s="28" t="str">
        <f t="shared" si="20"/>
        <v/>
      </c>
      <c r="W67" s="28" t="str">
        <f t="shared" si="20"/>
        <v/>
      </c>
      <c r="X67" s="29" t="str">
        <f t="shared" si="20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7"/>
        <v/>
      </c>
      <c r="L68" s="19" t="str">
        <f t="shared" si="15"/>
        <v/>
      </c>
      <c r="M68" s="19" t="str">
        <f t="shared" si="18"/>
        <v/>
      </c>
      <c r="N68" s="19" t="str">
        <f t="shared" si="10"/>
        <v/>
      </c>
      <c r="O68" s="19" t="str">
        <f t="shared" si="11"/>
        <v/>
      </c>
      <c r="P68" s="19" t="str">
        <f t="shared" si="12"/>
        <v/>
      </c>
      <c r="Q68" s="19" t="str">
        <f t="shared" si="13"/>
        <v/>
      </c>
      <c r="R68" s="19" t="str">
        <f t="shared" si="3"/>
        <v/>
      </c>
      <c r="S68" s="27" t="str">
        <f t="shared" si="20"/>
        <v/>
      </c>
      <c r="T68" s="28" t="str">
        <f t="shared" si="20"/>
        <v/>
      </c>
      <c r="U68" s="28" t="str">
        <f t="shared" si="20"/>
        <v/>
      </c>
      <c r="V68" s="28" t="str">
        <f t="shared" si="20"/>
        <v/>
      </c>
      <c r="W68" s="28" t="str">
        <f t="shared" si="20"/>
        <v/>
      </c>
      <c r="X68" s="29" t="str">
        <f t="shared" si="20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7"/>
        <v/>
      </c>
      <c r="L69" s="19" t="str">
        <f t="shared" si="15"/>
        <v/>
      </c>
      <c r="M69" s="19" t="str">
        <f t="shared" si="18"/>
        <v/>
      </c>
      <c r="N69" s="19" t="str">
        <f t="shared" si="10"/>
        <v/>
      </c>
      <c r="O69" s="19" t="str">
        <f t="shared" si="11"/>
        <v/>
      </c>
      <c r="P69" s="19" t="str">
        <f t="shared" si="12"/>
        <v/>
      </c>
      <c r="Q69" s="19" t="str">
        <f t="shared" si="13"/>
        <v/>
      </c>
      <c r="R69" s="19" t="str">
        <f t="shared" si="3"/>
        <v/>
      </c>
      <c r="S69" s="27" t="str">
        <f t="shared" si="20"/>
        <v/>
      </c>
      <c r="T69" s="28" t="str">
        <f t="shared" si="20"/>
        <v/>
      </c>
      <c r="U69" s="28" t="str">
        <f t="shared" si="20"/>
        <v/>
      </c>
      <c r="V69" s="28" t="str">
        <f t="shared" si="20"/>
        <v/>
      </c>
      <c r="W69" s="28" t="str">
        <f t="shared" si="20"/>
        <v/>
      </c>
      <c r="X69" s="29" t="str">
        <f t="shared" si="20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7"/>
        <v/>
      </c>
      <c r="L70" s="19" t="str">
        <f t="shared" si="15"/>
        <v/>
      </c>
      <c r="M70" s="19" t="str">
        <f t="shared" si="18"/>
        <v/>
      </c>
      <c r="N70" s="19" t="str">
        <f t="shared" si="10"/>
        <v/>
      </c>
      <c r="O70" s="19" t="str">
        <f t="shared" si="11"/>
        <v/>
      </c>
      <c r="P70" s="19" t="str">
        <f t="shared" si="12"/>
        <v/>
      </c>
      <c r="Q70" s="19" t="str">
        <f t="shared" si="13"/>
        <v/>
      </c>
      <c r="R70" s="19" t="str">
        <f t="shared" si="3"/>
        <v/>
      </c>
      <c r="S70" s="27" t="str">
        <f t="shared" si="20"/>
        <v/>
      </c>
      <c r="T70" s="28" t="str">
        <f t="shared" si="20"/>
        <v/>
      </c>
      <c r="U70" s="28" t="str">
        <f t="shared" si="20"/>
        <v/>
      </c>
      <c r="V70" s="28" t="str">
        <f t="shared" si="20"/>
        <v/>
      </c>
      <c r="W70" s="28" t="str">
        <f t="shared" si="20"/>
        <v/>
      </c>
      <c r="X70" s="29" t="str">
        <f t="shared" si="20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7"/>
        <v/>
      </c>
      <c r="L71" s="19" t="str">
        <f t="shared" si="15"/>
        <v/>
      </c>
      <c r="M71" s="19" t="str">
        <f t="shared" si="18"/>
        <v/>
      </c>
      <c r="N71" s="19" t="str">
        <f t="shared" si="10"/>
        <v/>
      </c>
      <c r="O71" s="19" t="str">
        <f t="shared" si="11"/>
        <v/>
      </c>
      <c r="P71" s="19" t="str">
        <f t="shared" si="12"/>
        <v/>
      </c>
      <c r="Q71" s="19" t="str">
        <f t="shared" si="13"/>
        <v/>
      </c>
      <c r="R71" s="19" t="str">
        <f t="shared" si="3"/>
        <v/>
      </c>
      <c r="S71" s="27" t="str">
        <f t="shared" si="20"/>
        <v/>
      </c>
      <c r="T71" s="28" t="str">
        <f t="shared" si="20"/>
        <v/>
      </c>
      <c r="U71" s="28" t="str">
        <f t="shared" si="20"/>
        <v/>
      </c>
      <c r="V71" s="28" t="str">
        <f t="shared" si="20"/>
        <v/>
      </c>
      <c r="W71" s="28" t="str">
        <f t="shared" si="20"/>
        <v/>
      </c>
      <c r="X71" s="29" t="str">
        <f t="shared" si="20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7"/>
        <v/>
      </c>
      <c r="L72" s="19" t="str">
        <f t="shared" si="15"/>
        <v/>
      </c>
      <c r="M72" s="19" t="str">
        <f t="shared" si="18"/>
        <v/>
      </c>
      <c r="N72" s="19" t="str">
        <f t="shared" si="10"/>
        <v/>
      </c>
      <c r="O72" s="19" t="str">
        <f t="shared" si="11"/>
        <v/>
      </c>
      <c r="P72" s="19" t="str">
        <f t="shared" si="12"/>
        <v/>
      </c>
      <c r="Q72" s="19" t="str">
        <f t="shared" si="13"/>
        <v/>
      </c>
      <c r="R72" s="19" t="str">
        <f t="shared" si="3"/>
        <v/>
      </c>
      <c r="S72" s="27" t="str">
        <f t="shared" si="20"/>
        <v/>
      </c>
      <c r="T72" s="28" t="str">
        <f t="shared" si="20"/>
        <v/>
      </c>
      <c r="U72" s="28" t="str">
        <f t="shared" si="20"/>
        <v/>
      </c>
      <c r="V72" s="28" t="str">
        <f t="shared" si="20"/>
        <v/>
      </c>
      <c r="W72" s="28" t="str">
        <f t="shared" si="20"/>
        <v/>
      </c>
      <c r="X72" s="29" t="str">
        <f t="shared" si="20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7"/>
        <v/>
      </c>
      <c r="L73" s="19" t="str">
        <f t="shared" si="15"/>
        <v/>
      </c>
      <c r="M73" s="19" t="str">
        <f t="shared" si="18"/>
        <v/>
      </c>
      <c r="N73" s="19" t="str">
        <f t="shared" si="10"/>
        <v/>
      </c>
      <c r="O73" s="19" t="str">
        <f t="shared" si="11"/>
        <v/>
      </c>
      <c r="P73" s="19" t="str">
        <f t="shared" si="12"/>
        <v/>
      </c>
      <c r="Q73" s="19" t="str">
        <f t="shared" si="13"/>
        <v/>
      </c>
      <c r="R73" s="19" t="str">
        <f t="shared" si="3"/>
        <v/>
      </c>
      <c r="S73" s="27" t="str">
        <f t="shared" si="20"/>
        <v/>
      </c>
      <c r="T73" s="28" t="str">
        <f t="shared" si="20"/>
        <v/>
      </c>
      <c r="U73" s="28" t="str">
        <f t="shared" si="20"/>
        <v/>
      </c>
      <c r="V73" s="28" t="str">
        <f t="shared" si="20"/>
        <v/>
      </c>
      <c r="W73" s="28" t="str">
        <f t="shared" si="20"/>
        <v/>
      </c>
      <c r="X73" s="29" t="str">
        <f t="shared" si="20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7"/>
        <v/>
      </c>
      <c r="L74" s="19" t="str">
        <f t="shared" si="15"/>
        <v/>
      </c>
      <c r="M74" s="19" t="str">
        <f t="shared" si="18"/>
        <v/>
      </c>
      <c r="N74" s="19" t="str">
        <f t="shared" si="10"/>
        <v/>
      </c>
      <c r="O74" s="19" t="str">
        <f t="shared" si="11"/>
        <v/>
      </c>
      <c r="P74" s="19" t="str">
        <f t="shared" si="12"/>
        <v/>
      </c>
      <c r="Q74" s="19" t="str">
        <f t="shared" si="13"/>
        <v/>
      </c>
      <c r="R74" s="19" t="str">
        <f t="shared" si="3"/>
        <v/>
      </c>
      <c r="S74" s="27" t="str">
        <f t="shared" si="20"/>
        <v/>
      </c>
      <c r="T74" s="28" t="str">
        <f t="shared" si="20"/>
        <v/>
      </c>
      <c r="U74" s="28" t="str">
        <f t="shared" si="20"/>
        <v/>
      </c>
      <c r="V74" s="28" t="str">
        <f t="shared" si="20"/>
        <v/>
      </c>
      <c r="W74" s="28" t="str">
        <f t="shared" si="20"/>
        <v/>
      </c>
      <c r="X74" s="29" t="str">
        <f t="shared" si="20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7"/>
        <v/>
      </c>
      <c r="L75" s="19" t="str">
        <f t="shared" si="15"/>
        <v/>
      </c>
      <c r="M75" s="19" t="str">
        <f t="shared" si="18"/>
        <v/>
      </c>
      <c r="N75" s="19" t="str">
        <f t="shared" si="10"/>
        <v/>
      </c>
      <c r="O75" s="19" t="str">
        <f t="shared" si="11"/>
        <v/>
      </c>
      <c r="P75" s="19" t="str">
        <f t="shared" si="12"/>
        <v/>
      </c>
      <c r="Q75" s="19" t="str">
        <f t="shared" si="13"/>
        <v/>
      </c>
      <c r="R75" s="19" t="str">
        <f t="shared" si="3"/>
        <v/>
      </c>
      <c r="S75" s="27" t="str">
        <f t="shared" si="20"/>
        <v/>
      </c>
      <c r="T75" s="28" t="str">
        <f t="shared" si="20"/>
        <v/>
      </c>
      <c r="U75" s="28" t="str">
        <f t="shared" si="20"/>
        <v/>
      </c>
      <c r="V75" s="28" t="str">
        <f t="shared" si="20"/>
        <v/>
      </c>
      <c r="W75" s="28" t="str">
        <f t="shared" si="20"/>
        <v/>
      </c>
      <c r="X75" s="29" t="str">
        <f t="shared" si="20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7"/>
        <v/>
      </c>
      <c r="L76" s="19" t="str">
        <f t="shared" si="15"/>
        <v/>
      </c>
      <c r="M76" s="19" t="str">
        <f t="shared" si="18"/>
        <v/>
      </c>
      <c r="N76" s="19" t="str">
        <f t="shared" si="10"/>
        <v/>
      </c>
      <c r="O76" s="19" t="str">
        <f t="shared" si="11"/>
        <v/>
      </c>
      <c r="P76" s="19" t="str">
        <f t="shared" si="12"/>
        <v/>
      </c>
      <c r="Q76" s="19" t="str">
        <f t="shared" si="13"/>
        <v/>
      </c>
      <c r="R76" s="19" t="str">
        <f t="shared" si="3"/>
        <v/>
      </c>
      <c r="S76" s="27" t="str">
        <f t="shared" si="20"/>
        <v/>
      </c>
      <c r="T76" s="28" t="str">
        <f t="shared" si="20"/>
        <v/>
      </c>
      <c r="U76" s="28" t="str">
        <f t="shared" si="20"/>
        <v/>
      </c>
      <c r="V76" s="28" t="str">
        <f t="shared" si="20"/>
        <v/>
      </c>
      <c r="W76" s="28" t="str">
        <f t="shared" si="20"/>
        <v/>
      </c>
      <c r="X76" s="29" t="str">
        <f t="shared" si="20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7"/>
        <v/>
      </c>
      <c r="L77" s="19" t="str">
        <f t="shared" si="15"/>
        <v/>
      </c>
      <c r="M77" s="19" t="str">
        <f t="shared" si="18"/>
        <v/>
      </c>
      <c r="N77" s="19" t="str">
        <f t="shared" si="10"/>
        <v/>
      </c>
      <c r="O77" s="19" t="str">
        <f t="shared" si="11"/>
        <v/>
      </c>
      <c r="P77" s="19" t="str">
        <f t="shared" si="12"/>
        <v/>
      </c>
      <c r="Q77" s="19" t="str">
        <f t="shared" si="13"/>
        <v/>
      </c>
      <c r="R77" s="19" t="str">
        <f t="shared" si="3"/>
        <v/>
      </c>
      <c r="S77" s="27" t="str">
        <f t="shared" si="20"/>
        <v/>
      </c>
      <c r="T77" s="28" t="str">
        <f t="shared" si="20"/>
        <v/>
      </c>
      <c r="U77" s="28" t="str">
        <f t="shared" si="20"/>
        <v/>
      </c>
      <c r="V77" s="28" t="str">
        <f t="shared" si="20"/>
        <v/>
      </c>
      <c r="W77" s="28" t="str">
        <f t="shared" si="20"/>
        <v/>
      </c>
      <c r="X77" s="29" t="str">
        <f t="shared" si="20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7"/>
        <v/>
      </c>
      <c r="L78" s="19" t="str">
        <f t="shared" si="15"/>
        <v/>
      </c>
      <c r="M78" s="19" t="str">
        <f t="shared" si="18"/>
        <v/>
      </c>
      <c r="N78" s="19" t="str">
        <f t="shared" si="10"/>
        <v/>
      </c>
      <c r="O78" s="19" t="str">
        <f t="shared" si="11"/>
        <v/>
      </c>
      <c r="P78" s="19" t="str">
        <f t="shared" si="12"/>
        <v/>
      </c>
      <c r="Q78" s="19" t="str">
        <f t="shared" si="13"/>
        <v/>
      </c>
      <c r="R78" s="19" t="str">
        <f t="shared" si="3"/>
        <v/>
      </c>
      <c r="S78" s="27" t="str">
        <f t="shared" si="20"/>
        <v/>
      </c>
      <c r="T78" s="28" t="str">
        <f t="shared" si="20"/>
        <v/>
      </c>
      <c r="U78" s="28" t="str">
        <f t="shared" si="20"/>
        <v/>
      </c>
      <c r="V78" s="28" t="str">
        <f t="shared" si="20"/>
        <v/>
      </c>
      <c r="W78" s="28" t="str">
        <f t="shared" si="20"/>
        <v/>
      </c>
      <c r="X78" s="29" t="str">
        <f t="shared" si="20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7"/>
        <v/>
      </c>
      <c r="L79" s="19" t="str">
        <f t="shared" si="15"/>
        <v/>
      </c>
      <c r="M79" s="19" t="str">
        <f t="shared" si="18"/>
        <v/>
      </c>
      <c r="N79" s="19" t="str">
        <f t="shared" si="10"/>
        <v/>
      </c>
      <c r="O79" s="19" t="str">
        <f t="shared" si="11"/>
        <v/>
      </c>
      <c r="P79" s="19" t="str">
        <f t="shared" si="12"/>
        <v/>
      </c>
      <c r="Q79" s="19" t="str">
        <f t="shared" si="13"/>
        <v/>
      </c>
      <c r="R79" s="19" t="str">
        <f t="shared" si="3"/>
        <v/>
      </c>
      <c r="S79" s="27" t="str">
        <f t="shared" si="20"/>
        <v/>
      </c>
      <c r="T79" s="28" t="str">
        <f t="shared" si="20"/>
        <v/>
      </c>
      <c r="U79" s="28" t="str">
        <f t="shared" si="20"/>
        <v/>
      </c>
      <c r="V79" s="28" t="str">
        <f t="shared" si="20"/>
        <v/>
      </c>
      <c r="W79" s="28" t="str">
        <f t="shared" si="20"/>
        <v/>
      </c>
      <c r="X79" s="29" t="str">
        <f t="shared" si="20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7"/>
        <v/>
      </c>
      <c r="L80" s="19" t="str">
        <f t="shared" si="15"/>
        <v/>
      </c>
      <c r="M80" s="19" t="str">
        <f t="shared" ref="M80:M111" si="21">IF(ISBLANK(D80),"",(D80-D$16)*1000)</f>
        <v/>
      </c>
      <c r="N80" s="19" t="str">
        <f t="shared" si="10"/>
        <v/>
      </c>
      <c r="O80" s="19" t="str">
        <f t="shared" si="11"/>
        <v/>
      </c>
      <c r="P80" s="19" t="str">
        <f t="shared" si="12"/>
        <v/>
      </c>
      <c r="Q80" s="19" t="str">
        <f t="shared" si="13"/>
        <v/>
      </c>
      <c r="R80" s="19" t="str">
        <f t="shared" ref="R80:R111" si="22">IF(ISBLANK(I80),"",(I80-I$16)*1000)</f>
        <v/>
      </c>
      <c r="S80" s="27" t="str">
        <f t="shared" si="20"/>
        <v/>
      </c>
      <c r="T80" s="28" t="str">
        <f t="shared" si="20"/>
        <v/>
      </c>
      <c r="U80" s="28" t="str">
        <f t="shared" si="20"/>
        <v/>
      </c>
      <c r="V80" s="28" t="str">
        <f t="shared" si="20"/>
        <v/>
      </c>
      <c r="W80" s="28" t="str">
        <f t="shared" si="20"/>
        <v/>
      </c>
      <c r="X80" s="29" t="str">
        <f t="shared" si="20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7"/>
        <v/>
      </c>
      <c r="L81" s="19" t="str">
        <f t="shared" si="15"/>
        <v/>
      </c>
      <c r="M81" s="19" t="str">
        <f t="shared" si="21"/>
        <v/>
      </c>
      <c r="N81" s="19" t="str">
        <f t="shared" si="10"/>
        <v/>
      </c>
      <c r="O81" s="19" t="str">
        <f t="shared" si="11"/>
        <v/>
      </c>
      <c r="P81" s="19" t="str">
        <f t="shared" si="12"/>
        <v/>
      </c>
      <c r="Q81" s="19" t="str">
        <f t="shared" si="13"/>
        <v/>
      </c>
      <c r="R81" s="19" t="str">
        <f t="shared" si="22"/>
        <v/>
      </c>
      <c r="S81" s="27" t="str">
        <f t="shared" ref="S81:X96" si="23">IF(C81="","",((C81-C80)*1000)/($B81-$B80))</f>
        <v/>
      </c>
      <c r="T81" s="28" t="str">
        <f t="shared" si="23"/>
        <v/>
      </c>
      <c r="U81" s="28" t="str">
        <f t="shared" si="23"/>
        <v/>
      </c>
      <c r="V81" s="28" t="str">
        <f t="shared" si="23"/>
        <v/>
      </c>
      <c r="W81" s="28" t="str">
        <f t="shared" si="23"/>
        <v/>
      </c>
      <c r="X81" s="29" t="str">
        <f t="shared" si="23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17"/>
        <v/>
      </c>
      <c r="L82" s="19" t="str">
        <f t="shared" si="15"/>
        <v/>
      </c>
      <c r="M82" s="19" t="str">
        <f t="shared" si="21"/>
        <v/>
      </c>
      <c r="N82" s="19" t="str">
        <f t="shared" si="10"/>
        <v/>
      </c>
      <c r="O82" s="19" t="str">
        <f t="shared" si="11"/>
        <v/>
      </c>
      <c r="P82" s="19" t="str">
        <f t="shared" si="12"/>
        <v/>
      </c>
      <c r="Q82" s="19" t="str">
        <f t="shared" si="13"/>
        <v/>
      </c>
      <c r="R82" s="19" t="str">
        <f t="shared" si="22"/>
        <v/>
      </c>
      <c r="S82" s="27" t="str">
        <f t="shared" si="23"/>
        <v/>
      </c>
      <c r="T82" s="28" t="str">
        <f t="shared" si="23"/>
        <v/>
      </c>
      <c r="U82" s="28" t="str">
        <f t="shared" si="23"/>
        <v/>
      </c>
      <c r="V82" s="28" t="str">
        <f t="shared" si="23"/>
        <v/>
      </c>
      <c r="W82" s="28" t="str">
        <f t="shared" si="23"/>
        <v/>
      </c>
      <c r="X82" s="29" t="str">
        <f t="shared" si="23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17"/>
        <v/>
      </c>
      <c r="L83" s="19" t="str">
        <f t="shared" si="15"/>
        <v/>
      </c>
      <c r="M83" s="19" t="str">
        <f t="shared" si="21"/>
        <v/>
      </c>
      <c r="N83" s="19" t="str">
        <f t="shared" si="10"/>
        <v/>
      </c>
      <c r="O83" s="19" t="str">
        <f t="shared" si="11"/>
        <v/>
      </c>
      <c r="P83" s="19" t="str">
        <f t="shared" si="12"/>
        <v/>
      </c>
      <c r="Q83" s="19" t="str">
        <f t="shared" si="13"/>
        <v/>
      </c>
      <c r="R83" s="19" t="str">
        <f t="shared" si="22"/>
        <v/>
      </c>
      <c r="S83" s="27" t="str">
        <f t="shared" si="23"/>
        <v/>
      </c>
      <c r="T83" s="28" t="str">
        <f t="shared" si="23"/>
        <v/>
      </c>
      <c r="U83" s="28" t="str">
        <f t="shared" si="23"/>
        <v/>
      </c>
      <c r="V83" s="28" t="str">
        <f t="shared" si="23"/>
        <v/>
      </c>
      <c r="W83" s="28" t="str">
        <f t="shared" si="23"/>
        <v/>
      </c>
      <c r="X83" s="29" t="str">
        <f t="shared" si="23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17"/>
        <v/>
      </c>
      <c r="L84" s="19" t="str">
        <f t="shared" si="15"/>
        <v/>
      </c>
      <c r="M84" s="19" t="str">
        <f t="shared" si="21"/>
        <v/>
      </c>
      <c r="N84" s="19" t="str">
        <f t="shared" si="10"/>
        <v/>
      </c>
      <c r="O84" s="19" t="str">
        <f t="shared" si="11"/>
        <v/>
      </c>
      <c r="P84" s="19" t="str">
        <f t="shared" si="12"/>
        <v/>
      </c>
      <c r="Q84" s="19" t="str">
        <f t="shared" si="13"/>
        <v/>
      </c>
      <c r="R84" s="19" t="str">
        <f t="shared" si="22"/>
        <v/>
      </c>
      <c r="S84" s="27" t="str">
        <f t="shared" si="23"/>
        <v/>
      </c>
      <c r="T84" s="28" t="str">
        <f t="shared" si="23"/>
        <v/>
      </c>
      <c r="U84" s="28" t="str">
        <f t="shared" si="23"/>
        <v/>
      </c>
      <c r="V84" s="28" t="str">
        <f t="shared" si="23"/>
        <v/>
      </c>
      <c r="W84" s="28" t="str">
        <f t="shared" si="23"/>
        <v/>
      </c>
      <c r="X84" s="29" t="str">
        <f t="shared" si="23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17"/>
        <v/>
      </c>
      <c r="L85" s="19" t="str">
        <f t="shared" si="15"/>
        <v/>
      </c>
      <c r="M85" s="19" t="str">
        <f t="shared" si="21"/>
        <v/>
      </c>
      <c r="N85" s="19" t="str">
        <f t="shared" si="10"/>
        <v/>
      </c>
      <c r="O85" s="19" t="str">
        <f t="shared" si="11"/>
        <v/>
      </c>
      <c r="P85" s="19" t="str">
        <f t="shared" si="12"/>
        <v/>
      </c>
      <c r="Q85" s="19" t="str">
        <f t="shared" si="13"/>
        <v/>
      </c>
      <c r="R85" s="19" t="str">
        <f t="shared" si="22"/>
        <v/>
      </c>
      <c r="S85" s="27" t="str">
        <f t="shared" si="23"/>
        <v/>
      </c>
      <c r="T85" s="28" t="str">
        <f t="shared" si="23"/>
        <v/>
      </c>
      <c r="U85" s="28" t="str">
        <f t="shared" si="23"/>
        <v/>
      </c>
      <c r="V85" s="28" t="str">
        <f t="shared" si="23"/>
        <v/>
      </c>
      <c r="W85" s="28" t="str">
        <f t="shared" si="23"/>
        <v/>
      </c>
      <c r="X85" s="29" t="str">
        <f t="shared" si="23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17"/>
        <v/>
      </c>
      <c r="L86" s="19" t="str">
        <f t="shared" si="15"/>
        <v/>
      </c>
      <c r="M86" s="19" t="str">
        <f t="shared" si="21"/>
        <v/>
      </c>
      <c r="N86" s="19" t="str">
        <f t="shared" si="10"/>
        <v/>
      </c>
      <c r="O86" s="19" t="str">
        <f t="shared" si="11"/>
        <v/>
      </c>
      <c r="P86" s="19" t="str">
        <f t="shared" si="12"/>
        <v/>
      </c>
      <c r="Q86" s="19" t="str">
        <f t="shared" si="13"/>
        <v/>
      </c>
      <c r="R86" s="19" t="str">
        <f t="shared" si="22"/>
        <v/>
      </c>
      <c r="S86" s="27" t="str">
        <f t="shared" si="23"/>
        <v/>
      </c>
      <c r="T86" s="28" t="str">
        <f t="shared" si="23"/>
        <v/>
      </c>
      <c r="U86" s="28" t="str">
        <f t="shared" si="23"/>
        <v/>
      </c>
      <c r="V86" s="28" t="str">
        <f t="shared" si="23"/>
        <v/>
      </c>
      <c r="W86" s="28" t="str">
        <f t="shared" si="23"/>
        <v/>
      </c>
      <c r="X86" s="29" t="str">
        <f t="shared" si="23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17"/>
        <v/>
      </c>
      <c r="L87" s="19" t="str">
        <f t="shared" si="15"/>
        <v/>
      </c>
      <c r="M87" s="19" t="str">
        <f t="shared" si="21"/>
        <v/>
      </c>
      <c r="N87" s="19" t="str">
        <f t="shared" si="10"/>
        <v/>
      </c>
      <c r="O87" s="19" t="str">
        <f t="shared" si="11"/>
        <v/>
      </c>
      <c r="P87" s="19" t="str">
        <f t="shared" si="12"/>
        <v/>
      </c>
      <c r="Q87" s="19" t="str">
        <f t="shared" si="13"/>
        <v/>
      </c>
      <c r="R87" s="19" t="str">
        <f t="shared" si="22"/>
        <v/>
      </c>
      <c r="S87" s="27" t="str">
        <f t="shared" si="23"/>
        <v/>
      </c>
      <c r="T87" s="28" t="str">
        <f t="shared" si="23"/>
        <v/>
      </c>
      <c r="U87" s="28" t="str">
        <f t="shared" si="23"/>
        <v/>
      </c>
      <c r="V87" s="28" t="str">
        <f t="shared" si="23"/>
        <v/>
      </c>
      <c r="W87" s="28" t="str">
        <f t="shared" si="23"/>
        <v/>
      </c>
      <c r="X87" s="29" t="str">
        <f t="shared" si="23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17"/>
        <v/>
      </c>
      <c r="L88" s="19" t="str">
        <f t="shared" si="15"/>
        <v/>
      </c>
      <c r="M88" s="19" t="str">
        <f t="shared" si="21"/>
        <v/>
      </c>
      <c r="N88" s="19" t="str">
        <f t="shared" si="10"/>
        <v/>
      </c>
      <c r="O88" s="19" t="str">
        <f t="shared" si="11"/>
        <v/>
      </c>
      <c r="P88" s="19" t="str">
        <f t="shared" si="12"/>
        <v/>
      </c>
      <c r="Q88" s="19" t="str">
        <f t="shared" si="13"/>
        <v/>
      </c>
      <c r="R88" s="19" t="str">
        <f t="shared" si="22"/>
        <v/>
      </c>
      <c r="S88" s="27" t="str">
        <f t="shared" si="23"/>
        <v/>
      </c>
      <c r="T88" s="28" t="str">
        <f t="shared" si="23"/>
        <v/>
      </c>
      <c r="U88" s="28" t="str">
        <f t="shared" si="23"/>
        <v/>
      </c>
      <c r="V88" s="28" t="str">
        <f t="shared" si="23"/>
        <v/>
      </c>
      <c r="W88" s="28" t="str">
        <f t="shared" si="23"/>
        <v/>
      </c>
      <c r="X88" s="29" t="str">
        <f t="shared" si="23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17"/>
        <v/>
      </c>
      <c r="L89" s="19" t="str">
        <f t="shared" si="15"/>
        <v/>
      </c>
      <c r="M89" s="19" t="str">
        <f t="shared" si="21"/>
        <v/>
      </c>
      <c r="N89" s="19" t="str">
        <f t="shared" si="10"/>
        <v/>
      </c>
      <c r="O89" s="19" t="str">
        <f t="shared" si="11"/>
        <v/>
      </c>
      <c r="P89" s="19" t="str">
        <f t="shared" si="12"/>
        <v/>
      </c>
      <c r="Q89" s="19" t="str">
        <f t="shared" si="13"/>
        <v/>
      </c>
      <c r="R89" s="19" t="str">
        <f t="shared" si="22"/>
        <v/>
      </c>
      <c r="S89" s="27" t="str">
        <f t="shared" si="23"/>
        <v/>
      </c>
      <c r="T89" s="28" t="str">
        <f t="shared" si="23"/>
        <v/>
      </c>
      <c r="U89" s="28" t="str">
        <f t="shared" si="23"/>
        <v/>
      </c>
      <c r="V89" s="28" t="str">
        <f t="shared" si="23"/>
        <v/>
      </c>
      <c r="W89" s="28" t="str">
        <f t="shared" si="23"/>
        <v/>
      </c>
      <c r="X89" s="29" t="str">
        <f t="shared" si="23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17"/>
        <v/>
      </c>
      <c r="L90" s="19" t="str">
        <f t="shared" si="15"/>
        <v/>
      </c>
      <c r="M90" s="19" t="str">
        <f t="shared" si="21"/>
        <v/>
      </c>
      <c r="N90" s="19" t="str">
        <f t="shared" si="10"/>
        <v/>
      </c>
      <c r="O90" s="19" t="str">
        <f t="shared" si="11"/>
        <v/>
      </c>
      <c r="P90" s="19" t="str">
        <f t="shared" si="12"/>
        <v/>
      </c>
      <c r="Q90" s="19" t="str">
        <f t="shared" si="13"/>
        <v/>
      </c>
      <c r="R90" s="19" t="str">
        <f t="shared" si="22"/>
        <v/>
      </c>
      <c r="S90" s="27" t="str">
        <f t="shared" si="23"/>
        <v/>
      </c>
      <c r="T90" s="28" t="str">
        <f t="shared" si="23"/>
        <v/>
      </c>
      <c r="U90" s="28" t="str">
        <f t="shared" si="23"/>
        <v/>
      </c>
      <c r="V90" s="28" t="str">
        <f t="shared" si="23"/>
        <v/>
      </c>
      <c r="W90" s="28" t="str">
        <f t="shared" si="23"/>
        <v/>
      </c>
      <c r="X90" s="29" t="str">
        <f t="shared" si="23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17"/>
        <v/>
      </c>
      <c r="L91" s="19" t="str">
        <f t="shared" si="15"/>
        <v/>
      </c>
      <c r="M91" s="19" t="str">
        <f t="shared" si="21"/>
        <v/>
      </c>
      <c r="N91" s="19" t="str">
        <f t="shared" ref="N91:N153" si="24">IF(ISBLANK(E91),"",((E91-E$26)*1000)+N$25)</f>
        <v/>
      </c>
      <c r="O91" s="19" t="str">
        <f t="shared" ref="O91:O153" si="25">IF(ISBLANK(F91),"",((F91-F$26)*1000)+L$26)</f>
        <v/>
      </c>
      <c r="P91" s="19" t="str">
        <f t="shared" ref="P91:P153" si="26">IF(ISBLANK(G91),"",((G91-G$26)*1000)+M$26)</f>
        <v/>
      </c>
      <c r="Q91" s="19" t="str">
        <f t="shared" ref="Q91:Q153" si="27">IF(ISBLANK(H91),"",((H91-H$26)*1000)+N$26)</f>
        <v/>
      </c>
      <c r="R91" s="19" t="str">
        <f t="shared" si="22"/>
        <v/>
      </c>
      <c r="S91" s="27" t="str">
        <f t="shared" si="23"/>
        <v/>
      </c>
      <c r="T91" s="28" t="str">
        <f t="shared" si="23"/>
        <v/>
      </c>
      <c r="U91" s="28" t="str">
        <f t="shared" si="23"/>
        <v/>
      </c>
      <c r="V91" s="28" t="str">
        <f t="shared" si="23"/>
        <v/>
      </c>
      <c r="W91" s="28" t="str">
        <f t="shared" si="23"/>
        <v/>
      </c>
      <c r="X91" s="29" t="str">
        <f t="shared" si="23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17"/>
        <v/>
      </c>
      <c r="L92" s="19" t="str">
        <f t="shared" si="15"/>
        <v/>
      </c>
      <c r="M92" s="19" t="str">
        <f t="shared" si="21"/>
        <v/>
      </c>
      <c r="N92" s="19" t="str">
        <f t="shared" si="24"/>
        <v/>
      </c>
      <c r="O92" s="19" t="str">
        <f t="shared" si="25"/>
        <v/>
      </c>
      <c r="P92" s="19" t="str">
        <f t="shared" si="26"/>
        <v/>
      </c>
      <c r="Q92" s="19" t="str">
        <f t="shared" si="27"/>
        <v/>
      </c>
      <c r="R92" s="19" t="str">
        <f t="shared" si="22"/>
        <v/>
      </c>
      <c r="S92" s="27" t="str">
        <f t="shared" si="23"/>
        <v/>
      </c>
      <c r="T92" s="28" t="str">
        <f t="shared" si="23"/>
        <v/>
      </c>
      <c r="U92" s="28" t="str">
        <f t="shared" si="23"/>
        <v/>
      </c>
      <c r="V92" s="28" t="str">
        <f t="shared" si="23"/>
        <v/>
      </c>
      <c r="W92" s="28" t="str">
        <f t="shared" si="23"/>
        <v/>
      </c>
      <c r="X92" s="29" t="str">
        <f t="shared" si="23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17"/>
        <v/>
      </c>
      <c r="L93" s="19" t="str">
        <f t="shared" ref="L93:L153" si="28">IF(ISBLANK(C93),"",((C93-C$28)*1000)+L$27)</f>
        <v/>
      </c>
      <c r="M93" s="19" t="str">
        <f t="shared" si="21"/>
        <v/>
      </c>
      <c r="N93" s="19" t="str">
        <f t="shared" si="24"/>
        <v/>
      </c>
      <c r="O93" s="19" t="str">
        <f t="shared" si="25"/>
        <v/>
      </c>
      <c r="P93" s="19" t="str">
        <f t="shared" si="26"/>
        <v/>
      </c>
      <c r="Q93" s="19" t="str">
        <f t="shared" si="27"/>
        <v/>
      </c>
      <c r="R93" s="19" t="str">
        <f t="shared" si="22"/>
        <v/>
      </c>
      <c r="S93" s="27" t="str">
        <f t="shared" si="23"/>
        <v/>
      </c>
      <c r="T93" s="28" t="str">
        <f t="shared" si="23"/>
        <v/>
      </c>
      <c r="U93" s="28" t="str">
        <f t="shared" si="23"/>
        <v/>
      </c>
      <c r="V93" s="28" t="str">
        <f t="shared" si="23"/>
        <v/>
      </c>
      <c r="W93" s="28" t="str">
        <f t="shared" si="23"/>
        <v/>
      </c>
      <c r="X93" s="29" t="str">
        <f t="shared" si="23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17"/>
        <v/>
      </c>
      <c r="L94" s="19" t="str">
        <f t="shared" si="28"/>
        <v/>
      </c>
      <c r="M94" s="19" t="str">
        <f t="shared" si="21"/>
        <v/>
      </c>
      <c r="N94" s="19" t="str">
        <f t="shared" si="24"/>
        <v/>
      </c>
      <c r="O94" s="19" t="str">
        <f t="shared" si="25"/>
        <v/>
      </c>
      <c r="P94" s="19" t="str">
        <f t="shared" si="26"/>
        <v/>
      </c>
      <c r="Q94" s="19" t="str">
        <f t="shared" si="27"/>
        <v/>
      </c>
      <c r="R94" s="19" t="str">
        <f t="shared" si="22"/>
        <v/>
      </c>
      <c r="S94" s="27" t="str">
        <f t="shared" si="23"/>
        <v/>
      </c>
      <c r="T94" s="28" t="str">
        <f t="shared" si="23"/>
        <v/>
      </c>
      <c r="U94" s="28" t="str">
        <f t="shared" si="23"/>
        <v/>
      </c>
      <c r="V94" s="28" t="str">
        <f t="shared" si="23"/>
        <v/>
      </c>
      <c r="W94" s="28" t="str">
        <f t="shared" si="23"/>
        <v/>
      </c>
      <c r="X94" s="29" t="str">
        <f t="shared" si="23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17"/>
        <v/>
      </c>
      <c r="L95" s="19" t="str">
        <f t="shared" si="28"/>
        <v/>
      </c>
      <c r="M95" s="19" t="str">
        <f t="shared" si="21"/>
        <v/>
      </c>
      <c r="N95" s="19" t="str">
        <f t="shared" si="24"/>
        <v/>
      </c>
      <c r="O95" s="19" t="str">
        <f t="shared" si="25"/>
        <v/>
      </c>
      <c r="P95" s="19" t="str">
        <f t="shared" si="26"/>
        <v/>
      </c>
      <c r="Q95" s="19" t="str">
        <f t="shared" si="27"/>
        <v/>
      </c>
      <c r="R95" s="19" t="str">
        <f t="shared" si="22"/>
        <v/>
      </c>
      <c r="S95" s="27" t="str">
        <f t="shared" si="23"/>
        <v/>
      </c>
      <c r="T95" s="28" t="str">
        <f t="shared" si="23"/>
        <v/>
      </c>
      <c r="U95" s="28" t="str">
        <f t="shared" si="23"/>
        <v/>
      </c>
      <c r="V95" s="28" t="str">
        <f t="shared" si="23"/>
        <v/>
      </c>
      <c r="W95" s="28" t="str">
        <f t="shared" si="23"/>
        <v/>
      </c>
      <c r="X95" s="29" t="str">
        <f t="shared" si="23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17"/>
        <v/>
      </c>
      <c r="L96" s="19" t="str">
        <f t="shared" si="28"/>
        <v/>
      </c>
      <c r="M96" s="19" t="str">
        <f t="shared" si="21"/>
        <v/>
      </c>
      <c r="N96" s="19" t="str">
        <f t="shared" si="24"/>
        <v/>
      </c>
      <c r="O96" s="19" t="str">
        <f t="shared" si="25"/>
        <v/>
      </c>
      <c r="P96" s="19" t="str">
        <f t="shared" si="26"/>
        <v/>
      </c>
      <c r="Q96" s="19" t="str">
        <f t="shared" si="27"/>
        <v/>
      </c>
      <c r="R96" s="19" t="str">
        <f t="shared" si="22"/>
        <v/>
      </c>
      <c r="S96" s="27" t="str">
        <f t="shared" si="23"/>
        <v/>
      </c>
      <c r="T96" s="28" t="str">
        <f t="shared" si="23"/>
        <v/>
      </c>
      <c r="U96" s="28" t="str">
        <f t="shared" si="23"/>
        <v/>
      </c>
      <c r="V96" s="28" t="str">
        <f t="shared" si="23"/>
        <v/>
      </c>
      <c r="W96" s="28" t="str">
        <f t="shared" si="23"/>
        <v/>
      </c>
      <c r="X96" s="29" t="str">
        <f t="shared" si="23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17"/>
        <v/>
      </c>
      <c r="L97" s="19" t="str">
        <f t="shared" si="28"/>
        <v/>
      </c>
      <c r="M97" s="19" t="str">
        <f t="shared" si="21"/>
        <v/>
      </c>
      <c r="N97" s="19" t="str">
        <f t="shared" si="24"/>
        <v/>
      </c>
      <c r="O97" s="19" t="str">
        <f t="shared" si="25"/>
        <v/>
      </c>
      <c r="P97" s="19" t="str">
        <f t="shared" si="26"/>
        <v/>
      </c>
      <c r="Q97" s="19" t="str">
        <f t="shared" si="27"/>
        <v/>
      </c>
      <c r="R97" s="19" t="str">
        <f t="shared" si="22"/>
        <v/>
      </c>
      <c r="S97" s="27" t="str">
        <f t="shared" ref="S97:X112" si="29">IF(C97="","",((C97-C96)*1000)/($B97-$B96))</f>
        <v/>
      </c>
      <c r="T97" s="28" t="str">
        <f t="shared" si="29"/>
        <v/>
      </c>
      <c r="U97" s="28" t="str">
        <f t="shared" si="29"/>
        <v/>
      </c>
      <c r="V97" s="28" t="str">
        <f t="shared" si="29"/>
        <v/>
      </c>
      <c r="W97" s="28" t="str">
        <f t="shared" si="29"/>
        <v/>
      </c>
      <c r="X97" s="29" t="str">
        <f t="shared" si="2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7"/>
        <v/>
      </c>
      <c r="L98" s="19" t="str">
        <f t="shared" si="28"/>
        <v/>
      </c>
      <c r="M98" s="19" t="str">
        <f t="shared" si="21"/>
        <v/>
      </c>
      <c r="N98" s="19" t="str">
        <f t="shared" si="24"/>
        <v/>
      </c>
      <c r="O98" s="19" t="str">
        <f t="shared" si="25"/>
        <v/>
      </c>
      <c r="P98" s="19" t="str">
        <f t="shared" si="26"/>
        <v/>
      </c>
      <c r="Q98" s="19" t="str">
        <f t="shared" si="27"/>
        <v/>
      </c>
      <c r="R98" s="19" t="str">
        <f t="shared" si="22"/>
        <v/>
      </c>
      <c r="S98" s="27" t="str">
        <f t="shared" si="29"/>
        <v/>
      </c>
      <c r="T98" s="28" t="str">
        <f t="shared" si="29"/>
        <v/>
      </c>
      <c r="U98" s="28" t="str">
        <f t="shared" si="29"/>
        <v/>
      </c>
      <c r="V98" s="28" t="str">
        <f t="shared" si="29"/>
        <v/>
      </c>
      <c r="W98" s="28" t="str">
        <f t="shared" si="29"/>
        <v/>
      </c>
      <c r="X98" s="29" t="str">
        <f t="shared" si="2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7"/>
        <v/>
      </c>
      <c r="L99" s="19" t="str">
        <f t="shared" si="28"/>
        <v/>
      </c>
      <c r="M99" s="19" t="str">
        <f t="shared" si="21"/>
        <v/>
      </c>
      <c r="N99" s="19" t="str">
        <f t="shared" si="24"/>
        <v/>
      </c>
      <c r="O99" s="19" t="str">
        <f t="shared" si="25"/>
        <v/>
      </c>
      <c r="P99" s="19" t="str">
        <f t="shared" si="26"/>
        <v/>
      </c>
      <c r="Q99" s="19" t="str">
        <f t="shared" si="27"/>
        <v/>
      </c>
      <c r="R99" s="19" t="str">
        <f t="shared" si="22"/>
        <v/>
      </c>
      <c r="S99" s="27" t="str">
        <f t="shared" si="29"/>
        <v/>
      </c>
      <c r="T99" s="28" t="str">
        <f t="shared" si="29"/>
        <v/>
      </c>
      <c r="U99" s="28" t="str">
        <f t="shared" si="29"/>
        <v/>
      </c>
      <c r="V99" s="28" t="str">
        <f t="shared" si="29"/>
        <v/>
      </c>
      <c r="W99" s="28" t="str">
        <f t="shared" si="29"/>
        <v/>
      </c>
      <c r="X99" s="29" t="str">
        <f t="shared" si="2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ref="K100:K153" si="30">IF(ISBLANK(J100),"",(J100-$J$8))</f>
        <v/>
      </c>
      <c r="L100" s="19" t="str">
        <f t="shared" si="28"/>
        <v/>
      </c>
      <c r="M100" s="19" t="str">
        <f t="shared" si="21"/>
        <v/>
      </c>
      <c r="N100" s="19" t="str">
        <f t="shared" si="24"/>
        <v/>
      </c>
      <c r="O100" s="19" t="str">
        <f t="shared" si="25"/>
        <v/>
      </c>
      <c r="P100" s="19" t="str">
        <f t="shared" si="26"/>
        <v/>
      </c>
      <c r="Q100" s="19" t="str">
        <f t="shared" si="27"/>
        <v/>
      </c>
      <c r="R100" s="19" t="str">
        <f t="shared" si="22"/>
        <v/>
      </c>
      <c r="S100" s="27" t="str">
        <f t="shared" si="29"/>
        <v/>
      </c>
      <c r="T100" s="28" t="str">
        <f t="shared" si="29"/>
        <v/>
      </c>
      <c r="U100" s="28" t="str">
        <f t="shared" si="29"/>
        <v/>
      </c>
      <c r="V100" s="28" t="str">
        <f t="shared" si="29"/>
        <v/>
      </c>
      <c r="W100" s="28" t="str">
        <f t="shared" si="29"/>
        <v/>
      </c>
      <c r="X100" s="29" t="str">
        <f t="shared" si="2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30"/>
        <v/>
      </c>
      <c r="L101" s="19" t="str">
        <f t="shared" si="28"/>
        <v/>
      </c>
      <c r="M101" s="19" t="str">
        <f t="shared" si="21"/>
        <v/>
      </c>
      <c r="N101" s="19" t="str">
        <f t="shared" si="24"/>
        <v/>
      </c>
      <c r="O101" s="19" t="str">
        <f t="shared" si="25"/>
        <v/>
      </c>
      <c r="P101" s="19" t="str">
        <f t="shared" si="26"/>
        <v/>
      </c>
      <c r="Q101" s="19" t="str">
        <f t="shared" si="27"/>
        <v/>
      </c>
      <c r="R101" s="19" t="str">
        <f t="shared" si="22"/>
        <v/>
      </c>
      <c r="S101" s="27" t="str">
        <f t="shared" si="29"/>
        <v/>
      </c>
      <c r="T101" s="28" t="str">
        <f t="shared" si="29"/>
        <v/>
      </c>
      <c r="U101" s="28" t="str">
        <f t="shared" si="29"/>
        <v/>
      </c>
      <c r="V101" s="28" t="str">
        <f t="shared" si="29"/>
        <v/>
      </c>
      <c r="W101" s="28" t="str">
        <f t="shared" si="29"/>
        <v/>
      </c>
      <c r="X101" s="29" t="str">
        <f t="shared" si="2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30"/>
        <v/>
      </c>
      <c r="L102" s="19" t="str">
        <f t="shared" si="28"/>
        <v/>
      </c>
      <c r="M102" s="19" t="str">
        <f t="shared" si="21"/>
        <v/>
      </c>
      <c r="N102" s="19" t="str">
        <f t="shared" si="24"/>
        <v/>
      </c>
      <c r="O102" s="19" t="str">
        <f t="shared" si="25"/>
        <v/>
      </c>
      <c r="P102" s="19" t="str">
        <f t="shared" si="26"/>
        <v/>
      </c>
      <c r="Q102" s="19" t="str">
        <f t="shared" si="27"/>
        <v/>
      </c>
      <c r="R102" s="19" t="str">
        <f t="shared" si="22"/>
        <v/>
      </c>
      <c r="S102" s="27" t="str">
        <f t="shared" si="29"/>
        <v/>
      </c>
      <c r="T102" s="28" t="str">
        <f t="shared" si="29"/>
        <v/>
      </c>
      <c r="U102" s="28" t="str">
        <f t="shared" si="29"/>
        <v/>
      </c>
      <c r="V102" s="28" t="str">
        <f t="shared" si="29"/>
        <v/>
      </c>
      <c r="W102" s="28" t="str">
        <f t="shared" si="29"/>
        <v/>
      </c>
      <c r="X102" s="29" t="str">
        <f t="shared" si="2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30"/>
        <v/>
      </c>
      <c r="L103" s="19" t="str">
        <f t="shared" si="28"/>
        <v/>
      </c>
      <c r="M103" s="19" t="str">
        <f t="shared" si="21"/>
        <v/>
      </c>
      <c r="N103" s="19" t="str">
        <f t="shared" si="24"/>
        <v/>
      </c>
      <c r="O103" s="19" t="str">
        <f t="shared" si="25"/>
        <v/>
      </c>
      <c r="P103" s="19" t="str">
        <f t="shared" si="26"/>
        <v/>
      </c>
      <c r="Q103" s="19" t="str">
        <f t="shared" si="27"/>
        <v/>
      </c>
      <c r="R103" s="19" t="str">
        <f t="shared" si="22"/>
        <v/>
      </c>
      <c r="S103" s="27" t="str">
        <f t="shared" si="29"/>
        <v/>
      </c>
      <c r="T103" s="28" t="str">
        <f t="shared" si="29"/>
        <v/>
      </c>
      <c r="U103" s="28" t="str">
        <f t="shared" si="29"/>
        <v/>
      </c>
      <c r="V103" s="28" t="str">
        <f t="shared" si="29"/>
        <v/>
      </c>
      <c r="W103" s="28" t="str">
        <f t="shared" si="29"/>
        <v/>
      </c>
      <c r="X103" s="29" t="str">
        <f t="shared" si="2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30"/>
        <v/>
      </c>
      <c r="L104" s="19" t="str">
        <f t="shared" si="28"/>
        <v/>
      </c>
      <c r="M104" s="19" t="str">
        <f t="shared" si="21"/>
        <v/>
      </c>
      <c r="N104" s="19" t="str">
        <f t="shared" si="24"/>
        <v/>
      </c>
      <c r="O104" s="19" t="str">
        <f t="shared" si="25"/>
        <v/>
      </c>
      <c r="P104" s="19" t="str">
        <f t="shared" si="26"/>
        <v/>
      </c>
      <c r="Q104" s="19" t="str">
        <f t="shared" si="27"/>
        <v/>
      </c>
      <c r="R104" s="19" t="str">
        <f t="shared" si="22"/>
        <v/>
      </c>
      <c r="S104" s="27" t="str">
        <f t="shared" si="29"/>
        <v/>
      </c>
      <c r="T104" s="28" t="str">
        <f t="shared" si="29"/>
        <v/>
      </c>
      <c r="U104" s="28" t="str">
        <f t="shared" si="29"/>
        <v/>
      </c>
      <c r="V104" s="28" t="str">
        <f t="shared" si="29"/>
        <v/>
      </c>
      <c r="W104" s="28" t="str">
        <f t="shared" si="29"/>
        <v/>
      </c>
      <c r="X104" s="29" t="str">
        <f t="shared" si="2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30"/>
        <v/>
      </c>
      <c r="L105" s="19" t="str">
        <f t="shared" si="28"/>
        <v/>
      </c>
      <c r="M105" s="19" t="str">
        <f t="shared" si="21"/>
        <v/>
      </c>
      <c r="N105" s="19" t="str">
        <f t="shared" si="24"/>
        <v/>
      </c>
      <c r="O105" s="19" t="str">
        <f t="shared" si="25"/>
        <v/>
      </c>
      <c r="P105" s="19" t="str">
        <f t="shared" si="26"/>
        <v/>
      </c>
      <c r="Q105" s="19" t="str">
        <f t="shared" si="27"/>
        <v/>
      </c>
      <c r="R105" s="19" t="str">
        <f t="shared" si="22"/>
        <v/>
      </c>
      <c r="S105" s="27" t="str">
        <f t="shared" si="29"/>
        <v/>
      </c>
      <c r="T105" s="28" t="str">
        <f t="shared" si="29"/>
        <v/>
      </c>
      <c r="U105" s="28" t="str">
        <f t="shared" si="29"/>
        <v/>
      </c>
      <c r="V105" s="28" t="str">
        <f t="shared" si="29"/>
        <v/>
      </c>
      <c r="W105" s="28" t="str">
        <f t="shared" si="29"/>
        <v/>
      </c>
      <c r="X105" s="29" t="str">
        <f t="shared" si="2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30"/>
        <v/>
      </c>
      <c r="L106" s="19" t="str">
        <f t="shared" si="28"/>
        <v/>
      </c>
      <c r="M106" s="19" t="str">
        <f t="shared" si="21"/>
        <v/>
      </c>
      <c r="N106" s="19" t="str">
        <f t="shared" si="24"/>
        <v/>
      </c>
      <c r="O106" s="19" t="str">
        <f t="shared" si="25"/>
        <v/>
      </c>
      <c r="P106" s="19" t="str">
        <f t="shared" si="26"/>
        <v/>
      </c>
      <c r="Q106" s="19" t="str">
        <f t="shared" si="27"/>
        <v/>
      </c>
      <c r="R106" s="19" t="str">
        <f t="shared" si="22"/>
        <v/>
      </c>
      <c r="S106" s="27" t="str">
        <f t="shared" si="29"/>
        <v/>
      </c>
      <c r="T106" s="28" t="str">
        <f t="shared" si="29"/>
        <v/>
      </c>
      <c r="U106" s="28" t="str">
        <f t="shared" si="29"/>
        <v/>
      </c>
      <c r="V106" s="28" t="str">
        <f t="shared" si="29"/>
        <v/>
      </c>
      <c r="W106" s="28" t="str">
        <f t="shared" si="29"/>
        <v/>
      </c>
      <c r="X106" s="29" t="str">
        <f t="shared" si="2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30"/>
        <v/>
      </c>
      <c r="L107" s="19" t="str">
        <f t="shared" si="28"/>
        <v/>
      </c>
      <c r="M107" s="19" t="str">
        <f t="shared" si="21"/>
        <v/>
      </c>
      <c r="N107" s="19" t="str">
        <f t="shared" si="24"/>
        <v/>
      </c>
      <c r="O107" s="19" t="str">
        <f t="shared" si="25"/>
        <v/>
      </c>
      <c r="P107" s="19" t="str">
        <f t="shared" si="26"/>
        <v/>
      </c>
      <c r="Q107" s="19" t="str">
        <f t="shared" si="27"/>
        <v/>
      </c>
      <c r="R107" s="19" t="str">
        <f t="shared" si="22"/>
        <v/>
      </c>
      <c r="S107" s="27" t="str">
        <f t="shared" si="29"/>
        <v/>
      </c>
      <c r="T107" s="28" t="str">
        <f t="shared" si="29"/>
        <v/>
      </c>
      <c r="U107" s="28" t="str">
        <f t="shared" si="29"/>
        <v/>
      </c>
      <c r="V107" s="28" t="str">
        <f t="shared" si="29"/>
        <v/>
      </c>
      <c r="W107" s="28" t="str">
        <f t="shared" si="29"/>
        <v/>
      </c>
      <c r="X107" s="29" t="str">
        <f t="shared" si="2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30"/>
        <v/>
      </c>
      <c r="L108" s="19" t="str">
        <f t="shared" si="28"/>
        <v/>
      </c>
      <c r="M108" s="19" t="str">
        <f t="shared" si="21"/>
        <v/>
      </c>
      <c r="N108" s="19" t="str">
        <f t="shared" si="24"/>
        <v/>
      </c>
      <c r="O108" s="19" t="str">
        <f t="shared" si="25"/>
        <v/>
      </c>
      <c r="P108" s="19" t="str">
        <f t="shared" si="26"/>
        <v/>
      </c>
      <c r="Q108" s="19" t="str">
        <f t="shared" si="27"/>
        <v/>
      </c>
      <c r="R108" s="19" t="str">
        <f t="shared" si="22"/>
        <v/>
      </c>
      <c r="S108" s="27" t="str">
        <f t="shared" si="29"/>
        <v/>
      </c>
      <c r="T108" s="28" t="str">
        <f t="shared" si="29"/>
        <v/>
      </c>
      <c r="U108" s="28" t="str">
        <f t="shared" si="29"/>
        <v/>
      </c>
      <c r="V108" s="28" t="str">
        <f t="shared" si="29"/>
        <v/>
      </c>
      <c r="W108" s="28" t="str">
        <f t="shared" si="29"/>
        <v/>
      </c>
      <c r="X108" s="29" t="str">
        <f t="shared" si="2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30"/>
        <v/>
      </c>
      <c r="L109" s="19" t="str">
        <f t="shared" si="28"/>
        <v/>
      </c>
      <c r="M109" s="19" t="str">
        <f t="shared" si="21"/>
        <v/>
      </c>
      <c r="N109" s="19" t="str">
        <f t="shared" si="24"/>
        <v/>
      </c>
      <c r="O109" s="19" t="str">
        <f t="shared" si="25"/>
        <v/>
      </c>
      <c r="P109" s="19" t="str">
        <f t="shared" si="26"/>
        <v/>
      </c>
      <c r="Q109" s="19" t="str">
        <f t="shared" si="27"/>
        <v/>
      </c>
      <c r="R109" s="19" t="str">
        <f t="shared" si="22"/>
        <v/>
      </c>
      <c r="S109" s="27" t="str">
        <f t="shared" si="29"/>
        <v/>
      </c>
      <c r="T109" s="28" t="str">
        <f t="shared" si="29"/>
        <v/>
      </c>
      <c r="U109" s="28" t="str">
        <f t="shared" si="29"/>
        <v/>
      </c>
      <c r="V109" s="28" t="str">
        <f t="shared" si="29"/>
        <v/>
      </c>
      <c r="W109" s="28" t="str">
        <f t="shared" si="29"/>
        <v/>
      </c>
      <c r="X109" s="29" t="str">
        <f t="shared" si="2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30"/>
        <v/>
      </c>
      <c r="L110" s="19" t="str">
        <f t="shared" si="28"/>
        <v/>
      </c>
      <c r="M110" s="19" t="str">
        <f t="shared" si="21"/>
        <v/>
      </c>
      <c r="N110" s="19" t="str">
        <f t="shared" si="24"/>
        <v/>
      </c>
      <c r="O110" s="19" t="str">
        <f t="shared" si="25"/>
        <v/>
      </c>
      <c r="P110" s="19" t="str">
        <f t="shared" si="26"/>
        <v/>
      </c>
      <c r="Q110" s="19" t="str">
        <f t="shared" si="27"/>
        <v/>
      </c>
      <c r="R110" s="19" t="str">
        <f t="shared" si="22"/>
        <v/>
      </c>
      <c r="S110" s="27" t="str">
        <f t="shared" si="29"/>
        <v/>
      </c>
      <c r="T110" s="28" t="str">
        <f t="shared" si="29"/>
        <v/>
      </c>
      <c r="U110" s="28" t="str">
        <f t="shared" si="29"/>
        <v/>
      </c>
      <c r="V110" s="28" t="str">
        <f t="shared" si="29"/>
        <v/>
      </c>
      <c r="W110" s="28" t="str">
        <f t="shared" si="29"/>
        <v/>
      </c>
      <c r="X110" s="29" t="str">
        <f t="shared" si="2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30"/>
        <v/>
      </c>
      <c r="L111" s="19" t="str">
        <f t="shared" si="28"/>
        <v/>
      </c>
      <c r="M111" s="19" t="str">
        <f t="shared" si="21"/>
        <v/>
      </c>
      <c r="N111" s="19" t="str">
        <f t="shared" si="24"/>
        <v/>
      </c>
      <c r="O111" s="19" t="str">
        <f t="shared" si="25"/>
        <v/>
      </c>
      <c r="P111" s="19" t="str">
        <f t="shared" si="26"/>
        <v/>
      </c>
      <c r="Q111" s="19" t="str">
        <f t="shared" si="27"/>
        <v/>
      </c>
      <c r="R111" s="19" t="str">
        <f t="shared" si="22"/>
        <v/>
      </c>
      <c r="S111" s="27" t="str">
        <f t="shared" si="29"/>
        <v/>
      </c>
      <c r="T111" s="28" t="str">
        <f t="shared" si="29"/>
        <v/>
      </c>
      <c r="U111" s="28" t="str">
        <f t="shared" si="29"/>
        <v/>
      </c>
      <c r="V111" s="28" t="str">
        <f t="shared" si="29"/>
        <v/>
      </c>
      <c r="W111" s="28" t="str">
        <f t="shared" si="29"/>
        <v/>
      </c>
      <c r="X111" s="29" t="str">
        <f t="shared" si="2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30"/>
        <v/>
      </c>
      <c r="L112" s="19" t="str">
        <f t="shared" si="28"/>
        <v/>
      </c>
      <c r="M112" s="19" t="str">
        <f t="shared" ref="M112:M143" si="31">IF(ISBLANK(D112),"",(D112-D$16)*1000)</f>
        <v/>
      </c>
      <c r="N112" s="19" t="str">
        <f t="shared" si="24"/>
        <v/>
      </c>
      <c r="O112" s="19" t="str">
        <f t="shared" si="25"/>
        <v/>
      </c>
      <c r="P112" s="19" t="str">
        <f t="shared" si="26"/>
        <v/>
      </c>
      <c r="Q112" s="19" t="str">
        <f t="shared" si="27"/>
        <v/>
      </c>
      <c r="R112" s="19" t="str">
        <f t="shared" ref="R112:R143" si="32">IF(ISBLANK(I112),"",(I112-I$16)*1000)</f>
        <v/>
      </c>
      <c r="S112" s="27" t="str">
        <f t="shared" si="29"/>
        <v/>
      </c>
      <c r="T112" s="28" t="str">
        <f t="shared" si="29"/>
        <v/>
      </c>
      <c r="U112" s="28" t="str">
        <f t="shared" si="29"/>
        <v/>
      </c>
      <c r="V112" s="28" t="str">
        <f t="shared" si="29"/>
        <v/>
      </c>
      <c r="W112" s="28" t="str">
        <f t="shared" si="29"/>
        <v/>
      </c>
      <c r="X112" s="29" t="str">
        <f t="shared" si="2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30"/>
        <v/>
      </c>
      <c r="L113" s="19" t="str">
        <f t="shared" si="28"/>
        <v/>
      </c>
      <c r="M113" s="19" t="str">
        <f t="shared" si="31"/>
        <v/>
      </c>
      <c r="N113" s="19" t="str">
        <f t="shared" si="24"/>
        <v/>
      </c>
      <c r="O113" s="19" t="str">
        <f t="shared" si="25"/>
        <v/>
      </c>
      <c r="P113" s="19" t="str">
        <f t="shared" si="26"/>
        <v/>
      </c>
      <c r="Q113" s="19" t="str">
        <f t="shared" si="27"/>
        <v/>
      </c>
      <c r="R113" s="19" t="str">
        <f t="shared" si="32"/>
        <v/>
      </c>
      <c r="S113" s="27" t="str">
        <f t="shared" ref="S113:X128" si="33">IF(C113="","",((C113-C112)*1000)/($B113-$B112))</f>
        <v/>
      </c>
      <c r="T113" s="28" t="str">
        <f t="shared" si="33"/>
        <v/>
      </c>
      <c r="U113" s="28" t="str">
        <f t="shared" si="33"/>
        <v/>
      </c>
      <c r="V113" s="28" t="str">
        <f t="shared" si="33"/>
        <v/>
      </c>
      <c r="W113" s="28" t="str">
        <f t="shared" si="33"/>
        <v/>
      </c>
      <c r="X113" s="29" t="str">
        <f t="shared" si="33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30"/>
        <v/>
      </c>
      <c r="L114" s="19" t="str">
        <f t="shared" si="28"/>
        <v/>
      </c>
      <c r="M114" s="19" t="str">
        <f t="shared" si="31"/>
        <v/>
      </c>
      <c r="N114" s="19" t="str">
        <f t="shared" si="24"/>
        <v/>
      </c>
      <c r="O114" s="19" t="str">
        <f t="shared" si="25"/>
        <v/>
      </c>
      <c r="P114" s="19" t="str">
        <f t="shared" si="26"/>
        <v/>
      </c>
      <c r="Q114" s="19" t="str">
        <f t="shared" si="27"/>
        <v/>
      </c>
      <c r="R114" s="19" t="str">
        <f t="shared" si="32"/>
        <v/>
      </c>
      <c r="S114" s="27" t="str">
        <f t="shared" si="33"/>
        <v/>
      </c>
      <c r="T114" s="28" t="str">
        <f t="shared" si="33"/>
        <v/>
      </c>
      <c r="U114" s="28" t="str">
        <f t="shared" si="33"/>
        <v/>
      </c>
      <c r="V114" s="28" t="str">
        <f t="shared" si="33"/>
        <v/>
      </c>
      <c r="W114" s="28" t="str">
        <f t="shared" si="33"/>
        <v/>
      </c>
      <c r="X114" s="29" t="str">
        <f t="shared" si="33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30"/>
        <v/>
      </c>
      <c r="L115" s="19" t="str">
        <f t="shared" si="28"/>
        <v/>
      </c>
      <c r="M115" s="19" t="str">
        <f t="shared" si="31"/>
        <v/>
      </c>
      <c r="N115" s="19" t="str">
        <f t="shared" si="24"/>
        <v/>
      </c>
      <c r="O115" s="19" t="str">
        <f t="shared" si="25"/>
        <v/>
      </c>
      <c r="P115" s="19" t="str">
        <f t="shared" si="26"/>
        <v/>
      </c>
      <c r="Q115" s="19" t="str">
        <f t="shared" si="27"/>
        <v/>
      </c>
      <c r="R115" s="19" t="str">
        <f t="shared" si="32"/>
        <v/>
      </c>
      <c r="S115" s="27" t="str">
        <f t="shared" si="33"/>
        <v/>
      </c>
      <c r="T115" s="28" t="str">
        <f t="shared" si="33"/>
        <v/>
      </c>
      <c r="U115" s="28" t="str">
        <f t="shared" si="33"/>
        <v/>
      </c>
      <c r="V115" s="28" t="str">
        <f t="shared" si="33"/>
        <v/>
      </c>
      <c r="W115" s="28" t="str">
        <f t="shared" si="33"/>
        <v/>
      </c>
      <c r="X115" s="29" t="str">
        <f t="shared" si="33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30"/>
        <v/>
      </c>
      <c r="L116" s="19" t="str">
        <f t="shared" si="28"/>
        <v/>
      </c>
      <c r="M116" s="19" t="str">
        <f t="shared" si="31"/>
        <v/>
      </c>
      <c r="N116" s="19" t="str">
        <f t="shared" si="24"/>
        <v/>
      </c>
      <c r="O116" s="19" t="str">
        <f t="shared" si="25"/>
        <v/>
      </c>
      <c r="P116" s="19" t="str">
        <f t="shared" si="26"/>
        <v/>
      </c>
      <c r="Q116" s="19" t="str">
        <f t="shared" si="27"/>
        <v/>
      </c>
      <c r="R116" s="19" t="str">
        <f t="shared" si="32"/>
        <v/>
      </c>
      <c r="S116" s="27" t="str">
        <f t="shared" si="33"/>
        <v/>
      </c>
      <c r="T116" s="28" t="str">
        <f t="shared" si="33"/>
        <v/>
      </c>
      <c r="U116" s="28" t="str">
        <f t="shared" si="33"/>
        <v/>
      </c>
      <c r="V116" s="28" t="str">
        <f t="shared" si="33"/>
        <v/>
      </c>
      <c r="W116" s="28" t="str">
        <f t="shared" si="33"/>
        <v/>
      </c>
      <c r="X116" s="29" t="str">
        <f t="shared" si="33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30"/>
        <v/>
      </c>
      <c r="L117" s="19" t="str">
        <f t="shared" si="28"/>
        <v/>
      </c>
      <c r="M117" s="19" t="str">
        <f t="shared" si="31"/>
        <v/>
      </c>
      <c r="N117" s="19" t="str">
        <f t="shared" si="24"/>
        <v/>
      </c>
      <c r="O117" s="19" t="str">
        <f t="shared" si="25"/>
        <v/>
      </c>
      <c r="P117" s="19" t="str">
        <f t="shared" si="26"/>
        <v/>
      </c>
      <c r="Q117" s="19" t="str">
        <f t="shared" si="27"/>
        <v/>
      </c>
      <c r="R117" s="19" t="str">
        <f t="shared" si="32"/>
        <v/>
      </c>
      <c r="S117" s="27" t="str">
        <f t="shared" si="33"/>
        <v/>
      </c>
      <c r="T117" s="28" t="str">
        <f t="shared" si="33"/>
        <v/>
      </c>
      <c r="U117" s="28" t="str">
        <f t="shared" si="33"/>
        <v/>
      </c>
      <c r="V117" s="28" t="str">
        <f t="shared" si="33"/>
        <v/>
      </c>
      <c r="W117" s="28" t="str">
        <f t="shared" si="33"/>
        <v/>
      </c>
      <c r="X117" s="29" t="str">
        <f t="shared" si="33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30"/>
        <v/>
      </c>
      <c r="L118" s="19" t="str">
        <f t="shared" si="28"/>
        <v/>
      </c>
      <c r="M118" s="19" t="str">
        <f t="shared" si="31"/>
        <v/>
      </c>
      <c r="N118" s="19" t="str">
        <f t="shared" si="24"/>
        <v/>
      </c>
      <c r="O118" s="19" t="str">
        <f t="shared" si="25"/>
        <v/>
      </c>
      <c r="P118" s="19" t="str">
        <f t="shared" si="26"/>
        <v/>
      </c>
      <c r="Q118" s="19" t="str">
        <f t="shared" si="27"/>
        <v/>
      </c>
      <c r="R118" s="19" t="str">
        <f t="shared" si="32"/>
        <v/>
      </c>
      <c r="S118" s="27" t="str">
        <f t="shared" si="33"/>
        <v/>
      </c>
      <c r="T118" s="28" t="str">
        <f t="shared" si="33"/>
        <v/>
      </c>
      <c r="U118" s="28" t="str">
        <f t="shared" si="33"/>
        <v/>
      </c>
      <c r="V118" s="28" t="str">
        <f t="shared" si="33"/>
        <v/>
      </c>
      <c r="W118" s="28" t="str">
        <f t="shared" si="33"/>
        <v/>
      </c>
      <c r="X118" s="29" t="str">
        <f t="shared" si="33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30"/>
        <v/>
      </c>
      <c r="L119" s="19" t="str">
        <f t="shared" si="28"/>
        <v/>
      </c>
      <c r="M119" s="19" t="str">
        <f t="shared" si="31"/>
        <v/>
      </c>
      <c r="N119" s="19" t="str">
        <f t="shared" si="24"/>
        <v/>
      </c>
      <c r="O119" s="19" t="str">
        <f t="shared" si="25"/>
        <v/>
      </c>
      <c r="P119" s="19" t="str">
        <f t="shared" si="26"/>
        <v/>
      </c>
      <c r="Q119" s="19" t="str">
        <f t="shared" si="27"/>
        <v/>
      </c>
      <c r="R119" s="19" t="str">
        <f t="shared" si="32"/>
        <v/>
      </c>
      <c r="S119" s="27" t="str">
        <f t="shared" si="33"/>
        <v/>
      </c>
      <c r="T119" s="28" t="str">
        <f t="shared" si="33"/>
        <v/>
      </c>
      <c r="U119" s="28" t="str">
        <f t="shared" si="33"/>
        <v/>
      </c>
      <c r="V119" s="28" t="str">
        <f t="shared" si="33"/>
        <v/>
      </c>
      <c r="W119" s="28" t="str">
        <f t="shared" si="33"/>
        <v/>
      </c>
      <c r="X119" s="29" t="str">
        <f t="shared" si="33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30"/>
        <v/>
      </c>
      <c r="L120" s="19" t="str">
        <f t="shared" si="28"/>
        <v/>
      </c>
      <c r="M120" s="19" t="str">
        <f t="shared" si="31"/>
        <v/>
      </c>
      <c r="N120" s="19" t="str">
        <f t="shared" si="24"/>
        <v/>
      </c>
      <c r="O120" s="19" t="str">
        <f t="shared" si="25"/>
        <v/>
      </c>
      <c r="P120" s="19" t="str">
        <f t="shared" si="26"/>
        <v/>
      </c>
      <c r="Q120" s="19" t="str">
        <f t="shared" si="27"/>
        <v/>
      </c>
      <c r="R120" s="19" t="str">
        <f t="shared" si="32"/>
        <v/>
      </c>
      <c r="S120" s="27" t="str">
        <f t="shared" si="33"/>
        <v/>
      </c>
      <c r="T120" s="28" t="str">
        <f t="shared" si="33"/>
        <v/>
      </c>
      <c r="U120" s="28" t="str">
        <f t="shared" si="33"/>
        <v/>
      </c>
      <c r="V120" s="28" t="str">
        <f t="shared" si="33"/>
        <v/>
      </c>
      <c r="W120" s="28" t="str">
        <f t="shared" si="33"/>
        <v/>
      </c>
      <c r="X120" s="29" t="str">
        <f t="shared" si="33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30"/>
        <v/>
      </c>
      <c r="L121" s="19" t="str">
        <f t="shared" si="28"/>
        <v/>
      </c>
      <c r="M121" s="19" t="str">
        <f t="shared" si="31"/>
        <v/>
      </c>
      <c r="N121" s="19" t="str">
        <f t="shared" si="24"/>
        <v/>
      </c>
      <c r="O121" s="19" t="str">
        <f t="shared" si="25"/>
        <v/>
      </c>
      <c r="P121" s="19" t="str">
        <f t="shared" si="26"/>
        <v/>
      </c>
      <c r="Q121" s="19" t="str">
        <f t="shared" si="27"/>
        <v/>
      </c>
      <c r="R121" s="19" t="str">
        <f t="shared" si="32"/>
        <v/>
      </c>
      <c r="S121" s="27" t="str">
        <f t="shared" si="33"/>
        <v/>
      </c>
      <c r="T121" s="28" t="str">
        <f t="shared" si="33"/>
        <v/>
      </c>
      <c r="U121" s="28" t="str">
        <f t="shared" si="33"/>
        <v/>
      </c>
      <c r="V121" s="28" t="str">
        <f t="shared" si="33"/>
        <v/>
      </c>
      <c r="W121" s="28" t="str">
        <f t="shared" si="33"/>
        <v/>
      </c>
      <c r="X121" s="29" t="str">
        <f t="shared" si="33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30"/>
        <v/>
      </c>
      <c r="L122" s="19" t="str">
        <f t="shared" si="28"/>
        <v/>
      </c>
      <c r="M122" s="19" t="str">
        <f t="shared" si="31"/>
        <v/>
      </c>
      <c r="N122" s="19" t="str">
        <f t="shared" si="24"/>
        <v/>
      </c>
      <c r="O122" s="19" t="str">
        <f t="shared" si="25"/>
        <v/>
      </c>
      <c r="P122" s="19" t="str">
        <f t="shared" si="26"/>
        <v/>
      </c>
      <c r="Q122" s="19" t="str">
        <f t="shared" si="27"/>
        <v/>
      </c>
      <c r="R122" s="19" t="str">
        <f t="shared" si="32"/>
        <v/>
      </c>
      <c r="S122" s="27" t="str">
        <f t="shared" si="33"/>
        <v/>
      </c>
      <c r="T122" s="28" t="str">
        <f t="shared" si="33"/>
        <v/>
      </c>
      <c r="U122" s="28" t="str">
        <f t="shared" si="33"/>
        <v/>
      </c>
      <c r="V122" s="28" t="str">
        <f t="shared" si="33"/>
        <v/>
      </c>
      <c r="W122" s="28" t="str">
        <f t="shared" si="33"/>
        <v/>
      </c>
      <c r="X122" s="29" t="str">
        <f t="shared" si="33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30"/>
        <v/>
      </c>
      <c r="L123" s="19" t="str">
        <f t="shared" si="28"/>
        <v/>
      </c>
      <c r="M123" s="19" t="str">
        <f t="shared" si="31"/>
        <v/>
      </c>
      <c r="N123" s="19" t="str">
        <f t="shared" si="24"/>
        <v/>
      </c>
      <c r="O123" s="19" t="str">
        <f t="shared" si="25"/>
        <v/>
      </c>
      <c r="P123" s="19" t="str">
        <f t="shared" si="26"/>
        <v/>
      </c>
      <c r="Q123" s="19" t="str">
        <f t="shared" si="27"/>
        <v/>
      </c>
      <c r="R123" s="19" t="str">
        <f t="shared" si="32"/>
        <v/>
      </c>
      <c r="S123" s="27" t="str">
        <f t="shared" si="33"/>
        <v/>
      </c>
      <c r="T123" s="28" t="str">
        <f t="shared" si="33"/>
        <v/>
      </c>
      <c r="U123" s="28" t="str">
        <f t="shared" si="33"/>
        <v/>
      </c>
      <c r="V123" s="28" t="str">
        <f t="shared" si="33"/>
        <v/>
      </c>
      <c r="W123" s="28" t="str">
        <f t="shared" si="33"/>
        <v/>
      </c>
      <c r="X123" s="29" t="str">
        <f t="shared" si="33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30"/>
        <v/>
      </c>
      <c r="L124" s="19" t="str">
        <f t="shared" si="28"/>
        <v/>
      </c>
      <c r="M124" s="19" t="str">
        <f t="shared" si="31"/>
        <v/>
      </c>
      <c r="N124" s="19" t="str">
        <f t="shared" si="24"/>
        <v/>
      </c>
      <c r="O124" s="19" t="str">
        <f t="shared" si="25"/>
        <v/>
      </c>
      <c r="P124" s="19" t="str">
        <f t="shared" si="26"/>
        <v/>
      </c>
      <c r="Q124" s="19" t="str">
        <f t="shared" si="27"/>
        <v/>
      </c>
      <c r="R124" s="19" t="str">
        <f t="shared" si="32"/>
        <v/>
      </c>
      <c r="S124" s="27" t="str">
        <f t="shared" si="33"/>
        <v/>
      </c>
      <c r="T124" s="28" t="str">
        <f t="shared" si="33"/>
        <v/>
      </c>
      <c r="U124" s="28" t="str">
        <f t="shared" si="33"/>
        <v/>
      </c>
      <c r="V124" s="28" t="str">
        <f t="shared" si="33"/>
        <v/>
      </c>
      <c r="W124" s="28" t="str">
        <f t="shared" si="33"/>
        <v/>
      </c>
      <c r="X124" s="29" t="str">
        <f t="shared" si="33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30"/>
        <v/>
      </c>
      <c r="L125" s="19" t="str">
        <f t="shared" si="28"/>
        <v/>
      </c>
      <c r="M125" s="19" t="str">
        <f t="shared" si="31"/>
        <v/>
      </c>
      <c r="N125" s="19" t="str">
        <f t="shared" si="24"/>
        <v/>
      </c>
      <c r="O125" s="19" t="str">
        <f t="shared" si="25"/>
        <v/>
      </c>
      <c r="P125" s="19" t="str">
        <f t="shared" si="26"/>
        <v/>
      </c>
      <c r="Q125" s="19" t="str">
        <f t="shared" si="27"/>
        <v/>
      </c>
      <c r="R125" s="19" t="str">
        <f t="shared" si="32"/>
        <v/>
      </c>
      <c r="S125" s="27" t="str">
        <f t="shared" si="33"/>
        <v/>
      </c>
      <c r="T125" s="28" t="str">
        <f t="shared" si="33"/>
        <v/>
      </c>
      <c r="U125" s="28" t="str">
        <f t="shared" si="33"/>
        <v/>
      </c>
      <c r="V125" s="28" t="str">
        <f t="shared" si="33"/>
        <v/>
      </c>
      <c r="W125" s="28" t="str">
        <f t="shared" si="33"/>
        <v/>
      </c>
      <c r="X125" s="29" t="str">
        <f t="shared" si="33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30"/>
        <v/>
      </c>
      <c r="L126" s="19" t="str">
        <f t="shared" si="28"/>
        <v/>
      </c>
      <c r="M126" s="19" t="str">
        <f t="shared" si="31"/>
        <v/>
      </c>
      <c r="N126" s="19" t="str">
        <f t="shared" si="24"/>
        <v/>
      </c>
      <c r="O126" s="19" t="str">
        <f t="shared" si="25"/>
        <v/>
      </c>
      <c r="P126" s="19" t="str">
        <f t="shared" si="26"/>
        <v/>
      </c>
      <c r="Q126" s="19" t="str">
        <f t="shared" si="27"/>
        <v/>
      </c>
      <c r="R126" s="19" t="str">
        <f t="shared" si="32"/>
        <v/>
      </c>
      <c r="S126" s="27" t="str">
        <f t="shared" si="33"/>
        <v/>
      </c>
      <c r="T126" s="28" t="str">
        <f t="shared" si="33"/>
        <v/>
      </c>
      <c r="U126" s="28" t="str">
        <f t="shared" si="33"/>
        <v/>
      </c>
      <c r="V126" s="28" t="str">
        <f t="shared" si="33"/>
        <v/>
      </c>
      <c r="W126" s="28" t="str">
        <f t="shared" si="33"/>
        <v/>
      </c>
      <c r="X126" s="29" t="str">
        <f t="shared" si="33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30"/>
        <v/>
      </c>
      <c r="L127" s="19" t="str">
        <f t="shared" si="28"/>
        <v/>
      </c>
      <c r="M127" s="19" t="str">
        <f t="shared" si="31"/>
        <v/>
      </c>
      <c r="N127" s="19" t="str">
        <f t="shared" si="24"/>
        <v/>
      </c>
      <c r="O127" s="19" t="str">
        <f t="shared" si="25"/>
        <v/>
      </c>
      <c r="P127" s="19" t="str">
        <f t="shared" si="26"/>
        <v/>
      </c>
      <c r="Q127" s="19" t="str">
        <f t="shared" si="27"/>
        <v/>
      </c>
      <c r="R127" s="19" t="str">
        <f t="shared" si="32"/>
        <v/>
      </c>
      <c r="S127" s="27" t="str">
        <f t="shared" si="33"/>
        <v/>
      </c>
      <c r="T127" s="28" t="str">
        <f t="shared" si="33"/>
        <v/>
      </c>
      <c r="U127" s="28" t="str">
        <f t="shared" si="33"/>
        <v/>
      </c>
      <c r="V127" s="28" t="str">
        <f t="shared" si="33"/>
        <v/>
      </c>
      <c r="W127" s="28" t="str">
        <f t="shared" si="33"/>
        <v/>
      </c>
      <c r="X127" s="29" t="str">
        <f t="shared" si="33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30"/>
        <v/>
      </c>
      <c r="L128" s="19" t="str">
        <f t="shared" si="28"/>
        <v/>
      </c>
      <c r="M128" s="19" t="str">
        <f t="shared" si="31"/>
        <v/>
      </c>
      <c r="N128" s="19" t="str">
        <f t="shared" si="24"/>
        <v/>
      </c>
      <c r="O128" s="19" t="str">
        <f t="shared" si="25"/>
        <v/>
      </c>
      <c r="P128" s="19" t="str">
        <f t="shared" si="26"/>
        <v/>
      </c>
      <c r="Q128" s="19" t="str">
        <f t="shared" si="27"/>
        <v/>
      </c>
      <c r="R128" s="19" t="str">
        <f t="shared" si="32"/>
        <v/>
      </c>
      <c r="S128" s="27" t="str">
        <f t="shared" si="33"/>
        <v/>
      </c>
      <c r="T128" s="28" t="str">
        <f t="shared" si="33"/>
        <v/>
      </c>
      <c r="U128" s="28" t="str">
        <f t="shared" si="33"/>
        <v/>
      </c>
      <c r="V128" s="28" t="str">
        <f t="shared" si="33"/>
        <v/>
      </c>
      <c r="W128" s="28" t="str">
        <f t="shared" si="33"/>
        <v/>
      </c>
      <c r="X128" s="29" t="str">
        <f t="shared" si="33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30"/>
        <v/>
      </c>
      <c r="L129" s="19" t="str">
        <f t="shared" si="28"/>
        <v/>
      </c>
      <c r="M129" s="19" t="str">
        <f t="shared" si="31"/>
        <v/>
      </c>
      <c r="N129" s="19" t="str">
        <f t="shared" si="24"/>
        <v/>
      </c>
      <c r="O129" s="19" t="str">
        <f t="shared" si="25"/>
        <v/>
      </c>
      <c r="P129" s="19" t="str">
        <f t="shared" si="26"/>
        <v/>
      </c>
      <c r="Q129" s="19" t="str">
        <f t="shared" si="27"/>
        <v/>
      </c>
      <c r="R129" s="19" t="str">
        <f t="shared" si="32"/>
        <v/>
      </c>
      <c r="S129" s="27" t="str">
        <f t="shared" ref="S129:X144" si="34">IF(C129="","",((C129-C128)*1000)/($B129-$B128))</f>
        <v/>
      </c>
      <c r="T129" s="28" t="str">
        <f t="shared" si="34"/>
        <v/>
      </c>
      <c r="U129" s="28" t="str">
        <f t="shared" si="34"/>
        <v/>
      </c>
      <c r="V129" s="28" t="str">
        <f t="shared" si="34"/>
        <v/>
      </c>
      <c r="W129" s="28" t="str">
        <f t="shared" si="34"/>
        <v/>
      </c>
      <c r="X129" s="29" t="str">
        <f t="shared" si="34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30"/>
        <v/>
      </c>
      <c r="L130" s="19" t="str">
        <f t="shared" si="28"/>
        <v/>
      </c>
      <c r="M130" s="19" t="str">
        <f t="shared" si="31"/>
        <v/>
      </c>
      <c r="N130" s="19" t="str">
        <f t="shared" si="24"/>
        <v/>
      </c>
      <c r="O130" s="19" t="str">
        <f t="shared" si="25"/>
        <v/>
      </c>
      <c r="P130" s="19" t="str">
        <f t="shared" si="26"/>
        <v/>
      </c>
      <c r="Q130" s="19" t="str">
        <f t="shared" si="27"/>
        <v/>
      </c>
      <c r="R130" s="19" t="str">
        <f t="shared" si="32"/>
        <v/>
      </c>
      <c r="S130" s="27" t="str">
        <f t="shared" si="34"/>
        <v/>
      </c>
      <c r="T130" s="28" t="str">
        <f t="shared" si="34"/>
        <v/>
      </c>
      <c r="U130" s="28" t="str">
        <f t="shared" si="34"/>
        <v/>
      </c>
      <c r="V130" s="28" t="str">
        <f t="shared" si="34"/>
        <v/>
      </c>
      <c r="W130" s="28" t="str">
        <f t="shared" si="34"/>
        <v/>
      </c>
      <c r="X130" s="29" t="str">
        <f t="shared" si="34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30"/>
        <v/>
      </c>
      <c r="L131" s="19" t="str">
        <f t="shared" si="28"/>
        <v/>
      </c>
      <c r="M131" s="19" t="str">
        <f t="shared" si="31"/>
        <v/>
      </c>
      <c r="N131" s="19" t="str">
        <f t="shared" si="24"/>
        <v/>
      </c>
      <c r="O131" s="19" t="str">
        <f t="shared" si="25"/>
        <v/>
      </c>
      <c r="P131" s="19" t="str">
        <f t="shared" si="26"/>
        <v/>
      </c>
      <c r="Q131" s="19" t="str">
        <f t="shared" si="27"/>
        <v/>
      </c>
      <c r="R131" s="19" t="str">
        <f t="shared" si="32"/>
        <v/>
      </c>
      <c r="S131" s="27" t="str">
        <f t="shared" si="34"/>
        <v/>
      </c>
      <c r="T131" s="28" t="str">
        <f t="shared" si="34"/>
        <v/>
      </c>
      <c r="U131" s="28" t="str">
        <f t="shared" si="34"/>
        <v/>
      </c>
      <c r="V131" s="28" t="str">
        <f t="shared" si="34"/>
        <v/>
      </c>
      <c r="W131" s="28" t="str">
        <f t="shared" si="34"/>
        <v/>
      </c>
      <c r="X131" s="29" t="str">
        <f t="shared" si="34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30"/>
        <v/>
      </c>
      <c r="L132" s="19" t="str">
        <f t="shared" si="28"/>
        <v/>
      </c>
      <c r="M132" s="19" t="str">
        <f t="shared" si="31"/>
        <v/>
      </c>
      <c r="N132" s="19" t="str">
        <f t="shared" si="24"/>
        <v/>
      </c>
      <c r="O132" s="19" t="str">
        <f t="shared" si="25"/>
        <v/>
      </c>
      <c r="P132" s="19" t="str">
        <f t="shared" si="26"/>
        <v/>
      </c>
      <c r="Q132" s="19" t="str">
        <f t="shared" si="27"/>
        <v/>
      </c>
      <c r="R132" s="19" t="str">
        <f t="shared" si="32"/>
        <v/>
      </c>
      <c r="S132" s="27" t="str">
        <f t="shared" si="34"/>
        <v/>
      </c>
      <c r="T132" s="28" t="str">
        <f t="shared" si="34"/>
        <v/>
      </c>
      <c r="U132" s="28" t="str">
        <f t="shared" si="34"/>
        <v/>
      </c>
      <c r="V132" s="28" t="str">
        <f t="shared" si="34"/>
        <v/>
      </c>
      <c r="W132" s="28" t="str">
        <f t="shared" si="34"/>
        <v/>
      </c>
      <c r="X132" s="29" t="str">
        <f t="shared" si="34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30"/>
        <v/>
      </c>
      <c r="L133" s="19" t="str">
        <f t="shared" si="28"/>
        <v/>
      </c>
      <c r="M133" s="19" t="str">
        <f t="shared" si="31"/>
        <v/>
      </c>
      <c r="N133" s="19" t="str">
        <f t="shared" si="24"/>
        <v/>
      </c>
      <c r="O133" s="19" t="str">
        <f t="shared" si="25"/>
        <v/>
      </c>
      <c r="P133" s="19" t="str">
        <f t="shared" si="26"/>
        <v/>
      </c>
      <c r="Q133" s="19" t="str">
        <f t="shared" si="27"/>
        <v/>
      </c>
      <c r="R133" s="19" t="str">
        <f t="shared" si="32"/>
        <v/>
      </c>
      <c r="S133" s="27" t="str">
        <f t="shared" si="34"/>
        <v/>
      </c>
      <c r="T133" s="28" t="str">
        <f t="shared" si="34"/>
        <v/>
      </c>
      <c r="U133" s="28" t="str">
        <f t="shared" si="34"/>
        <v/>
      </c>
      <c r="V133" s="28" t="str">
        <f t="shared" si="34"/>
        <v/>
      </c>
      <c r="W133" s="28" t="str">
        <f t="shared" si="34"/>
        <v/>
      </c>
      <c r="X133" s="29" t="str">
        <f t="shared" si="34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30"/>
        <v/>
      </c>
      <c r="L134" s="19" t="str">
        <f t="shared" si="28"/>
        <v/>
      </c>
      <c r="M134" s="19" t="str">
        <f t="shared" si="31"/>
        <v/>
      </c>
      <c r="N134" s="19" t="str">
        <f t="shared" si="24"/>
        <v/>
      </c>
      <c r="O134" s="19" t="str">
        <f t="shared" si="25"/>
        <v/>
      </c>
      <c r="P134" s="19" t="str">
        <f t="shared" si="26"/>
        <v/>
      </c>
      <c r="Q134" s="19" t="str">
        <f t="shared" si="27"/>
        <v/>
      </c>
      <c r="R134" s="19" t="str">
        <f t="shared" si="32"/>
        <v/>
      </c>
      <c r="S134" s="27" t="str">
        <f t="shared" si="34"/>
        <v/>
      </c>
      <c r="T134" s="28" t="str">
        <f t="shared" si="34"/>
        <v/>
      </c>
      <c r="U134" s="28" t="str">
        <f t="shared" si="34"/>
        <v/>
      </c>
      <c r="V134" s="28" t="str">
        <f t="shared" si="34"/>
        <v/>
      </c>
      <c r="W134" s="28" t="str">
        <f t="shared" si="34"/>
        <v/>
      </c>
      <c r="X134" s="29" t="str">
        <f t="shared" si="34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30"/>
        <v/>
      </c>
      <c r="L135" s="19" t="str">
        <f t="shared" si="28"/>
        <v/>
      </c>
      <c r="M135" s="19" t="str">
        <f t="shared" si="31"/>
        <v/>
      </c>
      <c r="N135" s="19" t="str">
        <f t="shared" si="24"/>
        <v/>
      </c>
      <c r="O135" s="19" t="str">
        <f t="shared" si="25"/>
        <v/>
      </c>
      <c r="P135" s="19" t="str">
        <f t="shared" si="26"/>
        <v/>
      </c>
      <c r="Q135" s="19" t="str">
        <f t="shared" si="27"/>
        <v/>
      </c>
      <c r="R135" s="19" t="str">
        <f t="shared" si="32"/>
        <v/>
      </c>
      <c r="S135" s="27" t="str">
        <f t="shared" si="34"/>
        <v/>
      </c>
      <c r="T135" s="28" t="str">
        <f t="shared" si="34"/>
        <v/>
      </c>
      <c r="U135" s="28" t="str">
        <f t="shared" si="34"/>
        <v/>
      </c>
      <c r="V135" s="28" t="str">
        <f t="shared" si="34"/>
        <v/>
      </c>
      <c r="W135" s="28" t="str">
        <f t="shared" si="34"/>
        <v/>
      </c>
      <c r="X135" s="29" t="str">
        <f t="shared" si="34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30"/>
        <v/>
      </c>
      <c r="L136" s="19" t="str">
        <f t="shared" si="28"/>
        <v/>
      </c>
      <c r="M136" s="19" t="str">
        <f t="shared" si="31"/>
        <v/>
      </c>
      <c r="N136" s="19" t="str">
        <f t="shared" si="24"/>
        <v/>
      </c>
      <c r="O136" s="19" t="str">
        <f t="shared" si="25"/>
        <v/>
      </c>
      <c r="P136" s="19" t="str">
        <f t="shared" si="26"/>
        <v/>
      </c>
      <c r="Q136" s="19" t="str">
        <f t="shared" si="27"/>
        <v/>
      </c>
      <c r="R136" s="19" t="str">
        <f t="shared" si="32"/>
        <v/>
      </c>
      <c r="S136" s="27" t="str">
        <f t="shared" si="34"/>
        <v/>
      </c>
      <c r="T136" s="28" t="str">
        <f t="shared" si="34"/>
        <v/>
      </c>
      <c r="U136" s="28" t="str">
        <f t="shared" si="34"/>
        <v/>
      </c>
      <c r="V136" s="28" t="str">
        <f t="shared" si="34"/>
        <v/>
      </c>
      <c r="W136" s="28" t="str">
        <f t="shared" si="34"/>
        <v/>
      </c>
      <c r="X136" s="29" t="str">
        <f t="shared" si="34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30"/>
        <v/>
      </c>
      <c r="L137" s="19" t="str">
        <f t="shared" si="28"/>
        <v/>
      </c>
      <c r="M137" s="19" t="str">
        <f t="shared" si="31"/>
        <v/>
      </c>
      <c r="N137" s="19" t="str">
        <f t="shared" si="24"/>
        <v/>
      </c>
      <c r="O137" s="19" t="str">
        <f t="shared" si="25"/>
        <v/>
      </c>
      <c r="P137" s="19" t="str">
        <f t="shared" si="26"/>
        <v/>
      </c>
      <c r="Q137" s="19" t="str">
        <f t="shared" si="27"/>
        <v/>
      </c>
      <c r="R137" s="19" t="str">
        <f t="shared" si="32"/>
        <v/>
      </c>
      <c r="S137" s="27" t="str">
        <f t="shared" si="34"/>
        <v/>
      </c>
      <c r="T137" s="28" t="str">
        <f t="shared" si="34"/>
        <v/>
      </c>
      <c r="U137" s="28" t="str">
        <f t="shared" si="34"/>
        <v/>
      </c>
      <c r="V137" s="28" t="str">
        <f t="shared" si="34"/>
        <v/>
      </c>
      <c r="W137" s="28" t="str">
        <f t="shared" si="34"/>
        <v/>
      </c>
      <c r="X137" s="29" t="str">
        <f t="shared" si="34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30"/>
        <v/>
      </c>
      <c r="L138" s="19" t="str">
        <f t="shared" si="28"/>
        <v/>
      </c>
      <c r="M138" s="19" t="str">
        <f t="shared" si="31"/>
        <v/>
      </c>
      <c r="N138" s="19" t="str">
        <f t="shared" si="24"/>
        <v/>
      </c>
      <c r="O138" s="19" t="str">
        <f t="shared" si="25"/>
        <v/>
      </c>
      <c r="P138" s="19" t="str">
        <f t="shared" si="26"/>
        <v/>
      </c>
      <c r="Q138" s="19" t="str">
        <f t="shared" si="27"/>
        <v/>
      </c>
      <c r="R138" s="19" t="str">
        <f t="shared" si="32"/>
        <v/>
      </c>
      <c r="S138" s="27" t="str">
        <f t="shared" si="34"/>
        <v/>
      </c>
      <c r="T138" s="28" t="str">
        <f t="shared" si="34"/>
        <v/>
      </c>
      <c r="U138" s="28" t="str">
        <f t="shared" si="34"/>
        <v/>
      </c>
      <c r="V138" s="28" t="str">
        <f t="shared" si="34"/>
        <v/>
      </c>
      <c r="W138" s="28" t="str">
        <f t="shared" si="34"/>
        <v/>
      </c>
      <c r="X138" s="29" t="str">
        <f t="shared" si="34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30"/>
        <v/>
      </c>
      <c r="L139" s="19" t="str">
        <f t="shared" si="28"/>
        <v/>
      </c>
      <c r="M139" s="19" t="str">
        <f t="shared" si="31"/>
        <v/>
      </c>
      <c r="N139" s="19" t="str">
        <f t="shared" si="24"/>
        <v/>
      </c>
      <c r="O139" s="19" t="str">
        <f t="shared" si="25"/>
        <v/>
      </c>
      <c r="P139" s="19" t="str">
        <f t="shared" si="26"/>
        <v/>
      </c>
      <c r="Q139" s="19" t="str">
        <f t="shared" si="27"/>
        <v/>
      </c>
      <c r="R139" s="19" t="str">
        <f t="shared" si="32"/>
        <v/>
      </c>
      <c r="S139" s="27" t="str">
        <f t="shared" si="34"/>
        <v/>
      </c>
      <c r="T139" s="28" t="str">
        <f t="shared" si="34"/>
        <v/>
      </c>
      <c r="U139" s="28" t="str">
        <f t="shared" si="34"/>
        <v/>
      </c>
      <c r="V139" s="28" t="str">
        <f t="shared" si="34"/>
        <v/>
      </c>
      <c r="W139" s="28" t="str">
        <f t="shared" si="34"/>
        <v/>
      </c>
      <c r="X139" s="29" t="str">
        <f t="shared" si="34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30"/>
        <v/>
      </c>
      <c r="L140" s="19" t="str">
        <f t="shared" si="28"/>
        <v/>
      </c>
      <c r="M140" s="19" t="str">
        <f t="shared" si="31"/>
        <v/>
      </c>
      <c r="N140" s="19" t="str">
        <f t="shared" si="24"/>
        <v/>
      </c>
      <c r="O140" s="19" t="str">
        <f t="shared" si="25"/>
        <v/>
      </c>
      <c r="P140" s="19" t="str">
        <f t="shared" si="26"/>
        <v/>
      </c>
      <c r="Q140" s="19" t="str">
        <f t="shared" si="27"/>
        <v/>
      </c>
      <c r="R140" s="19" t="str">
        <f t="shared" si="32"/>
        <v/>
      </c>
      <c r="S140" s="27" t="str">
        <f t="shared" si="34"/>
        <v/>
      </c>
      <c r="T140" s="28" t="str">
        <f t="shared" si="34"/>
        <v/>
      </c>
      <c r="U140" s="28" t="str">
        <f t="shared" si="34"/>
        <v/>
      </c>
      <c r="V140" s="28" t="str">
        <f t="shared" si="34"/>
        <v/>
      </c>
      <c r="W140" s="28" t="str">
        <f t="shared" si="34"/>
        <v/>
      </c>
      <c r="X140" s="29" t="str">
        <f t="shared" si="34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30"/>
        <v/>
      </c>
      <c r="L141" s="19" t="str">
        <f t="shared" si="28"/>
        <v/>
      </c>
      <c r="M141" s="19" t="str">
        <f t="shared" si="31"/>
        <v/>
      </c>
      <c r="N141" s="19" t="str">
        <f t="shared" si="24"/>
        <v/>
      </c>
      <c r="O141" s="19" t="str">
        <f t="shared" si="25"/>
        <v/>
      </c>
      <c r="P141" s="19" t="str">
        <f t="shared" si="26"/>
        <v/>
      </c>
      <c r="Q141" s="19" t="str">
        <f t="shared" si="27"/>
        <v/>
      </c>
      <c r="R141" s="19" t="str">
        <f t="shared" si="32"/>
        <v/>
      </c>
      <c r="S141" s="27" t="str">
        <f t="shared" si="34"/>
        <v/>
      </c>
      <c r="T141" s="28" t="str">
        <f t="shared" si="34"/>
        <v/>
      </c>
      <c r="U141" s="28" t="str">
        <f t="shared" si="34"/>
        <v/>
      </c>
      <c r="V141" s="28" t="str">
        <f t="shared" si="34"/>
        <v/>
      </c>
      <c r="W141" s="28" t="str">
        <f t="shared" si="34"/>
        <v/>
      </c>
      <c r="X141" s="29" t="str">
        <f t="shared" si="34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30"/>
        <v/>
      </c>
      <c r="L142" s="19" t="str">
        <f t="shared" si="28"/>
        <v/>
      </c>
      <c r="M142" s="19" t="str">
        <f t="shared" si="31"/>
        <v/>
      </c>
      <c r="N142" s="19" t="str">
        <f t="shared" si="24"/>
        <v/>
      </c>
      <c r="O142" s="19" t="str">
        <f t="shared" si="25"/>
        <v/>
      </c>
      <c r="P142" s="19" t="str">
        <f t="shared" si="26"/>
        <v/>
      </c>
      <c r="Q142" s="19" t="str">
        <f t="shared" si="27"/>
        <v/>
      </c>
      <c r="R142" s="19" t="str">
        <f t="shared" si="32"/>
        <v/>
      </c>
      <c r="S142" s="27" t="str">
        <f t="shared" si="34"/>
        <v/>
      </c>
      <c r="T142" s="28" t="str">
        <f t="shared" si="34"/>
        <v/>
      </c>
      <c r="U142" s="28" t="str">
        <f t="shared" si="34"/>
        <v/>
      </c>
      <c r="V142" s="28" t="str">
        <f t="shared" si="34"/>
        <v/>
      </c>
      <c r="W142" s="28" t="str">
        <f t="shared" si="34"/>
        <v/>
      </c>
      <c r="X142" s="29" t="str">
        <f t="shared" si="34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30"/>
        <v/>
      </c>
      <c r="L143" s="19" t="str">
        <f t="shared" si="28"/>
        <v/>
      </c>
      <c r="M143" s="19" t="str">
        <f t="shared" si="31"/>
        <v/>
      </c>
      <c r="N143" s="19" t="str">
        <f t="shared" si="24"/>
        <v/>
      </c>
      <c r="O143" s="19" t="str">
        <f t="shared" si="25"/>
        <v/>
      </c>
      <c r="P143" s="19" t="str">
        <f t="shared" si="26"/>
        <v/>
      </c>
      <c r="Q143" s="19" t="str">
        <f t="shared" si="27"/>
        <v/>
      </c>
      <c r="R143" s="19" t="str">
        <f t="shared" si="32"/>
        <v/>
      </c>
      <c r="S143" s="27" t="str">
        <f t="shared" si="34"/>
        <v/>
      </c>
      <c r="T143" s="28" t="str">
        <f t="shared" si="34"/>
        <v/>
      </c>
      <c r="U143" s="28" t="str">
        <f t="shared" si="34"/>
        <v/>
      </c>
      <c r="V143" s="28" t="str">
        <f t="shared" si="34"/>
        <v/>
      </c>
      <c r="W143" s="28" t="str">
        <f t="shared" si="34"/>
        <v/>
      </c>
      <c r="X143" s="29" t="str">
        <f t="shared" si="34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30"/>
        <v/>
      </c>
      <c r="L144" s="19" t="str">
        <f t="shared" si="28"/>
        <v/>
      </c>
      <c r="M144" s="19" t="str">
        <f t="shared" ref="M144:M153" si="35">IF(ISBLANK(D144),"",(D144-D$16)*1000)</f>
        <v/>
      </c>
      <c r="N144" s="19" t="str">
        <f t="shared" si="24"/>
        <v/>
      </c>
      <c r="O144" s="19" t="str">
        <f t="shared" si="25"/>
        <v/>
      </c>
      <c r="P144" s="19" t="str">
        <f t="shared" si="26"/>
        <v/>
      </c>
      <c r="Q144" s="19" t="str">
        <f t="shared" si="27"/>
        <v/>
      </c>
      <c r="R144" s="19" t="str">
        <f t="shared" ref="R144:R153" si="36">IF(ISBLANK(I144),"",(I144-I$16)*1000)</f>
        <v/>
      </c>
      <c r="S144" s="27" t="str">
        <f t="shared" si="34"/>
        <v/>
      </c>
      <c r="T144" s="28" t="str">
        <f t="shared" si="34"/>
        <v/>
      </c>
      <c r="U144" s="28" t="str">
        <f t="shared" si="34"/>
        <v/>
      </c>
      <c r="V144" s="28" t="str">
        <f t="shared" si="34"/>
        <v/>
      </c>
      <c r="W144" s="28" t="str">
        <f t="shared" si="34"/>
        <v/>
      </c>
      <c r="X144" s="29" t="str">
        <f t="shared" si="34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30"/>
        <v/>
      </c>
      <c r="L145" s="19" t="str">
        <f t="shared" si="28"/>
        <v/>
      </c>
      <c r="M145" s="19" t="str">
        <f t="shared" si="35"/>
        <v/>
      </c>
      <c r="N145" s="19" t="str">
        <f t="shared" si="24"/>
        <v/>
      </c>
      <c r="O145" s="19" t="str">
        <f t="shared" si="25"/>
        <v/>
      </c>
      <c r="P145" s="19" t="str">
        <f t="shared" si="26"/>
        <v/>
      </c>
      <c r="Q145" s="19" t="str">
        <f t="shared" si="27"/>
        <v/>
      </c>
      <c r="R145" s="19" t="str">
        <f t="shared" si="36"/>
        <v/>
      </c>
      <c r="S145" s="27" t="str">
        <f t="shared" ref="S145:X153" si="37">IF(C145="","",((C145-C144)*1000)/($B145-$B144))</f>
        <v/>
      </c>
      <c r="T145" s="28" t="str">
        <f t="shared" si="37"/>
        <v/>
      </c>
      <c r="U145" s="28" t="str">
        <f t="shared" si="37"/>
        <v/>
      </c>
      <c r="V145" s="28" t="str">
        <f t="shared" si="37"/>
        <v/>
      </c>
      <c r="W145" s="28" t="str">
        <f t="shared" si="37"/>
        <v/>
      </c>
      <c r="X145" s="29" t="str">
        <f t="shared" si="37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30"/>
        <v/>
      </c>
      <c r="L146" s="19" t="str">
        <f t="shared" si="28"/>
        <v/>
      </c>
      <c r="M146" s="19" t="str">
        <f t="shared" si="35"/>
        <v/>
      </c>
      <c r="N146" s="19" t="str">
        <f t="shared" si="24"/>
        <v/>
      </c>
      <c r="O146" s="19" t="str">
        <f t="shared" si="25"/>
        <v/>
      </c>
      <c r="P146" s="19" t="str">
        <f t="shared" si="26"/>
        <v/>
      </c>
      <c r="Q146" s="19" t="str">
        <f t="shared" si="27"/>
        <v/>
      </c>
      <c r="R146" s="19" t="str">
        <f t="shared" si="36"/>
        <v/>
      </c>
      <c r="S146" s="27" t="str">
        <f t="shared" si="37"/>
        <v/>
      </c>
      <c r="T146" s="28" t="str">
        <f t="shared" si="37"/>
        <v/>
      </c>
      <c r="U146" s="28" t="str">
        <f t="shared" si="37"/>
        <v/>
      </c>
      <c r="V146" s="28" t="str">
        <f t="shared" si="37"/>
        <v/>
      </c>
      <c r="W146" s="28" t="str">
        <f t="shared" si="37"/>
        <v/>
      </c>
      <c r="X146" s="29" t="str">
        <f t="shared" si="37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30"/>
        <v/>
      </c>
      <c r="L147" s="19" t="str">
        <f t="shared" si="28"/>
        <v/>
      </c>
      <c r="M147" s="19" t="str">
        <f t="shared" si="35"/>
        <v/>
      </c>
      <c r="N147" s="19" t="str">
        <f t="shared" si="24"/>
        <v/>
      </c>
      <c r="O147" s="19" t="str">
        <f t="shared" si="25"/>
        <v/>
      </c>
      <c r="P147" s="19" t="str">
        <f t="shared" si="26"/>
        <v/>
      </c>
      <c r="Q147" s="19" t="str">
        <f t="shared" si="27"/>
        <v/>
      </c>
      <c r="R147" s="19" t="str">
        <f t="shared" si="36"/>
        <v/>
      </c>
      <c r="S147" s="27" t="str">
        <f t="shared" si="37"/>
        <v/>
      </c>
      <c r="T147" s="28" t="str">
        <f t="shared" si="37"/>
        <v/>
      </c>
      <c r="U147" s="28" t="str">
        <f t="shared" si="37"/>
        <v/>
      </c>
      <c r="V147" s="28" t="str">
        <f t="shared" si="37"/>
        <v/>
      </c>
      <c r="W147" s="28" t="str">
        <f t="shared" si="37"/>
        <v/>
      </c>
      <c r="X147" s="29" t="str">
        <f t="shared" si="37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30"/>
        <v/>
      </c>
      <c r="L148" s="19" t="str">
        <f t="shared" si="28"/>
        <v/>
      </c>
      <c r="M148" s="19" t="str">
        <f t="shared" si="35"/>
        <v/>
      </c>
      <c r="N148" s="19" t="str">
        <f t="shared" si="24"/>
        <v/>
      </c>
      <c r="O148" s="19" t="str">
        <f t="shared" si="25"/>
        <v/>
      </c>
      <c r="P148" s="19" t="str">
        <f t="shared" si="26"/>
        <v/>
      </c>
      <c r="Q148" s="19" t="str">
        <f t="shared" si="27"/>
        <v/>
      </c>
      <c r="R148" s="19" t="str">
        <f t="shared" si="36"/>
        <v/>
      </c>
      <c r="S148" s="27" t="str">
        <f t="shared" si="37"/>
        <v/>
      </c>
      <c r="T148" s="28" t="str">
        <f t="shared" si="37"/>
        <v/>
      </c>
      <c r="U148" s="28" t="str">
        <f t="shared" si="37"/>
        <v/>
      </c>
      <c r="V148" s="28" t="str">
        <f t="shared" si="37"/>
        <v/>
      </c>
      <c r="W148" s="28" t="str">
        <f t="shared" si="37"/>
        <v/>
      </c>
      <c r="X148" s="29" t="str">
        <f t="shared" si="37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30"/>
        <v/>
      </c>
      <c r="L149" s="19" t="str">
        <f t="shared" si="28"/>
        <v/>
      </c>
      <c r="M149" s="19" t="str">
        <f t="shared" si="35"/>
        <v/>
      </c>
      <c r="N149" s="19" t="str">
        <f t="shared" si="24"/>
        <v/>
      </c>
      <c r="O149" s="19" t="str">
        <f t="shared" si="25"/>
        <v/>
      </c>
      <c r="P149" s="19" t="str">
        <f t="shared" si="26"/>
        <v/>
      </c>
      <c r="Q149" s="19" t="str">
        <f t="shared" si="27"/>
        <v/>
      </c>
      <c r="R149" s="19" t="str">
        <f t="shared" si="36"/>
        <v/>
      </c>
      <c r="S149" s="27" t="str">
        <f t="shared" si="37"/>
        <v/>
      </c>
      <c r="T149" s="28" t="str">
        <f t="shared" si="37"/>
        <v/>
      </c>
      <c r="U149" s="28" t="str">
        <f t="shared" si="37"/>
        <v/>
      </c>
      <c r="V149" s="28" t="str">
        <f t="shared" si="37"/>
        <v/>
      </c>
      <c r="W149" s="28" t="str">
        <f t="shared" si="37"/>
        <v/>
      </c>
      <c r="X149" s="29" t="str">
        <f t="shared" si="37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30"/>
        <v/>
      </c>
      <c r="L150" s="19" t="str">
        <f t="shared" si="28"/>
        <v/>
      </c>
      <c r="M150" s="19" t="str">
        <f t="shared" si="35"/>
        <v/>
      </c>
      <c r="N150" s="19" t="str">
        <f t="shared" si="24"/>
        <v/>
      </c>
      <c r="O150" s="19" t="str">
        <f t="shared" si="25"/>
        <v/>
      </c>
      <c r="P150" s="19" t="str">
        <f t="shared" si="26"/>
        <v/>
      </c>
      <c r="Q150" s="19" t="str">
        <f t="shared" si="27"/>
        <v/>
      </c>
      <c r="R150" s="19" t="str">
        <f t="shared" si="36"/>
        <v/>
      </c>
      <c r="S150" s="27" t="str">
        <f t="shared" si="37"/>
        <v/>
      </c>
      <c r="T150" s="28" t="str">
        <f t="shared" si="37"/>
        <v/>
      </c>
      <c r="U150" s="28" t="str">
        <f t="shared" si="37"/>
        <v/>
      </c>
      <c r="V150" s="28" t="str">
        <f t="shared" si="37"/>
        <v/>
      </c>
      <c r="W150" s="28" t="str">
        <f t="shared" si="37"/>
        <v/>
      </c>
      <c r="X150" s="29" t="str">
        <f t="shared" si="37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30"/>
        <v/>
      </c>
      <c r="L151" s="19" t="str">
        <f t="shared" si="28"/>
        <v/>
      </c>
      <c r="M151" s="19" t="str">
        <f t="shared" si="35"/>
        <v/>
      </c>
      <c r="N151" s="19" t="str">
        <f t="shared" si="24"/>
        <v/>
      </c>
      <c r="O151" s="19" t="str">
        <f t="shared" si="25"/>
        <v/>
      </c>
      <c r="P151" s="19" t="str">
        <f t="shared" si="26"/>
        <v/>
      </c>
      <c r="Q151" s="19" t="str">
        <f t="shared" si="27"/>
        <v/>
      </c>
      <c r="R151" s="19" t="str">
        <f t="shared" si="36"/>
        <v/>
      </c>
      <c r="S151" s="27" t="str">
        <f t="shared" si="37"/>
        <v/>
      </c>
      <c r="T151" s="28" t="str">
        <f t="shared" si="37"/>
        <v/>
      </c>
      <c r="U151" s="28" t="str">
        <f t="shared" si="37"/>
        <v/>
      </c>
      <c r="V151" s="28" t="str">
        <f t="shared" si="37"/>
        <v/>
      </c>
      <c r="W151" s="28" t="str">
        <f t="shared" si="37"/>
        <v/>
      </c>
      <c r="X151" s="29" t="str">
        <f t="shared" si="37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30"/>
        <v/>
      </c>
      <c r="L152" s="19" t="str">
        <f t="shared" si="28"/>
        <v/>
      </c>
      <c r="M152" s="19" t="str">
        <f t="shared" si="35"/>
        <v/>
      </c>
      <c r="N152" s="19" t="str">
        <f t="shared" si="24"/>
        <v/>
      </c>
      <c r="O152" s="19" t="str">
        <f t="shared" si="25"/>
        <v/>
      </c>
      <c r="P152" s="19" t="str">
        <f t="shared" si="26"/>
        <v/>
      </c>
      <c r="Q152" s="19" t="str">
        <f t="shared" si="27"/>
        <v/>
      </c>
      <c r="R152" s="19" t="str">
        <f t="shared" si="36"/>
        <v/>
      </c>
      <c r="S152" s="27" t="str">
        <f t="shared" si="37"/>
        <v/>
      </c>
      <c r="T152" s="28" t="str">
        <f t="shared" si="37"/>
        <v/>
      </c>
      <c r="U152" s="28" t="str">
        <f t="shared" si="37"/>
        <v/>
      </c>
      <c r="V152" s="28" t="str">
        <f t="shared" si="37"/>
        <v/>
      </c>
      <c r="W152" s="28" t="str">
        <f t="shared" si="37"/>
        <v/>
      </c>
      <c r="X152" s="29" t="str">
        <f t="shared" si="37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30"/>
        <v/>
      </c>
      <c r="L153" s="19" t="str">
        <f t="shared" si="28"/>
        <v/>
      </c>
      <c r="M153" s="19" t="str">
        <f t="shared" si="35"/>
        <v/>
      </c>
      <c r="N153" s="19" t="str">
        <f t="shared" si="24"/>
        <v/>
      </c>
      <c r="O153" s="19" t="str">
        <f t="shared" si="25"/>
        <v/>
      </c>
      <c r="P153" s="19" t="str">
        <f t="shared" si="26"/>
        <v/>
      </c>
      <c r="Q153" s="19" t="str">
        <f t="shared" si="27"/>
        <v/>
      </c>
      <c r="R153" s="19" t="str">
        <f t="shared" si="36"/>
        <v/>
      </c>
      <c r="S153" s="27" t="str">
        <f t="shared" si="37"/>
        <v/>
      </c>
      <c r="T153" s="28" t="str">
        <f t="shared" si="37"/>
        <v/>
      </c>
      <c r="U153" s="28" t="str">
        <f t="shared" si="37"/>
        <v/>
      </c>
      <c r="V153" s="28" t="str">
        <f t="shared" si="37"/>
        <v/>
      </c>
      <c r="W153" s="28" t="str">
        <f t="shared" si="37"/>
        <v/>
      </c>
      <c r="X153" s="29" t="str">
        <f t="shared" si="37"/>
        <v/>
      </c>
      <c r="Y153" s="24"/>
    </row>
  </sheetData>
  <sheetProtection selectLockedCells="1"/>
  <mergeCells count="38"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A1:J1"/>
    <mergeCell ref="E2:Q2"/>
    <mergeCell ref="R2:X4"/>
    <mergeCell ref="Y2:Y4"/>
    <mergeCell ref="E3:Q3"/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34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2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TZ-32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/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/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/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/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/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880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/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43">
        <v>41795</v>
      </c>
      <c r="C16" s="14">
        <v>13.085000000000001</v>
      </c>
      <c r="D16" s="15">
        <v>7.4420000000000002</v>
      </c>
      <c r="E16" s="15">
        <v>8.7390000000000008</v>
      </c>
      <c r="F16" s="42"/>
      <c r="G16" s="42"/>
      <c r="H16" s="42"/>
      <c r="I16" s="41">
        <v>105.40900000000001</v>
      </c>
      <c r="J16" s="62">
        <v>898</v>
      </c>
      <c r="K16" s="55">
        <f t="shared" ref="K16:K22" si="0">IF(ISBLANK(J16),"",(J16-$J$8))</f>
        <v>18</v>
      </c>
      <c r="L16" s="19">
        <f t="shared" ref="L16:Q47" si="1">IF(ISBLANK(C16),"",(C16-C$16)*1000)</f>
        <v>0</v>
      </c>
      <c r="M16" s="19">
        <f t="shared" si="1"/>
        <v>0</v>
      </c>
      <c r="N16" s="19">
        <f t="shared" si="1"/>
        <v>0</v>
      </c>
      <c r="O16" s="20"/>
      <c r="P16" s="20"/>
      <c r="Q16" s="20"/>
      <c r="R16" s="21">
        <f t="shared" ref="R16:R79" si="2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41796</v>
      </c>
      <c r="C17" s="25">
        <v>13.084</v>
      </c>
      <c r="D17" s="26">
        <v>7.44</v>
      </c>
      <c r="E17" s="26">
        <v>8.7370000000000001</v>
      </c>
      <c r="F17" s="16"/>
      <c r="G17" s="16"/>
      <c r="H17" s="16"/>
      <c r="I17" s="17">
        <v>105.408</v>
      </c>
      <c r="J17" s="58">
        <v>910</v>
      </c>
      <c r="K17" s="18">
        <f t="shared" si="0"/>
        <v>30</v>
      </c>
      <c r="L17" s="19">
        <f t="shared" si="1"/>
        <v>-1.0000000000012221</v>
      </c>
      <c r="M17" s="19">
        <f t="shared" si="1"/>
        <v>-1.9999999999997797</v>
      </c>
      <c r="N17" s="19">
        <f t="shared" si="1"/>
        <v>-2.0000000000006679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2"/>
        <v>-1.0000000000047748</v>
      </c>
      <c r="S17" s="27">
        <f t="shared" ref="S17:X32" si="3">IF(C17="","",((C17-C16)*1000)/($B17-$B16))</f>
        <v>-1.0000000000012221</v>
      </c>
      <c r="T17" s="28">
        <f t="shared" si="3"/>
        <v>-1.9999999999997797</v>
      </c>
      <c r="U17" s="28">
        <f t="shared" si="3"/>
        <v>-2.0000000000006679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41799</v>
      </c>
      <c r="C18" s="25">
        <v>13.084</v>
      </c>
      <c r="D18" s="26">
        <v>7.4409999999999998</v>
      </c>
      <c r="E18" s="26">
        <v>8.7370000000000001</v>
      </c>
      <c r="F18" s="16"/>
      <c r="G18" s="16"/>
      <c r="H18" s="16"/>
      <c r="I18" s="17">
        <v>105.408</v>
      </c>
      <c r="J18" s="58">
        <v>919</v>
      </c>
      <c r="K18" s="18">
        <f t="shared" si="0"/>
        <v>39</v>
      </c>
      <c r="L18" s="19">
        <f t="shared" si="1"/>
        <v>-1.0000000000012221</v>
      </c>
      <c r="M18" s="19">
        <f t="shared" si="1"/>
        <v>-1.000000000000334</v>
      </c>
      <c r="N18" s="19">
        <f t="shared" si="1"/>
        <v>-2.0000000000006679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2"/>
        <v>-1.0000000000047748</v>
      </c>
      <c r="S18" s="27">
        <f t="shared" si="3"/>
        <v>0</v>
      </c>
      <c r="T18" s="28">
        <f t="shared" si="3"/>
        <v>0.33333333333314857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41800</v>
      </c>
      <c r="C19" s="25">
        <v>13.084</v>
      </c>
      <c r="D19" s="26">
        <v>7.44</v>
      </c>
      <c r="E19" s="26">
        <v>8.7360000000000007</v>
      </c>
      <c r="F19" s="16"/>
      <c r="G19" s="16"/>
      <c r="H19" s="16"/>
      <c r="I19" s="17">
        <v>105.407</v>
      </c>
      <c r="J19" s="58">
        <v>929</v>
      </c>
      <c r="K19" s="18">
        <f t="shared" si="0"/>
        <v>49</v>
      </c>
      <c r="L19" s="19">
        <f t="shared" si="1"/>
        <v>-1.0000000000012221</v>
      </c>
      <c r="M19" s="19">
        <f t="shared" si="1"/>
        <v>-1.9999999999997797</v>
      </c>
      <c r="N19" s="19">
        <f t="shared" si="1"/>
        <v>-3.0000000000001137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2"/>
        <v>-2.0000000000095497</v>
      </c>
      <c r="S19" s="27">
        <f t="shared" si="3"/>
        <v>0</v>
      </c>
      <c r="T19" s="28">
        <f t="shared" si="3"/>
        <v>-0.99999999999944578</v>
      </c>
      <c r="U19" s="28">
        <f t="shared" si="3"/>
        <v>-0.99999999999944578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41801</v>
      </c>
      <c r="C20" s="25">
        <v>13.083</v>
      </c>
      <c r="D20" s="26">
        <v>7.44</v>
      </c>
      <c r="E20" s="26">
        <v>8.7360000000000007</v>
      </c>
      <c r="F20" s="16"/>
      <c r="G20" s="16"/>
      <c r="H20" s="16"/>
      <c r="I20" s="17">
        <v>105.407</v>
      </c>
      <c r="J20" s="58">
        <v>941</v>
      </c>
      <c r="K20" s="18">
        <f t="shared" si="0"/>
        <v>61</v>
      </c>
      <c r="L20" s="19">
        <f t="shared" si="1"/>
        <v>-2.0000000000006679</v>
      </c>
      <c r="M20" s="19">
        <f t="shared" si="1"/>
        <v>-1.9999999999997797</v>
      </c>
      <c r="N20" s="19">
        <f t="shared" si="1"/>
        <v>-3.0000000000001137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2"/>
        <v>-2.0000000000095497</v>
      </c>
      <c r="S20" s="27">
        <f t="shared" si="3"/>
        <v>-0.99999999999944578</v>
      </c>
      <c r="T20" s="28">
        <f t="shared" si="3"/>
        <v>0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41802</v>
      </c>
      <c r="C21" s="25">
        <v>13.084</v>
      </c>
      <c r="D21" s="26">
        <v>7.4409999999999998</v>
      </c>
      <c r="E21" s="26">
        <v>8.7370000000000001</v>
      </c>
      <c r="F21" s="16"/>
      <c r="G21" s="16"/>
      <c r="H21" s="16"/>
      <c r="I21" s="17">
        <v>105.407</v>
      </c>
      <c r="J21" s="58">
        <v>947</v>
      </c>
      <c r="K21" s="18">
        <f t="shared" si="0"/>
        <v>67</v>
      </c>
      <c r="L21" s="19">
        <f t="shared" si="1"/>
        <v>-1.0000000000012221</v>
      </c>
      <c r="M21" s="19">
        <f t="shared" si="1"/>
        <v>-1.000000000000334</v>
      </c>
      <c r="N21" s="19">
        <f t="shared" si="1"/>
        <v>-2.0000000000006679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2"/>
        <v>-2.0000000000095497</v>
      </c>
      <c r="S21" s="27">
        <f t="shared" si="3"/>
        <v>0.99999999999944578</v>
      </c>
      <c r="T21" s="28">
        <f t="shared" si="3"/>
        <v>0.99999999999944578</v>
      </c>
      <c r="U21" s="28">
        <f t="shared" si="3"/>
        <v>0.99999999999944578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41803</v>
      </c>
      <c r="C22" s="25">
        <v>13.084</v>
      </c>
      <c r="D22" s="26">
        <v>7.4409999999999998</v>
      </c>
      <c r="E22" s="26">
        <v>8.7370000000000001</v>
      </c>
      <c r="F22" s="16"/>
      <c r="G22" s="16"/>
      <c r="H22" s="16"/>
      <c r="I22" s="17">
        <v>105.407</v>
      </c>
      <c r="J22" s="58">
        <v>958</v>
      </c>
      <c r="K22" s="18">
        <f t="shared" si="0"/>
        <v>78</v>
      </c>
      <c r="L22" s="19">
        <f t="shared" si="1"/>
        <v>-1.0000000000012221</v>
      </c>
      <c r="M22" s="19">
        <f t="shared" si="1"/>
        <v>-1.000000000000334</v>
      </c>
      <c r="N22" s="19">
        <f t="shared" si="1"/>
        <v>-2.0000000000006679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2"/>
        <v>-2.0000000000095497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41838</v>
      </c>
      <c r="C23" s="25">
        <v>13.082000000000001</v>
      </c>
      <c r="D23" s="26">
        <v>7.44</v>
      </c>
      <c r="E23" s="26">
        <v>8.7370000000000001</v>
      </c>
      <c r="F23" s="16">
        <v>14.124000000000001</v>
      </c>
      <c r="G23" s="16">
        <v>9.6189999999999998</v>
      </c>
      <c r="H23" s="16">
        <v>11.257</v>
      </c>
      <c r="I23" s="17">
        <v>105.402</v>
      </c>
      <c r="J23" s="58">
        <v>970</v>
      </c>
      <c r="K23" s="18">
        <f t="shared" ref="K23:K32" si="4">IF(ISBLANK(J23),"",(J23-$J$8))</f>
        <v>90</v>
      </c>
      <c r="L23" s="19">
        <f t="shared" si="1"/>
        <v>-3.0000000000001137</v>
      </c>
      <c r="M23" s="19">
        <f t="shared" si="1"/>
        <v>-1.9999999999997797</v>
      </c>
      <c r="N23" s="19">
        <f t="shared" si="1"/>
        <v>-2.0000000000006679</v>
      </c>
      <c r="O23" s="19">
        <f>IF(ISBLANK(F23),"",((F23-F$23)*1000)+L$23)</f>
        <v>-3.0000000000001137</v>
      </c>
      <c r="P23" s="19">
        <f>IF(ISBLANK(G23),"",((G23-G$23)*1000)+M$23)</f>
        <v>-1.9999999999997797</v>
      </c>
      <c r="Q23" s="19">
        <f>IF(ISBLANK(H23),"",((H23-H$23)*1000)+N$23)</f>
        <v>-2.0000000000006679</v>
      </c>
      <c r="R23" s="19">
        <f t="shared" si="2"/>
        <v>-7.0000000000050022</v>
      </c>
      <c r="S23" s="27">
        <f t="shared" si="3"/>
        <v>-5.7142857142825472E-2</v>
      </c>
      <c r="T23" s="28">
        <f t="shared" si="3"/>
        <v>-2.8571428571412736E-2</v>
      </c>
      <c r="U23" s="28">
        <f t="shared" si="3"/>
        <v>0</v>
      </c>
      <c r="V23" s="28">
        <f t="shared" si="3"/>
        <v>403.54285714285714</v>
      </c>
      <c r="W23" s="28">
        <f t="shared" si="3"/>
        <v>274.82857142857142</v>
      </c>
      <c r="X23" s="29">
        <f t="shared" si="3"/>
        <v>321.62857142857143</v>
      </c>
      <c r="Y23" s="24"/>
    </row>
    <row r="24" spans="2:25" ht="15" customHeight="1" x14ac:dyDescent="0.2">
      <c r="B24" s="31">
        <v>41841</v>
      </c>
      <c r="C24" s="25">
        <v>13.082000000000001</v>
      </c>
      <c r="D24" s="26">
        <v>7.44</v>
      </c>
      <c r="E24" s="26">
        <v>8.7370000000000001</v>
      </c>
      <c r="F24" s="16">
        <v>14.122999999999999</v>
      </c>
      <c r="G24" s="16">
        <v>9.6189999999999998</v>
      </c>
      <c r="H24" s="16">
        <v>11.256</v>
      </c>
      <c r="I24" s="17">
        <v>105.401</v>
      </c>
      <c r="J24" s="58">
        <v>970</v>
      </c>
      <c r="K24" s="18">
        <f t="shared" si="4"/>
        <v>90</v>
      </c>
      <c r="L24" s="19">
        <f t="shared" si="1"/>
        <v>-3.0000000000001137</v>
      </c>
      <c r="M24" s="19">
        <f t="shared" si="1"/>
        <v>-1.9999999999997797</v>
      </c>
      <c r="N24" s="19">
        <f t="shared" si="1"/>
        <v>-2.0000000000006679</v>
      </c>
      <c r="O24" s="19">
        <f t="shared" ref="O24:O87" si="5">IF(ISBLANK(F24),"",((F24-F$23)*1000)+L$23)</f>
        <v>-4.0000000000013358</v>
      </c>
      <c r="P24" s="19">
        <f t="shared" ref="P24:P87" si="6">IF(ISBLANK(G24),"",((G24-G$23)*1000)+M$23)</f>
        <v>-1.9999999999997797</v>
      </c>
      <c r="Q24" s="19">
        <f t="shared" ref="Q24:Q87" si="7">IF(ISBLANK(H24),"",((H24-H$23)*1000)+N$23)</f>
        <v>-3.0000000000001137</v>
      </c>
      <c r="R24" s="19">
        <f t="shared" si="2"/>
        <v>-8.0000000000097771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>
        <f t="shared" si="3"/>
        <v>-0.33333333333374071</v>
      </c>
      <c r="W24" s="28">
        <f t="shared" si="3"/>
        <v>0</v>
      </c>
      <c r="X24" s="29">
        <f t="shared" si="3"/>
        <v>-0.33333333333314857</v>
      </c>
      <c r="Y24" s="24"/>
    </row>
    <row r="25" spans="2:25" ht="15" customHeight="1" x14ac:dyDescent="0.2">
      <c r="B25" s="31">
        <v>41842</v>
      </c>
      <c r="C25" s="25">
        <v>13.082000000000001</v>
      </c>
      <c r="D25" s="26">
        <v>7.44</v>
      </c>
      <c r="E25" s="26">
        <v>8.7370000000000001</v>
      </c>
      <c r="F25" s="16">
        <v>14.122999999999999</v>
      </c>
      <c r="G25" s="16">
        <v>9.6189999999999998</v>
      </c>
      <c r="H25" s="16">
        <v>11.257</v>
      </c>
      <c r="I25" s="17">
        <v>105.401</v>
      </c>
      <c r="J25" s="58">
        <v>970</v>
      </c>
      <c r="K25" s="18">
        <f t="shared" si="4"/>
        <v>90</v>
      </c>
      <c r="L25" s="19">
        <f t="shared" si="1"/>
        <v>-3.0000000000001137</v>
      </c>
      <c r="M25" s="19">
        <f t="shared" si="1"/>
        <v>-1.9999999999997797</v>
      </c>
      <c r="N25" s="19">
        <f t="shared" si="1"/>
        <v>-2.0000000000006679</v>
      </c>
      <c r="O25" s="19">
        <f t="shared" si="5"/>
        <v>-4.0000000000013358</v>
      </c>
      <c r="P25" s="19">
        <f t="shared" si="6"/>
        <v>-1.9999999999997797</v>
      </c>
      <c r="Q25" s="19">
        <f t="shared" si="7"/>
        <v>-2.0000000000006679</v>
      </c>
      <c r="R25" s="19">
        <f t="shared" si="2"/>
        <v>-8.0000000000097771</v>
      </c>
      <c r="S25" s="27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9">
        <f t="shared" si="3"/>
        <v>0.99999999999944578</v>
      </c>
      <c r="Y25" s="24"/>
    </row>
    <row r="26" spans="2:25" ht="15" customHeight="1" x14ac:dyDescent="0.2">
      <c r="B26" s="31">
        <v>41843</v>
      </c>
      <c r="C26" s="25">
        <v>13.082000000000001</v>
      </c>
      <c r="D26" s="26">
        <v>7.44</v>
      </c>
      <c r="E26" s="26">
        <v>8.7349999999999994</v>
      </c>
      <c r="F26" s="16">
        <v>14.122999999999999</v>
      </c>
      <c r="G26" s="16">
        <v>9.6189999999999998</v>
      </c>
      <c r="H26" s="16">
        <v>11.257</v>
      </c>
      <c r="I26" s="17">
        <v>105.4</v>
      </c>
      <c r="J26" s="58">
        <v>975</v>
      </c>
      <c r="K26" s="18">
        <f t="shared" si="4"/>
        <v>95</v>
      </c>
      <c r="L26" s="19">
        <f t="shared" si="1"/>
        <v>-3.0000000000001137</v>
      </c>
      <c r="M26" s="19">
        <f t="shared" si="1"/>
        <v>-1.9999999999997797</v>
      </c>
      <c r="N26" s="19">
        <f t="shared" si="1"/>
        <v>-4.0000000000013358</v>
      </c>
      <c r="O26" s="19">
        <f t="shared" si="5"/>
        <v>-4.0000000000013358</v>
      </c>
      <c r="P26" s="19">
        <f t="shared" si="6"/>
        <v>-1.9999999999997797</v>
      </c>
      <c r="Q26" s="19">
        <f t="shared" si="7"/>
        <v>-2.0000000000006679</v>
      </c>
      <c r="R26" s="19">
        <f t="shared" si="2"/>
        <v>-9.0000000000003411</v>
      </c>
      <c r="S26" s="27">
        <f t="shared" si="3"/>
        <v>0</v>
      </c>
      <c r="T26" s="28">
        <f t="shared" si="3"/>
        <v>0</v>
      </c>
      <c r="U26" s="28">
        <f t="shared" si="3"/>
        <v>-2.0000000000006679</v>
      </c>
      <c r="V26" s="28">
        <f t="shared" si="3"/>
        <v>0</v>
      </c>
      <c r="W26" s="28">
        <f t="shared" si="3"/>
        <v>0</v>
      </c>
      <c r="X26" s="29">
        <f t="shared" si="3"/>
        <v>0</v>
      </c>
      <c r="Y26" s="24"/>
    </row>
    <row r="27" spans="2:25" ht="15" customHeight="1" x14ac:dyDescent="0.2">
      <c r="B27" s="31">
        <v>41844</v>
      </c>
      <c r="C27" s="25">
        <v>13.082000000000001</v>
      </c>
      <c r="D27" s="26">
        <v>7.4409999999999998</v>
      </c>
      <c r="E27" s="26">
        <v>8.7349999999999994</v>
      </c>
      <c r="F27" s="16">
        <v>14.122999999999999</v>
      </c>
      <c r="G27" s="16">
        <v>9.6189999999999998</v>
      </c>
      <c r="H27" s="16">
        <v>11.257</v>
      </c>
      <c r="I27" s="17">
        <v>105.4</v>
      </c>
      <c r="J27" s="58">
        <v>984</v>
      </c>
      <c r="K27" s="18">
        <f t="shared" si="4"/>
        <v>104</v>
      </c>
      <c r="L27" s="19">
        <f t="shared" si="1"/>
        <v>-3.0000000000001137</v>
      </c>
      <c r="M27" s="19">
        <f t="shared" si="1"/>
        <v>-1.000000000000334</v>
      </c>
      <c r="N27" s="19">
        <f t="shared" si="1"/>
        <v>-4.0000000000013358</v>
      </c>
      <c r="O27" s="19">
        <f t="shared" si="5"/>
        <v>-4.0000000000013358</v>
      </c>
      <c r="P27" s="19">
        <f t="shared" si="6"/>
        <v>-1.9999999999997797</v>
      </c>
      <c r="Q27" s="19">
        <f t="shared" si="7"/>
        <v>-2.0000000000006679</v>
      </c>
      <c r="R27" s="19">
        <f t="shared" si="2"/>
        <v>-9.0000000000003411</v>
      </c>
      <c r="S27" s="27">
        <f t="shared" si="3"/>
        <v>0</v>
      </c>
      <c r="T27" s="28">
        <f t="shared" si="3"/>
        <v>0.99999999999944578</v>
      </c>
      <c r="U27" s="28">
        <f t="shared" si="3"/>
        <v>0</v>
      </c>
      <c r="V27" s="28">
        <f t="shared" si="3"/>
        <v>0</v>
      </c>
      <c r="W27" s="28">
        <f t="shared" si="3"/>
        <v>0</v>
      </c>
      <c r="X27" s="29">
        <f t="shared" si="3"/>
        <v>0</v>
      </c>
      <c r="Y27" s="24"/>
    </row>
    <row r="28" spans="2:25" ht="15" customHeight="1" x14ac:dyDescent="0.2">
      <c r="B28" s="31">
        <v>41848</v>
      </c>
      <c r="C28" s="25">
        <v>13.082000000000001</v>
      </c>
      <c r="D28" s="26">
        <v>7.44</v>
      </c>
      <c r="E28" s="26">
        <v>8.7349999999999994</v>
      </c>
      <c r="F28" s="16">
        <v>14.122999999999999</v>
      </c>
      <c r="G28" s="16">
        <v>9.6189999999999998</v>
      </c>
      <c r="H28" s="16">
        <v>11.257</v>
      </c>
      <c r="I28" s="17">
        <v>105.4</v>
      </c>
      <c r="J28" s="58">
        <v>995</v>
      </c>
      <c r="K28" s="18">
        <f t="shared" si="4"/>
        <v>115</v>
      </c>
      <c r="L28" s="19">
        <f t="shared" si="1"/>
        <v>-3.0000000000001137</v>
      </c>
      <c r="M28" s="19">
        <f t="shared" si="1"/>
        <v>-1.9999999999997797</v>
      </c>
      <c r="N28" s="19">
        <f t="shared" si="1"/>
        <v>-4.0000000000013358</v>
      </c>
      <c r="O28" s="19">
        <f t="shared" si="5"/>
        <v>-4.0000000000013358</v>
      </c>
      <c r="P28" s="19">
        <f t="shared" si="6"/>
        <v>-1.9999999999997797</v>
      </c>
      <c r="Q28" s="19">
        <f t="shared" si="7"/>
        <v>-2.0000000000006679</v>
      </c>
      <c r="R28" s="19">
        <f t="shared" si="2"/>
        <v>-9.0000000000003411</v>
      </c>
      <c r="S28" s="27">
        <f t="shared" si="3"/>
        <v>0</v>
      </c>
      <c r="T28" s="28">
        <f t="shared" si="3"/>
        <v>-0.24999999999986144</v>
      </c>
      <c r="U28" s="28">
        <f t="shared" si="3"/>
        <v>0</v>
      </c>
      <c r="V28" s="28">
        <f t="shared" si="3"/>
        <v>0</v>
      </c>
      <c r="W28" s="28">
        <f t="shared" si="3"/>
        <v>0</v>
      </c>
      <c r="X28" s="29">
        <f t="shared" si="3"/>
        <v>0</v>
      </c>
      <c r="Y28" s="24"/>
    </row>
    <row r="29" spans="2:25" ht="15" customHeight="1" x14ac:dyDescent="0.2">
      <c r="B29" s="31">
        <v>41849</v>
      </c>
      <c r="C29" s="25">
        <v>13.082000000000001</v>
      </c>
      <c r="D29" s="26">
        <v>7.44</v>
      </c>
      <c r="E29" s="26">
        <v>8.7349999999999994</v>
      </c>
      <c r="F29" s="16">
        <v>14.122999999999999</v>
      </c>
      <c r="G29" s="16">
        <v>9.6189999999999998</v>
      </c>
      <c r="H29" s="16">
        <v>11.257</v>
      </c>
      <c r="I29" s="17">
        <v>105.401</v>
      </c>
      <c r="J29" s="58">
        <v>1007</v>
      </c>
      <c r="K29" s="18">
        <f t="shared" si="4"/>
        <v>127</v>
      </c>
      <c r="L29" s="19">
        <f t="shared" si="1"/>
        <v>-3.0000000000001137</v>
      </c>
      <c r="M29" s="19">
        <f t="shared" si="1"/>
        <v>-1.9999999999997797</v>
      </c>
      <c r="N29" s="19">
        <f t="shared" si="1"/>
        <v>-4.0000000000013358</v>
      </c>
      <c r="O29" s="19">
        <f t="shared" si="5"/>
        <v>-4.0000000000013358</v>
      </c>
      <c r="P29" s="19">
        <f t="shared" si="6"/>
        <v>-1.9999999999997797</v>
      </c>
      <c r="Q29" s="19">
        <f t="shared" si="7"/>
        <v>-2.0000000000006679</v>
      </c>
      <c r="R29" s="19">
        <f t="shared" si="2"/>
        <v>-8.0000000000097771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>
        <f t="shared" si="3"/>
        <v>0</v>
      </c>
      <c r="W29" s="28">
        <f t="shared" si="3"/>
        <v>0</v>
      </c>
      <c r="X29" s="29">
        <f t="shared" si="3"/>
        <v>0</v>
      </c>
      <c r="Y29" s="24"/>
    </row>
    <row r="30" spans="2:25" ht="15" customHeight="1" x14ac:dyDescent="0.2">
      <c r="B30" s="31">
        <v>41850</v>
      </c>
      <c r="C30" s="25">
        <v>13.082000000000001</v>
      </c>
      <c r="D30" s="26">
        <v>7.44</v>
      </c>
      <c r="E30" s="26">
        <v>8.7349999999999994</v>
      </c>
      <c r="F30" s="16">
        <v>14.121</v>
      </c>
      <c r="G30" s="16">
        <v>9.6189999999999998</v>
      </c>
      <c r="H30" s="16">
        <v>11.257</v>
      </c>
      <c r="I30" s="17">
        <v>105.4</v>
      </c>
      <c r="J30" s="58">
        <v>1011</v>
      </c>
      <c r="K30" s="18">
        <f t="shared" si="4"/>
        <v>131</v>
      </c>
      <c r="L30" s="19">
        <f t="shared" si="1"/>
        <v>-3.0000000000001137</v>
      </c>
      <c r="M30" s="19">
        <f t="shared" si="1"/>
        <v>-1.9999999999997797</v>
      </c>
      <c r="N30" s="19">
        <f t="shared" si="1"/>
        <v>-4.0000000000013358</v>
      </c>
      <c r="O30" s="19">
        <f t="shared" si="5"/>
        <v>-6.0000000000002274</v>
      </c>
      <c r="P30" s="19">
        <f t="shared" si="6"/>
        <v>-1.9999999999997797</v>
      </c>
      <c r="Q30" s="19">
        <f t="shared" si="7"/>
        <v>-2.0000000000006679</v>
      </c>
      <c r="R30" s="19">
        <f t="shared" si="2"/>
        <v>-9.0000000000003411</v>
      </c>
      <c r="S30" s="27">
        <f t="shared" si="3"/>
        <v>0</v>
      </c>
      <c r="T30" s="28">
        <f t="shared" si="3"/>
        <v>0</v>
      </c>
      <c r="U30" s="28">
        <f t="shared" si="3"/>
        <v>0</v>
      </c>
      <c r="V30" s="28">
        <f t="shared" si="3"/>
        <v>-1.9999999999988916</v>
      </c>
      <c r="W30" s="28">
        <f t="shared" si="3"/>
        <v>0</v>
      </c>
      <c r="X30" s="29">
        <f t="shared" si="3"/>
        <v>0</v>
      </c>
      <c r="Y30" s="24"/>
    </row>
    <row r="31" spans="2:25" ht="15" customHeight="1" x14ac:dyDescent="0.2">
      <c r="B31" s="31">
        <v>41855</v>
      </c>
      <c r="C31" s="25">
        <v>13.082000000000001</v>
      </c>
      <c r="D31" s="26">
        <v>7.4409999999999998</v>
      </c>
      <c r="E31" s="26">
        <v>8.7349999999999994</v>
      </c>
      <c r="F31" s="16">
        <v>14.121</v>
      </c>
      <c r="G31" s="16">
        <v>9.6189999999999998</v>
      </c>
      <c r="H31" s="16">
        <v>11.257</v>
      </c>
      <c r="I31" s="17">
        <v>105.401</v>
      </c>
      <c r="J31" s="58">
        <v>1033</v>
      </c>
      <c r="K31" s="18">
        <f t="shared" si="4"/>
        <v>153</v>
      </c>
      <c r="L31" s="19">
        <f t="shared" si="1"/>
        <v>-3.0000000000001137</v>
      </c>
      <c r="M31" s="19">
        <f t="shared" si="1"/>
        <v>-1.000000000000334</v>
      </c>
      <c r="N31" s="19">
        <f t="shared" si="1"/>
        <v>-4.0000000000013358</v>
      </c>
      <c r="O31" s="19">
        <f t="shared" si="5"/>
        <v>-6.0000000000002274</v>
      </c>
      <c r="P31" s="19">
        <f t="shared" si="6"/>
        <v>-1.9999999999997797</v>
      </c>
      <c r="Q31" s="19">
        <f t="shared" si="7"/>
        <v>-2.0000000000006679</v>
      </c>
      <c r="R31" s="19">
        <f t="shared" si="2"/>
        <v>-8.0000000000097771</v>
      </c>
      <c r="S31" s="27">
        <f t="shared" si="3"/>
        <v>0</v>
      </c>
      <c r="T31" s="28">
        <f t="shared" si="3"/>
        <v>0.19999999999988916</v>
      </c>
      <c r="U31" s="28">
        <f t="shared" si="3"/>
        <v>0</v>
      </c>
      <c r="V31" s="28">
        <f t="shared" si="3"/>
        <v>0</v>
      </c>
      <c r="W31" s="28">
        <f t="shared" si="3"/>
        <v>0</v>
      </c>
      <c r="X31" s="29">
        <f t="shared" si="3"/>
        <v>0</v>
      </c>
      <c r="Y31" s="24"/>
    </row>
    <row r="32" spans="2:25" ht="15" customHeight="1" x14ac:dyDescent="0.2">
      <c r="B32" s="31">
        <v>41857</v>
      </c>
      <c r="C32" s="25">
        <v>13.082000000000001</v>
      </c>
      <c r="D32" s="26">
        <v>7.4409999999999998</v>
      </c>
      <c r="E32" s="26">
        <v>8.7349999999999994</v>
      </c>
      <c r="F32" s="16">
        <v>14.122</v>
      </c>
      <c r="G32" s="16">
        <v>9.6189999999999998</v>
      </c>
      <c r="H32" s="16">
        <v>11.257</v>
      </c>
      <c r="I32" s="17">
        <v>105.4</v>
      </c>
      <c r="J32" s="58">
        <v>1043</v>
      </c>
      <c r="K32" s="18">
        <f t="shared" si="4"/>
        <v>163</v>
      </c>
      <c r="L32" s="19">
        <f t="shared" si="1"/>
        <v>-3.0000000000001137</v>
      </c>
      <c r="M32" s="19">
        <f t="shared" si="1"/>
        <v>-1.000000000000334</v>
      </c>
      <c r="N32" s="19">
        <f t="shared" si="1"/>
        <v>-4.0000000000013358</v>
      </c>
      <c r="O32" s="19">
        <f t="shared" si="5"/>
        <v>-5.0000000000007816</v>
      </c>
      <c r="P32" s="19">
        <f t="shared" si="6"/>
        <v>-1.9999999999997797</v>
      </c>
      <c r="Q32" s="19">
        <f t="shared" si="7"/>
        <v>-2.0000000000006679</v>
      </c>
      <c r="R32" s="19">
        <f t="shared" si="2"/>
        <v>-9.0000000000003411</v>
      </c>
      <c r="S32" s="27">
        <f t="shared" si="3"/>
        <v>0</v>
      </c>
      <c r="T32" s="28">
        <f t="shared" si="3"/>
        <v>0</v>
      </c>
      <c r="U32" s="28">
        <f t="shared" si="3"/>
        <v>0</v>
      </c>
      <c r="V32" s="28">
        <f t="shared" si="3"/>
        <v>0.49999999999972289</v>
      </c>
      <c r="W32" s="28">
        <f t="shared" si="3"/>
        <v>0</v>
      </c>
      <c r="X32" s="29">
        <f t="shared" si="3"/>
        <v>0</v>
      </c>
      <c r="Y32" s="24"/>
    </row>
    <row r="33" spans="2:25" ht="15" customHeight="1" x14ac:dyDescent="0.2">
      <c r="B33" s="31">
        <v>41864</v>
      </c>
      <c r="C33" s="25">
        <v>13.082000000000001</v>
      </c>
      <c r="D33" s="26">
        <v>7.4409999999999998</v>
      </c>
      <c r="E33" s="26">
        <v>8.7349999999999994</v>
      </c>
      <c r="F33" s="78">
        <v>14.122</v>
      </c>
      <c r="G33" s="78">
        <v>9.6189999999999998</v>
      </c>
      <c r="H33" s="16">
        <v>11.257</v>
      </c>
      <c r="I33" s="17">
        <v>105.4</v>
      </c>
      <c r="J33" s="58">
        <v>1082</v>
      </c>
      <c r="K33" s="18">
        <f t="shared" ref="K33:K96" si="8">IF(ISBLANK(J33),"",(J33-$J$8))</f>
        <v>202</v>
      </c>
      <c r="L33" s="19">
        <f t="shared" si="1"/>
        <v>-3.0000000000001137</v>
      </c>
      <c r="M33" s="19">
        <f t="shared" si="1"/>
        <v>-1.000000000000334</v>
      </c>
      <c r="N33" s="19">
        <f t="shared" si="1"/>
        <v>-4.0000000000013358</v>
      </c>
      <c r="O33" s="19">
        <f t="shared" si="5"/>
        <v>-5.0000000000007816</v>
      </c>
      <c r="P33" s="19">
        <f t="shared" si="6"/>
        <v>-1.9999999999997797</v>
      </c>
      <c r="Q33" s="19">
        <f t="shared" si="7"/>
        <v>-2.0000000000006679</v>
      </c>
      <c r="R33" s="19">
        <f t="shared" si="2"/>
        <v>-9.0000000000003411</v>
      </c>
      <c r="S33" s="27">
        <f t="shared" ref="S33:X48" si="9">IF(C33="","",((C33-C32)*1000)/($B33-$B32))</f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9">
        <f t="shared" si="9"/>
        <v>0</v>
      </c>
      <c r="Y33" s="24"/>
    </row>
    <row r="34" spans="2:25" ht="15" customHeight="1" x14ac:dyDescent="0.2">
      <c r="B34" s="31">
        <v>41869</v>
      </c>
      <c r="C34" s="25">
        <v>13.082000000000001</v>
      </c>
      <c r="D34" s="26">
        <v>7.4409999999999998</v>
      </c>
      <c r="E34" s="26">
        <v>8.7349999999999994</v>
      </c>
      <c r="F34" s="78">
        <v>14.122</v>
      </c>
      <c r="G34" s="78">
        <v>9.6189999999999998</v>
      </c>
      <c r="H34" s="16">
        <v>11.257</v>
      </c>
      <c r="I34" s="17">
        <v>105.4</v>
      </c>
      <c r="J34" s="58">
        <v>1099</v>
      </c>
      <c r="K34" s="18">
        <f t="shared" si="8"/>
        <v>219</v>
      </c>
      <c r="L34" s="19">
        <f t="shared" si="1"/>
        <v>-3.0000000000001137</v>
      </c>
      <c r="M34" s="19">
        <f t="shared" si="1"/>
        <v>-1.000000000000334</v>
      </c>
      <c r="N34" s="19">
        <f t="shared" si="1"/>
        <v>-4.0000000000013358</v>
      </c>
      <c r="O34" s="19">
        <f t="shared" si="5"/>
        <v>-5.0000000000007816</v>
      </c>
      <c r="P34" s="19">
        <f t="shared" si="6"/>
        <v>-1.9999999999997797</v>
      </c>
      <c r="Q34" s="19">
        <f t="shared" si="7"/>
        <v>-2.0000000000006679</v>
      </c>
      <c r="R34" s="19">
        <f t="shared" si="2"/>
        <v>-9.0000000000003411</v>
      </c>
      <c r="S34" s="27">
        <f t="shared" si="9"/>
        <v>0</v>
      </c>
      <c r="T34" s="28">
        <f t="shared" si="9"/>
        <v>0</v>
      </c>
      <c r="U34" s="28">
        <f t="shared" si="9"/>
        <v>0</v>
      </c>
      <c r="V34" s="28">
        <f t="shared" si="9"/>
        <v>0</v>
      </c>
      <c r="W34" s="28">
        <f t="shared" si="9"/>
        <v>0</v>
      </c>
      <c r="X34" s="29">
        <f t="shared" si="9"/>
        <v>0</v>
      </c>
      <c r="Y34" s="24"/>
    </row>
    <row r="35" spans="2:25" ht="15" customHeight="1" x14ac:dyDescent="0.2">
      <c r="B35" s="31">
        <v>41879</v>
      </c>
      <c r="C35" s="77">
        <v>13.082000000000001</v>
      </c>
      <c r="D35" s="76">
        <v>7.4409999999999998</v>
      </c>
      <c r="E35" s="76">
        <v>8.7349999999999994</v>
      </c>
      <c r="F35" s="78">
        <v>14.122</v>
      </c>
      <c r="G35" s="78">
        <v>9.6189999999999998</v>
      </c>
      <c r="H35" s="16">
        <v>11.257</v>
      </c>
      <c r="I35" s="17">
        <v>105.4</v>
      </c>
      <c r="J35" s="58">
        <v>943</v>
      </c>
      <c r="K35" s="18">
        <f t="shared" si="8"/>
        <v>63</v>
      </c>
      <c r="L35" s="19">
        <f t="shared" si="1"/>
        <v>-3.0000000000001137</v>
      </c>
      <c r="M35" s="19">
        <f t="shared" si="1"/>
        <v>-1.000000000000334</v>
      </c>
      <c r="N35" s="19">
        <f t="shared" si="1"/>
        <v>-4.0000000000013358</v>
      </c>
      <c r="O35" s="19">
        <f t="shared" si="5"/>
        <v>-5.0000000000007816</v>
      </c>
      <c r="P35" s="19">
        <f t="shared" si="6"/>
        <v>-1.9999999999997797</v>
      </c>
      <c r="Q35" s="19">
        <f t="shared" si="7"/>
        <v>-2.0000000000006679</v>
      </c>
      <c r="R35" s="19">
        <f t="shared" si="2"/>
        <v>-9.0000000000003411</v>
      </c>
      <c r="S35" s="27">
        <f t="shared" si="9"/>
        <v>0</v>
      </c>
      <c r="T35" s="28">
        <f t="shared" si="9"/>
        <v>0</v>
      </c>
      <c r="U35" s="28">
        <f t="shared" si="9"/>
        <v>0</v>
      </c>
      <c r="V35" s="28">
        <f t="shared" si="9"/>
        <v>0</v>
      </c>
      <c r="W35" s="28">
        <f t="shared" si="9"/>
        <v>0</v>
      </c>
      <c r="X35" s="29">
        <f t="shared" si="9"/>
        <v>0</v>
      </c>
      <c r="Y35" s="24"/>
    </row>
    <row r="36" spans="2:25" ht="15" customHeight="1" x14ac:dyDescent="0.2">
      <c r="B36" s="31">
        <v>41913</v>
      </c>
      <c r="C36" s="77">
        <v>13.082000000000001</v>
      </c>
      <c r="D36" s="76">
        <v>7.4409999999999998</v>
      </c>
      <c r="E36" s="76">
        <v>8.7349999999999994</v>
      </c>
      <c r="F36" s="78">
        <v>14.122</v>
      </c>
      <c r="G36" s="78">
        <v>9.6189999999999998</v>
      </c>
      <c r="H36" s="16">
        <v>11.257</v>
      </c>
      <c r="I36" s="17">
        <v>105.4</v>
      </c>
      <c r="J36" s="58">
        <v>943</v>
      </c>
      <c r="K36" s="18">
        <f t="shared" si="8"/>
        <v>63</v>
      </c>
      <c r="L36" s="19">
        <f t="shared" si="1"/>
        <v>-3.0000000000001137</v>
      </c>
      <c r="M36" s="19">
        <f t="shared" si="1"/>
        <v>-1.000000000000334</v>
      </c>
      <c r="N36" s="19">
        <f t="shared" si="1"/>
        <v>-4.0000000000013358</v>
      </c>
      <c r="O36" s="19">
        <f t="shared" si="5"/>
        <v>-5.0000000000007816</v>
      </c>
      <c r="P36" s="19">
        <f t="shared" si="6"/>
        <v>-1.9999999999997797</v>
      </c>
      <c r="Q36" s="19">
        <f t="shared" si="7"/>
        <v>-2.0000000000006679</v>
      </c>
      <c r="R36" s="19">
        <f t="shared" si="2"/>
        <v>-9.0000000000003411</v>
      </c>
      <c r="S36" s="27">
        <f t="shared" si="9"/>
        <v>0</v>
      </c>
      <c r="T36" s="28">
        <f t="shared" si="9"/>
        <v>0</v>
      </c>
      <c r="U36" s="28">
        <f t="shared" si="9"/>
        <v>0</v>
      </c>
      <c r="V36" s="28">
        <f t="shared" si="9"/>
        <v>0</v>
      </c>
      <c r="W36" s="28">
        <f t="shared" si="9"/>
        <v>0</v>
      </c>
      <c r="X36" s="29">
        <f t="shared" si="9"/>
        <v>0</v>
      </c>
      <c r="Y36" s="24"/>
    </row>
    <row r="37" spans="2:25" ht="15" customHeight="1" x14ac:dyDescent="0.2">
      <c r="B37" s="31">
        <v>42032</v>
      </c>
      <c r="C37" s="25">
        <v>13.081</v>
      </c>
      <c r="D37" s="26">
        <v>7.4409999999999998</v>
      </c>
      <c r="E37" s="26">
        <v>8.7349999999999994</v>
      </c>
      <c r="F37" s="78">
        <v>14.122</v>
      </c>
      <c r="G37" s="78">
        <v>9.6189999999999998</v>
      </c>
      <c r="H37" s="16">
        <v>11.257</v>
      </c>
      <c r="I37" s="17">
        <v>105.4</v>
      </c>
      <c r="J37" s="58">
        <v>943</v>
      </c>
      <c r="K37" s="18">
        <f t="shared" si="8"/>
        <v>63</v>
      </c>
      <c r="L37" s="19">
        <f t="shared" si="1"/>
        <v>-4.0000000000013358</v>
      </c>
      <c r="M37" s="19">
        <f t="shared" si="1"/>
        <v>-1.000000000000334</v>
      </c>
      <c r="N37" s="19">
        <f t="shared" si="1"/>
        <v>-4.0000000000013358</v>
      </c>
      <c r="O37" s="19">
        <f t="shared" si="5"/>
        <v>-5.0000000000007816</v>
      </c>
      <c r="P37" s="19">
        <f t="shared" si="6"/>
        <v>-1.9999999999997797</v>
      </c>
      <c r="Q37" s="19">
        <f t="shared" si="7"/>
        <v>-2.0000000000006679</v>
      </c>
      <c r="R37" s="19">
        <f t="shared" si="2"/>
        <v>-9.0000000000003411</v>
      </c>
      <c r="S37" s="27">
        <f>IF(C37="","",((C37-C36)*1000)/($B37-$B36))</f>
        <v>-8.4033613445480843E-3</v>
      </c>
      <c r="T37" s="28">
        <f>IF(D37="","",((D37-D36)*1000)/($B37-$B36))</f>
        <v>0</v>
      </c>
      <c r="U37" s="28">
        <f>IF(E37="","",((E37-E36)*1000)/($B37-$B36))</f>
        <v>0</v>
      </c>
      <c r="V37" s="28">
        <f t="shared" si="9"/>
        <v>0</v>
      </c>
      <c r="W37" s="28">
        <f t="shared" si="9"/>
        <v>0</v>
      </c>
      <c r="X37" s="29">
        <f t="shared" si="9"/>
        <v>0</v>
      </c>
      <c r="Y37" s="24"/>
    </row>
    <row r="38" spans="2:25" ht="15" customHeight="1" x14ac:dyDescent="0.2">
      <c r="B38" s="31">
        <v>42121</v>
      </c>
      <c r="C38" s="25"/>
      <c r="D38" s="26"/>
      <c r="E38" s="26"/>
      <c r="F38" s="78">
        <v>14.122</v>
      </c>
      <c r="G38" s="78">
        <v>9.6189999999999998</v>
      </c>
      <c r="H38" s="16">
        <v>11.257999999999999</v>
      </c>
      <c r="I38" s="17">
        <v>105.4</v>
      </c>
      <c r="J38" s="58">
        <v>943</v>
      </c>
      <c r="K38" s="18">
        <f t="shared" si="8"/>
        <v>63</v>
      </c>
      <c r="L38" s="19" t="str">
        <f t="shared" si="1"/>
        <v/>
      </c>
      <c r="M38" s="19" t="str">
        <f t="shared" si="1"/>
        <v/>
      </c>
      <c r="N38" s="19" t="str">
        <f t="shared" si="1"/>
        <v/>
      </c>
      <c r="O38" s="19">
        <f t="shared" si="5"/>
        <v>-5.0000000000007816</v>
      </c>
      <c r="P38" s="19">
        <f t="shared" si="6"/>
        <v>-1.9999999999997797</v>
      </c>
      <c r="Q38" s="19">
        <f t="shared" si="7"/>
        <v>-1.0000000000012221</v>
      </c>
      <c r="R38" s="19">
        <f t="shared" si="2"/>
        <v>-9.0000000000003411</v>
      </c>
      <c r="S38" s="27" t="str">
        <f t="shared" si="9"/>
        <v/>
      </c>
      <c r="T38" s="28" t="str">
        <f t="shared" si="9"/>
        <v/>
      </c>
      <c r="U38" s="28" t="str">
        <f t="shared" si="9"/>
        <v/>
      </c>
      <c r="V38" s="28">
        <f t="shared" si="9"/>
        <v>0</v>
      </c>
      <c r="W38" s="28">
        <f t="shared" si="9"/>
        <v>0</v>
      </c>
      <c r="X38" s="29">
        <f t="shared" si="9"/>
        <v>1.1235955056173547E-2</v>
      </c>
      <c r="Y38" s="24"/>
    </row>
    <row r="39" spans="2:25" ht="15" customHeight="1" x14ac:dyDescent="0.2">
      <c r="B39" s="31">
        <v>42223</v>
      </c>
      <c r="C39" s="25"/>
      <c r="D39" s="26"/>
      <c r="E39" s="26"/>
      <c r="F39" s="78">
        <v>14.122</v>
      </c>
      <c r="G39" s="78">
        <v>9.6189999999999998</v>
      </c>
      <c r="H39" s="47">
        <v>11.257999999999999</v>
      </c>
      <c r="I39" s="57">
        <v>105.4</v>
      </c>
      <c r="J39" s="32">
        <v>1304</v>
      </c>
      <c r="K39" s="18">
        <f t="shared" si="8"/>
        <v>424</v>
      </c>
      <c r="L39" s="19" t="str">
        <f t="shared" si="1"/>
        <v/>
      </c>
      <c r="M39" s="19" t="str">
        <f t="shared" si="1"/>
        <v/>
      </c>
      <c r="N39" s="19" t="str">
        <f t="shared" si="1"/>
        <v/>
      </c>
      <c r="O39" s="19">
        <f t="shared" si="5"/>
        <v>-5.0000000000007816</v>
      </c>
      <c r="P39" s="19">
        <f t="shared" si="6"/>
        <v>-1.9999999999997797</v>
      </c>
      <c r="Q39" s="19">
        <f t="shared" si="7"/>
        <v>-1.0000000000012221</v>
      </c>
      <c r="R39" s="19">
        <f t="shared" si="2"/>
        <v>-9.0000000000003411</v>
      </c>
      <c r="S39" s="27" t="str">
        <f t="shared" si="9"/>
        <v/>
      </c>
      <c r="T39" s="28" t="str">
        <f t="shared" si="9"/>
        <v/>
      </c>
      <c r="U39" s="28" t="str">
        <f t="shared" si="9"/>
        <v/>
      </c>
      <c r="V39" s="28">
        <f t="shared" si="9"/>
        <v>0</v>
      </c>
      <c r="W39" s="28">
        <f t="shared" si="9"/>
        <v>0</v>
      </c>
      <c r="X39" s="29">
        <f t="shared" si="9"/>
        <v>0</v>
      </c>
      <c r="Y39" s="24"/>
    </row>
    <row r="40" spans="2:25" ht="15" customHeight="1" x14ac:dyDescent="0.2">
      <c r="B40" s="31">
        <v>42327</v>
      </c>
      <c r="C40" s="25">
        <v>13.082000000000001</v>
      </c>
      <c r="D40" s="26">
        <v>7.4409999999999998</v>
      </c>
      <c r="E40" s="26">
        <v>8.7349999999999994</v>
      </c>
      <c r="F40" s="78">
        <v>14.122</v>
      </c>
      <c r="G40" s="78">
        <v>9.6189999999999998</v>
      </c>
      <c r="H40" s="47">
        <v>11.257</v>
      </c>
      <c r="I40" s="57">
        <v>105.4</v>
      </c>
      <c r="J40" s="32">
        <v>2251</v>
      </c>
      <c r="K40" s="18">
        <f t="shared" si="8"/>
        <v>1371</v>
      </c>
      <c r="L40" s="19">
        <f t="shared" si="1"/>
        <v>-3.0000000000001137</v>
      </c>
      <c r="M40" s="19">
        <f t="shared" si="1"/>
        <v>-1.000000000000334</v>
      </c>
      <c r="N40" s="19">
        <f t="shared" si="1"/>
        <v>-4.0000000000013358</v>
      </c>
      <c r="O40" s="19">
        <f t="shared" si="5"/>
        <v>-5.0000000000007816</v>
      </c>
      <c r="P40" s="19">
        <f t="shared" si="6"/>
        <v>-1.9999999999997797</v>
      </c>
      <c r="Q40" s="19">
        <f t="shared" si="7"/>
        <v>-2.0000000000006679</v>
      </c>
      <c r="R40" s="19">
        <f t="shared" si="2"/>
        <v>-9.0000000000003411</v>
      </c>
      <c r="S40" s="27"/>
      <c r="T40" s="28"/>
      <c r="U40" s="28"/>
      <c r="V40" s="28">
        <f t="shared" si="9"/>
        <v>0</v>
      </c>
      <c r="W40" s="28">
        <f t="shared" si="9"/>
        <v>0</v>
      </c>
      <c r="X40" s="29">
        <f t="shared" si="9"/>
        <v>-9.6153846153792868E-3</v>
      </c>
      <c r="Y40" s="24"/>
    </row>
    <row r="41" spans="2:25" ht="15" customHeight="1" x14ac:dyDescent="0.2">
      <c r="B41" s="31">
        <v>42424</v>
      </c>
      <c r="C41" s="73"/>
      <c r="D41" s="26"/>
      <c r="E41" s="71"/>
      <c r="F41" s="78">
        <v>14.122</v>
      </c>
      <c r="G41" s="78">
        <v>9.6189999999999998</v>
      </c>
      <c r="H41" s="47">
        <v>11.257</v>
      </c>
      <c r="I41" s="57">
        <v>105.4</v>
      </c>
      <c r="J41" s="32">
        <v>2540.5</v>
      </c>
      <c r="K41" s="18">
        <f t="shared" si="8"/>
        <v>1660.5</v>
      </c>
      <c r="L41" s="19" t="str">
        <f t="shared" si="1"/>
        <v/>
      </c>
      <c r="M41" s="19" t="str">
        <f t="shared" si="1"/>
        <v/>
      </c>
      <c r="N41" s="19" t="str">
        <f t="shared" si="1"/>
        <v/>
      </c>
      <c r="O41" s="19">
        <f t="shared" si="5"/>
        <v>-5.0000000000007816</v>
      </c>
      <c r="P41" s="19">
        <f t="shared" si="6"/>
        <v>-1.9999999999997797</v>
      </c>
      <c r="Q41" s="19">
        <f t="shared" si="7"/>
        <v>-2.0000000000006679</v>
      </c>
      <c r="R41" s="19">
        <f t="shared" si="2"/>
        <v>-9.0000000000003411</v>
      </c>
      <c r="S41" s="27" t="str">
        <f t="shared" si="9"/>
        <v/>
      </c>
      <c r="T41" s="28" t="str">
        <f t="shared" si="9"/>
        <v/>
      </c>
      <c r="U41" s="28" t="str">
        <f t="shared" si="9"/>
        <v/>
      </c>
      <c r="V41" s="28">
        <f t="shared" si="9"/>
        <v>0</v>
      </c>
      <c r="W41" s="28">
        <f t="shared" si="9"/>
        <v>0</v>
      </c>
      <c r="X41" s="29">
        <f t="shared" si="9"/>
        <v>0</v>
      </c>
      <c r="Y41" s="24"/>
    </row>
    <row r="42" spans="2:25" ht="15" customHeight="1" x14ac:dyDescent="0.2">
      <c r="B42" s="31">
        <v>42530</v>
      </c>
      <c r="C42" s="26"/>
      <c r="D42" s="26"/>
      <c r="E42" s="26"/>
      <c r="F42" s="47">
        <v>14.125999999999999</v>
      </c>
      <c r="G42" s="47">
        <v>9.6219999999999999</v>
      </c>
      <c r="H42" s="47">
        <v>11.256</v>
      </c>
      <c r="I42" s="57">
        <v>105.4</v>
      </c>
      <c r="J42" s="58">
        <v>2608</v>
      </c>
      <c r="K42" s="18">
        <f t="shared" si="8"/>
        <v>1728</v>
      </c>
      <c r="L42" s="19" t="str">
        <f t="shared" si="1"/>
        <v/>
      </c>
      <c r="M42" s="19" t="str">
        <f t="shared" si="1"/>
        <v/>
      </c>
      <c r="N42" s="19" t="str">
        <f t="shared" si="1"/>
        <v/>
      </c>
      <c r="O42" s="19">
        <f t="shared" si="5"/>
        <v>-1.0000000000012221</v>
      </c>
      <c r="P42" s="19">
        <f t="shared" si="6"/>
        <v>1.000000000000334</v>
      </c>
      <c r="Q42" s="19">
        <f t="shared" si="7"/>
        <v>-3.0000000000001137</v>
      </c>
      <c r="R42" s="19">
        <f t="shared" si="2"/>
        <v>-9.0000000000003411</v>
      </c>
      <c r="S42" s="27" t="str">
        <f t="shared" si="9"/>
        <v/>
      </c>
      <c r="T42" s="28" t="str">
        <f t="shared" si="9"/>
        <v/>
      </c>
      <c r="U42" s="28" t="str">
        <f t="shared" si="9"/>
        <v/>
      </c>
      <c r="V42" s="28">
        <f t="shared" si="9"/>
        <v>3.7735849056599616E-2</v>
      </c>
      <c r="W42" s="28">
        <f t="shared" si="9"/>
        <v>2.8301886792453903E-2</v>
      </c>
      <c r="X42" s="29">
        <f t="shared" si="9"/>
        <v>-9.4339622641457146E-3</v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 t="str">
        <f t="shared" si="8"/>
        <v/>
      </c>
      <c r="L43" s="19" t="str">
        <f t="shared" si="1"/>
        <v/>
      </c>
      <c r="M43" s="19" t="str">
        <f t="shared" si="1"/>
        <v/>
      </c>
      <c r="N43" s="19" t="str">
        <f t="shared" si="1"/>
        <v/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 t="str">
        <f t="shared" si="2"/>
        <v/>
      </c>
      <c r="S43" s="27" t="str">
        <f t="shared" si="9"/>
        <v/>
      </c>
      <c r="T43" s="28" t="str">
        <f t="shared" si="9"/>
        <v/>
      </c>
      <c r="U43" s="28" t="str">
        <f t="shared" si="9"/>
        <v/>
      </c>
      <c r="V43" s="28" t="str">
        <f t="shared" si="9"/>
        <v/>
      </c>
      <c r="W43" s="28" t="str">
        <f t="shared" si="9"/>
        <v/>
      </c>
      <c r="X43" s="29" t="str">
        <f t="shared" si="9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18" t="str">
        <f t="shared" si="8"/>
        <v/>
      </c>
      <c r="L44" s="19" t="str">
        <f t="shared" si="1"/>
        <v/>
      </c>
      <c r="M44" s="19" t="str">
        <f t="shared" si="1"/>
        <v/>
      </c>
      <c r="N44" s="19" t="str">
        <f t="shared" si="1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2"/>
        <v/>
      </c>
      <c r="S44" s="27" t="str">
        <f t="shared" si="9"/>
        <v/>
      </c>
      <c r="T44" s="28" t="str">
        <f t="shared" si="9"/>
        <v/>
      </c>
      <c r="U44" s="28" t="str">
        <f t="shared" si="9"/>
        <v/>
      </c>
      <c r="V44" s="28" t="str">
        <f t="shared" si="9"/>
        <v/>
      </c>
      <c r="W44" s="28" t="str">
        <f t="shared" si="9"/>
        <v/>
      </c>
      <c r="X44" s="29" t="str">
        <f t="shared" si="9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18" t="str">
        <f t="shared" si="8"/>
        <v/>
      </c>
      <c r="L45" s="19" t="str">
        <f t="shared" si="1"/>
        <v/>
      </c>
      <c r="M45" s="19" t="str">
        <f t="shared" si="1"/>
        <v/>
      </c>
      <c r="N45" s="19" t="str">
        <f t="shared" si="1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2"/>
        <v/>
      </c>
      <c r="S45" s="27" t="str">
        <f t="shared" si="9"/>
        <v/>
      </c>
      <c r="T45" s="28" t="str">
        <f t="shared" si="9"/>
        <v/>
      </c>
      <c r="U45" s="28" t="str">
        <f t="shared" si="9"/>
        <v/>
      </c>
      <c r="V45" s="28" t="str">
        <f t="shared" si="9"/>
        <v/>
      </c>
      <c r="W45" s="28" t="str">
        <f t="shared" si="9"/>
        <v/>
      </c>
      <c r="X45" s="29" t="str">
        <f t="shared" si="9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18" t="str">
        <f t="shared" si="8"/>
        <v/>
      </c>
      <c r="L46" s="19" t="str">
        <f t="shared" si="1"/>
        <v/>
      </c>
      <c r="M46" s="19" t="str">
        <f t="shared" si="1"/>
        <v/>
      </c>
      <c r="N46" s="19" t="str">
        <f t="shared" si="1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2"/>
        <v/>
      </c>
      <c r="S46" s="27" t="str">
        <f t="shared" si="9"/>
        <v/>
      </c>
      <c r="T46" s="28" t="str">
        <f t="shared" si="9"/>
        <v/>
      </c>
      <c r="U46" s="28" t="str">
        <f t="shared" si="9"/>
        <v/>
      </c>
      <c r="V46" s="28" t="str">
        <f t="shared" si="9"/>
        <v/>
      </c>
      <c r="W46" s="28" t="str">
        <f t="shared" si="9"/>
        <v/>
      </c>
      <c r="X46" s="29" t="str">
        <f t="shared" si="9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 t="str">
        <f t="shared" si="8"/>
        <v/>
      </c>
      <c r="L47" s="19" t="str">
        <f t="shared" si="1"/>
        <v/>
      </c>
      <c r="M47" s="19" t="str">
        <f t="shared" si="1"/>
        <v/>
      </c>
      <c r="N47" s="19" t="str">
        <f t="shared" si="1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2"/>
        <v/>
      </c>
      <c r="S47" s="27" t="str">
        <f t="shared" si="9"/>
        <v/>
      </c>
      <c r="T47" s="28" t="str">
        <f t="shared" si="9"/>
        <v/>
      </c>
      <c r="U47" s="28" t="str">
        <f t="shared" si="9"/>
        <v/>
      </c>
      <c r="V47" s="28" t="str">
        <f t="shared" si="9"/>
        <v/>
      </c>
      <c r="W47" s="28" t="str">
        <f t="shared" si="9"/>
        <v/>
      </c>
      <c r="X47" s="29" t="str">
        <f t="shared" si="9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 t="str">
        <f t="shared" si="8"/>
        <v/>
      </c>
      <c r="L48" s="19" t="str">
        <f t="shared" ref="L48:N79" si="10">IF(ISBLANK(C48),"",(C48-C$16)*1000)</f>
        <v/>
      </c>
      <c r="M48" s="19" t="str">
        <f t="shared" si="10"/>
        <v/>
      </c>
      <c r="N48" s="19" t="str">
        <f t="shared" si="10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2"/>
        <v/>
      </c>
      <c r="S48" s="27" t="str">
        <f t="shared" si="9"/>
        <v/>
      </c>
      <c r="T48" s="28" t="str">
        <f t="shared" si="9"/>
        <v/>
      </c>
      <c r="U48" s="28" t="str">
        <f t="shared" si="9"/>
        <v/>
      </c>
      <c r="V48" s="28" t="str">
        <f t="shared" si="9"/>
        <v/>
      </c>
      <c r="W48" s="28" t="str">
        <f t="shared" si="9"/>
        <v/>
      </c>
      <c r="X48" s="29" t="str">
        <f t="shared" si="9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 t="str">
        <f t="shared" si="8"/>
        <v/>
      </c>
      <c r="L49" s="19" t="str">
        <f t="shared" si="10"/>
        <v/>
      </c>
      <c r="M49" s="19" t="str">
        <f t="shared" si="10"/>
        <v/>
      </c>
      <c r="N49" s="19" t="str">
        <f t="shared" si="10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2"/>
        <v/>
      </c>
      <c r="S49" s="27" t="str">
        <f t="shared" ref="S49:X64" si="11">IF(C49="","",((C49-C48)*1000)/($B49-$B48))</f>
        <v/>
      </c>
      <c r="T49" s="28" t="str">
        <f t="shared" si="11"/>
        <v/>
      </c>
      <c r="U49" s="28" t="str">
        <f t="shared" si="11"/>
        <v/>
      </c>
      <c r="V49" s="28" t="str">
        <f t="shared" si="11"/>
        <v/>
      </c>
      <c r="W49" s="28" t="str">
        <f t="shared" si="11"/>
        <v/>
      </c>
      <c r="X49" s="29" t="str">
        <f t="shared" si="11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 t="str">
        <f t="shared" si="8"/>
        <v/>
      </c>
      <c r="L50" s="19" t="str">
        <f t="shared" si="10"/>
        <v/>
      </c>
      <c r="M50" s="19" t="str">
        <f t="shared" si="10"/>
        <v/>
      </c>
      <c r="N50" s="19" t="str">
        <f t="shared" si="10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2"/>
        <v/>
      </c>
      <c r="S50" s="27" t="str">
        <f t="shared" si="11"/>
        <v/>
      </c>
      <c r="T50" s="28" t="str">
        <f t="shared" si="11"/>
        <v/>
      </c>
      <c r="U50" s="28" t="str">
        <f t="shared" si="11"/>
        <v/>
      </c>
      <c r="V50" s="28" t="str">
        <f t="shared" si="11"/>
        <v/>
      </c>
      <c r="W50" s="28" t="str">
        <f t="shared" si="11"/>
        <v/>
      </c>
      <c r="X50" s="29" t="str">
        <f t="shared" si="11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 t="str">
        <f t="shared" si="8"/>
        <v/>
      </c>
      <c r="L51" s="19" t="str">
        <f t="shared" si="10"/>
        <v/>
      </c>
      <c r="M51" s="19" t="str">
        <f t="shared" si="10"/>
        <v/>
      </c>
      <c r="N51" s="19" t="str">
        <f t="shared" si="10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2"/>
        <v/>
      </c>
      <c r="S51" s="27" t="str">
        <f t="shared" si="11"/>
        <v/>
      </c>
      <c r="T51" s="28" t="str">
        <f t="shared" si="11"/>
        <v/>
      </c>
      <c r="U51" s="28" t="str">
        <f t="shared" si="11"/>
        <v/>
      </c>
      <c r="V51" s="28" t="str">
        <f t="shared" si="11"/>
        <v/>
      </c>
      <c r="W51" s="28" t="str">
        <f t="shared" si="11"/>
        <v/>
      </c>
      <c r="X51" s="29" t="str">
        <f t="shared" si="11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 t="str">
        <f t="shared" si="8"/>
        <v/>
      </c>
      <c r="L52" s="19" t="str">
        <f t="shared" si="10"/>
        <v/>
      </c>
      <c r="M52" s="19" t="str">
        <f t="shared" si="10"/>
        <v/>
      </c>
      <c r="N52" s="19" t="str">
        <f t="shared" si="10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2"/>
        <v/>
      </c>
      <c r="S52" s="27" t="str">
        <f t="shared" si="11"/>
        <v/>
      </c>
      <c r="T52" s="28" t="str">
        <f t="shared" si="11"/>
        <v/>
      </c>
      <c r="U52" s="28" t="str">
        <f t="shared" si="11"/>
        <v/>
      </c>
      <c r="V52" s="28" t="str">
        <f t="shared" si="11"/>
        <v/>
      </c>
      <c r="W52" s="28" t="str">
        <f t="shared" si="11"/>
        <v/>
      </c>
      <c r="X52" s="29" t="str">
        <f t="shared" si="11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 t="str">
        <f t="shared" si="8"/>
        <v/>
      </c>
      <c r="L53" s="19" t="str">
        <f t="shared" si="10"/>
        <v/>
      </c>
      <c r="M53" s="19" t="str">
        <f t="shared" si="10"/>
        <v/>
      </c>
      <c r="N53" s="19" t="str">
        <f t="shared" si="10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2"/>
        <v/>
      </c>
      <c r="S53" s="27" t="str">
        <f t="shared" si="11"/>
        <v/>
      </c>
      <c r="T53" s="28" t="str">
        <f t="shared" si="11"/>
        <v/>
      </c>
      <c r="U53" s="28" t="str">
        <f t="shared" si="11"/>
        <v/>
      </c>
      <c r="V53" s="28" t="str">
        <f t="shared" si="11"/>
        <v/>
      </c>
      <c r="W53" s="28" t="str">
        <f t="shared" si="11"/>
        <v/>
      </c>
      <c r="X53" s="29" t="str">
        <f t="shared" si="11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 t="str">
        <f t="shared" si="8"/>
        <v/>
      </c>
      <c r="L54" s="19" t="str">
        <f t="shared" si="10"/>
        <v/>
      </c>
      <c r="M54" s="19" t="str">
        <f t="shared" si="10"/>
        <v/>
      </c>
      <c r="N54" s="19" t="str">
        <f t="shared" si="10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2"/>
        <v/>
      </c>
      <c r="S54" s="27" t="str">
        <f t="shared" si="11"/>
        <v/>
      </c>
      <c r="T54" s="28" t="str">
        <f t="shared" si="11"/>
        <v/>
      </c>
      <c r="U54" s="28" t="str">
        <f t="shared" si="11"/>
        <v/>
      </c>
      <c r="V54" s="28" t="str">
        <f t="shared" si="11"/>
        <v/>
      </c>
      <c r="W54" s="28" t="str">
        <f t="shared" si="11"/>
        <v/>
      </c>
      <c r="X54" s="29" t="str">
        <f t="shared" si="11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 t="str">
        <f t="shared" si="8"/>
        <v/>
      </c>
      <c r="L55" s="19" t="str">
        <f t="shared" si="10"/>
        <v/>
      </c>
      <c r="M55" s="19" t="str">
        <f t="shared" si="10"/>
        <v/>
      </c>
      <c r="N55" s="19" t="str">
        <f t="shared" si="10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2"/>
        <v/>
      </c>
      <c r="S55" s="27" t="str">
        <f t="shared" si="11"/>
        <v/>
      </c>
      <c r="T55" s="28" t="str">
        <f t="shared" si="11"/>
        <v/>
      </c>
      <c r="U55" s="28" t="str">
        <f t="shared" si="11"/>
        <v/>
      </c>
      <c r="V55" s="28" t="str">
        <f t="shared" si="11"/>
        <v/>
      </c>
      <c r="W55" s="28" t="str">
        <f t="shared" si="11"/>
        <v/>
      </c>
      <c r="X55" s="29" t="str">
        <f t="shared" si="11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 t="str">
        <f t="shared" si="8"/>
        <v/>
      </c>
      <c r="L56" s="19" t="str">
        <f t="shared" si="10"/>
        <v/>
      </c>
      <c r="M56" s="19" t="str">
        <f t="shared" si="10"/>
        <v/>
      </c>
      <c r="N56" s="19" t="str">
        <f t="shared" si="10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2"/>
        <v/>
      </c>
      <c r="S56" s="27" t="str">
        <f t="shared" si="11"/>
        <v/>
      </c>
      <c r="T56" s="28" t="str">
        <f t="shared" si="11"/>
        <v/>
      </c>
      <c r="U56" s="28" t="str">
        <f t="shared" si="11"/>
        <v/>
      </c>
      <c r="V56" s="28" t="str">
        <f t="shared" si="11"/>
        <v/>
      </c>
      <c r="W56" s="28" t="str">
        <f t="shared" si="11"/>
        <v/>
      </c>
      <c r="X56" s="29" t="str">
        <f t="shared" si="11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 t="str">
        <f t="shared" si="8"/>
        <v/>
      </c>
      <c r="L57" s="19" t="str">
        <f t="shared" si="10"/>
        <v/>
      </c>
      <c r="M57" s="19" t="str">
        <f t="shared" si="10"/>
        <v/>
      </c>
      <c r="N57" s="19" t="str">
        <f t="shared" si="10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2"/>
        <v/>
      </c>
      <c r="S57" s="27" t="str">
        <f t="shared" si="11"/>
        <v/>
      </c>
      <c r="T57" s="28" t="str">
        <f t="shared" si="11"/>
        <v/>
      </c>
      <c r="U57" s="28" t="str">
        <f t="shared" si="11"/>
        <v/>
      </c>
      <c r="V57" s="28" t="str">
        <f t="shared" si="11"/>
        <v/>
      </c>
      <c r="W57" s="28" t="str">
        <f t="shared" si="11"/>
        <v/>
      </c>
      <c r="X57" s="29" t="str">
        <f t="shared" si="11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 t="str">
        <f t="shared" si="8"/>
        <v/>
      </c>
      <c r="L58" s="19" t="str">
        <f t="shared" si="10"/>
        <v/>
      </c>
      <c r="M58" s="19" t="str">
        <f t="shared" si="10"/>
        <v/>
      </c>
      <c r="N58" s="19" t="str">
        <f t="shared" si="10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2"/>
        <v/>
      </c>
      <c r="S58" s="27" t="str">
        <f t="shared" si="11"/>
        <v/>
      </c>
      <c r="T58" s="28" t="str">
        <f t="shared" si="11"/>
        <v/>
      </c>
      <c r="U58" s="28" t="str">
        <f t="shared" si="11"/>
        <v/>
      </c>
      <c r="V58" s="28" t="str">
        <f t="shared" si="11"/>
        <v/>
      </c>
      <c r="W58" s="28" t="str">
        <f t="shared" si="11"/>
        <v/>
      </c>
      <c r="X58" s="29" t="str">
        <f t="shared" si="11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 t="str">
        <f t="shared" si="8"/>
        <v/>
      </c>
      <c r="L59" s="19" t="str">
        <f t="shared" si="10"/>
        <v/>
      </c>
      <c r="M59" s="19" t="str">
        <f t="shared" si="10"/>
        <v/>
      </c>
      <c r="N59" s="19" t="str">
        <f t="shared" si="10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2"/>
        <v/>
      </c>
      <c r="S59" s="27" t="str">
        <f t="shared" si="11"/>
        <v/>
      </c>
      <c r="T59" s="28" t="str">
        <f t="shared" si="11"/>
        <v/>
      </c>
      <c r="U59" s="28" t="str">
        <f t="shared" si="11"/>
        <v/>
      </c>
      <c r="V59" s="28" t="str">
        <f t="shared" si="11"/>
        <v/>
      </c>
      <c r="W59" s="28" t="str">
        <f t="shared" si="11"/>
        <v/>
      </c>
      <c r="X59" s="29" t="str">
        <f t="shared" si="11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8"/>
        <v/>
      </c>
      <c r="L60" s="19" t="str">
        <f t="shared" si="10"/>
        <v/>
      </c>
      <c r="M60" s="19" t="str">
        <f t="shared" si="10"/>
        <v/>
      </c>
      <c r="N60" s="19" t="str">
        <f t="shared" si="10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2"/>
        <v/>
      </c>
      <c r="S60" s="27" t="str">
        <f t="shared" si="11"/>
        <v/>
      </c>
      <c r="T60" s="28" t="str">
        <f t="shared" si="11"/>
        <v/>
      </c>
      <c r="U60" s="28" t="str">
        <f t="shared" si="11"/>
        <v/>
      </c>
      <c r="V60" s="28" t="str">
        <f t="shared" si="11"/>
        <v/>
      </c>
      <c r="W60" s="28" t="str">
        <f t="shared" si="11"/>
        <v/>
      </c>
      <c r="X60" s="29" t="str">
        <f t="shared" si="11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8"/>
        <v/>
      </c>
      <c r="L61" s="19" t="str">
        <f t="shared" si="10"/>
        <v/>
      </c>
      <c r="M61" s="19" t="str">
        <f t="shared" si="10"/>
        <v/>
      </c>
      <c r="N61" s="19" t="str">
        <f t="shared" si="10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2"/>
        <v/>
      </c>
      <c r="S61" s="27" t="str">
        <f t="shared" si="11"/>
        <v/>
      </c>
      <c r="T61" s="28" t="str">
        <f t="shared" si="11"/>
        <v/>
      </c>
      <c r="U61" s="28" t="str">
        <f t="shared" si="11"/>
        <v/>
      </c>
      <c r="V61" s="28" t="str">
        <f t="shared" si="11"/>
        <v/>
      </c>
      <c r="W61" s="28" t="str">
        <f t="shared" si="11"/>
        <v/>
      </c>
      <c r="X61" s="29" t="str">
        <f t="shared" si="11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8"/>
        <v/>
      </c>
      <c r="L62" s="19" t="str">
        <f t="shared" si="10"/>
        <v/>
      </c>
      <c r="M62" s="19" t="str">
        <f t="shared" si="10"/>
        <v/>
      </c>
      <c r="N62" s="19" t="str">
        <f t="shared" si="10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si="2"/>
        <v/>
      </c>
      <c r="S62" s="27" t="str">
        <f t="shared" si="11"/>
        <v/>
      </c>
      <c r="T62" s="28" t="str">
        <f t="shared" si="11"/>
        <v/>
      </c>
      <c r="U62" s="28" t="str">
        <f t="shared" si="11"/>
        <v/>
      </c>
      <c r="V62" s="28" t="str">
        <f t="shared" si="11"/>
        <v/>
      </c>
      <c r="W62" s="28" t="str">
        <f t="shared" si="11"/>
        <v/>
      </c>
      <c r="X62" s="29" t="str">
        <f t="shared" si="11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8"/>
        <v/>
      </c>
      <c r="L63" s="19" t="str">
        <f t="shared" si="10"/>
        <v/>
      </c>
      <c r="M63" s="19" t="str">
        <f t="shared" si="10"/>
        <v/>
      </c>
      <c r="N63" s="19" t="str">
        <f t="shared" si="10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2"/>
        <v/>
      </c>
      <c r="S63" s="27" t="str">
        <f t="shared" si="11"/>
        <v/>
      </c>
      <c r="T63" s="28" t="str">
        <f t="shared" si="11"/>
        <v/>
      </c>
      <c r="U63" s="28" t="str">
        <f t="shared" si="11"/>
        <v/>
      </c>
      <c r="V63" s="28" t="str">
        <f t="shared" si="11"/>
        <v/>
      </c>
      <c r="W63" s="28" t="str">
        <f t="shared" si="11"/>
        <v/>
      </c>
      <c r="X63" s="29" t="str">
        <f t="shared" si="11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8"/>
        <v/>
      </c>
      <c r="L64" s="19" t="str">
        <f t="shared" si="10"/>
        <v/>
      </c>
      <c r="M64" s="19" t="str">
        <f t="shared" si="10"/>
        <v/>
      </c>
      <c r="N64" s="19" t="str">
        <f t="shared" si="10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2"/>
        <v/>
      </c>
      <c r="S64" s="27" t="str">
        <f t="shared" si="11"/>
        <v/>
      </c>
      <c r="T64" s="28" t="str">
        <f t="shared" si="11"/>
        <v/>
      </c>
      <c r="U64" s="28" t="str">
        <f t="shared" si="11"/>
        <v/>
      </c>
      <c r="V64" s="28" t="str">
        <f t="shared" si="11"/>
        <v/>
      </c>
      <c r="W64" s="28" t="str">
        <f t="shared" si="11"/>
        <v/>
      </c>
      <c r="X64" s="29" t="str">
        <f t="shared" si="11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8"/>
        <v/>
      </c>
      <c r="L65" s="19" t="str">
        <f t="shared" si="10"/>
        <v/>
      </c>
      <c r="M65" s="19" t="str">
        <f t="shared" si="10"/>
        <v/>
      </c>
      <c r="N65" s="19" t="str">
        <f t="shared" si="10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2"/>
        <v/>
      </c>
      <c r="S65" s="27" t="str">
        <f t="shared" ref="S65:X80" si="12">IF(C65="","",((C65-C64)*1000)/($B65-$B64))</f>
        <v/>
      </c>
      <c r="T65" s="28" t="str">
        <f t="shared" si="12"/>
        <v/>
      </c>
      <c r="U65" s="28" t="str">
        <f t="shared" si="12"/>
        <v/>
      </c>
      <c r="V65" s="28" t="str">
        <f t="shared" si="12"/>
        <v/>
      </c>
      <c r="W65" s="28" t="str">
        <f t="shared" si="12"/>
        <v/>
      </c>
      <c r="X65" s="29" t="str">
        <f t="shared" si="12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8"/>
        <v/>
      </c>
      <c r="L66" s="19" t="str">
        <f t="shared" si="10"/>
        <v/>
      </c>
      <c r="M66" s="19" t="str">
        <f t="shared" si="10"/>
        <v/>
      </c>
      <c r="N66" s="19" t="str">
        <f t="shared" si="10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2"/>
        <v/>
      </c>
      <c r="S66" s="27" t="str">
        <f t="shared" si="12"/>
        <v/>
      </c>
      <c r="T66" s="28" t="str">
        <f t="shared" si="12"/>
        <v/>
      </c>
      <c r="U66" s="28" t="str">
        <f t="shared" si="12"/>
        <v/>
      </c>
      <c r="V66" s="28" t="str">
        <f t="shared" si="12"/>
        <v/>
      </c>
      <c r="W66" s="28" t="str">
        <f t="shared" si="12"/>
        <v/>
      </c>
      <c r="X66" s="29" t="str">
        <f t="shared" si="12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8"/>
        <v/>
      </c>
      <c r="L67" s="19" t="str">
        <f t="shared" si="10"/>
        <v/>
      </c>
      <c r="M67" s="19" t="str">
        <f t="shared" si="10"/>
        <v/>
      </c>
      <c r="N67" s="19" t="str">
        <f t="shared" si="10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2"/>
        <v/>
      </c>
      <c r="S67" s="27" t="str">
        <f t="shared" si="12"/>
        <v/>
      </c>
      <c r="T67" s="28" t="str">
        <f t="shared" si="12"/>
        <v/>
      </c>
      <c r="U67" s="28" t="str">
        <f t="shared" si="12"/>
        <v/>
      </c>
      <c r="V67" s="28" t="str">
        <f t="shared" si="12"/>
        <v/>
      </c>
      <c r="W67" s="28" t="str">
        <f t="shared" si="12"/>
        <v/>
      </c>
      <c r="X67" s="29" t="str">
        <f t="shared" si="12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8"/>
        <v/>
      </c>
      <c r="L68" s="19" t="str">
        <f t="shared" si="10"/>
        <v/>
      </c>
      <c r="M68" s="19" t="str">
        <f t="shared" si="10"/>
        <v/>
      </c>
      <c r="N68" s="19" t="str">
        <f t="shared" si="10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2"/>
        <v/>
      </c>
      <c r="S68" s="27" t="str">
        <f t="shared" si="12"/>
        <v/>
      </c>
      <c r="T68" s="28" t="str">
        <f t="shared" si="12"/>
        <v/>
      </c>
      <c r="U68" s="28" t="str">
        <f t="shared" si="12"/>
        <v/>
      </c>
      <c r="V68" s="28" t="str">
        <f t="shared" si="12"/>
        <v/>
      </c>
      <c r="W68" s="28" t="str">
        <f t="shared" si="12"/>
        <v/>
      </c>
      <c r="X68" s="29" t="str">
        <f t="shared" si="12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8"/>
        <v/>
      </c>
      <c r="L69" s="19" t="str">
        <f t="shared" si="10"/>
        <v/>
      </c>
      <c r="M69" s="19" t="str">
        <f t="shared" si="10"/>
        <v/>
      </c>
      <c r="N69" s="19" t="str">
        <f t="shared" si="10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2"/>
        <v/>
      </c>
      <c r="S69" s="27" t="str">
        <f t="shared" si="12"/>
        <v/>
      </c>
      <c r="T69" s="28" t="str">
        <f t="shared" si="12"/>
        <v/>
      </c>
      <c r="U69" s="28" t="str">
        <f t="shared" si="12"/>
        <v/>
      </c>
      <c r="V69" s="28" t="str">
        <f t="shared" si="12"/>
        <v/>
      </c>
      <c r="W69" s="28" t="str">
        <f t="shared" si="12"/>
        <v/>
      </c>
      <c r="X69" s="29" t="str">
        <f t="shared" si="12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8"/>
        <v/>
      </c>
      <c r="L70" s="19" t="str">
        <f t="shared" si="10"/>
        <v/>
      </c>
      <c r="M70" s="19" t="str">
        <f t="shared" si="10"/>
        <v/>
      </c>
      <c r="N70" s="19" t="str">
        <f t="shared" si="10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2"/>
        <v/>
      </c>
      <c r="S70" s="27" t="str">
        <f t="shared" si="12"/>
        <v/>
      </c>
      <c r="T70" s="28" t="str">
        <f t="shared" si="12"/>
        <v/>
      </c>
      <c r="U70" s="28" t="str">
        <f t="shared" si="12"/>
        <v/>
      </c>
      <c r="V70" s="28" t="str">
        <f t="shared" si="12"/>
        <v/>
      </c>
      <c r="W70" s="28" t="str">
        <f t="shared" si="12"/>
        <v/>
      </c>
      <c r="X70" s="29" t="str">
        <f t="shared" si="12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8"/>
        <v/>
      </c>
      <c r="L71" s="19" t="str">
        <f t="shared" si="10"/>
        <v/>
      </c>
      <c r="M71" s="19" t="str">
        <f t="shared" si="10"/>
        <v/>
      </c>
      <c r="N71" s="19" t="str">
        <f t="shared" si="10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2"/>
        <v/>
      </c>
      <c r="S71" s="27" t="str">
        <f t="shared" si="12"/>
        <v/>
      </c>
      <c r="T71" s="28" t="str">
        <f t="shared" si="12"/>
        <v/>
      </c>
      <c r="U71" s="28" t="str">
        <f t="shared" si="12"/>
        <v/>
      </c>
      <c r="V71" s="28" t="str">
        <f t="shared" si="12"/>
        <v/>
      </c>
      <c r="W71" s="28" t="str">
        <f t="shared" si="12"/>
        <v/>
      </c>
      <c r="X71" s="29" t="str">
        <f t="shared" si="12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8"/>
        <v/>
      </c>
      <c r="L72" s="19" t="str">
        <f t="shared" si="10"/>
        <v/>
      </c>
      <c r="M72" s="19" t="str">
        <f t="shared" si="10"/>
        <v/>
      </c>
      <c r="N72" s="19" t="str">
        <f t="shared" si="10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2"/>
        <v/>
      </c>
      <c r="S72" s="27" t="str">
        <f t="shared" si="12"/>
        <v/>
      </c>
      <c r="T72" s="28" t="str">
        <f t="shared" si="12"/>
        <v/>
      </c>
      <c r="U72" s="28" t="str">
        <f t="shared" si="12"/>
        <v/>
      </c>
      <c r="V72" s="28" t="str">
        <f t="shared" si="12"/>
        <v/>
      </c>
      <c r="W72" s="28" t="str">
        <f t="shared" si="12"/>
        <v/>
      </c>
      <c r="X72" s="29" t="str">
        <f t="shared" si="12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8"/>
        <v/>
      </c>
      <c r="L73" s="19" t="str">
        <f t="shared" si="10"/>
        <v/>
      </c>
      <c r="M73" s="19" t="str">
        <f t="shared" si="10"/>
        <v/>
      </c>
      <c r="N73" s="19" t="str">
        <f t="shared" si="10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2"/>
        <v/>
      </c>
      <c r="S73" s="27" t="str">
        <f t="shared" si="12"/>
        <v/>
      </c>
      <c r="T73" s="28" t="str">
        <f t="shared" si="12"/>
        <v/>
      </c>
      <c r="U73" s="28" t="str">
        <f t="shared" si="12"/>
        <v/>
      </c>
      <c r="V73" s="28" t="str">
        <f t="shared" si="12"/>
        <v/>
      </c>
      <c r="W73" s="28" t="str">
        <f t="shared" si="12"/>
        <v/>
      </c>
      <c r="X73" s="29" t="str">
        <f t="shared" si="12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8"/>
        <v/>
      </c>
      <c r="L74" s="19" t="str">
        <f t="shared" si="10"/>
        <v/>
      </c>
      <c r="M74" s="19" t="str">
        <f t="shared" si="10"/>
        <v/>
      </c>
      <c r="N74" s="19" t="str">
        <f t="shared" si="10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2"/>
        <v/>
      </c>
      <c r="S74" s="27" t="str">
        <f t="shared" si="12"/>
        <v/>
      </c>
      <c r="T74" s="28" t="str">
        <f t="shared" si="12"/>
        <v/>
      </c>
      <c r="U74" s="28" t="str">
        <f t="shared" si="12"/>
        <v/>
      </c>
      <c r="V74" s="28" t="str">
        <f t="shared" si="12"/>
        <v/>
      </c>
      <c r="W74" s="28" t="str">
        <f t="shared" si="12"/>
        <v/>
      </c>
      <c r="X74" s="29" t="str">
        <f t="shared" si="12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8"/>
        <v/>
      </c>
      <c r="L75" s="19" t="str">
        <f t="shared" si="10"/>
        <v/>
      </c>
      <c r="M75" s="19" t="str">
        <f t="shared" si="10"/>
        <v/>
      </c>
      <c r="N75" s="19" t="str">
        <f t="shared" si="10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2"/>
        <v/>
      </c>
      <c r="S75" s="27" t="str">
        <f t="shared" si="12"/>
        <v/>
      </c>
      <c r="T75" s="28" t="str">
        <f t="shared" si="12"/>
        <v/>
      </c>
      <c r="U75" s="28" t="str">
        <f t="shared" si="12"/>
        <v/>
      </c>
      <c r="V75" s="28" t="str">
        <f t="shared" si="12"/>
        <v/>
      </c>
      <c r="W75" s="28" t="str">
        <f t="shared" si="12"/>
        <v/>
      </c>
      <c r="X75" s="29" t="str">
        <f t="shared" si="12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8"/>
        <v/>
      </c>
      <c r="L76" s="19" t="str">
        <f t="shared" si="10"/>
        <v/>
      </c>
      <c r="M76" s="19" t="str">
        <f t="shared" si="10"/>
        <v/>
      </c>
      <c r="N76" s="19" t="str">
        <f t="shared" si="10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2"/>
        <v/>
      </c>
      <c r="S76" s="27" t="str">
        <f t="shared" si="12"/>
        <v/>
      </c>
      <c r="T76" s="28" t="str">
        <f t="shared" si="12"/>
        <v/>
      </c>
      <c r="U76" s="28" t="str">
        <f t="shared" si="12"/>
        <v/>
      </c>
      <c r="V76" s="28" t="str">
        <f t="shared" si="12"/>
        <v/>
      </c>
      <c r="W76" s="28" t="str">
        <f t="shared" si="12"/>
        <v/>
      </c>
      <c r="X76" s="29" t="str">
        <f t="shared" si="12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8"/>
        <v/>
      </c>
      <c r="L77" s="19" t="str">
        <f t="shared" si="10"/>
        <v/>
      </c>
      <c r="M77" s="19" t="str">
        <f t="shared" si="10"/>
        <v/>
      </c>
      <c r="N77" s="19" t="str">
        <f t="shared" si="10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2"/>
        <v/>
      </c>
      <c r="S77" s="27" t="str">
        <f t="shared" si="12"/>
        <v/>
      </c>
      <c r="T77" s="28" t="str">
        <f t="shared" si="12"/>
        <v/>
      </c>
      <c r="U77" s="28" t="str">
        <f t="shared" si="12"/>
        <v/>
      </c>
      <c r="V77" s="28" t="str">
        <f t="shared" si="12"/>
        <v/>
      </c>
      <c r="W77" s="28" t="str">
        <f t="shared" si="12"/>
        <v/>
      </c>
      <c r="X77" s="29" t="str">
        <f t="shared" si="12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8"/>
        <v/>
      </c>
      <c r="L78" s="19" t="str">
        <f t="shared" si="10"/>
        <v/>
      </c>
      <c r="M78" s="19" t="str">
        <f t="shared" si="10"/>
        <v/>
      </c>
      <c r="N78" s="19" t="str">
        <f t="shared" si="10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2"/>
        <v/>
      </c>
      <c r="S78" s="27" t="str">
        <f t="shared" si="12"/>
        <v/>
      </c>
      <c r="T78" s="28" t="str">
        <f t="shared" si="12"/>
        <v/>
      </c>
      <c r="U78" s="28" t="str">
        <f t="shared" si="12"/>
        <v/>
      </c>
      <c r="V78" s="28" t="str">
        <f t="shared" si="12"/>
        <v/>
      </c>
      <c r="W78" s="28" t="str">
        <f t="shared" si="12"/>
        <v/>
      </c>
      <c r="X78" s="29" t="str">
        <f t="shared" si="12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8"/>
        <v/>
      </c>
      <c r="L79" s="19" t="str">
        <f t="shared" si="10"/>
        <v/>
      </c>
      <c r="M79" s="19" t="str">
        <f t="shared" si="10"/>
        <v/>
      </c>
      <c r="N79" s="19" t="str">
        <f t="shared" si="10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2"/>
        <v/>
      </c>
      <c r="S79" s="27" t="str">
        <f t="shared" si="12"/>
        <v/>
      </c>
      <c r="T79" s="28" t="str">
        <f t="shared" si="12"/>
        <v/>
      </c>
      <c r="U79" s="28" t="str">
        <f t="shared" si="12"/>
        <v/>
      </c>
      <c r="V79" s="28" t="str">
        <f t="shared" si="12"/>
        <v/>
      </c>
      <c r="W79" s="28" t="str">
        <f t="shared" si="12"/>
        <v/>
      </c>
      <c r="X79" s="29" t="str">
        <f t="shared" si="12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8"/>
        <v/>
      </c>
      <c r="L80" s="19" t="str">
        <f t="shared" ref="L80:R111" si="13">IF(ISBLANK(C80),"",(C80-C$16)*1000)</f>
        <v/>
      </c>
      <c r="M80" s="19" t="str">
        <f t="shared" si="13"/>
        <v/>
      </c>
      <c r="N80" s="19" t="str">
        <f t="shared" si="13"/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si="13"/>
        <v/>
      </c>
      <c r="S80" s="27" t="str">
        <f t="shared" si="12"/>
        <v/>
      </c>
      <c r="T80" s="28" t="str">
        <f t="shared" si="12"/>
        <v/>
      </c>
      <c r="U80" s="28" t="str">
        <f t="shared" si="12"/>
        <v/>
      </c>
      <c r="V80" s="28" t="str">
        <f t="shared" si="12"/>
        <v/>
      </c>
      <c r="W80" s="28" t="str">
        <f t="shared" si="12"/>
        <v/>
      </c>
      <c r="X80" s="29" t="str">
        <f t="shared" si="12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8"/>
        <v/>
      </c>
      <c r="L81" s="19" t="str">
        <f t="shared" si="13"/>
        <v/>
      </c>
      <c r="M81" s="19" t="str">
        <f t="shared" si="13"/>
        <v/>
      </c>
      <c r="N81" s="19" t="str">
        <f t="shared" si="13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3"/>
        <v/>
      </c>
      <c r="S81" s="27" t="str">
        <f t="shared" ref="S81:X96" si="14">IF(C81="","",((C81-C80)*1000)/($B81-$B80))</f>
        <v/>
      </c>
      <c r="T81" s="28" t="str">
        <f t="shared" si="14"/>
        <v/>
      </c>
      <c r="U81" s="28" t="str">
        <f t="shared" si="14"/>
        <v/>
      </c>
      <c r="V81" s="28" t="str">
        <f t="shared" si="14"/>
        <v/>
      </c>
      <c r="W81" s="28" t="str">
        <f t="shared" si="14"/>
        <v/>
      </c>
      <c r="X81" s="29" t="str">
        <f t="shared" si="14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8"/>
        <v/>
      </c>
      <c r="L82" s="19" t="str">
        <f t="shared" si="13"/>
        <v/>
      </c>
      <c r="M82" s="19" t="str">
        <f t="shared" si="13"/>
        <v/>
      </c>
      <c r="N82" s="19" t="str">
        <f t="shared" si="13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3"/>
        <v/>
      </c>
      <c r="S82" s="27" t="str">
        <f t="shared" si="14"/>
        <v/>
      </c>
      <c r="T82" s="28" t="str">
        <f t="shared" si="14"/>
        <v/>
      </c>
      <c r="U82" s="28" t="str">
        <f t="shared" si="14"/>
        <v/>
      </c>
      <c r="V82" s="28" t="str">
        <f t="shared" si="14"/>
        <v/>
      </c>
      <c r="W82" s="28" t="str">
        <f t="shared" si="14"/>
        <v/>
      </c>
      <c r="X82" s="29" t="str">
        <f t="shared" si="14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8"/>
        <v/>
      </c>
      <c r="L83" s="19" t="str">
        <f t="shared" si="13"/>
        <v/>
      </c>
      <c r="M83" s="19" t="str">
        <f t="shared" si="13"/>
        <v/>
      </c>
      <c r="N83" s="19" t="str">
        <f t="shared" si="13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3"/>
        <v/>
      </c>
      <c r="S83" s="27" t="str">
        <f t="shared" si="14"/>
        <v/>
      </c>
      <c r="T83" s="28" t="str">
        <f t="shared" si="14"/>
        <v/>
      </c>
      <c r="U83" s="28" t="str">
        <f t="shared" si="14"/>
        <v/>
      </c>
      <c r="V83" s="28" t="str">
        <f t="shared" si="14"/>
        <v/>
      </c>
      <c r="W83" s="28" t="str">
        <f t="shared" si="14"/>
        <v/>
      </c>
      <c r="X83" s="29" t="str">
        <f t="shared" si="14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8"/>
        <v/>
      </c>
      <c r="L84" s="19" t="str">
        <f t="shared" si="13"/>
        <v/>
      </c>
      <c r="M84" s="19" t="str">
        <f t="shared" si="13"/>
        <v/>
      </c>
      <c r="N84" s="19" t="str">
        <f t="shared" si="13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3"/>
        <v/>
      </c>
      <c r="S84" s="27" t="str">
        <f t="shared" si="14"/>
        <v/>
      </c>
      <c r="T84" s="28" t="str">
        <f t="shared" si="14"/>
        <v/>
      </c>
      <c r="U84" s="28" t="str">
        <f t="shared" si="14"/>
        <v/>
      </c>
      <c r="V84" s="28" t="str">
        <f t="shared" si="14"/>
        <v/>
      </c>
      <c r="W84" s="28" t="str">
        <f t="shared" si="14"/>
        <v/>
      </c>
      <c r="X84" s="29" t="str">
        <f t="shared" si="14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8"/>
        <v/>
      </c>
      <c r="L85" s="19" t="str">
        <f t="shared" si="13"/>
        <v/>
      </c>
      <c r="M85" s="19" t="str">
        <f t="shared" si="13"/>
        <v/>
      </c>
      <c r="N85" s="19" t="str">
        <f t="shared" si="13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3"/>
        <v/>
      </c>
      <c r="S85" s="27" t="str">
        <f t="shared" si="14"/>
        <v/>
      </c>
      <c r="T85" s="28" t="str">
        <f t="shared" si="14"/>
        <v/>
      </c>
      <c r="U85" s="28" t="str">
        <f t="shared" si="14"/>
        <v/>
      </c>
      <c r="V85" s="28" t="str">
        <f t="shared" si="14"/>
        <v/>
      </c>
      <c r="W85" s="28" t="str">
        <f t="shared" si="14"/>
        <v/>
      </c>
      <c r="X85" s="29" t="str">
        <f t="shared" si="14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8"/>
        <v/>
      </c>
      <c r="L86" s="19" t="str">
        <f t="shared" si="13"/>
        <v/>
      </c>
      <c r="M86" s="19" t="str">
        <f t="shared" si="13"/>
        <v/>
      </c>
      <c r="N86" s="19" t="str">
        <f t="shared" si="13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3"/>
        <v/>
      </c>
      <c r="S86" s="27" t="str">
        <f t="shared" si="14"/>
        <v/>
      </c>
      <c r="T86" s="28" t="str">
        <f t="shared" si="14"/>
        <v/>
      </c>
      <c r="U86" s="28" t="str">
        <f t="shared" si="14"/>
        <v/>
      </c>
      <c r="V86" s="28" t="str">
        <f t="shared" si="14"/>
        <v/>
      </c>
      <c r="W86" s="28" t="str">
        <f t="shared" si="14"/>
        <v/>
      </c>
      <c r="X86" s="29" t="str">
        <f t="shared" si="14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8"/>
        <v/>
      </c>
      <c r="L87" s="19" t="str">
        <f t="shared" si="13"/>
        <v/>
      </c>
      <c r="M87" s="19" t="str">
        <f t="shared" si="13"/>
        <v/>
      </c>
      <c r="N87" s="19" t="str">
        <f t="shared" si="13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3"/>
        <v/>
      </c>
      <c r="S87" s="27" t="str">
        <f t="shared" si="14"/>
        <v/>
      </c>
      <c r="T87" s="28" t="str">
        <f t="shared" si="14"/>
        <v/>
      </c>
      <c r="U87" s="28" t="str">
        <f t="shared" si="14"/>
        <v/>
      </c>
      <c r="V87" s="28" t="str">
        <f t="shared" si="14"/>
        <v/>
      </c>
      <c r="W87" s="28" t="str">
        <f t="shared" si="14"/>
        <v/>
      </c>
      <c r="X87" s="29" t="str">
        <f t="shared" si="14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8"/>
        <v/>
      </c>
      <c r="L88" s="19" t="str">
        <f t="shared" si="13"/>
        <v/>
      </c>
      <c r="M88" s="19" t="str">
        <f t="shared" si="13"/>
        <v/>
      </c>
      <c r="N88" s="19" t="str">
        <f t="shared" si="13"/>
        <v/>
      </c>
      <c r="O88" s="19" t="str">
        <f t="shared" ref="O88:O151" si="15">IF(ISBLANK(F88),"",((F88-F$23)*1000)+L$23)</f>
        <v/>
      </c>
      <c r="P88" s="19" t="str">
        <f t="shared" ref="P88:P151" si="16">IF(ISBLANK(G88),"",((G88-G$23)*1000)+M$23)</f>
        <v/>
      </c>
      <c r="Q88" s="19" t="str">
        <f t="shared" ref="Q88:Q151" si="17">IF(ISBLANK(H88),"",((H88-H$23)*1000)+N$23)</f>
        <v/>
      </c>
      <c r="R88" s="19" t="str">
        <f t="shared" si="13"/>
        <v/>
      </c>
      <c r="S88" s="27" t="str">
        <f t="shared" si="14"/>
        <v/>
      </c>
      <c r="T88" s="28" t="str">
        <f t="shared" si="14"/>
        <v/>
      </c>
      <c r="U88" s="28" t="str">
        <f t="shared" si="14"/>
        <v/>
      </c>
      <c r="V88" s="28" t="str">
        <f t="shared" si="14"/>
        <v/>
      </c>
      <c r="W88" s="28" t="str">
        <f t="shared" si="14"/>
        <v/>
      </c>
      <c r="X88" s="29" t="str">
        <f t="shared" si="14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8"/>
        <v/>
      </c>
      <c r="L89" s="19" t="str">
        <f t="shared" si="13"/>
        <v/>
      </c>
      <c r="M89" s="19" t="str">
        <f t="shared" si="13"/>
        <v/>
      </c>
      <c r="N89" s="19" t="str">
        <f t="shared" si="13"/>
        <v/>
      </c>
      <c r="O89" s="19" t="str">
        <f t="shared" si="15"/>
        <v/>
      </c>
      <c r="P89" s="19" t="str">
        <f t="shared" si="16"/>
        <v/>
      </c>
      <c r="Q89" s="19" t="str">
        <f t="shared" si="17"/>
        <v/>
      </c>
      <c r="R89" s="19" t="str">
        <f t="shared" si="13"/>
        <v/>
      </c>
      <c r="S89" s="27" t="str">
        <f t="shared" si="14"/>
        <v/>
      </c>
      <c r="T89" s="28" t="str">
        <f t="shared" si="14"/>
        <v/>
      </c>
      <c r="U89" s="28" t="str">
        <f t="shared" si="14"/>
        <v/>
      </c>
      <c r="V89" s="28" t="str">
        <f t="shared" si="14"/>
        <v/>
      </c>
      <c r="W89" s="28" t="str">
        <f t="shared" si="14"/>
        <v/>
      </c>
      <c r="X89" s="29" t="str">
        <f t="shared" si="14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8"/>
        <v/>
      </c>
      <c r="L90" s="19" t="str">
        <f t="shared" si="13"/>
        <v/>
      </c>
      <c r="M90" s="19" t="str">
        <f t="shared" si="13"/>
        <v/>
      </c>
      <c r="N90" s="19" t="str">
        <f t="shared" si="13"/>
        <v/>
      </c>
      <c r="O90" s="19" t="str">
        <f t="shared" si="15"/>
        <v/>
      </c>
      <c r="P90" s="19" t="str">
        <f t="shared" si="16"/>
        <v/>
      </c>
      <c r="Q90" s="19" t="str">
        <f t="shared" si="17"/>
        <v/>
      </c>
      <c r="R90" s="19" t="str">
        <f t="shared" si="13"/>
        <v/>
      </c>
      <c r="S90" s="27" t="str">
        <f t="shared" si="14"/>
        <v/>
      </c>
      <c r="T90" s="28" t="str">
        <f t="shared" si="14"/>
        <v/>
      </c>
      <c r="U90" s="28" t="str">
        <f t="shared" si="14"/>
        <v/>
      </c>
      <c r="V90" s="28" t="str">
        <f t="shared" si="14"/>
        <v/>
      </c>
      <c r="W90" s="28" t="str">
        <f t="shared" si="14"/>
        <v/>
      </c>
      <c r="X90" s="29" t="str">
        <f t="shared" si="14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8"/>
        <v/>
      </c>
      <c r="L91" s="19" t="str">
        <f t="shared" si="13"/>
        <v/>
      </c>
      <c r="M91" s="19" t="str">
        <f t="shared" si="13"/>
        <v/>
      </c>
      <c r="N91" s="19" t="str">
        <f t="shared" si="13"/>
        <v/>
      </c>
      <c r="O91" s="19" t="str">
        <f t="shared" si="15"/>
        <v/>
      </c>
      <c r="P91" s="19" t="str">
        <f t="shared" si="16"/>
        <v/>
      </c>
      <c r="Q91" s="19" t="str">
        <f t="shared" si="17"/>
        <v/>
      </c>
      <c r="R91" s="19" t="str">
        <f t="shared" si="13"/>
        <v/>
      </c>
      <c r="S91" s="27" t="str">
        <f t="shared" si="14"/>
        <v/>
      </c>
      <c r="T91" s="28" t="str">
        <f t="shared" si="14"/>
        <v/>
      </c>
      <c r="U91" s="28" t="str">
        <f t="shared" si="14"/>
        <v/>
      </c>
      <c r="V91" s="28" t="str">
        <f t="shared" si="14"/>
        <v/>
      </c>
      <c r="W91" s="28" t="str">
        <f t="shared" si="14"/>
        <v/>
      </c>
      <c r="X91" s="29" t="str">
        <f t="shared" si="14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8"/>
        <v/>
      </c>
      <c r="L92" s="19" t="str">
        <f t="shared" si="13"/>
        <v/>
      </c>
      <c r="M92" s="19" t="str">
        <f t="shared" si="13"/>
        <v/>
      </c>
      <c r="N92" s="19" t="str">
        <f t="shared" si="13"/>
        <v/>
      </c>
      <c r="O92" s="19" t="str">
        <f t="shared" si="15"/>
        <v/>
      </c>
      <c r="P92" s="19" t="str">
        <f t="shared" si="16"/>
        <v/>
      </c>
      <c r="Q92" s="19" t="str">
        <f t="shared" si="17"/>
        <v/>
      </c>
      <c r="R92" s="19" t="str">
        <f t="shared" si="13"/>
        <v/>
      </c>
      <c r="S92" s="27" t="str">
        <f t="shared" si="14"/>
        <v/>
      </c>
      <c r="T92" s="28" t="str">
        <f t="shared" si="14"/>
        <v/>
      </c>
      <c r="U92" s="28" t="str">
        <f t="shared" si="14"/>
        <v/>
      </c>
      <c r="V92" s="28" t="str">
        <f t="shared" si="14"/>
        <v/>
      </c>
      <c r="W92" s="28" t="str">
        <f t="shared" si="14"/>
        <v/>
      </c>
      <c r="X92" s="29" t="str">
        <f t="shared" si="14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8"/>
        <v/>
      </c>
      <c r="L93" s="19" t="str">
        <f t="shared" si="13"/>
        <v/>
      </c>
      <c r="M93" s="19" t="str">
        <f t="shared" si="13"/>
        <v/>
      </c>
      <c r="N93" s="19" t="str">
        <f t="shared" si="13"/>
        <v/>
      </c>
      <c r="O93" s="19" t="str">
        <f t="shared" si="15"/>
        <v/>
      </c>
      <c r="P93" s="19" t="str">
        <f t="shared" si="16"/>
        <v/>
      </c>
      <c r="Q93" s="19" t="str">
        <f t="shared" si="17"/>
        <v/>
      </c>
      <c r="R93" s="19" t="str">
        <f t="shared" si="13"/>
        <v/>
      </c>
      <c r="S93" s="27" t="str">
        <f t="shared" si="14"/>
        <v/>
      </c>
      <c r="T93" s="28" t="str">
        <f t="shared" si="14"/>
        <v/>
      </c>
      <c r="U93" s="28" t="str">
        <f t="shared" si="14"/>
        <v/>
      </c>
      <c r="V93" s="28" t="str">
        <f t="shared" si="14"/>
        <v/>
      </c>
      <c r="W93" s="28" t="str">
        <f t="shared" si="14"/>
        <v/>
      </c>
      <c r="X93" s="29" t="str">
        <f t="shared" si="14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8"/>
        <v/>
      </c>
      <c r="L94" s="19" t="str">
        <f t="shared" si="13"/>
        <v/>
      </c>
      <c r="M94" s="19" t="str">
        <f t="shared" si="13"/>
        <v/>
      </c>
      <c r="N94" s="19" t="str">
        <f t="shared" si="13"/>
        <v/>
      </c>
      <c r="O94" s="19" t="str">
        <f t="shared" si="15"/>
        <v/>
      </c>
      <c r="P94" s="19" t="str">
        <f t="shared" si="16"/>
        <v/>
      </c>
      <c r="Q94" s="19" t="str">
        <f t="shared" si="17"/>
        <v/>
      </c>
      <c r="R94" s="19" t="str">
        <f t="shared" si="13"/>
        <v/>
      </c>
      <c r="S94" s="27" t="str">
        <f t="shared" si="14"/>
        <v/>
      </c>
      <c r="T94" s="28" t="str">
        <f t="shared" si="14"/>
        <v/>
      </c>
      <c r="U94" s="28" t="str">
        <f t="shared" si="14"/>
        <v/>
      </c>
      <c r="V94" s="28" t="str">
        <f t="shared" si="14"/>
        <v/>
      </c>
      <c r="W94" s="28" t="str">
        <f t="shared" si="14"/>
        <v/>
      </c>
      <c r="X94" s="29" t="str">
        <f t="shared" si="14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8"/>
        <v/>
      </c>
      <c r="L95" s="19" t="str">
        <f t="shared" si="13"/>
        <v/>
      </c>
      <c r="M95" s="19" t="str">
        <f t="shared" si="13"/>
        <v/>
      </c>
      <c r="N95" s="19" t="str">
        <f t="shared" si="13"/>
        <v/>
      </c>
      <c r="O95" s="19" t="str">
        <f t="shared" si="15"/>
        <v/>
      </c>
      <c r="P95" s="19" t="str">
        <f t="shared" si="16"/>
        <v/>
      </c>
      <c r="Q95" s="19" t="str">
        <f t="shared" si="17"/>
        <v/>
      </c>
      <c r="R95" s="19" t="str">
        <f t="shared" si="13"/>
        <v/>
      </c>
      <c r="S95" s="27" t="str">
        <f t="shared" si="14"/>
        <v/>
      </c>
      <c r="T95" s="28" t="str">
        <f t="shared" si="14"/>
        <v/>
      </c>
      <c r="U95" s="28" t="str">
        <f t="shared" si="14"/>
        <v/>
      </c>
      <c r="V95" s="28" t="str">
        <f t="shared" si="14"/>
        <v/>
      </c>
      <c r="W95" s="28" t="str">
        <f t="shared" si="14"/>
        <v/>
      </c>
      <c r="X95" s="29" t="str">
        <f t="shared" si="14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8"/>
        <v/>
      </c>
      <c r="L96" s="19" t="str">
        <f t="shared" si="13"/>
        <v/>
      </c>
      <c r="M96" s="19" t="str">
        <f t="shared" si="13"/>
        <v/>
      </c>
      <c r="N96" s="19" t="str">
        <f t="shared" si="13"/>
        <v/>
      </c>
      <c r="O96" s="19" t="str">
        <f t="shared" si="15"/>
        <v/>
      </c>
      <c r="P96" s="19" t="str">
        <f t="shared" si="16"/>
        <v/>
      </c>
      <c r="Q96" s="19" t="str">
        <f t="shared" si="17"/>
        <v/>
      </c>
      <c r="R96" s="19" t="str">
        <f t="shared" si="13"/>
        <v/>
      </c>
      <c r="S96" s="27" t="str">
        <f t="shared" si="14"/>
        <v/>
      </c>
      <c r="T96" s="28" t="str">
        <f t="shared" si="14"/>
        <v/>
      </c>
      <c r="U96" s="28" t="str">
        <f t="shared" si="14"/>
        <v/>
      </c>
      <c r="V96" s="28" t="str">
        <f t="shared" si="14"/>
        <v/>
      </c>
      <c r="W96" s="28" t="str">
        <f t="shared" si="14"/>
        <v/>
      </c>
      <c r="X96" s="29" t="str">
        <f t="shared" si="14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ref="K97:K153" si="18">IF(ISBLANK(J97),"",(J97-$J$8))</f>
        <v/>
      </c>
      <c r="L97" s="19" t="str">
        <f t="shared" si="13"/>
        <v/>
      </c>
      <c r="M97" s="19" t="str">
        <f t="shared" si="13"/>
        <v/>
      </c>
      <c r="N97" s="19" t="str">
        <f t="shared" si="13"/>
        <v/>
      </c>
      <c r="O97" s="19" t="str">
        <f t="shared" si="15"/>
        <v/>
      </c>
      <c r="P97" s="19" t="str">
        <f t="shared" si="16"/>
        <v/>
      </c>
      <c r="Q97" s="19" t="str">
        <f t="shared" si="17"/>
        <v/>
      </c>
      <c r="R97" s="19" t="str">
        <f t="shared" si="13"/>
        <v/>
      </c>
      <c r="S97" s="27" t="str">
        <f t="shared" ref="S97:X112" si="19">IF(C97="","",((C97-C96)*1000)/($B97-$B96))</f>
        <v/>
      </c>
      <c r="T97" s="28" t="str">
        <f t="shared" si="19"/>
        <v/>
      </c>
      <c r="U97" s="28" t="str">
        <f t="shared" si="19"/>
        <v/>
      </c>
      <c r="V97" s="28" t="str">
        <f t="shared" si="19"/>
        <v/>
      </c>
      <c r="W97" s="28" t="str">
        <f t="shared" si="19"/>
        <v/>
      </c>
      <c r="X97" s="29" t="str">
        <f t="shared" si="1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8"/>
        <v/>
      </c>
      <c r="L98" s="19" t="str">
        <f t="shared" si="13"/>
        <v/>
      </c>
      <c r="M98" s="19" t="str">
        <f t="shared" si="13"/>
        <v/>
      </c>
      <c r="N98" s="19" t="str">
        <f t="shared" si="13"/>
        <v/>
      </c>
      <c r="O98" s="19" t="str">
        <f t="shared" si="15"/>
        <v/>
      </c>
      <c r="P98" s="19" t="str">
        <f t="shared" si="16"/>
        <v/>
      </c>
      <c r="Q98" s="19" t="str">
        <f t="shared" si="17"/>
        <v/>
      </c>
      <c r="R98" s="19" t="str">
        <f t="shared" si="13"/>
        <v/>
      </c>
      <c r="S98" s="27" t="str">
        <f t="shared" si="19"/>
        <v/>
      </c>
      <c r="T98" s="28" t="str">
        <f t="shared" si="19"/>
        <v/>
      </c>
      <c r="U98" s="28" t="str">
        <f t="shared" si="19"/>
        <v/>
      </c>
      <c r="V98" s="28" t="str">
        <f t="shared" si="19"/>
        <v/>
      </c>
      <c r="W98" s="28" t="str">
        <f t="shared" si="19"/>
        <v/>
      </c>
      <c r="X98" s="29" t="str">
        <f t="shared" si="1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8"/>
        <v/>
      </c>
      <c r="L99" s="19" t="str">
        <f t="shared" si="13"/>
        <v/>
      </c>
      <c r="M99" s="19" t="str">
        <f t="shared" si="13"/>
        <v/>
      </c>
      <c r="N99" s="19" t="str">
        <f t="shared" si="13"/>
        <v/>
      </c>
      <c r="O99" s="19" t="str">
        <f t="shared" si="15"/>
        <v/>
      </c>
      <c r="P99" s="19" t="str">
        <f t="shared" si="16"/>
        <v/>
      </c>
      <c r="Q99" s="19" t="str">
        <f t="shared" si="17"/>
        <v/>
      </c>
      <c r="R99" s="19" t="str">
        <f t="shared" si="13"/>
        <v/>
      </c>
      <c r="S99" s="27" t="str">
        <f t="shared" si="19"/>
        <v/>
      </c>
      <c r="T99" s="28" t="str">
        <f t="shared" si="19"/>
        <v/>
      </c>
      <c r="U99" s="28" t="str">
        <f t="shared" si="19"/>
        <v/>
      </c>
      <c r="V99" s="28" t="str">
        <f t="shared" si="19"/>
        <v/>
      </c>
      <c r="W99" s="28" t="str">
        <f t="shared" si="19"/>
        <v/>
      </c>
      <c r="X99" s="29" t="str">
        <f t="shared" si="1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18"/>
        <v/>
      </c>
      <c r="L100" s="19" t="str">
        <f t="shared" si="13"/>
        <v/>
      </c>
      <c r="M100" s="19" t="str">
        <f t="shared" si="13"/>
        <v/>
      </c>
      <c r="N100" s="19" t="str">
        <f t="shared" si="13"/>
        <v/>
      </c>
      <c r="O100" s="19" t="str">
        <f t="shared" si="15"/>
        <v/>
      </c>
      <c r="P100" s="19" t="str">
        <f t="shared" si="16"/>
        <v/>
      </c>
      <c r="Q100" s="19" t="str">
        <f t="shared" si="17"/>
        <v/>
      </c>
      <c r="R100" s="19" t="str">
        <f t="shared" si="13"/>
        <v/>
      </c>
      <c r="S100" s="27" t="str">
        <f t="shared" si="19"/>
        <v/>
      </c>
      <c r="T100" s="28" t="str">
        <f t="shared" si="19"/>
        <v/>
      </c>
      <c r="U100" s="28" t="str">
        <f t="shared" si="19"/>
        <v/>
      </c>
      <c r="V100" s="28" t="str">
        <f t="shared" si="19"/>
        <v/>
      </c>
      <c r="W100" s="28" t="str">
        <f t="shared" si="19"/>
        <v/>
      </c>
      <c r="X100" s="29" t="str">
        <f t="shared" si="1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18"/>
        <v/>
      </c>
      <c r="L101" s="19" t="str">
        <f t="shared" si="13"/>
        <v/>
      </c>
      <c r="M101" s="19" t="str">
        <f t="shared" si="13"/>
        <v/>
      </c>
      <c r="N101" s="19" t="str">
        <f t="shared" si="13"/>
        <v/>
      </c>
      <c r="O101" s="19" t="str">
        <f t="shared" si="15"/>
        <v/>
      </c>
      <c r="P101" s="19" t="str">
        <f t="shared" si="16"/>
        <v/>
      </c>
      <c r="Q101" s="19" t="str">
        <f t="shared" si="17"/>
        <v/>
      </c>
      <c r="R101" s="19" t="str">
        <f t="shared" si="13"/>
        <v/>
      </c>
      <c r="S101" s="27" t="str">
        <f t="shared" si="19"/>
        <v/>
      </c>
      <c r="T101" s="28" t="str">
        <f t="shared" si="19"/>
        <v/>
      </c>
      <c r="U101" s="28" t="str">
        <f t="shared" si="19"/>
        <v/>
      </c>
      <c r="V101" s="28" t="str">
        <f t="shared" si="19"/>
        <v/>
      </c>
      <c r="W101" s="28" t="str">
        <f t="shared" si="19"/>
        <v/>
      </c>
      <c r="X101" s="29" t="str">
        <f t="shared" si="1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18"/>
        <v/>
      </c>
      <c r="L102" s="19" t="str">
        <f t="shared" si="13"/>
        <v/>
      </c>
      <c r="M102" s="19" t="str">
        <f t="shared" si="13"/>
        <v/>
      </c>
      <c r="N102" s="19" t="str">
        <f t="shared" si="13"/>
        <v/>
      </c>
      <c r="O102" s="19" t="str">
        <f t="shared" si="15"/>
        <v/>
      </c>
      <c r="P102" s="19" t="str">
        <f t="shared" si="16"/>
        <v/>
      </c>
      <c r="Q102" s="19" t="str">
        <f t="shared" si="17"/>
        <v/>
      </c>
      <c r="R102" s="19" t="str">
        <f t="shared" si="13"/>
        <v/>
      </c>
      <c r="S102" s="27" t="str">
        <f t="shared" si="19"/>
        <v/>
      </c>
      <c r="T102" s="28" t="str">
        <f t="shared" si="19"/>
        <v/>
      </c>
      <c r="U102" s="28" t="str">
        <f t="shared" si="19"/>
        <v/>
      </c>
      <c r="V102" s="28" t="str">
        <f t="shared" si="19"/>
        <v/>
      </c>
      <c r="W102" s="28" t="str">
        <f t="shared" si="19"/>
        <v/>
      </c>
      <c r="X102" s="29" t="str">
        <f t="shared" si="1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18"/>
        <v/>
      </c>
      <c r="L103" s="19" t="str">
        <f t="shared" si="13"/>
        <v/>
      </c>
      <c r="M103" s="19" t="str">
        <f t="shared" si="13"/>
        <v/>
      </c>
      <c r="N103" s="19" t="str">
        <f t="shared" si="13"/>
        <v/>
      </c>
      <c r="O103" s="19" t="str">
        <f t="shared" si="15"/>
        <v/>
      </c>
      <c r="P103" s="19" t="str">
        <f t="shared" si="16"/>
        <v/>
      </c>
      <c r="Q103" s="19" t="str">
        <f t="shared" si="17"/>
        <v/>
      </c>
      <c r="R103" s="19" t="str">
        <f t="shared" si="13"/>
        <v/>
      </c>
      <c r="S103" s="27" t="str">
        <f t="shared" si="19"/>
        <v/>
      </c>
      <c r="T103" s="28" t="str">
        <f t="shared" si="19"/>
        <v/>
      </c>
      <c r="U103" s="28" t="str">
        <f t="shared" si="19"/>
        <v/>
      </c>
      <c r="V103" s="28" t="str">
        <f t="shared" si="19"/>
        <v/>
      </c>
      <c r="W103" s="28" t="str">
        <f t="shared" si="19"/>
        <v/>
      </c>
      <c r="X103" s="29" t="str">
        <f t="shared" si="1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18"/>
        <v/>
      </c>
      <c r="L104" s="19" t="str">
        <f t="shared" si="13"/>
        <v/>
      </c>
      <c r="M104" s="19" t="str">
        <f t="shared" si="13"/>
        <v/>
      </c>
      <c r="N104" s="19" t="str">
        <f t="shared" si="13"/>
        <v/>
      </c>
      <c r="O104" s="19" t="str">
        <f t="shared" si="15"/>
        <v/>
      </c>
      <c r="P104" s="19" t="str">
        <f t="shared" si="16"/>
        <v/>
      </c>
      <c r="Q104" s="19" t="str">
        <f t="shared" si="17"/>
        <v/>
      </c>
      <c r="R104" s="19" t="str">
        <f t="shared" si="13"/>
        <v/>
      </c>
      <c r="S104" s="27" t="str">
        <f t="shared" si="19"/>
        <v/>
      </c>
      <c r="T104" s="28" t="str">
        <f t="shared" si="19"/>
        <v/>
      </c>
      <c r="U104" s="28" t="str">
        <f t="shared" si="19"/>
        <v/>
      </c>
      <c r="V104" s="28" t="str">
        <f t="shared" si="19"/>
        <v/>
      </c>
      <c r="W104" s="28" t="str">
        <f t="shared" si="19"/>
        <v/>
      </c>
      <c r="X104" s="29" t="str">
        <f t="shared" si="1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18"/>
        <v/>
      </c>
      <c r="L105" s="19" t="str">
        <f t="shared" si="13"/>
        <v/>
      </c>
      <c r="M105" s="19" t="str">
        <f t="shared" si="13"/>
        <v/>
      </c>
      <c r="N105" s="19" t="str">
        <f t="shared" si="13"/>
        <v/>
      </c>
      <c r="O105" s="19" t="str">
        <f t="shared" si="15"/>
        <v/>
      </c>
      <c r="P105" s="19" t="str">
        <f t="shared" si="16"/>
        <v/>
      </c>
      <c r="Q105" s="19" t="str">
        <f t="shared" si="17"/>
        <v/>
      </c>
      <c r="R105" s="19" t="str">
        <f t="shared" si="13"/>
        <v/>
      </c>
      <c r="S105" s="27" t="str">
        <f t="shared" si="19"/>
        <v/>
      </c>
      <c r="T105" s="28" t="str">
        <f t="shared" si="19"/>
        <v/>
      </c>
      <c r="U105" s="28" t="str">
        <f t="shared" si="19"/>
        <v/>
      </c>
      <c r="V105" s="28" t="str">
        <f t="shared" si="19"/>
        <v/>
      </c>
      <c r="W105" s="28" t="str">
        <f t="shared" si="19"/>
        <v/>
      </c>
      <c r="X105" s="29" t="str">
        <f t="shared" si="1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18"/>
        <v/>
      </c>
      <c r="L106" s="19" t="str">
        <f t="shared" si="13"/>
        <v/>
      </c>
      <c r="M106" s="19" t="str">
        <f t="shared" si="13"/>
        <v/>
      </c>
      <c r="N106" s="19" t="str">
        <f t="shared" si="13"/>
        <v/>
      </c>
      <c r="O106" s="19" t="str">
        <f t="shared" si="15"/>
        <v/>
      </c>
      <c r="P106" s="19" t="str">
        <f t="shared" si="16"/>
        <v/>
      </c>
      <c r="Q106" s="19" t="str">
        <f t="shared" si="17"/>
        <v/>
      </c>
      <c r="R106" s="19" t="str">
        <f t="shared" si="13"/>
        <v/>
      </c>
      <c r="S106" s="27" t="str">
        <f t="shared" si="19"/>
        <v/>
      </c>
      <c r="T106" s="28" t="str">
        <f t="shared" si="19"/>
        <v/>
      </c>
      <c r="U106" s="28" t="str">
        <f t="shared" si="19"/>
        <v/>
      </c>
      <c r="V106" s="28" t="str">
        <f t="shared" si="19"/>
        <v/>
      </c>
      <c r="W106" s="28" t="str">
        <f t="shared" si="19"/>
        <v/>
      </c>
      <c r="X106" s="29" t="str">
        <f t="shared" si="1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18"/>
        <v/>
      </c>
      <c r="L107" s="19" t="str">
        <f t="shared" si="13"/>
        <v/>
      </c>
      <c r="M107" s="19" t="str">
        <f t="shared" si="13"/>
        <v/>
      </c>
      <c r="N107" s="19" t="str">
        <f t="shared" si="13"/>
        <v/>
      </c>
      <c r="O107" s="19" t="str">
        <f t="shared" si="15"/>
        <v/>
      </c>
      <c r="P107" s="19" t="str">
        <f t="shared" si="16"/>
        <v/>
      </c>
      <c r="Q107" s="19" t="str">
        <f t="shared" si="17"/>
        <v/>
      </c>
      <c r="R107" s="19" t="str">
        <f t="shared" si="13"/>
        <v/>
      </c>
      <c r="S107" s="27" t="str">
        <f t="shared" si="19"/>
        <v/>
      </c>
      <c r="T107" s="28" t="str">
        <f t="shared" si="19"/>
        <v/>
      </c>
      <c r="U107" s="28" t="str">
        <f t="shared" si="19"/>
        <v/>
      </c>
      <c r="V107" s="28" t="str">
        <f t="shared" si="19"/>
        <v/>
      </c>
      <c r="W107" s="28" t="str">
        <f t="shared" si="19"/>
        <v/>
      </c>
      <c r="X107" s="29" t="str">
        <f t="shared" si="1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18"/>
        <v/>
      </c>
      <c r="L108" s="19" t="str">
        <f t="shared" si="13"/>
        <v/>
      </c>
      <c r="M108" s="19" t="str">
        <f t="shared" si="13"/>
        <v/>
      </c>
      <c r="N108" s="19" t="str">
        <f t="shared" si="13"/>
        <v/>
      </c>
      <c r="O108" s="19" t="str">
        <f t="shared" si="15"/>
        <v/>
      </c>
      <c r="P108" s="19" t="str">
        <f t="shared" si="16"/>
        <v/>
      </c>
      <c r="Q108" s="19" t="str">
        <f t="shared" si="17"/>
        <v/>
      </c>
      <c r="R108" s="19" t="str">
        <f t="shared" si="13"/>
        <v/>
      </c>
      <c r="S108" s="27" t="str">
        <f t="shared" si="19"/>
        <v/>
      </c>
      <c r="T108" s="28" t="str">
        <f t="shared" si="19"/>
        <v/>
      </c>
      <c r="U108" s="28" t="str">
        <f t="shared" si="19"/>
        <v/>
      </c>
      <c r="V108" s="28" t="str">
        <f t="shared" si="19"/>
        <v/>
      </c>
      <c r="W108" s="28" t="str">
        <f t="shared" si="19"/>
        <v/>
      </c>
      <c r="X108" s="29" t="str">
        <f t="shared" si="1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18"/>
        <v/>
      </c>
      <c r="L109" s="19" t="str">
        <f t="shared" si="13"/>
        <v/>
      </c>
      <c r="M109" s="19" t="str">
        <f t="shared" si="13"/>
        <v/>
      </c>
      <c r="N109" s="19" t="str">
        <f t="shared" si="13"/>
        <v/>
      </c>
      <c r="O109" s="19" t="str">
        <f t="shared" si="15"/>
        <v/>
      </c>
      <c r="P109" s="19" t="str">
        <f t="shared" si="16"/>
        <v/>
      </c>
      <c r="Q109" s="19" t="str">
        <f t="shared" si="17"/>
        <v/>
      </c>
      <c r="R109" s="19" t="str">
        <f t="shared" si="13"/>
        <v/>
      </c>
      <c r="S109" s="27" t="str">
        <f t="shared" si="19"/>
        <v/>
      </c>
      <c r="T109" s="28" t="str">
        <f t="shared" si="19"/>
        <v/>
      </c>
      <c r="U109" s="28" t="str">
        <f t="shared" si="19"/>
        <v/>
      </c>
      <c r="V109" s="28" t="str">
        <f t="shared" si="19"/>
        <v/>
      </c>
      <c r="W109" s="28" t="str">
        <f t="shared" si="19"/>
        <v/>
      </c>
      <c r="X109" s="29" t="str">
        <f t="shared" si="1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18"/>
        <v/>
      </c>
      <c r="L110" s="19" t="str">
        <f t="shared" si="13"/>
        <v/>
      </c>
      <c r="M110" s="19" t="str">
        <f t="shared" si="13"/>
        <v/>
      </c>
      <c r="N110" s="19" t="str">
        <f t="shared" si="13"/>
        <v/>
      </c>
      <c r="O110" s="19" t="str">
        <f t="shared" si="15"/>
        <v/>
      </c>
      <c r="P110" s="19" t="str">
        <f t="shared" si="16"/>
        <v/>
      </c>
      <c r="Q110" s="19" t="str">
        <f t="shared" si="17"/>
        <v/>
      </c>
      <c r="R110" s="19" t="str">
        <f t="shared" si="13"/>
        <v/>
      </c>
      <c r="S110" s="27" t="str">
        <f t="shared" si="19"/>
        <v/>
      </c>
      <c r="T110" s="28" t="str">
        <f t="shared" si="19"/>
        <v/>
      </c>
      <c r="U110" s="28" t="str">
        <f t="shared" si="19"/>
        <v/>
      </c>
      <c r="V110" s="28" t="str">
        <f t="shared" si="19"/>
        <v/>
      </c>
      <c r="W110" s="28" t="str">
        <f t="shared" si="19"/>
        <v/>
      </c>
      <c r="X110" s="29" t="str">
        <f t="shared" si="1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18"/>
        <v/>
      </c>
      <c r="L111" s="19" t="str">
        <f t="shared" si="13"/>
        <v/>
      </c>
      <c r="M111" s="19" t="str">
        <f t="shared" si="13"/>
        <v/>
      </c>
      <c r="N111" s="19" t="str">
        <f t="shared" si="13"/>
        <v/>
      </c>
      <c r="O111" s="19" t="str">
        <f t="shared" si="15"/>
        <v/>
      </c>
      <c r="P111" s="19" t="str">
        <f t="shared" si="16"/>
        <v/>
      </c>
      <c r="Q111" s="19" t="str">
        <f t="shared" si="17"/>
        <v/>
      </c>
      <c r="R111" s="19" t="str">
        <f t="shared" si="13"/>
        <v/>
      </c>
      <c r="S111" s="27" t="str">
        <f t="shared" si="19"/>
        <v/>
      </c>
      <c r="T111" s="28" t="str">
        <f t="shared" si="19"/>
        <v/>
      </c>
      <c r="U111" s="28" t="str">
        <f t="shared" si="19"/>
        <v/>
      </c>
      <c r="V111" s="28" t="str">
        <f t="shared" si="19"/>
        <v/>
      </c>
      <c r="W111" s="28" t="str">
        <f t="shared" si="19"/>
        <v/>
      </c>
      <c r="X111" s="29" t="str">
        <f t="shared" si="1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18"/>
        <v/>
      </c>
      <c r="L112" s="19" t="str">
        <f t="shared" ref="L112:R143" si="20">IF(ISBLANK(C112),"",(C112-C$16)*1000)</f>
        <v/>
      </c>
      <c r="M112" s="19" t="str">
        <f t="shared" si="20"/>
        <v/>
      </c>
      <c r="N112" s="19" t="str">
        <f t="shared" si="20"/>
        <v/>
      </c>
      <c r="O112" s="19" t="str">
        <f t="shared" si="15"/>
        <v/>
      </c>
      <c r="P112" s="19" t="str">
        <f t="shared" si="16"/>
        <v/>
      </c>
      <c r="Q112" s="19" t="str">
        <f t="shared" si="17"/>
        <v/>
      </c>
      <c r="R112" s="19" t="str">
        <f t="shared" si="20"/>
        <v/>
      </c>
      <c r="S112" s="27" t="str">
        <f t="shared" si="19"/>
        <v/>
      </c>
      <c r="T112" s="28" t="str">
        <f t="shared" si="19"/>
        <v/>
      </c>
      <c r="U112" s="28" t="str">
        <f t="shared" si="19"/>
        <v/>
      </c>
      <c r="V112" s="28" t="str">
        <f t="shared" si="19"/>
        <v/>
      </c>
      <c r="W112" s="28" t="str">
        <f t="shared" si="19"/>
        <v/>
      </c>
      <c r="X112" s="29" t="str">
        <f t="shared" si="1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18"/>
        <v/>
      </c>
      <c r="L113" s="19" t="str">
        <f t="shared" si="20"/>
        <v/>
      </c>
      <c r="M113" s="19" t="str">
        <f t="shared" si="20"/>
        <v/>
      </c>
      <c r="N113" s="19" t="str">
        <f t="shared" si="20"/>
        <v/>
      </c>
      <c r="O113" s="19" t="str">
        <f t="shared" si="15"/>
        <v/>
      </c>
      <c r="P113" s="19" t="str">
        <f t="shared" si="16"/>
        <v/>
      </c>
      <c r="Q113" s="19" t="str">
        <f t="shared" si="17"/>
        <v/>
      </c>
      <c r="R113" s="19" t="str">
        <f t="shared" si="20"/>
        <v/>
      </c>
      <c r="S113" s="27" t="str">
        <f t="shared" ref="S113:X128" si="21">IF(C113="","",((C113-C112)*1000)/($B113-$B112))</f>
        <v/>
      </c>
      <c r="T113" s="28" t="str">
        <f t="shared" si="21"/>
        <v/>
      </c>
      <c r="U113" s="28" t="str">
        <f t="shared" si="21"/>
        <v/>
      </c>
      <c r="V113" s="28" t="str">
        <f t="shared" si="21"/>
        <v/>
      </c>
      <c r="W113" s="28" t="str">
        <f t="shared" si="21"/>
        <v/>
      </c>
      <c r="X113" s="29" t="str">
        <f t="shared" si="21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18"/>
        <v/>
      </c>
      <c r="L114" s="19" t="str">
        <f t="shared" si="20"/>
        <v/>
      </c>
      <c r="M114" s="19" t="str">
        <f t="shared" si="20"/>
        <v/>
      </c>
      <c r="N114" s="19" t="str">
        <f t="shared" si="20"/>
        <v/>
      </c>
      <c r="O114" s="19" t="str">
        <f t="shared" si="15"/>
        <v/>
      </c>
      <c r="P114" s="19" t="str">
        <f t="shared" si="16"/>
        <v/>
      </c>
      <c r="Q114" s="19" t="str">
        <f t="shared" si="17"/>
        <v/>
      </c>
      <c r="R114" s="19" t="str">
        <f t="shared" si="20"/>
        <v/>
      </c>
      <c r="S114" s="27" t="str">
        <f t="shared" si="21"/>
        <v/>
      </c>
      <c r="T114" s="28" t="str">
        <f t="shared" si="21"/>
        <v/>
      </c>
      <c r="U114" s="28" t="str">
        <f t="shared" si="21"/>
        <v/>
      </c>
      <c r="V114" s="28" t="str">
        <f t="shared" si="21"/>
        <v/>
      </c>
      <c r="W114" s="28" t="str">
        <f t="shared" si="21"/>
        <v/>
      </c>
      <c r="X114" s="29" t="str">
        <f t="shared" si="21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18"/>
        <v/>
      </c>
      <c r="L115" s="19" t="str">
        <f t="shared" si="20"/>
        <v/>
      </c>
      <c r="M115" s="19" t="str">
        <f t="shared" si="20"/>
        <v/>
      </c>
      <c r="N115" s="19" t="str">
        <f t="shared" si="20"/>
        <v/>
      </c>
      <c r="O115" s="19" t="str">
        <f t="shared" si="15"/>
        <v/>
      </c>
      <c r="P115" s="19" t="str">
        <f t="shared" si="16"/>
        <v/>
      </c>
      <c r="Q115" s="19" t="str">
        <f t="shared" si="17"/>
        <v/>
      </c>
      <c r="R115" s="19" t="str">
        <f t="shared" si="20"/>
        <v/>
      </c>
      <c r="S115" s="27" t="str">
        <f t="shared" si="21"/>
        <v/>
      </c>
      <c r="T115" s="28" t="str">
        <f t="shared" si="21"/>
        <v/>
      </c>
      <c r="U115" s="28" t="str">
        <f t="shared" si="21"/>
        <v/>
      </c>
      <c r="V115" s="28" t="str">
        <f t="shared" si="21"/>
        <v/>
      </c>
      <c r="W115" s="28" t="str">
        <f t="shared" si="21"/>
        <v/>
      </c>
      <c r="X115" s="29" t="str">
        <f t="shared" si="21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18"/>
        <v/>
      </c>
      <c r="L116" s="19" t="str">
        <f t="shared" si="20"/>
        <v/>
      </c>
      <c r="M116" s="19" t="str">
        <f t="shared" si="20"/>
        <v/>
      </c>
      <c r="N116" s="19" t="str">
        <f t="shared" si="20"/>
        <v/>
      </c>
      <c r="O116" s="19" t="str">
        <f t="shared" si="15"/>
        <v/>
      </c>
      <c r="P116" s="19" t="str">
        <f t="shared" si="16"/>
        <v/>
      </c>
      <c r="Q116" s="19" t="str">
        <f t="shared" si="17"/>
        <v/>
      </c>
      <c r="R116" s="19" t="str">
        <f t="shared" si="20"/>
        <v/>
      </c>
      <c r="S116" s="27" t="str">
        <f t="shared" si="21"/>
        <v/>
      </c>
      <c r="T116" s="28" t="str">
        <f t="shared" si="21"/>
        <v/>
      </c>
      <c r="U116" s="28" t="str">
        <f t="shared" si="21"/>
        <v/>
      </c>
      <c r="V116" s="28" t="str">
        <f t="shared" si="21"/>
        <v/>
      </c>
      <c r="W116" s="28" t="str">
        <f t="shared" si="21"/>
        <v/>
      </c>
      <c r="X116" s="29" t="str">
        <f t="shared" si="21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18"/>
        <v/>
      </c>
      <c r="L117" s="19" t="str">
        <f t="shared" si="20"/>
        <v/>
      </c>
      <c r="M117" s="19" t="str">
        <f t="shared" si="20"/>
        <v/>
      </c>
      <c r="N117" s="19" t="str">
        <f t="shared" si="20"/>
        <v/>
      </c>
      <c r="O117" s="19" t="str">
        <f t="shared" si="15"/>
        <v/>
      </c>
      <c r="P117" s="19" t="str">
        <f t="shared" si="16"/>
        <v/>
      </c>
      <c r="Q117" s="19" t="str">
        <f t="shared" si="17"/>
        <v/>
      </c>
      <c r="R117" s="19" t="str">
        <f t="shared" si="20"/>
        <v/>
      </c>
      <c r="S117" s="27" t="str">
        <f t="shared" si="21"/>
        <v/>
      </c>
      <c r="T117" s="28" t="str">
        <f t="shared" si="21"/>
        <v/>
      </c>
      <c r="U117" s="28" t="str">
        <f t="shared" si="21"/>
        <v/>
      </c>
      <c r="V117" s="28" t="str">
        <f t="shared" si="21"/>
        <v/>
      </c>
      <c r="W117" s="28" t="str">
        <f t="shared" si="21"/>
        <v/>
      </c>
      <c r="X117" s="29" t="str">
        <f t="shared" si="21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18"/>
        <v/>
      </c>
      <c r="L118" s="19" t="str">
        <f t="shared" si="20"/>
        <v/>
      </c>
      <c r="M118" s="19" t="str">
        <f t="shared" si="20"/>
        <v/>
      </c>
      <c r="N118" s="19" t="str">
        <f t="shared" si="20"/>
        <v/>
      </c>
      <c r="O118" s="19" t="str">
        <f t="shared" si="15"/>
        <v/>
      </c>
      <c r="P118" s="19" t="str">
        <f t="shared" si="16"/>
        <v/>
      </c>
      <c r="Q118" s="19" t="str">
        <f t="shared" si="17"/>
        <v/>
      </c>
      <c r="R118" s="19" t="str">
        <f t="shared" si="20"/>
        <v/>
      </c>
      <c r="S118" s="27" t="str">
        <f t="shared" si="21"/>
        <v/>
      </c>
      <c r="T118" s="28" t="str">
        <f t="shared" si="21"/>
        <v/>
      </c>
      <c r="U118" s="28" t="str">
        <f t="shared" si="21"/>
        <v/>
      </c>
      <c r="V118" s="28" t="str">
        <f t="shared" si="21"/>
        <v/>
      </c>
      <c r="W118" s="28" t="str">
        <f t="shared" si="21"/>
        <v/>
      </c>
      <c r="X118" s="29" t="str">
        <f t="shared" si="21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18"/>
        <v/>
      </c>
      <c r="L119" s="19" t="str">
        <f t="shared" si="20"/>
        <v/>
      </c>
      <c r="M119" s="19" t="str">
        <f t="shared" si="20"/>
        <v/>
      </c>
      <c r="N119" s="19" t="str">
        <f t="shared" si="20"/>
        <v/>
      </c>
      <c r="O119" s="19" t="str">
        <f t="shared" si="15"/>
        <v/>
      </c>
      <c r="P119" s="19" t="str">
        <f t="shared" si="16"/>
        <v/>
      </c>
      <c r="Q119" s="19" t="str">
        <f t="shared" si="17"/>
        <v/>
      </c>
      <c r="R119" s="19" t="str">
        <f t="shared" si="20"/>
        <v/>
      </c>
      <c r="S119" s="27" t="str">
        <f t="shared" si="21"/>
        <v/>
      </c>
      <c r="T119" s="28" t="str">
        <f t="shared" si="21"/>
        <v/>
      </c>
      <c r="U119" s="28" t="str">
        <f t="shared" si="21"/>
        <v/>
      </c>
      <c r="V119" s="28" t="str">
        <f t="shared" si="21"/>
        <v/>
      </c>
      <c r="W119" s="28" t="str">
        <f t="shared" si="21"/>
        <v/>
      </c>
      <c r="X119" s="29" t="str">
        <f t="shared" si="21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18"/>
        <v/>
      </c>
      <c r="L120" s="19" t="str">
        <f t="shared" si="20"/>
        <v/>
      </c>
      <c r="M120" s="19" t="str">
        <f t="shared" si="20"/>
        <v/>
      </c>
      <c r="N120" s="19" t="str">
        <f t="shared" si="20"/>
        <v/>
      </c>
      <c r="O120" s="19" t="str">
        <f t="shared" si="15"/>
        <v/>
      </c>
      <c r="P120" s="19" t="str">
        <f t="shared" si="16"/>
        <v/>
      </c>
      <c r="Q120" s="19" t="str">
        <f t="shared" si="17"/>
        <v/>
      </c>
      <c r="R120" s="19" t="str">
        <f t="shared" si="20"/>
        <v/>
      </c>
      <c r="S120" s="27" t="str">
        <f t="shared" si="21"/>
        <v/>
      </c>
      <c r="T120" s="28" t="str">
        <f t="shared" si="21"/>
        <v/>
      </c>
      <c r="U120" s="28" t="str">
        <f t="shared" si="21"/>
        <v/>
      </c>
      <c r="V120" s="28" t="str">
        <f t="shared" si="21"/>
        <v/>
      </c>
      <c r="W120" s="28" t="str">
        <f t="shared" si="21"/>
        <v/>
      </c>
      <c r="X120" s="29" t="str">
        <f t="shared" si="21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18"/>
        <v/>
      </c>
      <c r="L121" s="19" t="str">
        <f t="shared" si="20"/>
        <v/>
      </c>
      <c r="M121" s="19" t="str">
        <f t="shared" si="20"/>
        <v/>
      </c>
      <c r="N121" s="19" t="str">
        <f t="shared" si="20"/>
        <v/>
      </c>
      <c r="O121" s="19" t="str">
        <f t="shared" si="15"/>
        <v/>
      </c>
      <c r="P121" s="19" t="str">
        <f t="shared" si="16"/>
        <v/>
      </c>
      <c r="Q121" s="19" t="str">
        <f t="shared" si="17"/>
        <v/>
      </c>
      <c r="R121" s="19" t="str">
        <f t="shared" si="20"/>
        <v/>
      </c>
      <c r="S121" s="27" t="str">
        <f t="shared" si="21"/>
        <v/>
      </c>
      <c r="T121" s="28" t="str">
        <f t="shared" si="21"/>
        <v/>
      </c>
      <c r="U121" s="28" t="str">
        <f t="shared" si="21"/>
        <v/>
      </c>
      <c r="V121" s="28" t="str">
        <f t="shared" si="21"/>
        <v/>
      </c>
      <c r="W121" s="28" t="str">
        <f t="shared" si="21"/>
        <v/>
      </c>
      <c r="X121" s="29" t="str">
        <f t="shared" si="21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18"/>
        <v/>
      </c>
      <c r="L122" s="19" t="str">
        <f t="shared" si="20"/>
        <v/>
      </c>
      <c r="M122" s="19" t="str">
        <f t="shared" si="20"/>
        <v/>
      </c>
      <c r="N122" s="19" t="str">
        <f t="shared" si="20"/>
        <v/>
      </c>
      <c r="O122" s="19" t="str">
        <f t="shared" si="15"/>
        <v/>
      </c>
      <c r="P122" s="19" t="str">
        <f t="shared" si="16"/>
        <v/>
      </c>
      <c r="Q122" s="19" t="str">
        <f t="shared" si="17"/>
        <v/>
      </c>
      <c r="R122" s="19" t="str">
        <f t="shared" si="20"/>
        <v/>
      </c>
      <c r="S122" s="27" t="str">
        <f t="shared" si="21"/>
        <v/>
      </c>
      <c r="T122" s="28" t="str">
        <f t="shared" si="21"/>
        <v/>
      </c>
      <c r="U122" s="28" t="str">
        <f t="shared" si="21"/>
        <v/>
      </c>
      <c r="V122" s="28" t="str">
        <f t="shared" si="21"/>
        <v/>
      </c>
      <c r="W122" s="28" t="str">
        <f t="shared" si="21"/>
        <v/>
      </c>
      <c r="X122" s="29" t="str">
        <f t="shared" si="21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18"/>
        <v/>
      </c>
      <c r="L123" s="19" t="str">
        <f t="shared" si="20"/>
        <v/>
      </c>
      <c r="M123" s="19" t="str">
        <f t="shared" si="20"/>
        <v/>
      </c>
      <c r="N123" s="19" t="str">
        <f t="shared" si="20"/>
        <v/>
      </c>
      <c r="O123" s="19" t="str">
        <f t="shared" si="15"/>
        <v/>
      </c>
      <c r="P123" s="19" t="str">
        <f t="shared" si="16"/>
        <v/>
      </c>
      <c r="Q123" s="19" t="str">
        <f t="shared" si="17"/>
        <v/>
      </c>
      <c r="R123" s="19" t="str">
        <f t="shared" si="20"/>
        <v/>
      </c>
      <c r="S123" s="27" t="str">
        <f t="shared" si="21"/>
        <v/>
      </c>
      <c r="T123" s="28" t="str">
        <f t="shared" si="21"/>
        <v/>
      </c>
      <c r="U123" s="28" t="str">
        <f t="shared" si="21"/>
        <v/>
      </c>
      <c r="V123" s="28" t="str">
        <f t="shared" si="21"/>
        <v/>
      </c>
      <c r="W123" s="28" t="str">
        <f t="shared" si="21"/>
        <v/>
      </c>
      <c r="X123" s="29" t="str">
        <f t="shared" si="21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18"/>
        <v/>
      </c>
      <c r="L124" s="19" t="str">
        <f t="shared" si="20"/>
        <v/>
      </c>
      <c r="M124" s="19" t="str">
        <f t="shared" si="20"/>
        <v/>
      </c>
      <c r="N124" s="19" t="str">
        <f t="shared" si="20"/>
        <v/>
      </c>
      <c r="O124" s="19" t="str">
        <f t="shared" si="15"/>
        <v/>
      </c>
      <c r="P124" s="19" t="str">
        <f t="shared" si="16"/>
        <v/>
      </c>
      <c r="Q124" s="19" t="str">
        <f t="shared" si="17"/>
        <v/>
      </c>
      <c r="R124" s="19" t="str">
        <f t="shared" si="20"/>
        <v/>
      </c>
      <c r="S124" s="27" t="str">
        <f t="shared" si="21"/>
        <v/>
      </c>
      <c r="T124" s="28" t="str">
        <f t="shared" si="21"/>
        <v/>
      </c>
      <c r="U124" s="28" t="str">
        <f t="shared" si="21"/>
        <v/>
      </c>
      <c r="V124" s="28" t="str">
        <f t="shared" si="21"/>
        <v/>
      </c>
      <c r="W124" s="28" t="str">
        <f t="shared" si="21"/>
        <v/>
      </c>
      <c r="X124" s="29" t="str">
        <f t="shared" si="21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18"/>
        <v/>
      </c>
      <c r="L125" s="19" t="str">
        <f t="shared" si="20"/>
        <v/>
      </c>
      <c r="M125" s="19" t="str">
        <f t="shared" si="20"/>
        <v/>
      </c>
      <c r="N125" s="19" t="str">
        <f t="shared" si="20"/>
        <v/>
      </c>
      <c r="O125" s="19" t="str">
        <f t="shared" si="15"/>
        <v/>
      </c>
      <c r="P125" s="19" t="str">
        <f t="shared" si="16"/>
        <v/>
      </c>
      <c r="Q125" s="19" t="str">
        <f t="shared" si="17"/>
        <v/>
      </c>
      <c r="R125" s="19" t="str">
        <f t="shared" si="20"/>
        <v/>
      </c>
      <c r="S125" s="27" t="str">
        <f t="shared" si="21"/>
        <v/>
      </c>
      <c r="T125" s="28" t="str">
        <f t="shared" si="21"/>
        <v/>
      </c>
      <c r="U125" s="28" t="str">
        <f t="shared" si="21"/>
        <v/>
      </c>
      <c r="V125" s="28" t="str">
        <f t="shared" si="21"/>
        <v/>
      </c>
      <c r="W125" s="28" t="str">
        <f t="shared" si="21"/>
        <v/>
      </c>
      <c r="X125" s="29" t="str">
        <f t="shared" si="21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18"/>
        <v/>
      </c>
      <c r="L126" s="19" t="str">
        <f t="shared" si="20"/>
        <v/>
      </c>
      <c r="M126" s="19" t="str">
        <f t="shared" si="20"/>
        <v/>
      </c>
      <c r="N126" s="19" t="str">
        <f t="shared" si="20"/>
        <v/>
      </c>
      <c r="O126" s="19" t="str">
        <f t="shared" si="15"/>
        <v/>
      </c>
      <c r="P126" s="19" t="str">
        <f t="shared" si="16"/>
        <v/>
      </c>
      <c r="Q126" s="19" t="str">
        <f t="shared" si="17"/>
        <v/>
      </c>
      <c r="R126" s="19" t="str">
        <f t="shared" si="20"/>
        <v/>
      </c>
      <c r="S126" s="27" t="str">
        <f t="shared" si="21"/>
        <v/>
      </c>
      <c r="T126" s="28" t="str">
        <f t="shared" si="21"/>
        <v/>
      </c>
      <c r="U126" s="28" t="str">
        <f t="shared" si="21"/>
        <v/>
      </c>
      <c r="V126" s="28" t="str">
        <f t="shared" si="21"/>
        <v/>
      </c>
      <c r="W126" s="28" t="str">
        <f t="shared" si="21"/>
        <v/>
      </c>
      <c r="X126" s="29" t="str">
        <f t="shared" si="21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18"/>
        <v/>
      </c>
      <c r="L127" s="19" t="str">
        <f t="shared" si="20"/>
        <v/>
      </c>
      <c r="M127" s="19" t="str">
        <f t="shared" si="20"/>
        <v/>
      </c>
      <c r="N127" s="19" t="str">
        <f t="shared" si="20"/>
        <v/>
      </c>
      <c r="O127" s="19" t="str">
        <f t="shared" si="15"/>
        <v/>
      </c>
      <c r="P127" s="19" t="str">
        <f t="shared" si="16"/>
        <v/>
      </c>
      <c r="Q127" s="19" t="str">
        <f t="shared" si="17"/>
        <v/>
      </c>
      <c r="R127" s="19" t="str">
        <f t="shared" si="20"/>
        <v/>
      </c>
      <c r="S127" s="27" t="str">
        <f t="shared" si="21"/>
        <v/>
      </c>
      <c r="T127" s="28" t="str">
        <f t="shared" si="21"/>
        <v/>
      </c>
      <c r="U127" s="28" t="str">
        <f t="shared" si="21"/>
        <v/>
      </c>
      <c r="V127" s="28" t="str">
        <f t="shared" si="21"/>
        <v/>
      </c>
      <c r="W127" s="28" t="str">
        <f t="shared" si="21"/>
        <v/>
      </c>
      <c r="X127" s="29" t="str">
        <f t="shared" si="21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18"/>
        <v/>
      </c>
      <c r="L128" s="19" t="str">
        <f t="shared" si="20"/>
        <v/>
      </c>
      <c r="M128" s="19" t="str">
        <f t="shared" si="20"/>
        <v/>
      </c>
      <c r="N128" s="19" t="str">
        <f t="shared" si="20"/>
        <v/>
      </c>
      <c r="O128" s="19" t="str">
        <f t="shared" si="15"/>
        <v/>
      </c>
      <c r="P128" s="19" t="str">
        <f t="shared" si="16"/>
        <v/>
      </c>
      <c r="Q128" s="19" t="str">
        <f t="shared" si="17"/>
        <v/>
      </c>
      <c r="R128" s="19" t="str">
        <f t="shared" si="20"/>
        <v/>
      </c>
      <c r="S128" s="27" t="str">
        <f t="shared" si="21"/>
        <v/>
      </c>
      <c r="T128" s="28" t="str">
        <f t="shared" si="21"/>
        <v/>
      </c>
      <c r="U128" s="28" t="str">
        <f t="shared" si="21"/>
        <v/>
      </c>
      <c r="V128" s="28" t="str">
        <f t="shared" si="21"/>
        <v/>
      </c>
      <c r="W128" s="28" t="str">
        <f t="shared" si="21"/>
        <v/>
      </c>
      <c r="X128" s="29" t="str">
        <f t="shared" si="21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18"/>
        <v/>
      </c>
      <c r="L129" s="19" t="str">
        <f t="shared" si="20"/>
        <v/>
      </c>
      <c r="M129" s="19" t="str">
        <f t="shared" si="20"/>
        <v/>
      </c>
      <c r="N129" s="19" t="str">
        <f t="shared" si="20"/>
        <v/>
      </c>
      <c r="O129" s="19" t="str">
        <f t="shared" si="15"/>
        <v/>
      </c>
      <c r="P129" s="19" t="str">
        <f t="shared" si="16"/>
        <v/>
      </c>
      <c r="Q129" s="19" t="str">
        <f t="shared" si="17"/>
        <v/>
      </c>
      <c r="R129" s="19" t="str">
        <f t="shared" si="20"/>
        <v/>
      </c>
      <c r="S129" s="27" t="str">
        <f t="shared" ref="S129:X144" si="22">IF(C129="","",((C129-C128)*1000)/($B129-$B128))</f>
        <v/>
      </c>
      <c r="T129" s="28" t="str">
        <f t="shared" si="22"/>
        <v/>
      </c>
      <c r="U129" s="28" t="str">
        <f t="shared" si="22"/>
        <v/>
      </c>
      <c r="V129" s="28" t="str">
        <f t="shared" si="22"/>
        <v/>
      </c>
      <c r="W129" s="28" t="str">
        <f t="shared" si="22"/>
        <v/>
      </c>
      <c r="X129" s="29" t="str">
        <f t="shared" si="2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18"/>
        <v/>
      </c>
      <c r="L130" s="19" t="str">
        <f t="shared" si="20"/>
        <v/>
      </c>
      <c r="M130" s="19" t="str">
        <f t="shared" si="20"/>
        <v/>
      </c>
      <c r="N130" s="19" t="str">
        <f t="shared" si="20"/>
        <v/>
      </c>
      <c r="O130" s="19" t="str">
        <f t="shared" si="15"/>
        <v/>
      </c>
      <c r="P130" s="19" t="str">
        <f t="shared" si="16"/>
        <v/>
      </c>
      <c r="Q130" s="19" t="str">
        <f t="shared" si="17"/>
        <v/>
      </c>
      <c r="R130" s="19" t="str">
        <f t="shared" si="20"/>
        <v/>
      </c>
      <c r="S130" s="27" t="str">
        <f t="shared" si="22"/>
        <v/>
      </c>
      <c r="T130" s="28" t="str">
        <f t="shared" si="22"/>
        <v/>
      </c>
      <c r="U130" s="28" t="str">
        <f t="shared" si="22"/>
        <v/>
      </c>
      <c r="V130" s="28" t="str">
        <f t="shared" si="22"/>
        <v/>
      </c>
      <c r="W130" s="28" t="str">
        <f t="shared" si="22"/>
        <v/>
      </c>
      <c r="X130" s="29" t="str">
        <f t="shared" si="2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18"/>
        <v/>
      </c>
      <c r="L131" s="19" t="str">
        <f t="shared" si="20"/>
        <v/>
      </c>
      <c r="M131" s="19" t="str">
        <f t="shared" si="20"/>
        <v/>
      </c>
      <c r="N131" s="19" t="str">
        <f t="shared" si="20"/>
        <v/>
      </c>
      <c r="O131" s="19" t="str">
        <f t="shared" si="15"/>
        <v/>
      </c>
      <c r="P131" s="19" t="str">
        <f t="shared" si="16"/>
        <v/>
      </c>
      <c r="Q131" s="19" t="str">
        <f t="shared" si="17"/>
        <v/>
      </c>
      <c r="R131" s="19" t="str">
        <f t="shared" si="20"/>
        <v/>
      </c>
      <c r="S131" s="27" t="str">
        <f t="shared" si="22"/>
        <v/>
      </c>
      <c r="T131" s="28" t="str">
        <f t="shared" si="22"/>
        <v/>
      </c>
      <c r="U131" s="28" t="str">
        <f t="shared" si="22"/>
        <v/>
      </c>
      <c r="V131" s="28" t="str">
        <f t="shared" si="22"/>
        <v/>
      </c>
      <c r="W131" s="28" t="str">
        <f t="shared" si="22"/>
        <v/>
      </c>
      <c r="X131" s="29" t="str">
        <f t="shared" si="2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18"/>
        <v/>
      </c>
      <c r="L132" s="19" t="str">
        <f t="shared" si="20"/>
        <v/>
      </c>
      <c r="M132" s="19" t="str">
        <f t="shared" si="20"/>
        <v/>
      </c>
      <c r="N132" s="19" t="str">
        <f t="shared" si="20"/>
        <v/>
      </c>
      <c r="O132" s="19" t="str">
        <f t="shared" si="15"/>
        <v/>
      </c>
      <c r="P132" s="19" t="str">
        <f t="shared" si="16"/>
        <v/>
      </c>
      <c r="Q132" s="19" t="str">
        <f t="shared" si="17"/>
        <v/>
      </c>
      <c r="R132" s="19" t="str">
        <f t="shared" si="20"/>
        <v/>
      </c>
      <c r="S132" s="27" t="str">
        <f t="shared" si="22"/>
        <v/>
      </c>
      <c r="T132" s="28" t="str">
        <f t="shared" si="22"/>
        <v/>
      </c>
      <c r="U132" s="28" t="str">
        <f t="shared" si="22"/>
        <v/>
      </c>
      <c r="V132" s="28" t="str">
        <f t="shared" si="22"/>
        <v/>
      </c>
      <c r="W132" s="28" t="str">
        <f t="shared" si="22"/>
        <v/>
      </c>
      <c r="X132" s="29" t="str">
        <f t="shared" si="2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18"/>
        <v/>
      </c>
      <c r="L133" s="19" t="str">
        <f t="shared" si="20"/>
        <v/>
      </c>
      <c r="M133" s="19" t="str">
        <f t="shared" si="20"/>
        <v/>
      </c>
      <c r="N133" s="19" t="str">
        <f t="shared" si="20"/>
        <v/>
      </c>
      <c r="O133" s="19" t="str">
        <f t="shared" si="15"/>
        <v/>
      </c>
      <c r="P133" s="19" t="str">
        <f t="shared" si="16"/>
        <v/>
      </c>
      <c r="Q133" s="19" t="str">
        <f t="shared" si="17"/>
        <v/>
      </c>
      <c r="R133" s="19" t="str">
        <f t="shared" si="20"/>
        <v/>
      </c>
      <c r="S133" s="27" t="str">
        <f t="shared" si="22"/>
        <v/>
      </c>
      <c r="T133" s="28" t="str">
        <f t="shared" si="22"/>
        <v/>
      </c>
      <c r="U133" s="28" t="str">
        <f t="shared" si="22"/>
        <v/>
      </c>
      <c r="V133" s="28" t="str">
        <f t="shared" si="22"/>
        <v/>
      </c>
      <c r="W133" s="28" t="str">
        <f t="shared" si="22"/>
        <v/>
      </c>
      <c r="X133" s="29" t="str">
        <f t="shared" si="2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18"/>
        <v/>
      </c>
      <c r="L134" s="19" t="str">
        <f t="shared" si="20"/>
        <v/>
      </c>
      <c r="M134" s="19" t="str">
        <f t="shared" si="20"/>
        <v/>
      </c>
      <c r="N134" s="19" t="str">
        <f t="shared" si="20"/>
        <v/>
      </c>
      <c r="O134" s="19" t="str">
        <f t="shared" si="15"/>
        <v/>
      </c>
      <c r="P134" s="19" t="str">
        <f t="shared" si="16"/>
        <v/>
      </c>
      <c r="Q134" s="19" t="str">
        <f t="shared" si="17"/>
        <v/>
      </c>
      <c r="R134" s="19" t="str">
        <f t="shared" si="20"/>
        <v/>
      </c>
      <c r="S134" s="27" t="str">
        <f t="shared" si="22"/>
        <v/>
      </c>
      <c r="T134" s="28" t="str">
        <f t="shared" si="22"/>
        <v/>
      </c>
      <c r="U134" s="28" t="str">
        <f t="shared" si="22"/>
        <v/>
      </c>
      <c r="V134" s="28" t="str">
        <f t="shared" si="22"/>
        <v/>
      </c>
      <c r="W134" s="28" t="str">
        <f t="shared" si="22"/>
        <v/>
      </c>
      <c r="X134" s="29" t="str">
        <f t="shared" si="2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18"/>
        <v/>
      </c>
      <c r="L135" s="19" t="str">
        <f t="shared" si="20"/>
        <v/>
      </c>
      <c r="M135" s="19" t="str">
        <f t="shared" si="20"/>
        <v/>
      </c>
      <c r="N135" s="19" t="str">
        <f t="shared" si="20"/>
        <v/>
      </c>
      <c r="O135" s="19" t="str">
        <f t="shared" si="15"/>
        <v/>
      </c>
      <c r="P135" s="19" t="str">
        <f t="shared" si="16"/>
        <v/>
      </c>
      <c r="Q135" s="19" t="str">
        <f t="shared" si="17"/>
        <v/>
      </c>
      <c r="R135" s="19" t="str">
        <f t="shared" si="20"/>
        <v/>
      </c>
      <c r="S135" s="27" t="str">
        <f t="shared" si="22"/>
        <v/>
      </c>
      <c r="T135" s="28" t="str">
        <f t="shared" si="22"/>
        <v/>
      </c>
      <c r="U135" s="28" t="str">
        <f t="shared" si="22"/>
        <v/>
      </c>
      <c r="V135" s="28" t="str">
        <f t="shared" si="22"/>
        <v/>
      </c>
      <c r="W135" s="28" t="str">
        <f t="shared" si="22"/>
        <v/>
      </c>
      <c r="X135" s="29" t="str">
        <f t="shared" si="2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18"/>
        <v/>
      </c>
      <c r="L136" s="19" t="str">
        <f t="shared" si="20"/>
        <v/>
      </c>
      <c r="M136" s="19" t="str">
        <f t="shared" si="20"/>
        <v/>
      </c>
      <c r="N136" s="19" t="str">
        <f t="shared" si="20"/>
        <v/>
      </c>
      <c r="O136" s="19" t="str">
        <f t="shared" si="15"/>
        <v/>
      </c>
      <c r="P136" s="19" t="str">
        <f t="shared" si="16"/>
        <v/>
      </c>
      <c r="Q136" s="19" t="str">
        <f t="shared" si="17"/>
        <v/>
      </c>
      <c r="R136" s="19" t="str">
        <f t="shared" si="20"/>
        <v/>
      </c>
      <c r="S136" s="27" t="str">
        <f t="shared" si="22"/>
        <v/>
      </c>
      <c r="T136" s="28" t="str">
        <f t="shared" si="22"/>
        <v/>
      </c>
      <c r="U136" s="28" t="str">
        <f t="shared" si="22"/>
        <v/>
      </c>
      <c r="V136" s="28" t="str">
        <f t="shared" si="22"/>
        <v/>
      </c>
      <c r="W136" s="28" t="str">
        <f t="shared" si="22"/>
        <v/>
      </c>
      <c r="X136" s="29" t="str">
        <f t="shared" si="2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18"/>
        <v/>
      </c>
      <c r="L137" s="19" t="str">
        <f t="shared" si="20"/>
        <v/>
      </c>
      <c r="M137" s="19" t="str">
        <f t="shared" si="20"/>
        <v/>
      </c>
      <c r="N137" s="19" t="str">
        <f t="shared" si="20"/>
        <v/>
      </c>
      <c r="O137" s="19" t="str">
        <f t="shared" si="15"/>
        <v/>
      </c>
      <c r="P137" s="19" t="str">
        <f t="shared" si="16"/>
        <v/>
      </c>
      <c r="Q137" s="19" t="str">
        <f t="shared" si="17"/>
        <v/>
      </c>
      <c r="R137" s="19" t="str">
        <f t="shared" si="20"/>
        <v/>
      </c>
      <c r="S137" s="27" t="str">
        <f t="shared" si="22"/>
        <v/>
      </c>
      <c r="T137" s="28" t="str">
        <f t="shared" si="22"/>
        <v/>
      </c>
      <c r="U137" s="28" t="str">
        <f t="shared" si="22"/>
        <v/>
      </c>
      <c r="V137" s="28" t="str">
        <f t="shared" si="22"/>
        <v/>
      </c>
      <c r="W137" s="28" t="str">
        <f t="shared" si="22"/>
        <v/>
      </c>
      <c r="X137" s="29" t="str">
        <f t="shared" si="2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18"/>
        <v/>
      </c>
      <c r="L138" s="19" t="str">
        <f t="shared" si="20"/>
        <v/>
      </c>
      <c r="M138" s="19" t="str">
        <f t="shared" si="20"/>
        <v/>
      </c>
      <c r="N138" s="19" t="str">
        <f t="shared" si="20"/>
        <v/>
      </c>
      <c r="O138" s="19" t="str">
        <f t="shared" si="15"/>
        <v/>
      </c>
      <c r="P138" s="19" t="str">
        <f t="shared" si="16"/>
        <v/>
      </c>
      <c r="Q138" s="19" t="str">
        <f t="shared" si="17"/>
        <v/>
      </c>
      <c r="R138" s="19" t="str">
        <f t="shared" si="20"/>
        <v/>
      </c>
      <c r="S138" s="27" t="str">
        <f t="shared" si="22"/>
        <v/>
      </c>
      <c r="T138" s="28" t="str">
        <f t="shared" si="22"/>
        <v/>
      </c>
      <c r="U138" s="28" t="str">
        <f t="shared" si="22"/>
        <v/>
      </c>
      <c r="V138" s="28" t="str">
        <f t="shared" si="22"/>
        <v/>
      </c>
      <c r="W138" s="28" t="str">
        <f t="shared" si="22"/>
        <v/>
      </c>
      <c r="X138" s="29" t="str">
        <f t="shared" si="2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18"/>
        <v/>
      </c>
      <c r="L139" s="19" t="str">
        <f t="shared" si="20"/>
        <v/>
      </c>
      <c r="M139" s="19" t="str">
        <f t="shared" si="20"/>
        <v/>
      </c>
      <c r="N139" s="19" t="str">
        <f t="shared" si="20"/>
        <v/>
      </c>
      <c r="O139" s="19" t="str">
        <f t="shared" si="15"/>
        <v/>
      </c>
      <c r="P139" s="19" t="str">
        <f t="shared" si="16"/>
        <v/>
      </c>
      <c r="Q139" s="19" t="str">
        <f t="shared" si="17"/>
        <v/>
      </c>
      <c r="R139" s="19" t="str">
        <f t="shared" si="20"/>
        <v/>
      </c>
      <c r="S139" s="27" t="str">
        <f t="shared" si="22"/>
        <v/>
      </c>
      <c r="T139" s="28" t="str">
        <f t="shared" si="22"/>
        <v/>
      </c>
      <c r="U139" s="28" t="str">
        <f t="shared" si="22"/>
        <v/>
      </c>
      <c r="V139" s="28" t="str">
        <f t="shared" si="22"/>
        <v/>
      </c>
      <c r="W139" s="28" t="str">
        <f t="shared" si="22"/>
        <v/>
      </c>
      <c r="X139" s="29" t="str">
        <f t="shared" si="2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18"/>
        <v/>
      </c>
      <c r="L140" s="19" t="str">
        <f t="shared" si="20"/>
        <v/>
      </c>
      <c r="M140" s="19" t="str">
        <f t="shared" si="20"/>
        <v/>
      </c>
      <c r="N140" s="19" t="str">
        <f t="shared" si="20"/>
        <v/>
      </c>
      <c r="O140" s="19" t="str">
        <f t="shared" si="15"/>
        <v/>
      </c>
      <c r="P140" s="19" t="str">
        <f t="shared" si="16"/>
        <v/>
      </c>
      <c r="Q140" s="19" t="str">
        <f t="shared" si="17"/>
        <v/>
      </c>
      <c r="R140" s="19" t="str">
        <f t="shared" si="20"/>
        <v/>
      </c>
      <c r="S140" s="27" t="str">
        <f t="shared" si="22"/>
        <v/>
      </c>
      <c r="T140" s="28" t="str">
        <f t="shared" si="22"/>
        <v/>
      </c>
      <c r="U140" s="28" t="str">
        <f t="shared" si="22"/>
        <v/>
      </c>
      <c r="V140" s="28" t="str">
        <f t="shared" si="22"/>
        <v/>
      </c>
      <c r="W140" s="28" t="str">
        <f t="shared" si="22"/>
        <v/>
      </c>
      <c r="X140" s="29" t="str">
        <f t="shared" si="2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18"/>
        <v/>
      </c>
      <c r="L141" s="19" t="str">
        <f t="shared" si="20"/>
        <v/>
      </c>
      <c r="M141" s="19" t="str">
        <f t="shared" si="20"/>
        <v/>
      </c>
      <c r="N141" s="19" t="str">
        <f t="shared" si="20"/>
        <v/>
      </c>
      <c r="O141" s="19" t="str">
        <f t="shared" si="15"/>
        <v/>
      </c>
      <c r="P141" s="19" t="str">
        <f t="shared" si="16"/>
        <v/>
      </c>
      <c r="Q141" s="19" t="str">
        <f t="shared" si="17"/>
        <v/>
      </c>
      <c r="R141" s="19" t="str">
        <f t="shared" si="20"/>
        <v/>
      </c>
      <c r="S141" s="27" t="str">
        <f t="shared" si="22"/>
        <v/>
      </c>
      <c r="T141" s="28" t="str">
        <f t="shared" si="22"/>
        <v/>
      </c>
      <c r="U141" s="28" t="str">
        <f t="shared" si="22"/>
        <v/>
      </c>
      <c r="V141" s="28" t="str">
        <f t="shared" si="22"/>
        <v/>
      </c>
      <c r="W141" s="28" t="str">
        <f t="shared" si="22"/>
        <v/>
      </c>
      <c r="X141" s="29" t="str">
        <f t="shared" si="2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18"/>
        <v/>
      </c>
      <c r="L142" s="19" t="str">
        <f t="shared" si="20"/>
        <v/>
      </c>
      <c r="M142" s="19" t="str">
        <f t="shared" si="20"/>
        <v/>
      </c>
      <c r="N142" s="19" t="str">
        <f t="shared" si="20"/>
        <v/>
      </c>
      <c r="O142" s="19" t="str">
        <f t="shared" si="15"/>
        <v/>
      </c>
      <c r="P142" s="19" t="str">
        <f t="shared" si="16"/>
        <v/>
      </c>
      <c r="Q142" s="19" t="str">
        <f t="shared" si="17"/>
        <v/>
      </c>
      <c r="R142" s="19" t="str">
        <f t="shared" si="20"/>
        <v/>
      </c>
      <c r="S142" s="27" t="str">
        <f t="shared" si="22"/>
        <v/>
      </c>
      <c r="T142" s="28" t="str">
        <f t="shared" si="22"/>
        <v/>
      </c>
      <c r="U142" s="28" t="str">
        <f t="shared" si="22"/>
        <v/>
      </c>
      <c r="V142" s="28" t="str">
        <f t="shared" si="22"/>
        <v/>
      </c>
      <c r="W142" s="28" t="str">
        <f t="shared" si="22"/>
        <v/>
      </c>
      <c r="X142" s="29" t="str">
        <f t="shared" si="2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18"/>
        <v/>
      </c>
      <c r="L143" s="19" t="str">
        <f t="shared" si="20"/>
        <v/>
      </c>
      <c r="M143" s="19" t="str">
        <f t="shared" si="20"/>
        <v/>
      </c>
      <c r="N143" s="19" t="str">
        <f t="shared" si="20"/>
        <v/>
      </c>
      <c r="O143" s="19" t="str">
        <f t="shared" si="15"/>
        <v/>
      </c>
      <c r="P143" s="19" t="str">
        <f t="shared" si="16"/>
        <v/>
      </c>
      <c r="Q143" s="19" t="str">
        <f t="shared" si="17"/>
        <v/>
      </c>
      <c r="R143" s="19" t="str">
        <f t="shared" si="20"/>
        <v/>
      </c>
      <c r="S143" s="27" t="str">
        <f t="shared" si="22"/>
        <v/>
      </c>
      <c r="T143" s="28" t="str">
        <f t="shared" si="22"/>
        <v/>
      </c>
      <c r="U143" s="28" t="str">
        <f t="shared" si="22"/>
        <v/>
      </c>
      <c r="V143" s="28" t="str">
        <f t="shared" si="22"/>
        <v/>
      </c>
      <c r="W143" s="28" t="str">
        <f t="shared" si="22"/>
        <v/>
      </c>
      <c r="X143" s="29" t="str">
        <f t="shared" si="2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18"/>
        <v/>
      </c>
      <c r="L144" s="19" t="str">
        <f t="shared" ref="L144:R153" si="23">IF(ISBLANK(C144),"",(C144-C$16)*1000)</f>
        <v/>
      </c>
      <c r="M144" s="19" t="str">
        <f t="shared" si="23"/>
        <v/>
      </c>
      <c r="N144" s="19" t="str">
        <f t="shared" si="23"/>
        <v/>
      </c>
      <c r="O144" s="19" t="str">
        <f t="shared" si="15"/>
        <v/>
      </c>
      <c r="P144" s="19" t="str">
        <f t="shared" si="16"/>
        <v/>
      </c>
      <c r="Q144" s="19" t="str">
        <f t="shared" si="17"/>
        <v/>
      </c>
      <c r="R144" s="19" t="str">
        <f t="shared" si="23"/>
        <v/>
      </c>
      <c r="S144" s="27" t="str">
        <f t="shared" si="22"/>
        <v/>
      </c>
      <c r="T144" s="28" t="str">
        <f t="shared" si="22"/>
        <v/>
      </c>
      <c r="U144" s="28" t="str">
        <f t="shared" si="22"/>
        <v/>
      </c>
      <c r="V144" s="28" t="str">
        <f t="shared" si="22"/>
        <v/>
      </c>
      <c r="W144" s="28" t="str">
        <f t="shared" si="22"/>
        <v/>
      </c>
      <c r="X144" s="29" t="str">
        <f t="shared" si="2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18"/>
        <v/>
      </c>
      <c r="L145" s="19" t="str">
        <f t="shared" si="23"/>
        <v/>
      </c>
      <c r="M145" s="19" t="str">
        <f t="shared" si="23"/>
        <v/>
      </c>
      <c r="N145" s="19" t="str">
        <f t="shared" si="23"/>
        <v/>
      </c>
      <c r="O145" s="19" t="str">
        <f t="shared" si="15"/>
        <v/>
      </c>
      <c r="P145" s="19" t="str">
        <f t="shared" si="16"/>
        <v/>
      </c>
      <c r="Q145" s="19" t="str">
        <f t="shared" si="17"/>
        <v/>
      </c>
      <c r="R145" s="19" t="str">
        <f t="shared" si="23"/>
        <v/>
      </c>
      <c r="S145" s="27" t="str">
        <f t="shared" ref="S145:X153" si="24">IF(C145="","",((C145-C144)*1000)/($B145-$B144))</f>
        <v/>
      </c>
      <c r="T145" s="28" t="str">
        <f t="shared" si="24"/>
        <v/>
      </c>
      <c r="U145" s="28" t="str">
        <f t="shared" si="24"/>
        <v/>
      </c>
      <c r="V145" s="28" t="str">
        <f t="shared" si="24"/>
        <v/>
      </c>
      <c r="W145" s="28" t="str">
        <f t="shared" si="24"/>
        <v/>
      </c>
      <c r="X145" s="29" t="str">
        <f t="shared" si="2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18"/>
        <v/>
      </c>
      <c r="L146" s="19" t="str">
        <f t="shared" si="23"/>
        <v/>
      </c>
      <c r="M146" s="19" t="str">
        <f t="shared" si="23"/>
        <v/>
      </c>
      <c r="N146" s="19" t="str">
        <f t="shared" si="23"/>
        <v/>
      </c>
      <c r="O146" s="19" t="str">
        <f t="shared" si="15"/>
        <v/>
      </c>
      <c r="P146" s="19" t="str">
        <f t="shared" si="16"/>
        <v/>
      </c>
      <c r="Q146" s="19" t="str">
        <f t="shared" si="17"/>
        <v/>
      </c>
      <c r="R146" s="19" t="str">
        <f t="shared" si="23"/>
        <v/>
      </c>
      <c r="S146" s="27" t="str">
        <f t="shared" si="24"/>
        <v/>
      </c>
      <c r="T146" s="28" t="str">
        <f t="shared" si="24"/>
        <v/>
      </c>
      <c r="U146" s="28" t="str">
        <f t="shared" si="24"/>
        <v/>
      </c>
      <c r="V146" s="28" t="str">
        <f t="shared" si="24"/>
        <v/>
      </c>
      <c r="W146" s="28" t="str">
        <f t="shared" si="24"/>
        <v/>
      </c>
      <c r="X146" s="29" t="str">
        <f t="shared" si="2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18"/>
        <v/>
      </c>
      <c r="L147" s="19" t="str">
        <f t="shared" si="23"/>
        <v/>
      </c>
      <c r="M147" s="19" t="str">
        <f t="shared" si="23"/>
        <v/>
      </c>
      <c r="N147" s="19" t="str">
        <f t="shared" si="23"/>
        <v/>
      </c>
      <c r="O147" s="19" t="str">
        <f t="shared" si="15"/>
        <v/>
      </c>
      <c r="P147" s="19" t="str">
        <f t="shared" si="16"/>
        <v/>
      </c>
      <c r="Q147" s="19" t="str">
        <f t="shared" si="17"/>
        <v/>
      </c>
      <c r="R147" s="19" t="str">
        <f t="shared" si="23"/>
        <v/>
      </c>
      <c r="S147" s="27" t="str">
        <f t="shared" si="24"/>
        <v/>
      </c>
      <c r="T147" s="28" t="str">
        <f t="shared" si="24"/>
        <v/>
      </c>
      <c r="U147" s="28" t="str">
        <f t="shared" si="24"/>
        <v/>
      </c>
      <c r="V147" s="28" t="str">
        <f t="shared" si="24"/>
        <v/>
      </c>
      <c r="W147" s="28" t="str">
        <f t="shared" si="24"/>
        <v/>
      </c>
      <c r="X147" s="29" t="str">
        <f t="shared" si="2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18"/>
        <v/>
      </c>
      <c r="L148" s="19" t="str">
        <f t="shared" si="23"/>
        <v/>
      </c>
      <c r="M148" s="19" t="str">
        <f t="shared" si="23"/>
        <v/>
      </c>
      <c r="N148" s="19" t="str">
        <f t="shared" si="23"/>
        <v/>
      </c>
      <c r="O148" s="19" t="str">
        <f t="shared" si="15"/>
        <v/>
      </c>
      <c r="P148" s="19" t="str">
        <f t="shared" si="16"/>
        <v/>
      </c>
      <c r="Q148" s="19" t="str">
        <f t="shared" si="17"/>
        <v/>
      </c>
      <c r="R148" s="19" t="str">
        <f t="shared" si="23"/>
        <v/>
      </c>
      <c r="S148" s="27" t="str">
        <f t="shared" si="24"/>
        <v/>
      </c>
      <c r="T148" s="28" t="str">
        <f t="shared" si="24"/>
        <v/>
      </c>
      <c r="U148" s="28" t="str">
        <f t="shared" si="24"/>
        <v/>
      </c>
      <c r="V148" s="28" t="str">
        <f t="shared" si="24"/>
        <v/>
      </c>
      <c r="W148" s="28" t="str">
        <f t="shared" si="24"/>
        <v/>
      </c>
      <c r="X148" s="29" t="str">
        <f t="shared" si="2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18"/>
        <v/>
      </c>
      <c r="L149" s="19" t="str">
        <f t="shared" si="23"/>
        <v/>
      </c>
      <c r="M149" s="19" t="str">
        <f t="shared" si="23"/>
        <v/>
      </c>
      <c r="N149" s="19" t="str">
        <f t="shared" si="23"/>
        <v/>
      </c>
      <c r="O149" s="19" t="str">
        <f t="shared" si="15"/>
        <v/>
      </c>
      <c r="P149" s="19" t="str">
        <f t="shared" si="16"/>
        <v/>
      </c>
      <c r="Q149" s="19" t="str">
        <f t="shared" si="17"/>
        <v/>
      </c>
      <c r="R149" s="19" t="str">
        <f t="shared" si="23"/>
        <v/>
      </c>
      <c r="S149" s="27" t="str">
        <f t="shared" si="24"/>
        <v/>
      </c>
      <c r="T149" s="28" t="str">
        <f t="shared" si="24"/>
        <v/>
      </c>
      <c r="U149" s="28" t="str">
        <f t="shared" si="24"/>
        <v/>
      </c>
      <c r="V149" s="28" t="str">
        <f t="shared" si="24"/>
        <v/>
      </c>
      <c r="W149" s="28" t="str">
        <f t="shared" si="24"/>
        <v/>
      </c>
      <c r="X149" s="29" t="str">
        <f t="shared" si="2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18"/>
        <v/>
      </c>
      <c r="L150" s="19" t="str">
        <f t="shared" si="23"/>
        <v/>
      </c>
      <c r="M150" s="19" t="str">
        <f t="shared" si="23"/>
        <v/>
      </c>
      <c r="N150" s="19" t="str">
        <f t="shared" si="23"/>
        <v/>
      </c>
      <c r="O150" s="19" t="str">
        <f t="shared" si="15"/>
        <v/>
      </c>
      <c r="P150" s="19" t="str">
        <f t="shared" si="16"/>
        <v/>
      </c>
      <c r="Q150" s="19" t="str">
        <f t="shared" si="17"/>
        <v/>
      </c>
      <c r="R150" s="19" t="str">
        <f t="shared" si="23"/>
        <v/>
      </c>
      <c r="S150" s="27" t="str">
        <f t="shared" si="24"/>
        <v/>
      </c>
      <c r="T150" s="28" t="str">
        <f t="shared" si="24"/>
        <v/>
      </c>
      <c r="U150" s="28" t="str">
        <f t="shared" si="24"/>
        <v/>
      </c>
      <c r="V150" s="28" t="str">
        <f t="shared" si="24"/>
        <v/>
      </c>
      <c r="W150" s="28" t="str">
        <f t="shared" si="24"/>
        <v/>
      </c>
      <c r="X150" s="29" t="str">
        <f t="shared" si="2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18"/>
        <v/>
      </c>
      <c r="L151" s="19" t="str">
        <f t="shared" si="23"/>
        <v/>
      </c>
      <c r="M151" s="19" t="str">
        <f t="shared" si="23"/>
        <v/>
      </c>
      <c r="N151" s="19" t="str">
        <f t="shared" si="23"/>
        <v/>
      </c>
      <c r="O151" s="19" t="str">
        <f t="shared" si="15"/>
        <v/>
      </c>
      <c r="P151" s="19" t="str">
        <f t="shared" si="16"/>
        <v/>
      </c>
      <c r="Q151" s="19" t="str">
        <f t="shared" si="17"/>
        <v/>
      </c>
      <c r="R151" s="19" t="str">
        <f t="shared" si="23"/>
        <v/>
      </c>
      <c r="S151" s="27" t="str">
        <f t="shared" si="24"/>
        <v/>
      </c>
      <c r="T151" s="28" t="str">
        <f t="shared" si="24"/>
        <v/>
      </c>
      <c r="U151" s="28" t="str">
        <f t="shared" si="24"/>
        <v/>
      </c>
      <c r="V151" s="28" t="str">
        <f t="shared" si="24"/>
        <v/>
      </c>
      <c r="W151" s="28" t="str">
        <f t="shared" si="24"/>
        <v/>
      </c>
      <c r="X151" s="29" t="str">
        <f t="shared" si="2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18"/>
        <v/>
      </c>
      <c r="L152" s="19" t="str">
        <f t="shared" si="23"/>
        <v/>
      </c>
      <c r="M152" s="19" t="str">
        <f t="shared" si="23"/>
        <v/>
      </c>
      <c r="N152" s="19" t="str">
        <f t="shared" si="23"/>
        <v/>
      </c>
      <c r="O152" s="19" t="str">
        <f t="shared" ref="O152:Q153" si="25">IF(ISBLANK(F152),"",((F152-F$23)*1000)+L$23)</f>
        <v/>
      </c>
      <c r="P152" s="19" t="str">
        <f t="shared" si="25"/>
        <v/>
      </c>
      <c r="Q152" s="19" t="str">
        <f t="shared" si="25"/>
        <v/>
      </c>
      <c r="R152" s="19" t="str">
        <f t="shared" si="23"/>
        <v/>
      </c>
      <c r="S152" s="27" t="str">
        <f t="shared" si="24"/>
        <v/>
      </c>
      <c r="T152" s="28" t="str">
        <f t="shared" si="24"/>
        <v/>
      </c>
      <c r="U152" s="28" t="str">
        <f t="shared" si="24"/>
        <v/>
      </c>
      <c r="V152" s="28" t="str">
        <f t="shared" si="24"/>
        <v/>
      </c>
      <c r="W152" s="28" t="str">
        <f t="shared" si="24"/>
        <v/>
      </c>
      <c r="X152" s="29" t="str">
        <f t="shared" si="2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18"/>
        <v/>
      </c>
      <c r="L153" s="19" t="str">
        <f t="shared" si="23"/>
        <v/>
      </c>
      <c r="M153" s="19" t="str">
        <f t="shared" si="23"/>
        <v/>
      </c>
      <c r="N153" s="19" t="str">
        <f t="shared" si="23"/>
        <v/>
      </c>
      <c r="O153" s="19" t="str">
        <f t="shared" si="25"/>
        <v/>
      </c>
      <c r="P153" s="19" t="str">
        <f t="shared" si="25"/>
        <v/>
      </c>
      <c r="Q153" s="19" t="str">
        <f t="shared" si="25"/>
        <v/>
      </c>
      <c r="R153" s="19" t="str">
        <f t="shared" si="23"/>
        <v/>
      </c>
      <c r="S153" s="27" t="str">
        <f t="shared" si="24"/>
        <v/>
      </c>
      <c r="T153" s="28" t="str">
        <f t="shared" si="24"/>
        <v/>
      </c>
      <c r="U153" s="28" t="str">
        <f t="shared" si="24"/>
        <v/>
      </c>
      <c r="V153" s="28" t="str">
        <f t="shared" si="24"/>
        <v/>
      </c>
      <c r="W153" s="28" t="str">
        <f t="shared" si="24"/>
        <v/>
      </c>
      <c r="X153" s="29" t="str">
        <f t="shared" si="24"/>
        <v/>
      </c>
      <c r="Y153" s="24"/>
    </row>
  </sheetData>
  <sheetProtection selectLockedCells="1"/>
  <mergeCells count="38"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A1:J1"/>
    <mergeCell ref="E2:Q2"/>
    <mergeCell ref="R2:X4"/>
    <mergeCell ref="Y2:Y4"/>
    <mergeCell ref="E3:Q3"/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36">
    <tabColor theme="3" tint="0.79998168889431442"/>
    <pageSetUpPr fitToPage="1"/>
  </sheetPr>
  <dimension ref="A1:AI153"/>
  <sheetViews>
    <sheetView showGridLines="0" topLeftCell="B1" zoomScale="75" zoomScaleNormal="75" zoomScaleSheetLayoutView="40" workbookViewId="0">
      <pane ySplit="8" topLeftCell="A30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TZ-34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/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/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/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/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/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960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/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1">
        <v>41842</v>
      </c>
      <c r="C16" s="35">
        <v>12.755000000000001</v>
      </c>
      <c r="D16" s="36">
        <v>7.8239999999999998</v>
      </c>
      <c r="E16" s="36">
        <v>8.2140000000000004</v>
      </c>
      <c r="F16" s="42"/>
      <c r="G16" s="42"/>
      <c r="H16" s="42"/>
      <c r="I16" s="41">
        <v>106.251</v>
      </c>
      <c r="J16" s="62">
        <v>970</v>
      </c>
      <c r="K16" s="55">
        <f>IF(ISBLANK(J16),"",(J16-$J$8))</f>
        <v>10</v>
      </c>
      <c r="L16" s="19">
        <f t="shared" ref="L16:Q31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41843</v>
      </c>
      <c r="C17" s="25">
        <v>12.754</v>
      </c>
      <c r="D17" s="26">
        <v>7.8220000000000001</v>
      </c>
      <c r="E17" s="26">
        <v>8.2129999999999992</v>
      </c>
      <c r="F17" s="16"/>
      <c r="G17" s="16"/>
      <c r="H17" s="16"/>
      <c r="I17" s="17">
        <v>106.25</v>
      </c>
      <c r="J17" s="58">
        <v>975</v>
      </c>
      <c r="K17" s="18">
        <f>IF(ISBLANK(J17),"",(J17-$J$8))</f>
        <v>15</v>
      </c>
      <c r="L17" s="19">
        <f t="shared" si="0"/>
        <v>-1.0000000000012221</v>
      </c>
      <c r="M17" s="19">
        <f t="shared" si="0"/>
        <v>-1.9999999999997797</v>
      </c>
      <c r="N17" s="19">
        <f t="shared" si="0"/>
        <v>-1.0000000000012221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-1.0000000000047748</v>
      </c>
      <c r="S17" s="27">
        <f t="shared" ref="S17:X32" si="2">IF(C17="","",((C17-C16)*1000)/($B17-$B16))</f>
        <v>-1.0000000000012221</v>
      </c>
      <c r="T17" s="28">
        <f t="shared" si="2"/>
        <v>-1.9999999999997797</v>
      </c>
      <c r="U17" s="28">
        <f t="shared" si="2"/>
        <v>-1.0000000000012221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24"/>
    </row>
    <row r="18" spans="2:25" ht="15" customHeight="1" x14ac:dyDescent="0.2">
      <c r="B18" s="31">
        <v>41844</v>
      </c>
      <c r="C18" s="25">
        <v>12.754</v>
      </c>
      <c r="D18" s="26">
        <v>7.8220000000000001</v>
      </c>
      <c r="E18" s="26">
        <v>8.2129999999999992</v>
      </c>
      <c r="F18" s="16"/>
      <c r="G18" s="16"/>
      <c r="H18" s="16"/>
      <c r="I18" s="17">
        <v>106.25</v>
      </c>
      <c r="J18" s="58">
        <v>984</v>
      </c>
      <c r="K18" s="18">
        <f t="shared" ref="K18:K27" si="3">IF(ISBLANK(J18),"",(J18-$J$8))</f>
        <v>24</v>
      </c>
      <c r="L18" s="19">
        <f t="shared" si="0"/>
        <v>-1.0000000000012221</v>
      </c>
      <c r="M18" s="19">
        <f t="shared" si="0"/>
        <v>-1.9999999999997797</v>
      </c>
      <c r="N18" s="19">
        <f t="shared" si="0"/>
        <v>-1.0000000000012221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-1.0000000000047748</v>
      </c>
      <c r="S18" s="27">
        <f t="shared" si="2"/>
        <v>0</v>
      </c>
      <c r="T18" s="28">
        <f t="shared" si="2"/>
        <v>0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41848</v>
      </c>
      <c r="C19" s="25">
        <v>12.754</v>
      </c>
      <c r="D19" s="26">
        <v>7.8220000000000001</v>
      </c>
      <c r="E19" s="26">
        <v>8.2129999999999992</v>
      </c>
      <c r="F19" s="16"/>
      <c r="G19" s="16"/>
      <c r="H19" s="16"/>
      <c r="I19" s="17">
        <v>106.25</v>
      </c>
      <c r="J19" s="58">
        <v>995</v>
      </c>
      <c r="K19" s="18">
        <f t="shared" si="3"/>
        <v>35</v>
      </c>
      <c r="L19" s="19">
        <f t="shared" si="0"/>
        <v>-1.0000000000012221</v>
      </c>
      <c r="M19" s="19">
        <f t="shared" si="0"/>
        <v>-1.9999999999997797</v>
      </c>
      <c r="N19" s="19">
        <f t="shared" si="0"/>
        <v>-1.0000000000012221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-1.0000000000047748</v>
      </c>
      <c r="S19" s="27">
        <f t="shared" si="2"/>
        <v>0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41849</v>
      </c>
      <c r="C20" s="25">
        <v>12.754</v>
      </c>
      <c r="D20" s="26">
        <v>7.8230000000000004</v>
      </c>
      <c r="E20" s="26">
        <v>8.2140000000000004</v>
      </c>
      <c r="F20" s="16"/>
      <c r="G20" s="16"/>
      <c r="H20" s="16"/>
      <c r="I20" s="17">
        <v>106.25</v>
      </c>
      <c r="J20" s="58">
        <v>1007</v>
      </c>
      <c r="K20" s="18">
        <f t="shared" si="3"/>
        <v>47</v>
      </c>
      <c r="L20" s="19">
        <f t="shared" si="0"/>
        <v>-1.0000000000012221</v>
      </c>
      <c r="M20" s="19">
        <f t="shared" si="0"/>
        <v>-0.99999999999944578</v>
      </c>
      <c r="N20" s="19">
        <f t="shared" si="0"/>
        <v>0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-1.0000000000047748</v>
      </c>
      <c r="S20" s="27">
        <f t="shared" si="2"/>
        <v>0</v>
      </c>
      <c r="T20" s="28">
        <f t="shared" si="2"/>
        <v>1.000000000000334</v>
      </c>
      <c r="U20" s="28">
        <f t="shared" si="2"/>
        <v>1.0000000000012221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41850</v>
      </c>
      <c r="C21" s="25">
        <v>12.755000000000001</v>
      </c>
      <c r="D21" s="26">
        <v>7.8220000000000001</v>
      </c>
      <c r="E21" s="26">
        <v>8.2140000000000004</v>
      </c>
      <c r="F21" s="16"/>
      <c r="G21" s="16"/>
      <c r="H21" s="16"/>
      <c r="I21" s="17">
        <v>106.25</v>
      </c>
      <c r="J21" s="58">
        <v>1011</v>
      </c>
      <c r="K21" s="18">
        <f t="shared" si="3"/>
        <v>51</v>
      </c>
      <c r="L21" s="19">
        <f t="shared" si="0"/>
        <v>0</v>
      </c>
      <c r="M21" s="19">
        <f t="shared" si="0"/>
        <v>-1.9999999999997797</v>
      </c>
      <c r="N21" s="19">
        <f t="shared" si="0"/>
        <v>0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-1.0000000000047748</v>
      </c>
      <c r="S21" s="27">
        <f t="shared" si="2"/>
        <v>1.0000000000012221</v>
      </c>
      <c r="T21" s="28">
        <f t="shared" si="2"/>
        <v>-1.000000000000334</v>
      </c>
      <c r="U21" s="28">
        <f t="shared" si="2"/>
        <v>0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41855</v>
      </c>
      <c r="C22" s="25">
        <v>12.754</v>
      </c>
      <c r="D22" s="26">
        <v>7.8220000000000001</v>
      </c>
      <c r="E22" s="26">
        <v>8.2129999999999992</v>
      </c>
      <c r="F22" s="16"/>
      <c r="G22" s="16"/>
      <c r="H22" s="16"/>
      <c r="I22" s="17">
        <v>106.25</v>
      </c>
      <c r="J22" s="58">
        <v>1033</v>
      </c>
      <c r="K22" s="18">
        <f t="shared" si="3"/>
        <v>73</v>
      </c>
      <c r="L22" s="19">
        <f t="shared" si="0"/>
        <v>-1.0000000000012221</v>
      </c>
      <c r="M22" s="19">
        <f t="shared" si="0"/>
        <v>-1.9999999999997797</v>
      </c>
      <c r="N22" s="19">
        <f t="shared" si="0"/>
        <v>-1.0000000000012221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-1.0000000000047748</v>
      </c>
      <c r="S22" s="27">
        <f t="shared" si="2"/>
        <v>-0.20000000000024443</v>
      </c>
      <c r="T22" s="28">
        <f t="shared" si="2"/>
        <v>0</v>
      </c>
      <c r="U22" s="28">
        <f t="shared" si="2"/>
        <v>-0.20000000000024443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41857</v>
      </c>
      <c r="C23" s="25">
        <v>12.755000000000001</v>
      </c>
      <c r="D23" s="26">
        <v>7.8230000000000004</v>
      </c>
      <c r="E23" s="26">
        <v>8.2140000000000004</v>
      </c>
      <c r="F23" s="16"/>
      <c r="G23" s="16"/>
      <c r="H23" s="16"/>
      <c r="I23" s="17">
        <v>106.25</v>
      </c>
      <c r="J23" s="58">
        <v>1043</v>
      </c>
      <c r="K23" s="18">
        <f t="shared" si="3"/>
        <v>83</v>
      </c>
      <c r="L23" s="19">
        <f t="shared" si="0"/>
        <v>0</v>
      </c>
      <c r="M23" s="19">
        <f t="shared" si="0"/>
        <v>-0.99999999999944578</v>
      </c>
      <c r="N23" s="19">
        <f t="shared" si="0"/>
        <v>0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-1.0000000000047748</v>
      </c>
      <c r="S23" s="27">
        <f t="shared" si="2"/>
        <v>0.50000000000061107</v>
      </c>
      <c r="T23" s="28">
        <f t="shared" si="2"/>
        <v>0.50000000000016698</v>
      </c>
      <c r="U23" s="28">
        <f t="shared" si="2"/>
        <v>0.50000000000061107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41862</v>
      </c>
      <c r="C24" s="25">
        <v>12.755000000000001</v>
      </c>
      <c r="D24" s="26">
        <v>7.8220000000000001</v>
      </c>
      <c r="E24" s="26">
        <v>8.2140000000000004</v>
      </c>
      <c r="F24" s="16"/>
      <c r="G24" s="16"/>
      <c r="H24" s="16"/>
      <c r="I24" s="17">
        <v>106.249</v>
      </c>
      <c r="J24" s="58">
        <v>1066</v>
      </c>
      <c r="K24" s="18">
        <f t="shared" si="3"/>
        <v>106</v>
      </c>
      <c r="L24" s="19">
        <f t="shared" si="0"/>
        <v>0</v>
      </c>
      <c r="M24" s="19">
        <f t="shared" si="0"/>
        <v>-1.9999999999997797</v>
      </c>
      <c r="N24" s="19">
        <f t="shared" si="0"/>
        <v>0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-2.0000000000095497</v>
      </c>
      <c r="S24" s="27">
        <f t="shared" si="2"/>
        <v>0</v>
      </c>
      <c r="T24" s="28">
        <f t="shared" si="2"/>
        <v>-0.20000000000006679</v>
      </c>
      <c r="U24" s="28">
        <f t="shared" si="2"/>
        <v>0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41864</v>
      </c>
      <c r="C25" s="25">
        <v>12.754</v>
      </c>
      <c r="D25" s="26">
        <v>7.8220000000000001</v>
      </c>
      <c r="E25" s="26">
        <v>8.2149999999999999</v>
      </c>
      <c r="F25" s="16"/>
      <c r="G25" s="16"/>
      <c r="H25" s="16"/>
      <c r="I25" s="17">
        <v>106.25</v>
      </c>
      <c r="J25" s="58">
        <v>1082</v>
      </c>
      <c r="K25" s="18">
        <f t="shared" si="3"/>
        <v>122</v>
      </c>
      <c r="L25" s="19">
        <f t="shared" si="0"/>
        <v>-1.0000000000012221</v>
      </c>
      <c r="M25" s="19">
        <f t="shared" si="0"/>
        <v>-1.9999999999997797</v>
      </c>
      <c r="N25" s="19">
        <f t="shared" si="0"/>
        <v>0.99999999999944578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-1.0000000000047748</v>
      </c>
      <c r="S25" s="27">
        <f t="shared" si="2"/>
        <v>-0.50000000000061107</v>
      </c>
      <c r="T25" s="28">
        <f t="shared" si="2"/>
        <v>0</v>
      </c>
      <c r="U25" s="28">
        <f t="shared" si="2"/>
        <v>0.49999999999972289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41869</v>
      </c>
      <c r="C26" s="25">
        <v>12.755000000000001</v>
      </c>
      <c r="D26" s="26">
        <v>7.8209999999999997</v>
      </c>
      <c r="E26" s="26">
        <v>8.2149999999999999</v>
      </c>
      <c r="F26" s="16"/>
      <c r="G26" s="16"/>
      <c r="H26" s="16"/>
      <c r="I26" s="17">
        <v>106.249</v>
      </c>
      <c r="J26" s="58">
        <v>1099</v>
      </c>
      <c r="K26" s="18">
        <f t="shared" si="3"/>
        <v>139</v>
      </c>
      <c r="L26" s="19">
        <f t="shared" si="0"/>
        <v>0</v>
      </c>
      <c r="M26" s="19">
        <f t="shared" si="0"/>
        <v>-3.0000000000001137</v>
      </c>
      <c r="N26" s="19">
        <f t="shared" si="0"/>
        <v>0.99999999999944578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-2.0000000000095497</v>
      </c>
      <c r="S26" s="27">
        <f t="shared" si="2"/>
        <v>0.20000000000024443</v>
      </c>
      <c r="T26" s="28">
        <f t="shared" si="2"/>
        <v>-0.20000000000006679</v>
      </c>
      <c r="U26" s="28">
        <f t="shared" si="2"/>
        <v>0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41879</v>
      </c>
      <c r="C27" s="25">
        <v>12.755000000000001</v>
      </c>
      <c r="D27" s="26">
        <v>7.8220000000000001</v>
      </c>
      <c r="E27" s="26">
        <v>8.2149999999999999</v>
      </c>
      <c r="F27" s="16"/>
      <c r="G27" s="16"/>
      <c r="H27" s="16"/>
      <c r="I27" s="17">
        <v>106.25</v>
      </c>
      <c r="J27" s="58">
        <v>1155</v>
      </c>
      <c r="K27" s="18">
        <f t="shared" si="3"/>
        <v>195</v>
      </c>
      <c r="L27" s="19">
        <f t="shared" si="0"/>
        <v>0</v>
      </c>
      <c r="M27" s="19">
        <f t="shared" si="0"/>
        <v>-1.9999999999997797</v>
      </c>
      <c r="N27" s="19">
        <f t="shared" si="0"/>
        <v>0.99999999999944578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-1.0000000000047748</v>
      </c>
      <c r="S27" s="27">
        <f t="shared" si="2"/>
        <v>0</v>
      </c>
      <c r="T27" s="28">
        <f t="shared" si="2"/>
        <v>0.1000000000000334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41913</v>
      </c>
      <c r="C28" s="25">
        <v>12.755000000000001</v>
      </c>
      <c r="D28" s="26">
        <v>7.8220000000000001</v>
      </c>
      <c r="E28" s="26">
        <v>8.2149999999999999</v>
      </c>
      <c r="F28" s="16"/>
      <c r="G28" s="16"/>
      <c r="H28" s="16"/>
      <c r="I28" s="17">
        <v>106.25</v>
      </c>
      <c r="J28" s="58">
        <v>1277</v>
      </c>
      <c r="K28" s="18">
        <f t="shared" ref="K28:K37" si="4">IF(ISBLANK(J28),"",(J28-$J$8))</f>
        <v>317</v>
      </c>
      <c r="L28" s="19">
        <f t="shared" si="0"/>
        <v>0</v>
      </c>
      <c r="M28" s="19">
        <f t="shared" si="0"/>
        <v>-1.9999999999997797</v>
      </c>
      <c r="N28" s="19">
        <f t="shared" si="0"/>
        <v>0.99999999999944578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1"/>
        <v>-1.0000000000047748</v>
      </c>
      <c r="S28" s="27">
        <f t="shared" si="2"/>
        <v>0</v>
      </c>
      <c r="T28" s="28">
        <f t="shared" si="2"/>
        <v>0</v>
      </c>
      <c r="U28" s="28">
        <f t="shared" si="2"/>
        <v>0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42032</v>
      </c>
      <c r="C29" s="25">
        <v>12.755000000000001</v>
      </c>
      <c r="D29" s="26">
        <v>7.8209999999999997</v>
      </c>
      <c r="E29" s="26">
        <v>8.2149999999999999</v>
      </c>
      <c r="F29" s="16"/>
      <c r="G29" s="16"/>
      <c r="H29" s="16"/>
      <c r="I29" s="17">
        <v>106.249</v>
      </c>
      <c r="J29" s="58">
        <v>1597</v>
      </c>
      <c r="K29" s="18">
        <f t="shared" si="4"/>
        <v>637</v>
      </c>
      <c r="L29" s="19">
        <f t="shared" si="0"/>
        <v>0</v>
      </c>
      <c r="M29" s="19">
        <f t="shared" si="0"/>
        <v>-3.0000000000001137</v>
      </c>
      <c r="N29" s="19">
        <f t="shared" si="0"/>
        <v>0.99999999999944578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1"/>
        <v>-2.0000000000095497</v>
      </c>
      <c r="S29" s="27">
        <f t="shared" si="2"/>
        <v>0</v>
      </c>
      <c r="T29" s="28">
        <f t="shared" si="2"/>
        <v>-8.4033613445406215E-3</v>
      </c>
      <c r="U29" s="28">
        <f t="shared" si="2"/>
        <v>0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42121</v>
      </c>
      <c r="C30" s="25">
        <v>12.755000000000001</v>
      </c>
      <c r="D30" s="26">
        <v>7.8220000000000001</v>
      </c>
      <c r="E30" s="26">
        <v>8.2149999999999999</v>
      </c>
      <c r="F30" s="16"/>
      <c r="G30" s="16"/>
      <c r="H30" s="16"/>
      <c r="I30" s="17">
        <v>106.25</v>
      </c>
      <c r="J30" s="58">
        <v>2011</v>
      </c>
      <c r="K30" s="18">
        <f t="shared" si="4"/>
        <v>1051</v>
      </c>
      <c r="L30" s="19">
        <f t="shared" si="0"/>
        <v>0</v>
      </c>
      <c r="M30" s="19">
        <f t="shared" si="0"/>
        <v>-1.9999999999997797</v>
      </c>
      <c r="N30" s="19">
        <f t="shared" si="0"/>
        <v>0.99999999999944578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1"/>
        <v>-1.0000000000047748</v>
      </c>
      <c r="S30" s="27">
        <f t="shared" si="2"/>
        <v>0</v>
      </c>
      <c r="T30" s="28">
        <f t="shared" si="2"/>
        <v>1.1235955056183527E-2</v>
      </c>
      <c r="U30" s="28">
        <f t="shared" si="2"/>
        <v>0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42200</v>
      </c>
      <c r="C31" s="25">
        <v>12.755000000000001</v>
      </c>
      <c r="D31" s="26">
        <v>7.8220000000000001</v>
      </c>
      <c r="E31" s="26">
        <v>8.2149999999999999</v>
      </c>
      <c r="F31" s="16">
        <v>13.023999999999999</v>
      </c>
      <c r="G31" s="16">
        <v>9.7680000000000007</v>
      </c>
      <c r="H31" s="16">
        <v>10.196999999999999</v>
      </c>
      <c r="I31" s="17">
        <v>106.25</v>
      </c>
      <c r="J31" s="58">
        <v>972</v>
      </c>
      <c r="K31" s="18">
        <f t="shared" si="4"/>
        <v>12</v>
      </c>
      <c r="L31" s="19">
        <f t="shared" si="0"/>
        <v>0</v>
      </c>
      <c r="M31" s="19">
        <f t="shared" si="0"/>
        <v>-1.9999999999997797</v>
      </c>
      <c r="N31" s="19">
        <f t="shared" si="0"/>
        <v>0.99999999999944578</v>
      </c>
      <c r="O31" s="19"/>
      <c r="P31" s="19"/>
      <c r="Q31" s="19"/>
      <c r="R31" s="19">
        <f t="shared" si="1"/>
        <v>-1.0000000000047748</v>
      </c>
      <c r="S31" s="27">
        <f t="shared" si="2"/>
        <v>0</v>
      </c>
      <c r="T31" s="28">
        <f t="shared" si="2"/>
        <v>0</v>
      </c>
      <c r="U31" s="28">
        <f t="shared" si="2"/>
        <v>0</v>
      </c>
      <c r="V31" s="28"/>
      <c r="W31" s="28"/>
      <c r="X31" s="29"/>
      <c r="Y31" s="24"/>
    </row>
    <row r="32" spans="2:25" ht="15" customHeight="1" x14ac:dyDescent="0.2">
      <c r="B32" s="31">
        <v>42201</v>
      </c>
      <c r="C32" s="74">
        <v>12.287000000000001</v>
      </c>
      <c r="D32" s="70">
        <v>7.37</v>
      </c>
      <c r="E32" s="70">
        <v>7.8120000000000003</v>
      </c>
      <c r="F32" s="16">
        <v>13.023</v>
      </c>
      <c r="G32" s="16">
        <v>9.7680000000000007</v>
      </c>
      <c r="H32" s="16">
        <v>10.196999999999999</v>
      </c>
      <c r="I32" s="17">
        <v>106.249</v>
      </c>
      <c r="J32" s="58">
        <v>994</v>
      </c>
      <c r="K32" s="18">
        <f t="shared" si="4"/>
        <v>34</v>
      </c>
      <c r="L32" s="19">
        <f t="shared" ref="L32:Q32" si="5">IF(ISBLANK(C32),"",(C32-C$32)*1000)</f>
        <v>0</v>
      </c>
      <c r="M32" s="19">
        <f t="shared" si="5"/>
        <v>0</v>
      </c>
      <c r="N32" s="19">
        <f t="shared" si="5"/>
        <v>0</v>
      </c>
      <c r="O32" s="19">
        <f t="shared" si="5"/>
        <v>0</v>
      </c>
      <c r="P32" s="19">
        <f t="shared" si="5"/>
        <v>0</v>
      </c>
      <c r="Q32" s="19">
        <f t="shared" si="5"/>
        <v>0</v>
      </c>
      <c r="R32" s="19">
        <f t="shared" si="1"/>
        <v>-2.0000000000095497</v>
      </c>
      <c r="S32" s="27"/>
      <c r="T32" s="28"/>
      <c r="U32" s="28"/>
      <c r="V32" s="28">
        <f t="shared" si="2"/>
        <v>-0.99999999999944578</v>
      </c>
      <c r="W32" s="28">
        <f t="shared" si="2"/>
        <v>0</v>
      </c>
      <c r="X32" s="29">
        <f t="shared" si="2"/>
        <v>0</v>
      </c>
      <c r="Y32" s="24" t="s">
        <v>57</v>
      </c>
    </row>
    <row r="33" spans="2:25" ht="15" customHeight="1" x14ac:dyDescent="0.2">
      <c r="B33" s="31">
        <v>42215</v>
      </c>
      <c r="C33" s="73">
        <v>12.287000000000001</v>
      </c>
      <c r="D33" s="71">
        <v>7.37</v>
      </c>
      <c r="E33" s="71">
        <v>7.8120000000000003</v>
      </c>
      <c r="F33" s="16">
        <v>13.023999999999999</v>
      </c>
      <c r="G33" s="16">
        <v>9.7669999999999995</v>
      </c>
      <c r="H33" s="16">
        <v>10.198</v>
      </c>
      <c r="I33" s="17">
        <v>106.249</v>
      </c>
      <c r="J33" s="58">
        <v>999</v>
      </c>
      <c r="K33" s="18">
        <f t="shared" si="4"/>
        <v>39</v>
      </c>
      <c r="L33" s="19">
        <f t="shared" ref="L33:L96" si="6">IF(ISBLANK(C33),"",(C33-C$32)*1000)</f>
        <v>0</v>
      </c>
      <c r="M33" s="19">
        <f t="shared" ref="M33:M96" si="7">IF(ISBLANK(D33),"",(D33-D$32)*1000)</f>
        <v>0</v>
      </c>
      <c r="N33" s="19">
        <f t="shared" ref="N33:N96" si="8">IF(ISBLANK(E33),"",(E33-E$32)*1000)</f>
        <v>0</v>
      </c>
      <c r="O33" s="19">
        <f t="shared" ref="O33:O96" si="9">IF(ISBLANK(F33),"",(F33-F$32)*1000)</f>
        <v>0.99999999999944578</v>
      </c>
      <c r="P33" s="19">
        <f t="shared" ref="P33:P96" si="10">IF(ISBLANK(G33),"",(G33-G$32)*1000)</f>
        <v>-1.0000000000012221</v>
      </c>
      <c r="Q33" s="19">
        <f t="shared" ref="Q33:Q96" si="11">IF(ISBLANK(H33),"",(H33-H$32)*1000)</f>
        <v>1.0000000000012221</v>
      </c>
      <c r="R33" s="19">
        <f t="shared" si="1"/>
        <v>-2.0000000000095497</v>
      </c>
      <c r="S33" s="27">
        <f t="shared" ref="S33:X48" si="12">IF(C33="","",((C33-C32)*1000)/($B33-$B32))</f>
        <v>0</v>
      </c>
      <c r="T33" s="28">
        <f t="shared" si="12"/>
        <v>0</v>
      </c>
      <c r="U33" s="28">
        <f t="shared" si="12"/>
        <v>0</v>
      </c>
      <c r="V33" s="28">
        <f t="shared" si="12"/>
        <v>7.1428571428531845E-2</v>
      </c>
      <c r="W33" s="28">
        <f t="shared" si="12"/>
        <v>-7.142857142865873E-2</v>
      </c>
      <c r="X33" s="29">
        <f t="shared" si="12"/>
        <v>7.142857142865873E-2</v>
      </c>
      <c r="Y33" s="24"/>
    </row>
    <row r="34" spans="2:25" ht="15" customHeight="1" x14ac:dyDescent="0.2">
      <c r="B34" s="31">
        <v>42219</v>
      </c>
      <c r="C34" s="73">
        <v>12.287000000000001</v>
      </c>
      <c r="D34" s="71">
        <v>7.37</v>
      </c>
      <c r="E34" s="71">
        <v>7.8120000000000003</v>
      </c>
      <c r="F34" s="16">
        <v>13.023999999999999</v>
      </c>
      <c r="G34" s="16">
        <v>9.7680000000000007</v>
      </c>
      <c r="H34" s="16">
        <v>10.198</v>
      </c>
      <c r="I34" s="17">
        <v>106.249</v>
      </c>
      <c r="J34" s="32">
        <v>1206</v>
      </c>
      <c r="K34" s="18">
        <f t="shared" si="4"/>
        <v>246</v>
      </c>
      <c r="L34" s="19">
        <f t="shared" si="6"/>
        <v>0</v>
      </c>
      <c r="M34" s="19">
        <f t="shared" si="7"/>
        <v>0</v>
      </c>
      <c r="N34" s="19">
        <f t="shared" si="8"/>
        <v>0</v>
      </c>
      <c r="O34" s="19">
        <f t="shared" si="9"/>
        <v>0.99999999999944578</v>
      </c>
      <c r="P34" s="19">
        <f t="shared" si="10"/>
        <v>0</v>
      </c>
      <c r="Q34" s="19">
        <f t="shared" si="11"/>
        <v>1.0000000000012221</v>
      </c>
      <c r="R34" s="19">
        <f t="shared" si="1"/>
        <v>-2.0000000000095497</v>
      </c>
      <c r="S34" s="27">
        <f t="shared" si="12"/>
        <v>0</v>
      </c>
      <c r="T34" s="28">
        <f t="shared" si="12"/>
        <v>0</v>
      </c>
      <c r="U34" s="28">
        <f t="shared" si="12"/>
        <v>0</v>
      </c>
      <c r="V34" s="28">
        <f t="shared" si="12"/>
        <v>0</v>
      </c>
      <c r="W34" s="28">
        <f t="shared" si="12"/>
        <v>0.25000000000030553</v>
      </c>
      <c r="X34" s="29">
        <f t="shared" si="12"/>
        <v>0</v>
      </c>
      <c r="Y34" s="24"/>
    </row>
    <row r="35" spans="2:25" ht="15" customHeight="1" x14ac:dyDescent="0.2">
      <c r="B35" s="31">
        <v>42311</v>
      </c>
      <c r="C35" s="73">
        <v>12.287000000000001</v>
      </c>
      <c r="D35" s="71">
        <v>7.37</v>
      </c>
      <c r="E35" s="71">
        <v>7.8120000000000003</v>
      </c>
      <c r="F35" s="16">
        <v>13.023999999999999</v>
      </c>
      <c r="G35" s="16">
        <v>9.7669999999999995</v>
      </c>
      <c r="H35" s="16">
        <v>10.196999999999999</v>
      </c>
      <c r="I35" s="17">
        <v>106.248</v>
      </c>
      <c r="J35" s="58">
        <v>2203</v>
      </c>
      <c r="K35" s="59">
        <f t="shared" si="4"/>
        <v>1243</v>
      </c>
      <c r="L35" s="19">
        <f t="shared" si="6"/>
        <v>0</v>
      </c>
      <c r="M35" s="19">
        <f t="shared" si="7"/>
        <v>0</v>
      </c>
      <c r="N35" s="19">
        <f t="shared" si="8"/>
        <v>0</v>
      </c>
      <c r="O35" s="19">
        <f t="shared" si="9"/>
        <v>0.99999999999944578</v>
      </c>
      <c r="P35" s="19">
        <f t="shared" si="10"/>
        <v>-1.0000000000012221</v>
      </c>
      <c r="Q35" s="19">
        <f t="shared" si="11"/>
        <v>0</v>
      </c>
      <c r="R35" s="19">
        <f t="shared" si="1"/>
        <v>-3.0000000000001137</v>
      </c>
      <c r="S35" s="27">
        <f t="shared" si="12"/>
        <v>0</v>
      </c>
      <c r="T35" s="28">
        <f t="shared" si="12"/>
        <v>0</v>
      </c>
      <c r="U35" s="28">
        <f t="shared" si="12"/>
        <v>0</v>
      </c>
      <c r="V35" s="28">
        <f t="shared" si="12"/>
        <v>0</v>
      </c>
      <c r="W35" s="28">
        <f t="shared" si="12"/>
        <v>-1.0869565217404589E-2</v>
      </c>
      <c r="X35" s="29">
        <f t="shared" si="12"/>
        <v>-1.0869565217404589E-2</v>
      </c>
      <c r="Y35" s="24"/>
    </row>
    <row r="36" spans="2:25" ht="15" customHeight="1" x14ac:dyDescent="0.2">
      <c r="B36" s="31">
        <v>42404</v>
      </c>
      <c r="C36" s="33"/>
      <c r="D36" s="16"/>
      <c r="E36" s="16"/>
      <c r="F36" s="16">
        <v>13.023999999999999</v>
      </c>
      <c r="G36" s="16">
        <v>9.7680000000000007</v>
      </c>
      <c r="H36" s="16">
        <v>10.196</v>
      </c>
      <c r="I36" s="17">
        <v>106.249</v>
      </c>
      <c r="J36" s="58">
        <v>2484</v>
      </c>
      <c r="K36" s="18">
        <f t="shared" si="4"/>
        <v>1524</v>
      </c>
      <c r="L36" s="19" t="str">
        <f t="shared" si="6"/>
        <v/>
      </c>
      <c r="M36" s="19" t="str">
        <f t="shared" si="7"/>
        <v/>
      </c>
      <c r="N36" s="19" t="str">
        <f t="shared" si="8"/>
        <v/>
      </c>
      <c r="O36" s="19">
        <f t="shared" si="9"/>
        <v>0.99999999999944578</v>
      </c>
      <c r="P36" s="19">
        <f t="shared" si="10"/>
        <v>0</v>
      </c>
      <c r="Q36" s="19">
        <f t="shared" si="11"/>
        <v>-0.99999999999944578</v>
      </c>
      <c r="R36" s="19">
        <f t="shared" si="1"/>
        <v>-2.0000000000095497</v>
      </c>
      <c r="S36" s="27" t="str">
        <f t="shared" si="12"/>
        <v/>
      </c>
      <c r="T36" s="28" t="str">
        <f t="shared" si="12"/>
        <v/>
      </c>
      <c r="U36" s="28" t="str">
        <f t="shared" si="12"/>
        <v/>
      </c>
      <c r="V36" s="28">
        <f t="shared" si="12"/>
        <v>0</v>
      </c>
      <c r="W36" s="28">
        <f t="shared" si="12"/>
        <v>1.0752688172056152E-2</v>
      </c>
      <c r="X36" s="29">
        <f t="shared" si="12"/>
        <v>-1.0752688172037051E-2</v>
      </c>
      <c r="Y36" s="24"/>
    </row>
    <row r="37" spans="2:25" ht="15" customHeight="1" x14ac:dyDescent="0.2">
      <c r="B37" s="31">
        <v>42530</v>
      </c>
      <c r="C37" s="26"/>
      <c r="D37" s="26"/>
      <c r="E37" s="26"/>
      <c r="F37" s="16">
        <v>13.023999999999999</v>
      </c>
      <c r="G37" s="16">
        <v>9.7680000000000007</v>
      </c>
      <c r="H37" s="16">
        <v>10.196999999999999</v>
      </c>
      <c r="I37" s="17">
        <v>106.249</v>
      </c>
      <c r="J37" s="58">
        <v>2608</v>
      </c>
      <c r="K37" s="18">
        <f t="shared" si="4"/>
        <v>1648</v>
      </c>
      <c r="L37" s="19" t="str">
        <f t="shared" si="6"/>
        <v/>
      </c>
      <c r="M37" s="19" t="str">
        <f t="shared" si="7"/>
        <v/>
      </c>
      <c r="N37" s="19" t="str">
        <f t="shared" si="8"/>
        <v/>
      </c>
      <c r="O37" s="19">
        <f t="shared" si="9"/>
        <v>0.99999999999944578</v>
      </c>
      <c r="P37" s="19">
        <f t="shared" si="10"/>
        <v>0</v>
      </c>
      <c r="Q37" s="19">
        <f t="shared" si="11"/>
        <v>0</v>
      </c>
      <c r="R37" s="19">
        <f t="shared" si="1"/>
        <v>-2.0000000000095497</v>
      </c>
      <c r="S37" s="27" t="str">
        <f t="shared" si="12"/>
        <v/>
      </c>
      <c r="T37" s="28" t="str">
        <f t="shared" si="12"/>
        <v/>
      </c>
      <c r="U37" s="28" t="str">
        <f t="shared" si="12"/>
        <v/>
      </c>
      <c r="V37" s="28">
        <f t="shared" si="12"/>
        <v>0</v>
      </c>
      <c r="W37" s="28">
        <f t="shared" si="12"/>
        <v>0</v>
      </c>
      <c r="X37" s="29">
        <f t="shared" si="12"/>
        <v>7.9365079365035385E-3</v>
      </c>
      <c r="Y37" s="24"/>
    </row>
    <row r="38" spans="2:25" ht="15" customHeight="1" x14ac:dyDescent="0.2">
      <c r="B38" s="31"/>
      <c r="C38" s="25"/>
      <c r="D38" s="26"/>
      <c r="E38" s="26"/>
      <c r="F38" s="47"/>
      <c r="G38" s="47"/>
      <c r="H38" s="47"/>
      <c r="I38" s="57"/>
      <c r="J38" s="58"/>
      <c r="K38" s="59"/>
      <c r="L38" s="19" t="str">
        <f t="shared" si="6"/>
        <v/>
      </c>
      <c r="M38" s="19" t="str">
        <f t="shared" si="7"/>
        <v/>
      </c>
      <c r="N38" s="19" t="str">
        <f t="shared" si="8"/>
        <v/>
      </c>
      <c r="O38" s="19" t="str">
        <f t="shared" si="9"/>
        <v/>
      </c>
      <c r="P38" s="19" t="str">
        <f t="shared" si="10"/>
        <v/>
      </c>
      <c r="Q38" s="19" t="str">
        <f t="shared" si="11"/>
        <v/>
      </c>
      <c r="R38" s="19" t="str">
        <f t="shared" si="1"/>
        <v/>
      </c>
      <c r="S38" s="27" t="str">
        <f t="shared" si="12"/>
        <v/>
      </c>
      <c r="T38" s="28" t="str">
        <f t="shared" si="12"/>
        <v/>
      </c>
      <c r="U38" s="28" t="str">
        <f t="shared" si="12"/>
        <v/>
      </c>
      <c r="V38" s="28" t="str">
        <f t="shared" si="12"/>
        <v/>
      </c>
      <c r="W38" s="28" t="str">
        <f t="shared" si="12"/>
        <v/>
      </c>
      <c r="X38" s="29" t="str">
        <f t="shared" si="12"/>
        <v/>
      </c>
      <c r="Y38" s="24"/>
    </row>
    <row r="39" spans="2:25" ht="15" customHeight="1" x14ac:dyDescent="0.2">
      <c r="B39" s="31"/>
      <c r="C39" s="25"/>
      <c r="D39" s="26"/>
      <c r="E39" s="26"/>
      <c r="F39" s="47"/>
      <c r="G39" s="47"/>
      <c r="H39" s="47"/>
      <c r="I39" s="57"/>
      <c r="J39" s="58"/>
      <c r="K39" s="59"/>
      <c r="L39" s="19" t="str">
        <f t="shared" si="6"/>
        <v/>
      </c>
      <c r="M39" s="19" t="str">
        <f t="shared" si="7"/>
        <v/>
      </c>
      <c r="N39" s="19" t="str">
        <f t="shared" si="8"/>
        <v/>
      </c>
      <c r="O39" s="19" t="str">
        <f t="shared" si="9"/>
        <v/>
      </c>
      <c r="P39" s="19" t="str">
        <f t="shared" si="10"/>
        <v/>
      </c>
      <c r="Q39" s="19" t="str">
        <f t="shared" si="11"/>
        <v/>
      </c>
      <c r="R39" s="19" t="str">
        <f t="shared" si="1"/>
        <v/>
      </c>
      <c r="S39" s="27" t="str">
        <f t="shared" si="12"/>
        <v/>
      </c>
      <c r="T39" s="28" t="str">
        <f t="shared" si="12"/>
        <v/>
      </c>
      <c r="U39" s="28" t="str">
        <f t="shared" si="12"/>
        <v/>
      </c>
      <c r="V39" s="28" t="str">
        <f t="shared" si="12"/>
        <v/>
      </c>
      <c r="W39" s="28" t="str">
        <f t="shared" si="12"/>
        <v/>
      </c>
      <c r="X39" s="29" t="str">
        <f t="shared" si="12"/>
        <v/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59"/>
      <c r="L40" s="19" t="str">
        <f t="shared" si="6"/>
        <v/>
      </c>
      <c r="M40" s="19" t="str">
        <f t="shared" si="7"/>
        <v/>
      </c>
      <c r="N40" s="19" t="str">
        <f t="shared" si="8"/>
        <v/>
      </c>
      <c r="O40" s="19" t="str">
        <f t="shared" si="9"/>
        <v/>
      </c>
      <c r="P40" s="19" t="str">
        <f t="shared" si="10"/>
        <v/>
      </c>
      <c r="Q40" s="19" t="str">
        <f t="shared" si="11"/>
        <v/>
      </c>
      <c r="R40" s="19" t="str">
        <f t="shared" si="1"/>
        <v/>
      </c>
      <c r="S40" s="27" t="str">
        <f t="shared" si="12"/>
        <v/>
      </c>
      <c r="T40" s="28" t="str">
        <f t="shared" si="12"/>
        <v/>
      </c>
      <c r="U40" s="28" t="str">
        <f t="shared" si="12"/>
        <v/>
      </c>
      <c r="V40" s="28" t="str">
        <f t="shared" si="12"/>
        <v/>
      </c>
      <c r="W40" s="28" t="str">
        <f t="shared" si="12"/>
        <v/>
      </c>
      <c r="X40" s="29" t="str">
        <f t="shared" si="12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59"/>
      <c r="L41" s="19" t="str">
        <f t="shared" si="6"/>
        <v/>
      </c>
      <c r="M41" s="19" t="str">
        <f t="shared" si="7"/>
        <v/>
      </c>
      <c r="N41" s="19" t="str">
        <f t="shared" si="8"/>
        <v/>
      </c>
      <c r="O41" s="19" t="str">
        <f t="shared" si="9"/>
        <v/>
      </c>
      <c r="P41" s="19" t="str">
        <f t="shared" si="10"/>
        <v/>
      </c>
      <c r="Q41" s="19" t="str">
        <f t="shared" si="11"/>
        <v/>
      </c>
      <c r="R41" s="19" t="str">
        <f t="shared" si="1"/>
        <v/>
      </c>
      <c r="S41" s="27" t="str">
        <f t="shared" si="12"/>
        <v/>
      </c>
      <c r="T41" s="28" t="str">
        <f t="shared" si="12"/>
        <v/>
      </c>
      <c r="U41" s="28" t="str">
        <f t="shared" si="12"/>
        <v/>
      </c>
      <c r="V41" s="28" t="str">
        <f t="shared" si="12"/>
        <v/>
      </c>
      <c r="W41" s="28" t="str">
        <f t="shared" si="12"/>
        <v/>
      </c>
      <c r="X41" s="29" t="str">
        <f t="shared" si="12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59"/>
      <c r="L42" s="19" t="str">
        <f t="shared" si="6"/>
        <v/>
      </c>
      <c r="M42" s="19" t="str">
        <f t="shared" si="7"/>
        <v/>
      </c>
      <c r="N42" s="19" t="str">
        <f t="shared" si="8"/>
        <v/>
      </c>
      <c r="O42" s="19" t="str">
        <f t="shared" si="9"/>
        <v/>
      </c>
      <c r="P42" s="19" t="str">
        <f t="shared" si="10"/>
        <v/>
      </c>
      <c r="Q42" s="19" t="str">
        <f t="shared" si="11"/>
        <v/>
      </c>
      <c r="R42" s="19" t="str">
        <f t="shared" si="1"/>
        <v/>
      </c>
      <c r="S42" s="27" t="str">
        <f t="shared" si="12"/>
        <v/>
      </c>
      <c r="T42" s="28" t="str">
        <f t="shared" si="12"/>
        <v/>
      </c>
      <c r="U42" s="28" t="str">
        <f t="shared" si="12"/>
        <v/>
      </c>
      <c r="V42" s="28" t="str">
        <f t="shared" si="12"/>
        <v/>
      </c>
      <c r="W42" s="28" t="str">
        <f t="shared" si="12"/>
        <v/>
      </c>
      <c r="X42" s="29" t="str">
        <f t="shared" si="12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59"/>
      <c r="L43" s="19" t="str">
        <f t="shared" si="6"/>
        <v/>
      </c>
      <c r="M43" s="19" t="str">
        <f t="shared" si="7"/>
        <v/>
      </c>
      <c r="N43" s="19" t="str">
        <f t="shared" si="8"/>
        <v/>
      </c>
      <c r="O43" s="19" t="str">
        <f t="shared" si="9"/>
        <v/>
      </c>
      <c r="P43" s="19" t="str">
        <f t="shared" si="10"/>
        <v/>
      </c>
      <c r="Q43" s="19" t="str">
        <f t="shared" si="11"/>
        <v/>
      </c>
      <c r="R43" s="19" t="str">
        <f t="shared" si="1"/>
        <v/>
      </c>
      <c r="S43" s="27" t="str">
        <f t="shared" si="12"/>
        <v/>
      </c>
      <c r="T43" s="28" t="str">
        <f t="shared" si="12"/>
        <v/>
      </c>
      <c r="U43" s="28" t="str">
        <f t="shared" si="12"/>
        <v/>
      </c>
      <c r="V43" s="28" t="str">
        <f t="shared" si="12"/>
        <v/>
      </c>
      <c r="W43" s="28" t="str">
        <f t="shared" si="12"/>
        <v/>
      </c>
      <c r="X43" s="29" t="str">
        <f t="shared" si="12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6"/>
        <v/>
      </c>
      <c r="M44" s="19" t="str">
        <f t="shared" si="7"/>
        <v/>
      </c>
      <c r="N44" s="19" t="str">
        <f t="shared" si="8"/>
        <v/>
      </c>
      <c r="O44" s="19" t="str">
        <f t="shared" si="9"/>
        <v/>
      </c>
      <c r="P44" s="19" t="str">
        <f t="shared" si="10"/>
        <v/>
      </c>
      <c r="Q44" s="19" t="str">
        <f t="shared" si="11"/>
        <v/>
      </c>
      <c r="R44" s="19" t="str">
        <f t="shared" si="1"/>
        <v/>
      </c>
      <c r="S44" s="27" t="str">
        <f t="shared" si="12"/>
        <v/>
      </c>
      <c r="T44" s="28" t="str">
        <f t="shared" si="12"/>
        <v/>
      </c>
      <c r="U44" s="28" t="str">
        <f t="shared" si="12"/>
        <v/>
      </c>
      <c r="V44" s="28" t="str">
        <f t="shared" si="12"/>
        <v/>
      </c>
      <c r="W44" s="28" t="str">
        <f t="shared" si="12"/>
        <v/>
      </c>
      <c r="X44" s="29" t="str">
        <f t="shared" si="12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6"/>
        <v/>
      </c>
      <c r="M45" s="19" t="str">
        <f t="shared" si="7"/>
        <v/>
      </c>
      <c r="N45" s="19" t="str">
        <f t="shared" si="8"/>
        <v/>
      </c>
      <c r="O45" s="19" t="str">
        <f t="shared" si="9"/>
        <v/>
      </c>
      <c r="P45" s="19" t="str">
        <f t="shared" si="10"/>
        <v/>
      </c>
      <c r="Q45" s="19" t="str">
        <f t="shared" si="11"/>
        <v/>
      </c>
      <c r="R45" s="19" t="str">
        <f t="shared" si="1"/>
        <v/>
      </c>
      <c r="S45" s="27" t="str">
        <f t="shared" si="12"/>
        <v/>
      </c>
      <c r="T45" s="28" t="str">
        <f t="shared" si="12"/>
        <v/>
      </c>
      <c r="U45" s="28" t="str">
        <f t="shared" si="12"/>
        <v/>
      </c>
      <c r="V45" s="28" t="str">
        <f t="shared" si="12"/>
        <v/>
      </c>
      <c r="W45" s="28" t="str">
        <f t="shared" si="12"/>
        <v/>
      </c>
      <c r="X45" s="29" t="str">
        <f t="shared" si="12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6"/>
        <v/>
      </c>
      <c r="M46" s="19" t="str">
        <f t="shared" si="7"/>
        <v/>
      </c>
      <c r="N46" s="19" t="str">
        <f t="shared" si="8"/>
        <v/>
      </c>
      <c r="O46" s="19" t="str">
        <f t="shared" si="9"/>
        <v/>
      </c>
      <c r="P46" s="19" t="str">
        <f t="shared" si="10"/>
        <v/>
      </c>
      <c r="Q46" s="19" t="str">
        <f t="shared" si="11"/>
        <v/>
      </c>
      <c r="R46" s="19" t="str">
        <f t="shared" si="1"/>
        <v/>
      </c>
      <c r="S46" s="27" t="str">
        <f t="shared" si="12"/>
        <v/>
      </c>
      <c r="T46" s="28" t="str">
        <f t="shared" si="12"/>
        <v/>
      </c>
      <c r="U46" s="28" t="str">
        <f t="shared" si="12"/>
        <v/>
      </c>
      <c r="V46" s="28" t="str">
        <f t="shared" si="12"/>
        <v/>
      </c>
      <c r="W46" s="28" t="str">
        <f t="shared" si="12"/>
        <v/>
      </c>
      <c r="X46" s="29" t="str">
        <f t="shared" si="12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6"/>
        <v/>
      </c>
      <c r="M47" s="19" t="str">
        <f t="shared" si="7"/>
        <v/>
      </c>
      <c r="N47" s="19" t="str">
        <f t="shared" si="8"/>
        <v/>
      </c>
      <c r="O47" s="19" t="str">
        <f t="shared" si="9"/>
        <v/>
      </c>
      <c r="P47" s="19" t="str">
        <f t="shared" si="10"/>
        <v/>
      </c>
      <c r="Q47" s="19" t="str">
        <f t="shared" si="11"/>
        <v/>
      </c>
      <c r="R47" s="19" t="str">
        <f t="shared" si="1"/>
        <v/>
      </c>
      <c r="S47" s="27" t="str">
        <f t="shared" si="12"/>
        <v/>
      </c>
      <c r="T47" s="28" t="str">
        <f t="shared" si="12"/>
        <v/>
      </c>
      <c r="U47" s="28" t="str">
        <f t="shared" si="12"/>
        <v/>
      </c>
      <c r="V47" s="28" t="str">
        <f t="shared" si="12"/>
        <v/>
      </c>
      <c r="W47" s="28" t="str">
        <f t="shared" si="12"/>
        <v/>
      </c>
      <c r="X47" s="29" t="str">
        <f t="shared" si="12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6"/>
        <v/>
      </c>
      <c r="M48" s="19" t="str">
        <f t="shared" si="7"/>
        <v/>
      </c>
      <c r="N48" s="19" t="str">
        <f t="shared" si="8"/>
        <v/>
      </c>
      <c r="O48" s="19" t="str">
        <f t="shared" si="9"/>
        <v/>
      </c>
      <c r="P48" s="19" t="str">
        <f t="shared" si="10"/>
        <v/>
      </c>
      <c r="Q48" s="19" t="str">
        <f t="shared" si="11"/>
        <v/>
      </c>
      <c r="R48" s="19" t="str">
        <f t="shared" si="1"/>
        <v/>
      </c>
      <c r="S48" s="27" t="str">
        <f t="shared" si="12"/>
        <v/>
      </c>
      <c r="T48" s="28" t="str">
        <f t="shared" si="12"/>
        <v/>
      </c>
      <c r="U48" s="28" t="str">
        <f t="shared" si="12"/>
        <v/>
      </c>
      <c r="V48" s="28" t="str">
        <f t="shared" si="12"/>
        <v/>
      </c>
      <c r="W48" s="28" t="str">
        <f t="shared" si="12"/>
        <v/>
      </c>
      <c r="X48" s="29" t="str">
        <f t="shared" si="12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6"/>
        <v/>
      </c>
      <c r="M49" s="19" t="str">
        <f t="shared" si="7"/>
        <v/>
      </c>
      <c r="N49" s="19" t="str">
        <f t="shared" si="8"/>
        <v/>
      </c>
      <c r="O49" s="19" t="str">
        <f t="shared" si="9"/>
        <v/>
      </c>
      <c r="P49" s="19" t="str">
        <f t="shared" si="10"/>
        <v/>
      </c>
      <c r="Q49" s="19" t="str">
        <f t="shared" si="11"/>
        <v/>
      </c>
      <c r="R49" s="19" t="str">
        <f t="shared" si="1"/>
        <v/>
      </c>
      <c r="S49" s="27" t="str">
        <f t="shared" ref="S49:X64" si="13">IF(C49="","",((C49-C48)*1000)/($B49-$B48))</f>
        <v/>
      </c>
      <c r="T49" s="28" t="str">
        <f t="shared" si="13"/>
        <v/>
      </c>
      <c r="U49" s="28" t="str">
        <f t="shared" si="13"/>
        <v/>
      </c>
      <c r="V49" s="28" t="str">
        <f t="shared" si="13"/>
        <v/>
      </c>
      <c r="W49" s="28" t="str">
        <f t="shared" si="13"/>
        <v/>
      </c>
      <c r="X49" s="29" t="str">
        <f t="shared" si="13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6"/>
        <v/>
      </c>
      <c r="M50" s="19" t="str">
        <f t="shared" si="7"/>
        <v/>
      </c>
      <c r="N50" s="19" t="str">
        <f t="shared" si="8"/>
        <v/>
      </c>
      <c r="O50" s="19" t="str">
        <f t="shared" si="9"/>
        <v/>
      </c>
      <c r="P50" s="19" t="str">
        <f t="shared" si="10"/>
        <v/>
      </c>
      <c r="Q50" s="19" t="str">
        <f t="shared" si="11"/>
        <v/>
      </c>
      <c r="R50" s="19" t="str">
        <f t="shared" si="1"/>
        <v/>
      </c>
      <c r="S50" s="27" t="str">
        <f t="shared" si="13"/>
        <v/>
      </c>
      <c r="T50" s="28" t="str">
        <f t="shared" si="13"/>
        <v/>
      </c>
      <c r="U50" s="28" t="str">
        <f t="shared" si="13"/>
        <v/>
      </c>
      <c r="V50" s="28" t="str">
        <f t="shared" si="13"/>
        <v/>
      </c>
      <c r="W50" s="28" t="str">
        <f t="shared" si="13"/>
        <v/>
      </c>
      <c r="X50" s="29" t="str">
        <f t="shared" si="13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6"/>
        <v/>
      </c>
      <c r="M51" s="19" t="str">
        <f t="shared" si="7"/>
        <v/>
      </c>
      <c r="N51" s="19" t="str">
        <f t="shared" si="8"/>
        <v/>
      </c>
      <c r="O51" s="19" t="str">
        <f t="shared" si="9"/>
        <v/>
      </c>
      <c r="P51" s="19" t="str">
        <f t="shared" si="10"/>
        <v/>
      </c>
      <c r="Q51" s="19" t="str">
        <f t="shared" si="11"/>
        <v/>
      </c>
      <c r="R51" s="19" t="str">
        <f t="shared" si="1"/>
        <v/>
      </c>
      <c r="S51" s="27" t="str">
        <f t="shared" si="13"/>
        <v/>
      </c>
      <c r="T51" s="28" t="str">
        <f t="shared" si="13"/>
        <v/>
      </c>
      <c r="U51" s="28" t="str">
        <f t="shared" si="13"/>
        <v/>
      </c>
      <c r="V51" s="28" t="str">
        <f t="shared" si="13"/>
        <v/>
      </c>
      <c r="W51" s="28" t="str">
        <f t="shared" si="13"/>
        <v/>
      </c>
      <c r="X51" s="29" t="str">
        <f t="shared" si="13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6"/>
        <v/>
      </c>
      <c r="M52" s="19" t="str">
        <f t="shared" si="7"/>
        <v/>
      </c>
      <c r="N52" s="19" t="str">
        <f t="shared" si="8"/>
        <v/>
      </c>
      <c r="O52" s="19" t="str">
        <f t="shared" si="9"/>
        <v/>
      </c>
      <c r="P52" s="19" t="str">
        <f t="shared" si="10"/>
        <v/>
      </c>
      <c r="Q52" s="19" t="str">
        <f t="shared" si="11"/>
        <v/>
      </c>
      <c r="R52" s="19" t="str">
        <f t="shared" si="1"/>
        <v/>
      </c>
      <c r="S52" s="27" t="str">
        <f t="shared" si="13"/>
        <v/>
      </c>
      <c r="T52" s="28" t="str">
        <f t="shared" si="13"/>
        <v/>
      </c>
      <c r="U52" s="28" t="str">
        <f t="shared" si="13"/>
        <v/>
      </c>
      <c r="V52" s="28" t="str">
        <f t="shared" si="13"/>
        <v/>
      </c>
      <c r="W52" s="28" t="str">
        <f t="shared" si="13"/>
        <v/>
      </c>
      <c r="X52" s="29" t="str">
        <f t="shared" si="13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6"/>
        <v/>
      </c>
      <c r="M53" s="19" t="str">
        <f t="shared" si="7"/>
        <v/>
      </c>
      <c r="N53" s="19" t="str">
        <f t="shared" si="8"/>
        <v/>
      </c>
      <c r="O53" s="19" t="str">
        <f t="shared" si="9"/>
        <v/>
      </c>
      <c r="P53" s="19" t="str">
        <f t="shared" si="10"/>
        <v/>
      </c>
      <c r="Q53" s="19" t="str">
        <f t="shared" si="11"/>
        <v/>
      </c>
      <c r="R53" s="19" t="str">
        <f t="shared" si="1"/>
        <v/>
      </c>
      <c r="S53" s="27" t="str">
        <f t="shared" si="13"/>
        <v/>
      </c>
      <c r="T53" s="28" t="str">
        <f t="shared" si="13"/>
        <v/>
      </c>
      <c r="U53" s="28" t="str">
        <f t="shared" si="13"/>
        <v/>
      </c>
      <c r="V53" s="28" t="str">
        <f t="shared" si="13"/>
        <v/>
      </c>
      <c r="W53" s="28" t="str">
        <f t="shared" si="13"/>
        <v/>
      </c>
      <c r="X53" s="29" t="str">
        <f t="shared" si="13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6"/>
        <v/>
      </c>
      <c r="M54" s="19" t="str">
        <f t="shared" si="7"/>
        <v/>
      </c>
      <c r="N54" s="19" t="str">
        <f t="shared" si="8"/>
        <v/>
      </c>
      <c r="O54" s="19" t="str">
        <f t="shared" si="9"/>
        <v/>
      </c>
      <c r="P54" s="19" t="str">
        <f t="shared" si="10"/>
        <v/>
      </c>
      <c r="Q54" s="19" t="str">
        <f t="shared" si="11"/>
        <v/>
      </c>
      <c r="R54" s="19" t="str">
        <f t="shared" si="1"/>
        <v/>
      </c>
      <c r="S54" s="27" t="str">
        <f t="shared" si="13"/>
        <v/>
      </c>
      <c r="T54" s="28" t="str">
        <f t="shared" si="13"/>
        <v/>
      </c>
      <c r="U54" s="28" t="str">
        <f t="shared" si="13"/>
        <v/>
      </c>
      <c r="V54" s="28" t="str">
        <f t="shared" si="13"/>
        <v/>
      </c>
      <c r="W54" s="28" t="str">
        <f t="shared" si="13"/>
        <v/>
      </c>
      <c r="X54" s="29" t="str">
        <f t="shared" si="13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6"/>
        <v/>
      </c>
      <c r="M55" s="19" t="str">
        <f t="shared" si="7"/>
        <v/>
      </c>
      <c r="N55" s="19" t="str">
        <f t="shared" si="8"/>
        <v/>
      </c>
      <c r="O55" s="19" t="str">
        <f t="shared" si="9"/>
        <v/>
      </c>
      <c r="P55" s="19" t="str">
        <f t="shared" si="10"/>
        <v/>
      </c>
      <c r="Q55" s="19" t="str">
        <f t="shared" si="11"/>
        <v/>
      </c>
      <c r="R55" s="19" t="str">
        <f t="shared" si="1"/>
        <v/>
      </c>
      <c r="S55" s="27" t="str">
        <f t="shared" si="13"/>
        <v/>
      </c>
      <c r="T55" s="28" t="str">
        <f t="shared" si="13"/>
        <v/>
      </c>
      <c r="U55" s="28" t="str">
        <f t="shared" si="13"/>
        <v/>
      </c>
      <c r="V55" s="28" t="str">
        <f t="shared" si="13"/>
        <v/>
      </c>
      <c r="W55" s="28" t="str">
        <f t="shared" si="13"/>
        <v/>
      </c>
      <c r="X55" s="29" t="str">
        <f t="shared" si="13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6"/>
        <v/>
      </c>
      <c r="M56" s="19" t="str">
        <f t="shared" si="7"/>
        <v/>
      </c>
      <c r="N56" s="19" t="str">
        <f t="shared" si="8"/>
        <v/>
      </c>
      <c r="O56" s="19" t="str">
        <f t="shared" si="9"/>
        <v/>
      </c>
      <c r="P56" s="19" t="str">
        <f t="shared" si="10"/>
        <v/>
      </c>
      <c r="Q56" s="19" t="str">
        <f t="shared" si="11"/>
        <v/>
      </c>
      <c r="R56" s="19" t="str">
        <f t="shared" si="1"/>
        <v/>
      </c>
      <c r="S56" s="27" t="str">
        <f t="shared" si="13"/>
        <v/>
      </c>
      <c r="T56" s="28" t="str">
        <f t="shared" si="13"/>
        <v/>
      </c>
      <c r="U56" s="28" t="str">
        <f t="shared" si="13"/>
        <v/>
      </c>
      <c r="V56" s="28" t="str">
        <f t="shared" si="13"/>
        <v/>
      </c>
      <c r="W56" s="28" t="str">
        <f t="shared" si="13"/>
        <v/>
      </c>
      <c r="X56" s="29" t="str">
        <f t="shared" si="13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6"/>
        <v/>
      </c>
      <c r="M57" s="19" t="str">
        <f t="shared" si="7"/>
        <v/>
      </c>
      <c r="N57" s="19" t="str">
        <f t="shared" si="8"/>
        <v/>
      </c>
      <c r="O57" s="19" t="str">
        <f t="shared" si="9"/>
        <v/>
      </c>
      <c r="P57" s="19" t="str">
        <f t="shared" si="10"/>
        <v/>
      </c>
      <c r="Q57" s="19" t="str">
        <f t="shared" si="11"/>
        <v/>
      </c>
      <c r="R57" s="19" t="str">
        <f t="shared" si="1"/>
        <v/>
      </c>
      <c r="S57" s="27" t="str">
        <f t="shared" si="13"/>
        <v/>
      </c>
      <c r="T57" s="28" t="str">
        <f t="shared" si="13"/>
        <v/>
      </c>
      <c r="U57" s="28" t="str">
        <f t="shared" si="13"/>
        <v/>
      </c>
      <c r="V57" s="28" t="str">
        <f t="shared" si="13"/>
        <v/>
      </c>
      <c r="W57" s="28" t="str">
        <f t="shared" si="13"/>
        <v/>
      </c>
      <c r="X57" s="29" t="str">
        <f t="shared" si="13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6"/>
        <v/>
      </c>
      <c r="M58" s="19" t="str">
        <f t="shared" si="7"/>
        <v/>
      </c>
      <c r="N58" s="19" t="str">
        <f t="shared" si="8"/>
        <v/>
      </c>
      <c r="O58" s="19" t="str">
        <f t="shared" si="9"/>
        <v/>
      </c>
      <c r="P58" s="19" t="str">
        <f t="shared" si="10"/>
        <v/>
      </c>
      <c r="Q58" s="19" t="str">
        <f t="shared" si="11"/>
        <v/>
      </c>
      <c r="R58" s="19" t="str">
        <f t="shared" si="1"/>
        <v/>
      </c>
      <c r="S58" s="27" t="str">
        <f t="shared" si="13"/>
        <v/>
      </c>
      <c r="T58" s="28" t="str">
        <f t="shared" si="13"/>
        <v/>
      </c>
      <c r="U58" s="28" t="str">
        <f t="shared" si="13"/>
        <v/>
      </c>
      <c r="V58" s="28" t="str">
        <f t="shared" si="13"/>
        <v/>
      </c>
      <c r="W58" s="28" t="str">
        <f t="shared" si="13"/>
        <v/>
      </c>
      <c r="X58" s="29" t="str">
        <f t="shared" si="13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6"/>
        <v/>
      </c>
      <c r="M59" s="19" t="str">
        <f t="shared" si="7"/>
        <v/>
      </c>
      <c r="N59" s="19" t="str">
        <f t="shared" si="8"/>
        <v/>
      </c>
      <c r="O59" s="19" t="str">
        <f t="shared" si="9"/>
        <v/>
      </c>
      <c r="P59" s="19" t="str">
        <f t="shared" si="10"/>
        <v/>
      </c>
      <c r="Q59" s="19" t="str">
        <f t="shared" si="11"/>
        <v/>
      </c>
      <c r="R59" s="19" t="str">
        <f t="shared" si="1"/>
        <v/>
      </c>
      <c r="S59" s="27" t="str">
        <f t="shared" si="13"/>
        <v/>
      </c>
      <c r="T59" s="28" t="str">
        <f t="shared" si="13"/>
        <v/>
      </c>
      <c r="U59" s="28" t="str">
        <f t="shared" si="13"/>
        <v/>
      </c>
      <c r="V59" s="28" t="str">
        <f t="shared" si="13"/>
        <v/>
      </c>
      <c r="W59" s="28" t="str">
        <f t="shared" si="13"/>
        <v/>
      </c>
      <c r="X59" s="29" t="str">
        <f t="shared" si="13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6"/>
        <v/>
      </c>
      <c r="M60" s="19" t="str">
        <f t="shared" si="7"/>
        <v/>
      </c>
      <c r="N60" s="19" t="str">
        <f t="shared" si="8"/>
        <v/>
      </c>
      <c r="O60" s="19" t="str">
        <f t="shared" si="9"/>
        <v/>
      </c>
      <c r="P60" s="19" t="str">
        <f t="shared" si="10"/>
        <v/>
      </c>
      <c r="Q60" s="19" t="str">
        <f t="shared" si="11"/>
        <v/>
      </c>
      <c r="R60" s="19" t="str">
        <f t="shared" si="1"/>
        <v/>
      </c>
      <c r="S60" s="27" t="str">
        <f t="shared" si="13"/>
        <v/>
      </c>
      <c r="T60" s="28" t="str">
        <f t="shared" si="13"/>
        <v/>
      </c>
      <c r="U60" s="28" t="str">
        <f t="shared" si="13"/>
        <v/>
      </c>
      <c r="V60" s="28" t="str">
        <f t="shared" si="13"/>
        <v/>
      </c>
      <c r="W60" s="28" t="str">
        <f t="shared" si="13"/>
        <v/>
      </c>
      <c r="X60" s="29" t="str">
        <f t="shared" si="13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6"/>
        <v/>
      </c>
      <c r="M61" s="19" t="str">
        <f t="shared" si="7"/>
        <v/>
      </c>
      <c r="N61" s="19" t="str">
        <f t="shared" si="8"/>
        <v/>
      </c>
      <c r="O61" s="19" t="str">
        <f t="shared" si="9"/>
        <v/>
      </c>
      <c r="P61" s="19" t="str">
        <f t="shared" si="10"/>
        <v/>
      </c>
      <c r="Q61" s="19" t="str">
        <f t="shared" si="11"/>
        <v/>
      </c>
      <c r="R61" s="19" t="str">
        <f t="shared" si="1"/>
        <v/>
      </c>
      <c r="S61" s="27" t="str">
        <f t="shared" si="13"/>
        <v/>
      </c>
      <c r="T61" s="28" t="str">
        <f t="shared" si="13"/>
        <v/>
      </c>
      <c r="U61" s="28" t="str">
        <f t="shared" si="13"/>
        <v/>
      </c>
      <c r="V61" s="28" t="str">
        <f t="shared" si="13"/>
        <v/>
      </c>
      <c r="W61" s="28" t="str">
        <f t="shared" si="13"/>
        <v/>
      </c>
      <c r="X61" s="29" t="str">
        <f t="shared" si="13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6"/>
        <v/>
      </c>
      <c r="M62" s="19" t="str">
        <f t="shared" si="7"/>
        <v/>
      </c>
      <c r="N62" s="19" t="str">
        <f t="shared" si="8"/>
        <v/>
      </c>
      <c r="O62" s="19" t="str">
        <f t="shared" si="9"/>
        <v/>
      </c>
      <c r="P62" s="19" t="str">
        <f t="shared" si="10"/>
        <v/>
      </c>
      <c r="Q62" s="19" t="str">
        <f t="shared" si="11"/>
        <v/>
      </c>
      <c r="R62" s="19" t="str">
        <f t="shared" si="1"/>
        <v/>
      </c>
      <c r="S62" s="27" t="str">
        <f t="shared" si="13"/>
        <v/>
      </c>
      <c r="T62" s="28" t="str">
        <f t="shared" si="13"/>
        <v/>
      </c>
      <c r="U62" s="28" t="str">
        <f t="shared" si="13"/>
        <v/>
      </c>
      <c r="V62" s="28" t="str">
        <f t="shared" si="13"/>
        <v/>
      </c>
      <c r="W62" s="28" t="str">
        <f t="shared" si="13"/>
        <v/>
      </c>
      <c r="X62" s="29" t="str">
        <f t="shared" si="13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6"/>
        <v/>
      </c>
      <c r="M63" s="19" t="str">
        <f t="shared" si="7"/>
        <v/>
      </c>
      <c r="N63" s="19" t="str">
        <f t="shared" si="8"/>
        <v/>
      </c>
      <c r="O63" s="19" t="str">
        <f t="shared" si="9"/>
        <v/>
      </c>
      <c r="P63" s="19" t="str">
        <f t="shared" si="10"/>
        <v/>
      </c>
      <c r="Q63" s="19" t="str">
        <f t="shared" si="11"/>
        <v/>
      </c>
      <c r="R63" s="19" t="str">
        <f t="shared" si="1"/>
        <v/>
      </c>
      <c r="S63" s="27" t="str">
        <f t="shared" si="13"/>
        <v/>
      </c>
      <c r="T63" s="28" t="str">
        <f t="shared" si="13"/>
        <v/>
      </c>
      <c r="U63" s="28" t="str">
        <f t="shared" si="13"/>
        <v/>
      </c>
      <c r="V63" s="28" t="str">
        <f t="shared" si="13"/>
        <v/>
      </c>
      <c r="W63" s="28" t="str">
        <f t="shared" si="13"/>
        <v/>
      </c>
      <c r="X63" s="29" t="str">
        <f t="shared" si="13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6"/>
        <v/>
      </c>
      <c r="M64" s="19" t="str">
        <f t="shared" si="7"/>
        <v/>
      </c>
      <c r="N64" s="19" t="str">
        <f t="shared" si="8"/>
        <v/>
      </c>
      <c r="O64" s="19" t="str">
        <f t="shared" si="9"/>
        <v/>
      </c>
      <c r="P64" s="19" t="str">
        <f t="shared" si="10"/>
        <v/>
      </c>
      <c r="Q64" s="19" t="str">
        <f t="shared" si="11"/>
        <v/>
      </c>
      <c r="R64" s="19" t="str">
        <f t="shared" si="1"/>
        <v/>
      </c>
      <c r="S64" s="27" t="str">
        <f t="shared" si="13"/>
        <v/>
      </c>
      <c r="T64" s="28" t="str">
        <f t="shared" si="13"/>
        <v/>
      </c>
      <c r="U64" s="28" t="str">
        <f t="shared" si="13"/>
        <v/>
      </c>
      <c r="V64" s="28" t="str">
        <f t="shared" si="13"/>
        <v/>
      </c>
      <c r="W64" s="28" t="str">
        <f t="shared" si="13"/>
        <v/>
      </c>
      <c r="X64" s="29" t="str">
        <f t="shared" si="13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6"/>
        <v/>
      </c>
      <c r="M65" s="19" t="str">
        <f t="shared" si="7"/>
        <v/>
      </c>
      <c r="N65" s="19" t="str">
        <f t="shared" si="8"/>
        <v/>
      </c>
      <c r="O65" s="19" t="str">
        <f t="shared" si="9"/>
        <v/>
      </c>
      <c r="P65" s="19" t="str">
        <f t="shared" si="10"/>
        <v/>
      </c>
      <c r="Q65" s="19" t="str">
        <f t="shared" si="11"/>
        <v/>
      </c>
      <c r="R65" s="19" t="str">
        <f t="shared" si="1"/>
        <v/>
      </c>
      <c r="S65" s="27" t="str">
        <f t="shared" ref="S65:X80" si="14">IF(C65="","",((C65-C64)*1000)/($B65-$B64))</f>
        <v/>
      </c>
      <c r="T65" s="28" t="str">
        <f t="shared" si="14"/>
        <v/>
      </c>
      <c r="U65" s="28" t="str">
        <f t="shared" si="14"/>
        <v/>
      </c>
      <c r="V65" s="28" t="str">
        <f t="shared" si="14"/>
        <v/>
      </c>
      <c r="W65" s="28" t="str">
        <f t="shared" si="14"/>
        <v/>
      </c>
      <c r="X65" s="29" t="str">
        <f t="shared" si="14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6"/>
        <v/>
      </c>
      <c r="M66" s="19" t="str">
        <f t="shared" si="7"/>
        <v/>
      </c>
      <c r="N66" s="19" t="str">
        <f t="shared" si="8"/>
        <v/>
      </c>
      <c r="O66" s="19" t="str">
        <f t="shared" si="9"/>
        <v/>
      </c>
      <c r="P66" s="19" t="str">
        <f t="shared" si="10"/>
        <v/>
      </c>
      <c r="Q66" s="19" t="str">
        <f t="shared" si="11"/>
        <v/>
      </c>
      <c r="R66" s="19" t="str">
        <f t="shared" si="1"/>
        <v/>
      </c>
      <c r="S66" s="27" t="str">
        <f t="shared" si="14"/>
        <v/>
      </c>
      <c r="T66" s="28" t="str">
        <f t="shared" si="14"/>
        <v/>
      </c>
      <c r="U66" s="28" t="str">
        <f t="shared" si="14"/>
        <v/>
      </c>
      <c r="V66" s="28" t="str">
        <f t="shared" si="14"/>
        <v/>
      </c>
      <c r="W66" s="28" t="str">
        <f t="shared" si="14"/>
        <v/>
      </c>
      <c r="X66" s="29" t="str">
        <f t="shared" si="14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6"/>
        <v/>
      </c>
      <c r="M67" s="19" t="str">
        <f t="shared" si="7"/>
        <v/>
      </c>
      <c r="N67" s="19" t="str">
        <f t="shared" si="8"/>
        <v/>
      </c>
      <c r="O67" s="19" t="str">
        <f t="shared" si="9"/>
        <v/>
      </c>
      <c r="P67" s="19" t="str">
        <f t="shared" si="10"/>
        <v/>
      </c>
      <c r="Q67" s="19" t="str">
        <f t="shared" si="11"/>
        <v/>
      </c>
      <c r="R67" s="19" t="str">
        <f t="shared" si="1"/>
        <v/>
      </c>
      <c r="S67" s="27" t="str">
        <f t="shared" si="14"/>
        <v/>
      </c>
      <c r="T67" s="28" t="str">
        <f t="shared" si="14"/>
        <v/>
      </c>
      <c r="U67" s="28" t="str">
        <f t="shared" si="14"/>
        <v/>
      </c>
      <c r="V67" s="28" t="str">
        <f t="shared" si="14"/>
        <v/>
      </c>
      <c r="W67" s="28" t="str">
        <f t="shared" si="14"/>
        <v/>
      </c>
      <c r="X67" s="29" t="str">
        <f t="shared" si="14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6"/>
        <v/>
      </c>
      <c r="M68" s="19" t="str">
        <f t="shared" si="7"/>
        <v/>
      </c>
      <c r="N68" s="19" t="str">
        <f t="shared" si="8"/>
        <v/>
      </c>
      <c r="O68" s="19" t="str">
        <f t="shared" si="9"/>
        <v/>
      </c>
      <c r="P68" s="19" t="str">
        <f t="shared" si="10"/>
        <v/>
      </c>
      <c r="Q68" s="19" t="str">
        <f t="shared" si="11"/>
        <v/>
      </c>
      <c r="R68" s="19" t="str">
        <f t="shared" si="1"/>
        <v/>
      </c>
      <c r="S68" s="27" t="str">
        <f t="shared" si="14"/>
        <v/>
      </c>
      <c r="T68" s="28" t="str">
        <f t="shared" si="14"/>
        <v/>
      </c>
      <c r="U68" s="28" t="str">
        <f t="shared" si="14"/>
        <v/>
      </c>
      <c r="V68" s="28" t="str">
        <f t="shared" si="14"/>
        <v/>
      </c>
      <c r="W68" s="28" t="str">
        <f t="shared" si="14"/>
        <v/>
      </c>
      <c r="X68" s="29" t="str">
        <f t="shared" si="14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6"/>
        <v/>
      </c>
      <c r="M69" s="19" t="str">
        <f t="shared" si="7"/>
        <v/>
      </c>
      <c r="N69" s="19" t="str">
        <f t="shared" si="8"/>
        <v/>
      </c>
      <c r="O69" s="19" t="str">
        <f t="shared" si="9"/>
        <v/>
      </c>
      <c r="P69" s="19" t="str">
        <f t="shared" si="10"/>
        <v/>
      </c>
      <c r="Q69" s="19" t="str">
        <f t="shared" si="11"/>
        <v/>
      </c>
      <c r="R69" s="19" t="str">
        <f t="shared" si="1"/>
        <v/>
      </c>
      <c r="S69" s="27" t="str">
        <f t="shared" si="14"/>
        <v/>
      </c>
      <c r="T69" s="28" t="str">
        <f t="shared" si="14"/>
        <v/>
      </c>
      <c r="U69" s="28" t="str">
        <f t="shared" si="14"/>
        <v/>
      </c>
      <c r="V69" s="28" t="str">
        <f t="shared" si="14"/>
        <v/>
      </c>
      <c r="W69" s="28" t="str">
        <f t="shared" si="14"/>
        <v/>
      </c>
      <c r="X69" s="29" t="str">
        <f t="shared" si="14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6"/>
        <v/>
      </c>
      <c r="M70" s="19" t="str">
        <f t="shared" si="7"/>
        <v/>
      </c>
      <c r="N70" s="19" t="str">
        <f t="shared" si="8"/>
        <v/>
      </c>
      <c r="O70" s="19" t="str">
        <f t="shared" si="9"/>
        <v/>
      </c>
      <c r="P70" s="19" t="str">
        <f t="shared" si="10"/>
        <v/>
      </c>
      <c r="Q70" s="19" t="str">
        <f t="shared" si="11"/>
        <v/>
      </c>
      <c r="R70" s="19" t="str">
        <f t="shared" si="1"/>
        <v/>
      </c>
      <c r="S70" s="27" t="str">
        <f t="shared" si="14"/>
        <v/>
      </c>
      <c r="T70" s="28" t="str">
        <f t="shared" si="14"/>
        <v/>
      </c>
      <c r="U70" s="28" t="str">
        <f t="shared" si="14"/>
        <v/>
      </c>
      <c r="V70" s="28" t="str">
        <f t="shared" si="14"/>
        <v/>
      </c>
      <c r="W70" s="28" t="str">
        <f t="shared" si="14"/>
        <v/>
      </c>
      <c r="X70" s="29" t="str">
        <f t="shared" si="14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6"/>
        <v/>
      </c>
      <c r="M71" s="19" t="str">
        <f t="shared" si="7"/>
        <v/>
      </c>
      <c r="N71" s="19" t="str">
        <f t="shared" si="8"/>
        <v/>
      </c>
      <c r="O71" s="19" t="str">
        <f t="shared" si="9"/>
        <v/>
      </c>
      <c r="P71" s="19" t="str">
        <f t="shared" si="10"/>
        <v/>
      </c>
      <c r="Q71" s="19" t="str">
        <f t="shared" si="11"/>
        <v/>
      </c>
      <c r="R71" s="19" t="str">
        <f t="shared" si="1"/>
        <v/>
      </c>
      <c r="S71" s="27" t="str">
        <f t="shared" si="14"/>
        <v/>
      </c>
      <c r="T71" s="28" t="str">
        <f t="shared" si="14"/>
        <v/>
      </c>
      <c r="U71" s="28" t="str">
        <f t="shared" si="14"/>
        <v/>
      </c>
      <c r="V71" s="28" t="str">
        <f t="shared" si="14"/>
        <v/>
      </c>
      <c r="W71" s="28" t="str">
        <f t="shared" si="14"/>
        <v/>
      </c>
      <c r="X71" s="29" t="str">
        <f t="shared" si="14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6"/>
        <v/>
      </c>
      <c r="M72" s="19" t="str">
        <f t="shared" si="7"/>
        <v/>
      </c>
      <c r="N72" s="19" t="str">
        <f t="shared" si="8"/>
        <v/>
      </c>
      <c r="O72" s="19" t="str">
        <f t="shared" si="9"/>
        <v/>
      </c>
      <c r="P72" s="19" t="str">
        <f t="shared" si="10"/>
        <v/>
      </c>
      <c r="Q72" s="19" t="str">
        <f t="shared" si="11"/>
        <v/>
      </c>
      <c r="R72" s="19" t="str">
        <f t="shared" si="1"/>
        <v/>
      </c>
      <c r="S72" s="27" t="str">
        <f t="shared" si="14"/>
        <v/>
      </c>
      <c r="T72" s="28" t="str">
        <f t="shared" si="14"/>
        <v/>
      </c>
      <c r="U72" s="28" t="str">
        <f t="shared" si="14"/>
        <v/>
      </c>
      <c r="V72" s="28" t="str">
        <f t="shared" si="14"/>
        <v/>
      </c>
      <c r="W72" s="28" t="str">
        <f t="shared" si="14"/>
        <v/>
      </c>
      <c r="X72" s="29" t="str">
        <f t="shared" si="14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6"/>
        <v/>
      </c>
      <c r="M73" s="19" t="str">
        <f t="shared" si="7"/>
        <v/>
      </c>
      <c r="N73" s="19" t="str">
        <f t="shared" si="8"/>
        <v/>
      </c>
      <c r="O73" s="19" t="str">
        <f t="shared" si="9"/>
        <v/>
      </c>
      <c r="P73" s="19" t="str">
        <f t="shared" si="10"/>
        <v/>
      </c>
      <c r="Q73" s="19" t="str">
        <f t="shared" si="11"/>
        <v/>
      </c>
      <c r="R73" s="19" t="str">
        <f t="shared" si="1"/>
        <v/>
      </c>
      <c r="S73" s="27" t="str">
        <f t="shared" si="14"/>
        <v/>
      </c>
      <c r="T73" s="28" t="str">
        <f t="shared" si="14"/>
        <v/>
      </c>
      <c r="U73" s="28" t="str">
        <f t="shared" si="14"/>
        <v/>
      </c>
      <c r="V73" s="28" t="str">
        <f t="shared" si="14"/>
        <v/>
      </c>
      <c r="W73" s="28" t="str">
        <f t="shared" si="14"/>
        <v/>
      </c>
      <c r="X73" s="29" t="str">
        <f t="shared" si="14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6"/>
        <v/>
      </c>
      <c r="M74" s="19" t="str">
        <f t="shared" si="7"/>
        <v/>
      </c>
      <c r="N74" s="19" t="str">
        <f t="shared" si="8"/>
        <v/>
      </c>
      <c r="O74" s="19" t="str">
        <f t="shared" si="9"/>
        <v/>
      </c>
      <c r="P74" s="19" t="str">
        <f t="shared" si="10"/>
        <v/>
      </c>
      <c r="Q74" s="19" t="str">
        <f t="shared" si="11"/>
        <v/>
      </c>
      <c r="R74" s="19" t="str">
        <f t="shared" si="1"/>
        <v/>
      </c>
      <c r="S74" s="27" t="str">
        <f t="shared" si="14"/>
        <v/>
      </c>
      <c r="T74" s="28" t="str">
        <f t="shared" si="14"/>
        <v/>
      </c>
      <c r="U74" s="28" t="str">
        <f t="shared" si="14"/>
        <v/>
      </c>
      <c r="V74" s="28" t="str">
        <f t="shared" si="14"/>
        <v/>
      </c>
      <c r="W74" s="28" t="str">
        <f t="shared" si="14"/>
        <v/>
      </c>
      <c r="X74" s="29" t="str">
        <f t="shared" si="14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6"/>
        <v/>
      </c>
      <c r="M75" s="19" t="str">
        <f t="shared" si="7"/>
        <v/>
      </c>
      <c r="N75" s="19" t="str">
        <f t="shared" si="8"/>
        <v/>
      </c>
      <c r="O75" s="19" t="str">
        <f t="shared" si="9"/>
        <v/>
      </c>
      <c r="P75" s="19" t="str">
        <f t="shared" si="10"/>
        <v/>
      </c>
      <c r="Q75" s="19" t="str">
        <f t="shared" si="11"/>
        <v/>
      </c>
      <c r="R75" s="19" t="str">
        <f t="shared" si="1"/>
        <v/>
      </c>
      <c r="S75" s="27" t="str">
        <f t="shared" si="14"/>
        <v/>
      </c>
      <c r="T75" s="28" t="str">
        <f t="shared" si="14"/>
        <v/>
      </c>
      <c r="U75" s="28" t="str">
        <f t="shared" si="14"/>
        <v/>
      </c>
      <c r="V75" s="28" t="str">
        <f t="shared" si="14"/>
        <v/>
      </c>
      <c r="W75" s="28" t="str">
        <f t="shared" si="14"/>
        <v/>
      </c>
      <c r="X75" s="29" t="str">
        <f t="shared" si="14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6"/>
        <v/>
      </c>
      <c r="M76" s="19" t="str">
        <f t="shared" si="7"/>
        <v/>
      </c>
      <c r="N76" s="19" t="str">
        <f t="shared" si="8"/>
        <v/>
      </c>
      <c r="O76" s="19" t="str">
        <f t="shared" si="9"/>
        <v/>
      </c>
      <c r="P76" s="19" t="str">
        <f t="shared" si="10"/>
        <v/>
      </c>
      <c r="Q76" s="19" t="str">
        <f t="shared" si="11"/>
        <v/>
      </c>
      <c r="R76" s="19" t="str">
        <f t="shared" si="1"/>
        <v/>
      </c>
      <c r="S76" s="27" t="str">
        <f t="shared" si="14"/>
        <v/>
      </c>
      <c r="T76" s="28" t="str">
        <f t="shared" si="14"/>
        <v/>
      </c>
      <c r="U76" s="28" t="str">
        <f t="shared" si="14"/>
        <v/>
      </c>
      <c r="V76" s="28" t="str">
        <f t="shared" si="14"/>
        <v/>
      </c>
      <c r="W76" s="28" t="str">
        <f t="shared" si="14"/>
        <v/>
      </c>
      <c r="X76" s="29" t="str">
        <f t="shared" si="14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6"/>
        <v/>
      </c>
      <c r="M77" s="19" t="str">
        <f t="shared" si="7"/>
        <v/>
      </c>
      <c r="N77" s="19" t="str">
        <f t="shared" si="8"/>
        <v/>
      </c>
      <c r="O77" s="19" t="str">
        <f t="shared" si="9"/>
        <v/>
      </c>
      <c r="P77" s="19" t="str">
        <f t="shared" si="10"/>
        <v/>
      </c>
      <c r="Q77" s="19" t="str">
        <f t="shared" si="11"/>
        <v/>
      </c>
      <c r="R77" s="19" t="str">
        <f t="shared" si="1"/>
        <v/>
      </c>
      <c r="S77" s="27" t="str">
        <f t="shared" si="14"/>
        <v/>
      </c>
      <c r="T77" s="28" t="str">
        <f t="shared" si="14"/>
        <v/>
      </c>
      <c r="U77" s="28" t="str">
        <f t="shared" si="14"/>
        <v/>
      </c>
      <c r="V77" s="28" t="str">
        <f t="shared" si="14"/>
        <v/>
      </c>
      <c r="W77" s="28" t="str">
        <f t="shared" si="14"/>
        <v/>
      </c>
      <c r="X77" s="29" t="str">
        <f t="shared" si="14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6"/>
        <v/>
      </c>
      <c r="M78" s="19" t="str">
        <f t="shared" si="7"/>
        <v/>
      </c>
      <c r="N78" s="19" t="str">
        <f t="shared" si="8"/>
        <v/>
      </c>
      <c r="O78" s="19" t="str">
        <f t="shared" si="9"/>
        <v/>
      </c>
      <c r="P78" s="19" t="str">
        <f t="shared" si="10"/>
        <v/>
      </c>
      <c r="Q78" s="19" t="str">
        <f t="shared" si="11"/>
        <v/>
      </c>
      <c r="R78" s="19" t="str">
        <f t="shared" si="1"/>
        <v/>
      </c>
      <c r="S78" s="27" t="str">
        <f t="shared" si="14"/>
        <v/>
      </c>
      <c r="T78" s="28" t="str">
        <f t="shared" si="14"/>
        <v/>
      </c>
      <c r="U78" s="28" t="str">
        <f t="shared" si="14"/>
        <v/>
      </c>
      <c r="V78" s="28" t="str">
        <f t="shared" si="14"/>
        <v/>
      </c>
      <c r="W78" s="28" t="str">
        <f t="shared" si="14"/>
        <v/>
      </c>
      <c r="X78" s="29" t="str">
        <f t="shared" si="14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6"/>
        <v/>
      </c>
      <c r="M79" s="19" t="str">
        <f t="shared" si="7"/>
        <v/>
      </c>
      <c r="N79" s="19" t="str">
        <f t="shared" si="8"/>
        <v/>
      </c>
      <c r="O79" s="19" t="str">
        <f t="shared" si="9"/>
        <v/>
      </c>
      <c r="P79" s="19" t="str">
        <f t="shared" si="10"/>
        <v/>
      </c>
      <c r="Q79" s="19" t="str">
        <f t="shared" si="11"/>
        <v/>
      </c>
      <c r="R79" s="19" t="str">
        <f t="shared" si="1"/>
        <v/>
      </c>
      <c r="S79" s="27" t="str">
        <f t="shared" si="14"/>
        <v/>
      </c>
      <c r="T79" s="28" t="str">
        <f t="shared" si="14"/>
        <v/>
      </c>
      <c r="U79" s="28" t="str">
        <f t="shared" si="14"/>
        <v/>
      </c>
      <c r="V79" s="28" t="str">
        <f t="shared" si="14"/>
        <v/>
      </c>
      <c r="W79" s="28" t="str">
        <f t="shared" si="14"/>
        <v/>
      </c>
      <c r="X79" s="29" t="str">
        <f t="shared" si="14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6"/>
        <v/>
      </c>
      <c r="M80" s="19" t="str">
        <f t="shared" si="7"/>
        <v/>
      </c>
      <c r="N80" s="19" t="str">
        <f t="shared" si="8"/>
        <v/>
      </c>
      <c r="O80" s="19" t="str">
        <f t="shared" si="9"/>
        <v/>
      </c>
      <c r="P80" s="19" t="str">
        <f t="shared" si="10"/>
        <v/>
      </c>
      <c r="Q80" s="19" t="str">
        <f t="shared" si="11"/>
        <v/>
      </c>
      <c r="R80" s="19" t="str">
        <f t="shared" ref="R80:R111" si="15">IF(ISBLANK(I80),"",(I80-I$16)*1000)</f>
        <v/>
      </c>
      <c r="S80" s="27" t="str">
        <f t="shared" si="14"/>
        <v/>
      </c>
      <c r="T80" s="28" t="str">
        <f t="shared" si="14"/>
        <v/>
      </c>
      <c r="U80" s="28" t="str">
        <f t="shared" si="14"/>
        <v/>
      </c>
      <c r="V80" s="28" t="str">
        <f t="shared" si="14"/>
        <v/>
      </c>
      <c r="W80" s="28" t="str">
        <f t="shared" si="14"/>
        <v/>
      </c>
      <c r="X80" s="29" t="str">
        <f t="shared" si="14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6"/>
        <v/>
      </c>
      <c r="M81" s="19" t="str">
        <f t="shared" si="7"/>
        <v/>
      </c>
      <c r="N81" s="19" t="str">
        <f t="shared" si="8"/>
        <v/>
      </c>
      <c r="O81" s="19" t="str">
        <f t="shared" si="9"/>
        <v/>
      </c>
      <c r="P81" s="19" t="str">
        <f t="shared" si="10"/>
        <v/>
      </c>
      <c r="Q81" s="19" t="str">
        <f t="shared" si="11"/>
        <v/>
      </c>
      <c r="R81" s="19" t="str">
        <f t="shared" si="15"/>
        <v/>
      </c>
      <c r="S81" s="27" t="str">
        <f t="shared" ref="S81:X96" si="16">IF(C81="","",((C81-C80)*1000)/($B81-$B80))</f>
        <v/>
      </c>
      <c r="T81" s="28" t="str">
        <f t="shared" si="16"/>
        <v/>
      </c>
      <c r="U81" s="28" t="str">
        <f t="shared" si="16"/>
        <v/>
      </c>
      <c r="V81" s="28" t="str">
        <f t="shared" si="16"/>
        <v/>
      </c>
      <c r="W81" s="28" t="str">
        <f t="shared" si="16"/>
        <v/>
      </c>
      <c r="X81" s="29" t="str">
        <f t="shared" si="16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6"/>
        <v/>
      </c>
      <c r="M82" s="19" t="str">
        <f t="shared" si="7"/>
        <v/>
      </c>
      <c r="N82" s="19" t="str">
        <f t="shared" si="8"/>
        <v/>
      </c>
      <c r="O82" s="19" t="str">
        <f t="shared" si="9"/>
        <v/>
      </c>
      <c r="P82" s="19" t="str">
        <f t="shared" si="10"/>
        <v/>
      </c>
      <c r="Q82" s="19" t="str">
        <f t="shared" si="11"/>
        <v/>
      </c>
      <c r="R82" s="19" t="str">
        <f t="shared" si="15"/>
        <v/>
      </c>
      <c r="S82" s="27" t="str">
        <f t="shared" si="16"/>
        <v/>
      </c>
      <c r="T82" s="28" t="str">
        <f t="shared" si="16"/>
        <v/>
      </c>
      <c r="U82" s="28" t="str">
        <f t="shared" si="16"/>
        <v/>
      </c>
      <c r="V82" s="28" t="str">
        <f t="shared" si="16"/>
        <v/>
      </c>
      <c r="W82" s="28" t="str">
        <f t="shared" si="16"/>
        <v/>
      </c>
      <c r="X82" s="29" t="str">
        <f t="shared" si="16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6"/>
        <v/>
      </c>
      <c r="M83" s="19" t="str">
        <f t="shared" si="7"/>
        <v/>
      </c>
      <c r="N83" s="19" t="str">
        <f t="shared" si="8"/>
        <v/>
      </c>
      <c r="O83" s="19" t="str">
        <f t="shared" si="9"/>
        <v/>
      </c>
      <c r="P83" s="19" t="str">
        <f t="shared" si="10"/>
        <v/>
      </c>
      <c r="Q83" s="19" t="str">
        <f t="shared" si="11"/>
        <v/>
      </c>
      <c r="R83" s="19" t="str">
        <f t="shared" si="15"/>
        <v/>
      </c>
      <c r="S83" s="27" t="str">
        <f t="shared" si="16"/>
        <v/>
      </c>
      <c r="T83" s="28" t="str">
        <f t="shared" si="16"/>
        <v/>
      </c>
      <c r="U83" s="28" t="str">
        <f t="shared" si="16"/>
        <v/>
      </c>
      <c r="V83" s="28" t="str">
        <f t="shared" si="16"/>
        <v/>
      </c>
      <c r="W83" s="28" t="str">
        <f t="shared" si="16"/>
        <v/>
      </c>
      <c r="X83" s="29" t="str">
        <f t="shared" si="16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6"/>
        <v/>
      </c>
      <c r="M84" s="19" t="str">
        <f t="shared" si="7"/>
        <v/>
      </c>
      <c r="N84" s="19" t="str">
        <f t="shared" si="8"/>
        <v/>
      </c>
      <c r="O84" s="19" t="str">
        <f t="shared" si="9"/>
        <v/>
      </c>
      <c r="P84" s="19" t="str">
        <f t="shared" si="10"/>
        <v/>
      </c>
      <c r="Q84" s="19" t="str">
        <f t="shared" si="11"/>
        <v/>
      </c>
      <c r="R84" s="19" t="str">
        <f t="shared" si="15"/>
        <v/>
      </c>
      <c r="S84" s="27" t="str">
        <f t="shared" si="16"/>
        <v/>
      </c>
      <c r="T84" s="28" t="str">
        <f t="shared" si="16"/>
        <v/>
      </c>
      <c r="U84" s="28" t="str">
        <f t="shared" si="16"/>
        <v/>
      </c>
      <c r="V84" s="28" t="str">
        <f t="shared" si="16"/>
        <v/>
      </c>
      <c r="W84" s="28" t="str">
        <f t="shared" si="16"/>
        <v/>
      </c>
      <c r="X84" s="29" t="str">
        <f t="shared" si="16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6"/>
        <v/>
      </c>
      <c r="M85" s="19" t="str">
        <f t="shared" si="7"/>
        <v/>
      </c>
      <c r="N85" s="19" t="str">
        <f t="shared" si="8"/>
        <v/>
      </c>
      <c r="O85" s="19" t="str">
        <f t="shared" si="9"/>
        <v/>
      </c>
      <c r="P85" s="19" t="str">
        <f t="shared" si="10"/>
        <v/>
      </c>
      <c r="Q85" s="19" t="str">
        <f t="shared" si="11"/>
        <v/>
      </c>
      <c r="R85" s="19" t="str">
        <f t="shared" si="15"/>
        <v/>
      </c>
      <c r="S85" s="27" t="str">
        <f t="shared" si="16"/>
        <v/>
      </c>
      <c r="T85" s="28" t="str">
        <f t="shared" si="16"/>
        <v/>
      </c>
      <c r="U85" s="28" t="str">
        <f t="shared" si="16"/>
        <v/>
      </c>
      <c r="V85" s="28" t="str">
        <f t="shared" si="16"/>
        <v/>
      </c>
      <c r="W85" s="28" t="str">
        <f t="shared" si="16"/>
        <v/>
      </c>
      <c r="X85" s="29" t="str">
        <f t="shared" si="16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6"/>
        <v/>
      </c>
      <c r="M86" s="19" t="str">
        <f t="shared" si="7"/>
        <v/>
      </c>
      <c r="N86" s="19" t="str">
        <f t="shared" si="8"/>
        <v/>
      </c>
      <c r="O86" s="19" t="str">
        <f t="shared" si="9"/>
        <v/>
      </c>
      <c r="P86" s="19" t="str">
        <f t="shared" si="10"/>
        <v/>
      </c>
      <c r="Q86" s="19" t="str">
        <f t="shared" si="11"/>
        <v/>
      </c>
      <c r="R86" s="19" t="str">
        <f t="shared" si="15"/>
        <v/>
      </c>
      <c r="S86" s="27" t="str">
        <f t="shared" si="16"/>
        <v/>
      </c>
      <c r="T86" s="28" t="str">
        <f t="shared" si="16"/>
        <v/>
      </c>
      <c r="U86" s="28" t="str">
        <f t="shared" si="16"/>
        <v/>
      </c>
      <c r="V86" s="28" t="str">
        <f t="shared" si="16"/>
        <v/>
      </c>
      <c r="W86" s="28" t="str">
        <f t="shared" si="16"/>
        <v/>
      </c>
      <c r="X86" s="29" t="str">
        <f t="shared" si="16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6"/>
        <v/>
      </c>
      <c r="M87" s="19" t="str">
        <f t="shared" si="7"/>
        <v/>
      </c>
      <c r="N87" s="19" t="str">
        <f t="shared" si="8"/>
        <v/>
      </c>
      <c r="O87" s="19" t="str">
        <f t="shared" si="9"/>
        <v/>
      </c>
      <c r="P87" s="19" t="str">
        <f t="shared" si="10"/>
        <v/>
      </c>
      <c r="Q87" s="19" t="str">
        <f t="shared" si="11"/>
        <v/>
      </c>
      <c r="R87" s="19" t="str">
        <f t="shared" si="15"/>
        <v/>
      </c>
      <c r="S87" s="27" t="str">
        <f t="shared" si="16"/>
        <v/>
      </c>
      <c r="T87" s="28" t="str">
        <f t="shared" si="16"/>
        <v/>
      </c>
      <c r="U87" s="28" t="str">
        <f t="shared" si="16"/>
        <v/>
      </c>
      <c r="V87" s="28" t="str">
        <f t="shared" si="16"/>
        <v/>
      </c>
      <c r="W87" s="28" t="str">
        <f t="shared" si="16"/>
        <v/>
      </c>
      <c r="X87" s="29" t="str">
        <f t="shared" si="16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6"/>
        <v/>
      </c>
      <c r="M88" s="19" t="str">
        <f t="shared" si="7"/>
        <v/>
      </c>
      <c r="N88" s="19" t="str">
        <f t="shared" si="8"/>
        <v/>
      </c>
      <c r="O88" s="19" t="str">
        <f t="shared" si="9"/>
        <v/>
      </c>
      <c r="P88" s="19" t="str">
        <f t="shared" si="10"/>
        <v/>
      </c>
      <c r="Q88" s="19" t="str">
        <f t="shared" si="11"/>
        <v/>
      </c>
      <c r="R88" s="19" t="str">
        <f t="shared" si="15"/>
        <v/>
      </c>
      <c r="S88" s="27" t="str">
        <f t="shared" si="16"/>
        <v/>
      </c>
      <c r="T88" s="28" t="str">
        <f t="shared" si="16"/>
        <v/>
      </c>
      <c r="U88" s="28" t="str">
        <f t="shared" si="16"/>
        <v/>
      </c>
      <c r="V88" s="28" t="str">
        <f t="shared" si="16"/>
        <v/>
      </c>
      <c r="W88" s="28" t="str">
        <f t="shared" si="16"/>
        <v/>
      </c>
      <c r="X88" s="29" t="str">
        <f t="shared" si="16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6"/>
        <v/>
      </c>
      <c r="M89" s="19" t="str">
        <f t="shared" si="7"/>
        <v/>
      </c>
      <c r="N89" s="19" t="str">
        <f t="shared" si="8"/>
        <v/>
      </c>
      <c r="O89" s="19" t="str">
        <f t="shared" si="9"/>
        <v/>
      </c>
      <c r="P89" s="19" t="str">
        <f t="shared" si="10"/>
        <v/>
      </c>
      <c r="Q89" s="19" t="str">
        <f t="shared" si="11"/>
        <v/>
      </c>
      <c r="R89" s="19" t="str">
        <f t="shared" si="15"/>
        <v/>
      </c>
      <c r="S89" s="27" t="str">
        <f t="shared" si="16"/>
        <v/>
      </c>
      <c r="T89" s="28" t="str">
        <f t="shared" si="16"/>
        <v/>
      </c>
      <c r="U89" s="28" t="str">
        <f t="shared" si="16"/>
        <v/>
      </c>
      <c r="V89" s="28" t="str">
        <f t="shared" si="16"/>
        <v/>
      </c>
      <c r="W89" s="28" t="str">
        <f t="shared" si="16"/>
        <v/>
      </c>
      <c r="X89" s="29" t="str">
        <f t="shared" si="16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6"/>
        <v/>
      </c>
      <c r="M90" s="19" t="str">
        <f t="shared" si="7"/>
        <v/>
      </c>
      <c r="N90" s="19" t="str">
        <f t="shared" si="8"/>
        <v/>
      </c>
      <c r="O90" s="19" t="str">
        <f t="shared" si="9"/>
        <v/>
      </c>
      <c r="P90" s="19" t="str">
        <f t="shared" si="10"/>
        <v/>
      </c>
      <c r="Q90" s="19" t="str">
        <f t="shared" si="11"/>
        <v/>
      </c>
      <c r="R90" s="19" t="str">
        <f t="shared" si="15"/>
        <v/>
      </c>
      <c r="S90" s="27" t="str">
        <f t="shared" si="16"/>
        <v/>
      </c>
      <c r="T90" s="28" t="str">
        <f t="shared" si="16"/>
        <v/>
      </c>
      <c r="U90" s="28" t="str">
        <f t="shared" si="16"/>
        <v/>
      </c>
      <c r="V90" s="28" t="str">
        <f t="shared" si="16"/>
        <v/>
      </c>
      <c r="W90" s="28" t="str">
        <f t="shared" si="16"/>
        <v/>
      </c>
      <c r="X90" s="29" t="str">
        <f t="shared" si="16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6"/>
        <v/>
      </c>
      <c r="M91" s="19" t="str">
        <f t="shared" si="7"/>
        <v/>
      </c>
      <c r="N91" s="19" t="str">
        <f t="shared" si="8"/>
        <v/>
      </c>
      <c r="O91" s="19" t="str">
        <f t="shared" si="9"/>
        <v/>
      </c>
      <c r="P91" s="19" t="str">
        <f t="shared" si="10"/>
        <v/>
      </c>
      <c r="Q91" s="19" t="str">
        <f t="shared" si="11"/>
        <v/>
      </c>
      <c r="R91" s="19" t="str">
        <f t="shared" si="15"/>
        <v/>
      </c>
      <c r="S91" s="27" t="str">
        <f t="shared" si="16"/>
        <v/>
      </c>
      <c r="T91" s="28" t="str">
        <f t="shared" si="16"/>
        <v/>
      </c>
      <c r="U91" s="28" t="str">
        <f t="shared" si="16"/>
        <v/>
      </c>
      <c r="V91" s="28" t="str">
        <f t="shared" si="16"/>
        <v/>
      </c>
      <c r="W91" s="28" t="str">
        <f t="shared" si="16"/>
        <v/>
      </c>
      <c r="X91" s="29" t="str">
        <f t="shared" si="16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6"/>
        <v/>
      </c>
      <c r="M92" s="19" t="str">
        <f t="shared" si="7"/>
        <v/>
      </c>
      <c r="N92" s="19" t="str">
        <f t="shared" si="8"/>
        <v/>
      </c>
      <c r="O92" s="19" t="str">
        <f t="shared" si="9"/>
        <v/>
      </c>
      <c r="P92" s="19" t="str">
        <f t="shared" si="10"/>
        <v/>
      </c>
      <c r="Q92" s="19" t="str">
        <f t="shared" si="11"/>
        <v/>
      </c>
      <c r="R92" s="19" t="str">
        <f t="shared" si="15"/>
        <v/>
      </c>
      <c r="S92" s="27" t="str">
        <f t="shared" si="16"/>
        <v/>
      </c>
      <c r="T92" s="28" t="str">
        <f t="shared" si="16"/>
        <v/>
      </c>
      <c r="U92" s="28" t="str">
        <f t="shared" si="16"/>
        <v/>
      </c>
      <c r="V92" s="28" t="str">
        <f t="shared" si="16"/>
        <v/>
      </c>
      <c r="W92" s="28" t="str">
        <f t="shared" si="16"/>
        <v/>
      </c>
      <c r="X92" s="29" t="str">
        <f t="shared" si="16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6"/>
        <v/>
      </c>
      <c r="M93" s="19" t="str">
        <f t="shared" si="7"/>
        <v/>
      </c>
      <c r="N93" s="19" t="str">
        <f t="shared" si="8"/>
        <v/>
      </c>
      <c r="O93" s="19" t="str">
        <f t="shared" si="9"/>
        <v/>
      </c>
      <c r="P93" s="19" t="str">
        <f t="shared" si="10"/>
        <v/>
      </c>
      <c r="Q93" s="19" t="str">
        <f t="shared" si="11"/>
        <v/>
      </c>
      <c r="R93" s="19" t="str">
        <f t="shared" si="15"/>
        <v/>
      </c>
      <c r="S93" s="27" t="str">
        <f t="shared" si="16"/>
        <v/>
      </c>
      <c r="T93" s="28" t="str">
        <f t="shared" si="16"/>
        <v/>
      </c>
      <c r="U93" s="28" t="str">
        <f t="shared" si="16"/>
        <v/>
      </c>
      <c r="V93" s="28" t="str">
        <f t="shared" si="16"/>
        <v/>
      </c>
      <c r="W93" s="28" t="str">
        <f t="shared" si="16"/>
        <v/>
      </c>
      <c r="X93" s="29" t="str">
        <f t="shared" si="16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6"/>
        <v/>
      </c>
      <c r="M94" s="19" t="str">
        <f t="shared" si="7"/>
        <v/>
      </c>
      <c r="N94" s="19" t="str">
        <f t="shared" si="8"/>
        <v/>
      </c>
      <c r="O94" s="19" t="str">
        <f t="shared" si="9"/>
        <v/>
      </c>
      <c r="P94" s="19" t="str">
        <f t="shared" si="10"/>
        <v/>
      </c>
      <c r="Q94" s="19" t="str">
        <f t="shared" si="11"/>
        <v/>
      </c>
      <c r="R94" s="19" t="str">
        <f t="shared" si="15"/>
        <v/>
      </c>
      <c r="S94" s="27" t="str">
        <f t="shared" si="16"/>
        <v/>
      </c>
      <c r="T94" s="28" t="str">
        <f t="shared" si="16"/>
        <v/>
      </c>
      <c r="U94" s="28" t="str">
        <f t="shared" si="16"/>
        <v/>
      </c>
      <c r="V94" s="28" t="str">
        <f t="shared" si="16"/>
        <v/>
      </c>
      <c r="W94" s="28" t="str">
        <f t="shared" si="16"/>
        <v/>
      </c>
      <c r="X94" s="29" t="str">
        <f t="shared" si="16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6"/>
        <v/>
      </c>
      <c r="M95" s="19" t="str">
        <f t="shared" si="7"/>
        <v/>
      </c>
      <c r="N95" s="19" t="str">
        <f t="shared" si="8"/>
        <v/>
      </c>
      <c r="O95" s="19" t="str">
        <f t="shared" si="9"/>
        <v/>
      </c>
      <c r="P95" s="19" t="str">
        <f t="shared" si="10"/>
        <v/>
      </c>
      <c r="Q95" s="19" t="str">
        <f t="shared" si="11"/>
        <v/>
      </c>
      <c r="R95" s="19" t="str">
        <f t="shared" si="15"/>
        <v/>
      </c>
      <c r="S95" s="27" t="str">
        <f t="shared" si="16"/>
        <v/>
      </c>
      <c r="T95" s="28" t="str">
        <f t="shared" si="16"/>
        <v/>
      </c>
      <c r="U95" s="28" t="str">
        <f t="shared" si="16"/>
        <v/>
      </c>
      <c r="V95" s="28" t="str">
        <f t="shared" si="16"/>
        <v/>
      </c>
      <c r="W95" s="28" t="str">
        <f t="shared" si="16"/>
        <v/>
      </c>
      <c r="X95" s="29" t="str">
        <f t="shared" si="16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6"/>
        <v/>
      </c>
      <c r="M96" s="19" t="str">
        <f t="shared" si="7"/>
        <v/>
      </c>
      <c r="N96" s="19" t="str">
        <f t="shared" si="8"/>
        <v/>
      </c>
      <c r="O96" s="19" t="str">
        <f t="shared" si="9"/>
        <v/>
      </c>
      <c r="P96" s="19" t="str">
        <f t="shared" si="10"/>
        <v/>
      </c>
      <c r="Q96" s="19" t="str">
        <f t="shared" si="11"/>
        <v/>
      </c>
      <c r="R96" s="19" t="str">
        <f t="shared" si="15"/>
        <v/>
      </c>
      <c r="S96" s="27" t="str">
        <f t="shared" si="16"/>
        <v/>
      </c>
      <c r="T96" s="28" t="str">
        <f t="shared" si="16"/>
        <v/>
      </c>
      <c r="U96" s="28" t="str">
        <f t="shared" si="16"/>
        <v/>
      </c>
      <c r="V96" s="28" t="str">
        <f t="shared" si="16"/>
        <v/>
      </c>
      <c r="W96" s="28" t="str">
        <f t="shared" si="16"/>
        <v/>
      </c>
      <c r="X96" s="29" t="str">
        <f t="shared" si="16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ref="L97:L153" si="17">IF(ISBLANK(C97),"",(C97-C$32)*1000)</f>
        <v/>
      </c>
      <c r="M97" s="19" t="str">
        <f t="shared" ref="M97:M153" si="18">IF(ISBLANK(D97),"",(D97-D$32)*1000)</f>
        <v/>
      </c>
      <c r="N97" s="19" t="str">
        <f t="shared" ref="N97:N153" si="19">IF(ISBLANK(E97),"",(E97-E$32)*1000)</f>
        <v/>
      </c>
      <c r="O97" s="19" t="str">
        <f t="shared" ref="O97:O153" si="20">IF(ISBLANK(F97),"",(F97-F$32)*1000)</f>
        <v/>
      </c>
      <c r="P97" s="19" t="str">
        <f t="shared" ref="P97:P153" si="21">IF(ISBLANK(G97),"",(G97-G$32)*1000)</f>
        <v/>
      </c>
      <c r="Q97" s="19" t="str">
        <f t="shared" ref="Q97:Q153" si="22">IF(ISBLANK(H97),"",(H97-H$32)*1000)</f>
        <v/>
      </c>
      <c r="R97" s="19" t="str">
        <f t="shared" si="15"/>
        <v/>
      </c>
      <c r="S97" s="27" t="str">
        <f t="shared" ref="S97:X112" si="23">IF(C97="","",((C97-C96)*1000)/($B97-$B96))</f>
        <v/>
      </c>
      <c r="T97" s="28" t="str">
        <f t="shared" si="23"/>
        <v/>
      </c>
      <c r="U97" s="28" t="str">
        <f t="shared" si="23"/>
        <v/>
      </c>
      <c r="V97" s="28" t="str">
        <f t="shared" si="23"/>
        <v/>
      </c>
      <c r="W97" s="28" t="str">
        <f t="shared" si="23"/>
        <v/>
      </c>
      <c r="X97" s="29" t="str">
        <f t="shared" si="2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7"/>
        <v/>
      </c>
      <c r="M98" s="19" t="str">
        <f t="shared" si="18"/>
        <v/>
      </c>
      <c r="N98" s="19" t="str">
        <f t="shared" si="19"/>
        <v/>
      </c>
      <c r="O98" s="19" t="str">
        <f t="shared" si="20"/>
        <v/>
      </c>
      <c r="P98" s="19" t="str">
        <f t="shared" si="21"/>
        <v/>
      </c>
      <c r="Q98" s="19" t="str">
        <f t="shared" si="22"/>
        <v/>
      </c>
      <c r="R98" s="19" t="str">
        <f t="shared" si="15"/>
        <v/>
      </c>
      <c r="S98" s="27" t="str">
        <f t="shared" si="23"/>
        <v/>
      </c>
      <c r="T98" s="28" t="str">
        <f t="shared" si="23"/>
        <v/>
      </c>
      <c r="U98" s="28" t="str">
        <f t="shared" si="23"/>
        <v/>
      </c>
      <c r="V98" s="28" t="str">
        <f t="shared" si="23"/>
        <v/>
      </c>
      <c r="W98" s="28" t="str">
        <f t="shared" si="23"/>
        <v/>
      </c>
      <c r="X98" s="29" t="str">
        <f t="shared" si="2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7"/>
        <v/>
      </c>
      <c r="M99" s="19" t="str">
        <f t="shared" si="18"/>
        <v/>
      </c>
      <c r="N99" s="19" t="str">
        <f t="shared" si="19"/>
        <v/>
      </c>
      <c r="O99" s="19" t="str">
        <f t="shared" si="20"/>
        <v/>
      </c>
      <c r="P99" s="19" t="str">
        <f t="shared" si="21"/>
        <v/>
      </c>
      <c r="Q99" s="19" t="str">
        <f t="shared" si="22"/>
        <v/>
      </c>
      <c r="R99" s="19" t="str">
        <f t="shared" si="15"/>
        <v/>
      </c>
      <c r="S99" s="27" t="str">
        <f t="shared" si="23"/>
        <v/>
      </c>
      <c r="T99" s="28" t="str">
        <f t="shared" si="23"/>
        <v/>
      </c>
      <c r="U99" s="28" t="str">
        <f t="shared" si="23"/>
        <v/>
      </c>
      <c r="V99" s="28" t="str">
        <f t="shared" si="23"/>
        <v/>
      </c>
      <c r="W99" s="28" t="str">
        <f t="shared" si="23"/>
        <v/>
      </c>
      <c r="X99" s="29" t="str">
        <f t="shared" si="2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7"/>
        <v/>
      </c>
      <c r="M100" s="19" t="str">
        <f t="shared" si="18"/>
        <v/>
      </c>
      <c r="N100" s="19" t="str">
        <f t="shared" si="19"/>
        <v/>
      </c>
      <c r="O100" s="19" t="str">
        <f t="shared" si="20"/>
        <v/>
      </c>
      <c r="P100" s="19" t="str">
        <f t="shared" si="21"/>
        <v/>
      </c>
      <c r="Q100" s="19" t="str">
        <f t="shared" si="22"/>
        <v/>
      </c>
      <c r="R100" s="19" t="str">
        <f t="shared" si="15"/>
        <v/>
      </c>
      <c r="S100" s="27" t="str">
        <f t="shared" si="23"/>
        <v/>
      </c>
      <c r="T100" s="28" t="str">
        <f t="shared" si="23"/>
        <v/>
      </c>
      <c r="U100" s="28" t="str">
        <f t="shared" si="23"/>
        <v/>
      </c>
      <c r="V100" s="28" t="str">
        <f t="shared" si="23"/>
        <v/>
      </c>
      <c r="W100" s="28" t="str">
        <f t="shared" si="23"/>
        <v/>
      </c>
      <c r="X100" s="29" t="str">
        <f t="shared" si="2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7"/>
        <v/>
      </c>
      <c r="M101" s="19" t="str">
        <f t="shared" si="18"/>
        <v/>
      </c>
      <c r="N101" s="19" t="str">
        <f t="shared" si="19"/>
        <v/>
      </c>
      <c r="O101" s="19" t="str">
        <f t="shared" si="20"/>
        <v/>
      </c>
      <c r="P101" s="19" t="str">
        <f t="shared" si="21"/>
        <v/>
      </c>
      <c r="Q101" s="19" t="str">
        <f t="shared" si="22"/>
        <v/>
      </c>
      <c r="R101" s="19" t="str">
        <f t="shared" si="15"/>
        <v/>
      </c>
      <c r="S101" s="27" t="str">
        <f t="shared" si="23"/>
        <v/>
      </c>
      <c r="T101" s="28" t="str">
        <f t="shared" si="23"/>
        <v/>
      </c>
      <c r="U101" s="28" t="str">
        <f t="shared" si="23"/>
        <v/>
      </c>
      <c r="V101" s="28" t="str">
        <f t="shared" si="23"/>
        <v/>
      </c>
      <c r="W101" s="28" t="str">
        <f t="shared" si="23"/>
        <v/>
      </c>
      <c r="X101" s="29" t="str">
        <f t="shared" si="2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7"/>
        <v/>
      </c>
      <c r="M102" s="19" t="str">
        <f t="shared" si="18"/>
        <v/>
      </c>
      <c r="N102" s="19" t="str">
        <f t="shared" si="19"/>
        <v/>
      </c>
      <c r="O102" s="19" t="str">
        <f t="shared" si="20"/>
        <v/>
      </c>
      <c r="P102" s="19" t="str">
        <f t="shared" si="21"/>
        <v/>
      </c>
      <c r="Q102" s="19" t="str">
        <f t="shared" si="22"/>
        <v/>
      </c>
      <c r="R102" s="19" t="str">
        <f t="shared" si="15"/>
        <v/>
      </c>
      <c r="S102" s="27" t="str">
        <f t="shared" si="23"/>
        <v/>
      </c>
      <c r="T102" s="28" t="str">
        <f t="shared" si="23"/>
        <v/>
      </c>
      <c r="U102" s="28" t="str">
        <f t="shared" si="23"/>
        <v/>
      </c>
      <c r="V102" s="28" t="str">
        <f t="shared" si="23"/>
        <v/>
      </c>
      <c r="W102" s="28" t="str">
        <f t="shared" si="23"/>
        <v/>
      </c>
      <c r="X102" s="29" t="str">
        <f t="shared" si="2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7"/>
        <v/>
      </c>
      <c r="M103" s="19" t="str">
        <f t="shared" si="18"/>
        <v/>
      </c>
      <c r="N103" s="19" t="str">
        <f t="shared" si="19"/>
        <v/>
      </c>
      <c r="O103" s="19" t="str">
        <f t="shared" si="20"/>
        <v/>
      </c>
      <c r="P103" s="19" t="str">
        <f t="shared" si="21"/>
        <v/>
      </c>
      <c r="Q103" s="19" t="str">
        <f t="shared" si="22"/>
        <v/>
      </c>
      <c r="R103" s="19" t="str">
        <f t="shared" si="15"/>
        <v/>
      </c>
      <c r="S103" s="27" t="str">
        <f t="shared" si="23"/>
        <v/>
      </c>
      <c r="T103" s="28" t="str">
        <f t="shared" si="23"/>
        <v/>
      </c>
      <c r="U103" s="28" t="str">
        <f t="shared" si="23"/>
        <v/>
      </c>
      <c r="V103" s="28" t="str">
        <f t="shared" si="23"/>
        <v/>
      </c>
      <c r="W103" s="28" t="str">
        <f t="shared" si="23"/>
        <v/>
      </c>
      <c r="X103" s="29" t="str">
        <f t="shared" si="2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7"/>
        <v/>
      </c>
      <c r="M104" s="19" t="str">
        <f t="shared" si="18"/>
        <v/>
      </c>
      <c r="N104" s="19" t="str">
        <f t="shared" si="19"/>
        <v/>
      </c>
      <c r="O104" s="19" t="str">
        <f t="shared" si="20"/>
        <v/>
      </c>
      <c r="P104" s="19" t="str">
        <f t="shared" si="21"/>
        <v/>
      </c>
      <c r="Q104" s="19" t="str">
        <f t="shared" si="22"/>
        <v/>
      </c>
      <c r="R104" s="19" t="str">
        <f t="shared" si="15"/>
        <v/>
      </c>
      <c r="S104" s="27" t="str">
        <f t="shared" si="23"/>
        <v/>
      </c>
      <c r="T104" s="28" t="str">
        <f t="shared" si="23"/>
        <v/>
      </c>
      <c r="U104" s="28" t="str">
        <f t="shared" si="23"/>
        <v/>
      </c>
      <c r="V104" s="28" t="str">
        <f t="shared" si="23"/>
        <v/>
      </c>
      <c r="W104" s="28" t="str">
        <f t="shared" si="23"/>
        <v/>
      </c>
      <c r="X104" s="29" t="str">
        <f t="shared" si="2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7"/>
        <v/>
      </c>
      <c r="M105" s="19" t="str">
        <f t="shared" si="18"/>
        <v/>
      </c>
      <c r="N105" s="19" t="str">
        <f t="shared" si="19"/>
        <v/>
      </c>
      <c r="O105" s="19" t="str">
        <f t="shared" si="20"/>
        <v/>
      </c>
      <c r="P105" s="19" t="str">
        <f t="shared" si="21"/>
        <v/>
      </c>
      <c r="Q105" s="19" t="str">
        <f t="shared" si="22"/>
        <v/>
      </c>
      <c r="R105" s="19" t="str">
        <f t="shared" si="15"/>
        <v/>
      </c>
      <c r="S105" s="27" t="str">
        <f t="shared" si="23"/>
        <v/>
      </c>
      <c r="T105" s="28" t="str">
        <f t="shared" si="23"/>
        <v/>
      </c>
      <c r="U105" s="28" t="str">
        <f t="shared" si="23"/>
        <v/>
      </c>
      <c r="V105" s="28" t="str">
        <f t="shared" si="23"/>
        <v/>
      </c>
      <c r="W105" s="28" t="str">
        <f t="shared" si="23"/>
        <v/>
      </c>
      <c r="X105" s="29" t="str">
        <f t="shared" si="2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7"/>
        <v/>
      </c>
      <c r="M106" s="19" t="str">
        <f t="shared" si="18"/>
        <v/>
      </c>
      <c r="N106" s="19" t="str">
        <f t="shared" si="19"/>
        <v/>
      </c>
      <c r="O106" s="19" t="str">
        <f t="shared" si="20"/>
        <v/>
      </c>
      <c r="P106" s="19" t="str">
        <f t="shared" si="21"/>
        <v/>
      </c>
      <c r="Q106" s="19" t="str">
        <f t="shared" si="22"/>
        <v/>
      </c>
      <c r="R106" s="19" t="str">
        <f t="shared" si="15"/>
        <v/>
      </c>
      <c r="S106" s="27" t="str">
        <f t="shared" si="23"/>
        <v/>
      </c>
      <c r="T106" s="28" t="str">
        <f t="shared" si="23"/>
        <v/>
      </c>
      <c r="U106" s="28" t="str">
        <f t="shared" si="23"/>
        <v/>
      </c>
      <c r="V106" s="28" t="str">
        <f t="shared" si="23"/>
        <v/>
      </c>
      <c r="W106" s="28" t="str">
        <f t="shared" si="23"/>
        <v/>
      </c>
      <c r="X106" s="29" t="str">
        <f t="shared" si="2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7"/>
        <v/>
      </c>
      <c r="M107" s="19" t="str">
        <f t="shared" si="18"/>
        <v/>
      </c>
      <c r="N107" s="19" t="str">
        <f t="shared" si="19"/>
        <v/>
      </c>
      <c r="O107" s="19" t="str">
        <f t="shared" si="20"/>
        <v/>
      </c>
      <c r="P107" s="19" t="str">
        <f t="shared" si="21"/>
        <v/>
      </c>
      <c r="Q107" s="19" t="str">
        <f t="shared" si="22"/>
        <v/>
      </c>
      <c r="R107" s="19" t="str">
        <f t="shared" si="15"/>
        <v/>
      </c>
      <c r="S107" s="27" t="str">
        <f t="shared" si="23"/>
        <v/>
      </c>
      <c r="T107" s="28" t="str">
        <f t="shared" si="23"/>
        <v/>
      </c>
      <c r="U107" s="28" t="str">
        <f t="shared" si="23"/>
        <v/>
      </c>
      <c r="V107" s="28" t="str">
        <f t="shared" si="23"/>
        <v/>
      </c>
      <c r="W107" s="28" t="str">
        <f t="shared" si="23"/>
        <v/>
      </c>
      <c r="X107" s="29" t="str">
        <f t="shared" si="2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7"/>
        <v/>
      </c>
      <c r="M108" s="19" t="str">
        <f t="shared" si="18"/>
        <v/>
      </c>
      <c r="N108" s="19" t="str">
        <f t="shared" si="19"/>
        <v/>
      </c>
      <c r="O108" s="19" t="str">
        <f t="shared" si="20"/>
        <v/>
      </c>
      <c r="P108" s="19" t="str">
        <f t="shared" si="21"/>
        <v/>
      </c>
      <c r="Q108" s="19" t="str">
        <f t="shared" si="22"/>
        <v/>
      </c>
      <c r="R108" s="19" t="str">
        <f t="shared" si="15"/>
        <v/>
      </c>
      <c r="S108" s="27" t="str">
        <f t="shared" si="23"/>
        <v/>
      </c>
      <c r="T108" s="28" t="str">
        <f t="shared" si="23"/>
        <v/>
      </c>
      <c r="U108" s="28" t="str">
        <f t="shared" si="23"/>
        <v/>
      </c>
      <c r="V108" s="28" t="str">
        <f t="shared" si="23"/>
        <v/>
      </c>
      <c r="W108" s="28" t="str">
        <f t="shared" si="23"/>
        <v/>
      </c>
      <c r="X108" s="29" t="str">
        <f t="shared" si="2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7"/>
        <v/>
      </c>
      <c r="M109" s="19" t="str">
        <f t="shared" si="18"/>
        <v/>
      </c>
      <c r="N109" s="19" t="str">
        <f t="shared" si="19"/>
        <v/>
      </c>
      <c r="O109" s="19" t="str">
        <f t="shared" si="20"/>
        <v/>
      </c>
      <c r="P109" s="19" t="str">
        <f t="shared" si="21"/>
        <v/>
      </c>
      <c r="Q109" s="19" t="str">
        <f t="shared" si="22"/>
        <v/>
      </c>
      <c r="R109" s="19" t="str">
        <f t="shared" si="15"/>
        <v/>
      </c>
      <c r="S109" s="27" t="str">
        <f t="shared" si="23"/>
        <v/>
      </c>
      <c r="T109" s="28" t="str">
        <f t="shared" si="23"/>
        <v/>
      </c>
      <c r="U109" s="28" t="str">
        <f t="shared" si="23"/>
        <v/>
      </c>
      <c r="V109" s="28" t="str">
        <f t="shared" si="23"/>
        <v/>
      </c>
      <c r="W109" s="28" t="str">
        <f t="shared" si="23"/>
        <v/>
      </c>
      <c r="X109" s="29" t="str">
        <f t="shared" si="2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7"/>
        <v/>
      </c>
      <c r="M110" s="19" t="str">
        <f t="shared" si="18"/>
        <v/>
      </c>
      <c r="N110" s="19" t="str">
        <f t="shared" si="19"/>
        <v/>
      </c>
      <c r="O110" s="19" t="str">
        <f t="shared" si="20"/>
        <v/>
      </c>
      <c r="P110" s="19" t="str">
        <f t="shared" si="21"/>
        <v/>
      </c>
      <c r="Q110" s="19" t="str">
        <f t="shared" si="22"/>
        <v/>
      </c>
      <c r="R110" s="19" t="str">
        <f t="shared" si="15"/>
        <v/>
      </c>
      <c r="S110" s="27" t="str">
        <f t="shared" si="23"/>
        <v/>
      </c>
      <c r="T110" s="28" t="str">
        <f t="shared" si="23"/>
        <v/>
      </c>
      <c r="U110" s="28" t="str">
        <f t="shared" si="23"/>
        <v/>
      </c>
      <c r="V110" s="28" t="str">
        <f t="shared" si="23"/>
        <v/>
      </c>
      <c r="W110" s="28" t="str">
        <f t="shared" si="23"/>
        <v/>
      </c>
      <c r="X110" s="29" t="str">
        <f t="shared" si="2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7"/>
        <v/>
      </c>
      <c r="M111" s="19" t="str">
        <f t="shared" si="18"/>
        <v/>
      </c>
      <c r="N111" s="19" t="str">
        <f t="shared" si="19"/>
        <v/>
      </c>
      <c r="O111" s="19" t="str">
        <f t="shared" si="20"/>
        <v/>
      </c>
      <c r="P111" s="19" t="str">
        <f t="shared" si="21"/>
        <v/>
      </c>
      <c r="Q111" s="19" t="str">
        <f t="shared" si="22"/>
        <v/>
      </c>
      <c r="R111" s="19" t="str">
        <f t="shared" si="15"/>
        <v/>
      </c>
      <c r="S111" s="27" t="str">
        <f t="shared" si="23"/>
        <v/>
      </c>
      <c r="T111" s="28" t="str">
        <f t="shared" si="23"/>
        <v/>
      </c>
      <c r="U111" s="28" t="str">
        <f t="shared" si="23"/>
        <v/>
      </c>
      <c r="V111" s="28" t="str">
        <f t="shared" si="23"/>
        <v/>
      </c>
      <c r="W111" s="28" t="str">
        <f t="shared" si="23"/>
        <v/>
      </c>
      <c r="X111" s="29" t="str">
        <f t="shared" si="2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7"/>
        <v/>
      </c>
      <c r="M112" s="19" t="str">
        <f t="shared" si="18"/>
        <v/>
      </c>
      <c r="N112" s="19" t="str">
        <f t="shared" si="19"/>
        <v/>
      </c>
      <c r="O112" s="19" t="str">
        <f t="shared" si="20"/>
        <v/>
      </c>
      <c r="P112" s="19" t="str">
        <f t="shared" si="21"/>
        <v/>
      </c>
      <c r="Q112" s="19" t="str">
        <f t="shared" si="22"/>
        <v/>
      </c>
      <c r="R112" s="19" t="str">
        <f t="shared" ref="R112:R143" si="24">IF(ISBLANK(I112),"",(I112-I$16)*1000)</f>
        <v/>
      </c>
      <c r="S112" s="27" t="str">
        <f t="shared" si="23"/>
        <v/>
      </c>
      <c r="T112" s="28" t="str">
        <f t="shared" si="23"/>
        <v/>
      </c>
      <c r="U112" s="28" t="str">
        <f t="shared" si="23"/>
        <v/>
      </c>
      <c r="V112" s="28" t="str">
        <f t="shared" si="23"/>
        <v/>
      </c>
      <c r="W112" s="28" t="str">
        <f t="shared" si="23"/>
        <v/>
      </c>
      <c r="X112" s="29" t="str">
        <f t="shared" si="2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7"/>
        <v/>
      </c>
      <c r="M113" s="19" t="str">
        <f t="shared" si="18"/>
        <v/>
      </c>
      <c r="N113" s="19" t="str">
        <f t="shared" si="19"/>
        <v/>
      </c>
      <c r="O113" s="19" t="str">
        <f t="shared" si="20"/>
        <v/>
      </c>
      <c r="P113" s="19" t="str">
        <f t="shared" si="21"/>
        <v/>
      </c>
      <c r="Q113" s="19" t="str">
        <f t="shared" si="22"/>
        <v/>
      </c>
      <c r="R113" s="19" t="str">
        <f t="shared" si="24"/>
        <v/>
      </c>
      <c r="S113" s="27" t="str">
        <f t="shared" ref="S113:X128" si="25">IF(C113="","",((C113-C112)*1000)/($B113-$B112))</f>
        <v/>
      </c>
      <c r="T113" s="28" t="str">
        <f t="shared" si="25"/>
        <v/>
      </c>
      <c r="U113" s="28" t="str">
        <f t="shared" si="25"/>
        <v/>
      </c>
      <c r="V113" s="28" t="str">
        <f t="shared" si="25"/>
        <v/>
      </c>
      <c r="W113" s="28" t="str">
        <f t="shared" si="25"/>
        <v/>
      </c>
      <c r="X113" s="29" t="str">
        <f t="shared" si="25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7"/>
        <v/>
      </c>
      <c r="M114" s="19" t="str">
        <f t="shared" si="18"/>
        <v/>
      </c>
      <c r="N114" s="19" t="str">
        <f t="shared" si="19"/>
        <v/>
      </c>
      <c r="O114" s="19" t="str">
        <f t="shared" si="20"/>
        <v/>
      </c>
      <c r="P114" s="19" t="str">
        <f t="shared" si="21"/>
        <v/>
      </c>
      <c r="Q114" s="19" t="str">
        <f t="shared" si="22"/>
        <v/>
      </c>
      <c r="R114" s="19" t="str">
        <f t="shared" si="24"/>
        <v/>
      </c>
      <c r="S114" s="27" t="str">
        <f t="shared" si="25"/>
        <v/>
      </c>
      <c r="T114" s="28" t="str">
        <f t="shared" si="25"/>
        <v/>
      </c>
      <c r="U114" s="28" t="str">
        <f t="shared" si="25"/>
        <v/>
      </c>
      <c r="V114" s="28" t="str">
        <f t="shared" si="25"/>
        <v/>
      </c>
      <c r="W114" s="28" t="str">
        <f t="shared" si="25"/>
        <v/>
      </c>
      <c r="X114" s="29" t="str">
        <f t="shared" si="25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7"/>
        <v/>
      </c>
      <c r="M115" s="19" t="str">
        <f t="shared" si="18"/>
        <v/>
      </c>
      <c r="N115" s="19" t="str">
        <f t="shared" si="19"/>
        <v/>
      </c>
      <c r="O115" s="19" t="str">
        <f t="shared" si="20"/>
        <v/>
      </c>
      <c r="P115" s="19" t="str">
        <f t="shared" si="21"/>
        <v/>
      </c>
      <c r="Q115" s="19" t="str">
        <f t="shared" si="22"/>
        <v/>
      </c>
      <c r="R115" s="19" t="str">
        <f t="shared" si="24"/>
        <v/>
      </c>
      <c r="S115" s="27" t="str">
        <f t="shared" si="25"/>
        <v/>
      </c>
      <c r="T115" s="28" t="str">
        <f t="shared" si="25"/>
        <v/>
      </c>
      <c r="U115" s="28" t="str">
        <f t="shared" si="25"/>
        <v/>
      </c>
      <c r="V115" s="28" t="str">
        <f t="shared" si="25"/>
        <v/>
      </c>
      <c r="W115" s="28" t="str">
        <f t="shared" si="25"/>
        <v/>
      </c>
      <c r="X115" s="29" t="str">
        <f t="shared" si="25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7"/>
        <v/>
      </c>
      <c r="M116" s="19" t="str">
        <f t="shared" si="18"/>
        <v/>
      </c>
      <c r="N116" s="19" t="str">
        <f t="shared" si="19"/>
        <v/>
      </c>
      <c r="O116" s="19" t="str">
        <f t="shared" si="20"/>
        <v/>
      </c>
      <c r="P116" s="19" t="str">
        <f t="shared" si="21"/>
        <v/>
      </c>
      <c r="Q116" s="19" t="str">
        <f t="shared" si="22"/>
        <v/>
      </c>
      <c r="R116" s="19" t="str">
        <f t="shared" si="24"/>
        <v/>
      </c>
      <c r="S116" s="27" t="str">
        <f t="shared" si="25"/>
        <v/>
      </c>
      <c r="T116" s="28" t="str">
        <f t="shared" si="25"/>
        <v/>
      </c>
      <c r="U116" s="28" t="str">
        <f t="shared" si="25"/>
        <v/>
      </c>
      <c r="V116" s="28" t="str">
        <f t="shared" si="25"/>
        <v/>
      </c>
      <c r="W116" s="28" t="str">
        <f t="shared" si="25"/>
        <v/>
      </c>
      <c r="X116" s="29" t="str">
        <f t="shared" si="25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7"/>
        <v/>
      </c>
      <c r="M117" s="19" t="str">
        <f t="shared" si="18"/>
        <v/>
      </c>
      <c r="N117" s="19" t="str">
        <f t="shared" si="19"/>
        <v/>
      </c>
      <c r="O117" s="19" t="str">
        <f t="shared" si="20"/>
        <v/>
      </c>
      <c r="P117" s="19" t="str">
        <f t="shared" si="21"/>
        <v/>
      </c>
      <c r="Q117" s="19" t="str">
        <f t="shared" si="22"/>
        <v/>
      </c>
      <c r="R117" s="19" t="str">
        <f t="shared" si="24"/>
        <v/>
      </c>
      <c r="S117" s="27" t="str">
        <f t="shared" si="25"/>
        <v/>
      </c>
      <c r="T117" s="28" t="str">
        <f t="shared" si="25"/>
        <v/>
      </c>
      <c r="U117" s="28" t="str">
        <f t="shared" si="25"/>
        <v/>
      </c>
      <c r="V117" s="28" t="str">
        <f t="shared" si="25"/>
        <v/>
      </c>
      <c r="W117" s="28" t="str">
        <f t="shared" si="25"/>
        <v/>
      </c>
      <c r="X117" s="29" t="str">
        <f t="shared" si="25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17"/>
        <v/>
      </c>
      <c r="M118" s="19" t="str">
        <f t="shared" si="18"/>
        <v/>
      </c>
      <c r="N118" s="19" t="str">
        <f t="shared" si="19"/>
        <v/>
      </c>
      <c r="O118" s="19" t="str">
        <f t="shared" si="20"/>
        <v/>
      </c>
      <c r="P118" s="19" t="str">
        <f t="shared" si="21"/>
        <v/>
      </c>
      <c r="Q118" s="19" t="str">
        <f t="shared" si="22"/>
        <v/>
      </c>
      <c r="R118" s="19" t="str">
        <f t="shared" si="24"/>
        <v/>
      </c>
      <c r="S118" s="27" t="str">
        <f t="shared" si="25"/>
        <v/>
      </c>
      <c r="T118" s="28" t="str">
        <f t="shared" si="25"/>
        <v/>
      </c>
      <c r="U118" s="28" t="str">
        <f t="shared" si="25"/>
        <v/>
      </c>
      <c r="V118" s="28" t="str">
        <f t="shared" si="25"/>
        <v/>
      </c>
      <c r="W118" s="28" t="str">
        <f t="shared" si="25"/>
        <v/>
      </c>
      <c r="X118" s="29" t="str">
        <f t="shared" si="25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17"/>
        <v/>
      </c>
      <c r="M119" s="19" t="str">
        <f t="shared" si="18"/>
        <v/>
      </c>
      <c r="N119" s="19" t="str">
        <f t="shared" si="19"/>
        <v/>
      </c>
      <c r="O119" s="19" t="str">
        <f t="shared" si="20"/>
        <v/>
      </c>
      <c r="P119" s="19" t="str">
        <f t="shared" si="21"/>
        <v/>
      </c>
      <c r="Q119" s="19" t="str">
        <f t="shared" si="22"/>
        <v/>
      </c>
      <c r="R119" s="19" t="str">
        <f t="shared" si="24"/>
        <v/>
      </c>
      <c r="S119" s="27" t="str">
        <f t="shared" si="25"/>
        <v/>
      </c>
      <c r="T119" s="28" t="str">
        <f t="shared" si="25"/>
        <v/>
      </c>
      <c r="U119" s="28" t="str">
        <f t="shared" si="25"/>
        <v/>
      </c>
      <c r="V119" s="28" t="str">
        <f t="shared" si="25"/>
        <v/>
      </c>
      <c r="W119" s="28" t="str">
        <f t="shared" si="25"/>
        <v/>
      </c>
      <c r="X119" s="29" t="str">
        <f t="shared" si="25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17"/>
        <v/>
      </c>
      <c r="M120" s="19" t="str">
        <f t="shared" si="18"/>
        <v/>
      </c>
      <c r="N120" s="19" t="str">
        <f t="shared" si="19"/>
        <v/>
      </c>
      <c r="O120" s="19" t="str">
        <f t="shared" si="20"/>
        <v/>
      </c>
      <c r="P120" s="19" t="str">
        <f t="shared" si="21"/>
        <v/>
      </c>
      <c r="Q120" s="19" t="str">
        <f t="shared" si="22"/>
        <v/>
      </c>
      <c r="R120" s="19" t="str">
        <f t="shared" si="24"/>
        <v/>
      </c>
      <c r="S120" s="27" t="str">
        <f t="shared" si="25"/>
        <v/>
      </c>
      <c r="T120" s="28" t="str">
        <f t="shared" si="25"/>
        <v/>
      </c>
      <c r="U120" s="28" t="str">
        <f t="shared" si="25"/>
        <v/>
      </c>
      <c r="V120" s="28" t="str">
        <f t="shared" si="25"/>
        <v/>
      </c>
      <c r="W120" s="28" t="str">
        <f t="shared" si="25"/>
        <v/>
      </c>
      <c r="X120" s="29" t="str">
        <f t="shared" si="25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17"/>
        <v/>
      </c>
      <c r="M121" s="19" t="str">
        <f t="shared" si="18"/>
        <v/>
      </c>
      <c r="N121" s="19" t="str">
        <f t="shared" si="19"/>
        <v/>
      </c>
      <c r="O121" s="19" t="str">
        <f t="shared" si="20"/>
        <v/>
      </c>
      <c r="P121" s="19" t="str">
        <f t="shared" si="21"/>
        <v/>
      </c>
      <c r="Q121" s="19" t="str">
        <f t="shared" si="22"/>
        <v/>
      </c>
      <c r="R121" s="19" t="str">
        <f t="shared" si="24"/>
        <v/>
      </c>
      <c r="S121" s="27" t="str">
        <f t="shared" si="25"/>
        <v/>
      </c>
      <c r="T121" s="28" t="str">
        <f t="shared" si="25"/>
        <v/>
      </c>
      <c r="U121" s="28" t="str">
        <f t="shared" si="25"/>
        <v/>
      </c>
      <c r="V121" s="28" t="str">
        <f t="shared" si="25"/>
        <v/>
      </c>
      <c r="W121" s="28" t="str">
        <f t="shared" si="25"/>
        <v/>
      </c>
      <c r="X121" s="29" t="str">
        <f t="shared" si="25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17"/>
        <v/>
      </c>
      <c r="M122" s="19" t="str">
        <f t="shared" si="18"/>
        <v/>
      </c>
      <c r="N122" s="19" t="str">
        <f t="shared" si="19"/>
        <v/>
      </c>
      <c r="O122" s="19" t="str">
        <f t="shared" si="20"/>
        <v/>
      </c>
      <c r="P122" s="19" t="str">
        <f t="shared" si="21"/>
        <v/>
      </c>
      <c r="Q122" s="19" t="str">
        <f t="shared" si="22"/>
        <v/>
      </c>
      <c r="R122" s="19" t="str">
        <f t="shared" si="24"/>
        <v/>
      </c>
      <c r="S122" s="27" t="str">
        <f t="shared" si="25"/>
        <v/>
      </c>
      <c r="T122" s="28" t="str">
        <f t="shared" si="25"/>
        <v/>
      </c>
      <c r="U122" s="28" t="str">
        <f t="shared" si="25"/>
        <v/>
      </c>
      <c r="V122" s="28" t="str">
        <f t="shared" si="25"/>
        <v/>
      </c>
      <c r="W122" s="28" t="str">
        <f t="shared" si="25"/>
        <v/>
      </c>
      <c r="X122" s="29" t="str">
        <f t="shared" si="25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17"/>
        <v/>
      </c>
      <c r="M123" s="19" t="str">
        <f t="shared" si="18"/>
        <v/>
      </c>
      <c r="N123" s="19" t="str">
        <f t="shared" si="19"/>
        <v/>
      </c>
      <c r="O123" s="19" t="str">
        <f t="shared" si="20"/>
        <v/>
      </c>
      <c r="P123" s="19" t="str">
        <f t="shared" si="21"/>
        <v/>
      </c>
      <c r="Q123" s="19" t="str">
        <f t="shared" si="22"/>
        <v/>
      </c>
      <c r="R123" s="19" t="str">
        <f t="shared" si="24"/>
        <v/>
      </c>
      <c r="S123" s="27" t="str">
        <f t="shared" si="25"/>
        <v/>
      </c>
      <c r="T123" s="28" t="str">
        <f t="shared" si="25"/>
        <v/>
      </c>
      <c r="U123" s="28" t="str">
        <f t="shared" si="25"/>
        <v/>
      </c>
      <c r="V123" s="28" t="str">
        <f t="shared" si="25"/>
        <v/>
      </c>
      <c r="W123" s="28" t="str">
        <f t="shared" si="25"/>
        <v/>
      </c>
      <c r="X123" s="29" t="str">
        <f t="shared" si="25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17"/>
        <v/>
      </c>
      <c r="M124" s="19" t="str">
        <f t="shared" si="18"/>
        <v/>
      </c>
      <c r="N124" s="19" t="str">
        <f t="shared" si="19"/>
        <v/>
      </c>
      <c r="O124" s="19" t="str">
        <f t="shared" si="20"/>
        <v/>
      </c>
      <c r="P124" s="19" t="str">
        <f t="shared" si="21"/>
        <v/>
      </c>
      <c r="Q124" s="19" t="str">
        <f t="shared" si="22"/>
        <v/>
      </c>
      <c r="R124" s="19" t="str">
        <f t="shared" si="24"/>
        <v/>
      </c>
      <c r="S124" s="27" t="str">
        <f t="shared" si="25"/>
        <v/>
      </c>
      <c r="T124" s="28" t="str">
        <f t="shared" si="25"/>
        <v/>
      </c>
      <c r="U124" s="28" t="str">
        <f t="shared" si="25"/>
        <v/>
      </c>
      <c r="V124" s="28" t="str">
        <f t="shared" si="25"/>
        <v/>
      </c>
      <c r="W124" s="28" t="str">
        <f t="shared" si="25"/>
        <v/>
      </c>
      <c r="X124" s="29" t="str">
        <f t="shared" si="25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17"/>
        <v/>
      </c>
      <c r="M125" s="19" t="str">
        <f t="shared" si="18"/>
        <v/>
      </c>
      <c r="N125" s="19" t="str">
        <f t="shared" si="19"/>
        <v/>
      </c>
      <c r="O125" s="19" t="str">
        <f t="shared" si="20"/>
        <v/>
      </c>
      <c r="P125" s="19" t="str">
        <f t="shared" si="21"/>
        <v/>
      </c>
      <c r="Q125" s="19" t="str">
        <f t="shared" si="22"/>
        <v/>
      </c>
      <c r="R125" s="19" t="str">
        <f t="shared" si="24"/>
        <v/>
      </c>
      <c r="S125" s="27" t="str">
        <f t="shared" si="25"/>
        <v/>
      </c>
      <c r="T125" s="28" t="str">
        <f t="shared" si="25"/>
        <v/>
      </c>
      <c r="U125" s="28" t="str">
        <f t="shared" si="25"/>
        <v/>
      </c>
      <c r="V125" s="28" t="str">
        <f t="shared" si="25"/>
        <v/>
      </c>
      <c r="W125" s="28" t="str">
        <f t="shared" si="25"/>
        <v/>
      </c>
      <c r="X125" s="29" t="str">
        <f t="shared" si="25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17"/>
        <v/>
      </c>
      <c r="M126" s="19" t="str">
        <f t="shared" si="18"/>
        <v/>
      </c>
      <c r="N126" s="19" t="str">
        <f t="shared" si="19"/>
        <v/>
      </c>
      <c r="O126" s="19" t="str">
        <f t="shared" si="20"/>
        <v/>
      </c>
      <c r="P126" s="19" t="str">
        <f t="shared" si="21"/>
        <v/>
      </c>
      <c r="Q126" s="19" t="str">
        <f t="shared" si="22"/>
        <v/>
      </c>
      <c r="R126" s="19" t="str">
        <f t="shared" si="24"/>
        <v/>
      </c>
      <c r="S126" s="27" t="str">
        <f t="shared" si="25"/>
        <v/>
      </c>
      <c r="T126" s="28" t="str">
        <f t="shared" si="25"/>
        <v/>
      </c>
      <c r="U126" s="28" t="str">
        <f t="shared" si="25"/>
        <v/>
      </c>
      <c r="V126" s="28" t="str">
        <f t="shared" si="25"/>
        <v/>
      </c>
      <c r="W126" s="28" t="str">
        <f t="shared" si="25"/>
        <v/>
      </c>
      <c r="X126" s="29" t="str">
        <f t="shared" si="25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17"/>
        <v/>
      </c>
      <c r="M127" s="19" t="str">
        <f t="shared" si="18"/>
        <v/>
      </c>
      <c r="N127" s="19" t="str">
        <f t="shared" si="19"/>
        <v/>
      </c>
      <c r="O127" s="19" t="str">
        <f t="shared" si="20"/>
        <v/>
      </c>
      <c r="P127" s="19" t="str">
        <f t="shared" si="21"/>
        <v/>
      </c>
      <c r="Q127" s="19" t="str">
        <f t="shared" si="22"/>
        <v/>
      </c>
      <c r="R127" s="19" t="str">
        <f t="shared" si="24"/>
        <v/>
      </c>
      <c r="S127" s="27" t="str">
        <f t="shared" si="25"/>
        <v/>
      </c>
      <c r="T127" s="28" t="str">
        <f t="shared" si="25"/>
        <v/>
      </c>
      <c r="U127" s="28" t="str">
        <f t="shared" si="25"/>
        <v/>
      </c>
      <c r="V127" s="28" t="str">
        <f t="shared" si="25"/>
        <v/>
      </c>
      <c r="W127" s="28" t="str">
        <f t="shared" si="25"/>
        <v/>
      </c>
      <c r="X127" s="29" t="str">
        <f t="shared" si="25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17"/>
        <v/>
      </c>
      <c r="M128" s="19" t="str">
        <f t="shared" si="18"/>
        <v/>
      </c>
      <c r="N128" s="19" t="str">
        <f t="shared" si="19"/>
        <v/>
      </c>
      <c r="O128" s="19" t="str">
        <f t="shared" si="20"/>
        <v/>
      </c>
      <c r="P128" s="19" t="str">
        <f t="shared" si="21"/>
        <v/>
      </c>
      <c r="Q128" s="19" t="str">
        <f t="shared" si="22"/>
        <v/>
      </c>
      <c r="R128" s="19" t="str">
        <f t="shared" si="24"/>
        <v/>
      </c>
      <c r="S128" s="27" t="str">
        <f t="shared" si="25"/>
        <v/>
      </c>
      <c r="T128" s="28" t="str">
        <f t="shared" si="25"/>
        <v/>
      </c>
      <c r="U128" s="28" t="str">
        <f t="shared" si="25"/>
        <v/>
      </c>
      <c r="V128" s="28" t="str">
        <f t="shared" si="25"/>
        <v/>
      </c>
      <c r="W128" s="28" t="str">
        <f t="shared" si="25"/>
        <v/>
      </c>
      <c r="X128" s="29" t="str">
        <f t="shared" si="25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17"/>
        <v/>
      </c>
      <c r="M129" s="19" t="str">
        <f t="shared" si="18"/>
        <v/>
      </c>
      <c r="N129" s="19" t="str">
        <f t="shared" si="19"/>
        <v/>
      </c>
      <c r="O129" s="19" t="str">
        <f t="shared" si="20"/>
        <v/>
      </c>
      <c r="P129" s="19" t="str">
        <f t="shared" si="21"/>
        <v/>
      </c>
      <c r="Q129" s="19" t="str">
        <f t="shared" si="22"/>
        <v/>
      </c>
      <c r="R129" s="19" t="str">
        <f t="shared" si="24"/>
        <v/>
      </c>
      <c r="S129" s="27" t="str">
        <f t="shared" ref="S129:X144" si="26">IF(C129="","",((C129-C128)*1000)/($B129-$B128))</f>
        <v/>
      </c>
      <c r="T129" s="28" t="str">
        <f t="shared" si="26"/>
        <v/>
      </c>
      <c r="U129" s="28" t="str">
        <f t="shared" si="26"/>
        <v/>
      </c>
      <c r="V129" s="28" t="str">
        <f t="shared" si="26"/>
        <v/>
      </c>
      <c r="W129" s="28" t="str">
        <f t="shared" si="26"/>
        <v/>
      </c>
      <c r="X129" s="29" t="str">
        <f t="shared" si="26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17"/>
        <v/>
      </c>
      <c r="M130" s="19" t="str">
        <f t="shared" si="18"/>
        <v/>
      </c>
      <c r="N130" s="19" t="str">
        <f t="shared" si="19"/>
        <v/>
      </c>
      <c r="O130" s="19" t="str">
        <f t="shared" si="20"/>
        <v/>
      </c>
      <c r="P130" s="19" t="str">
        <f t="shared" si="21"/>
        <v/>
      </c>
      <c r="Q130" s="19" t="str">
        <f t="shared" si="22"/>
        <v/>
      </c>
      <c r="R130" s="19" t="str">
        <f t="shared" si="24"/>
        <v/>
      </c>
      <c r="S130" s="27" t="str">
        <f t="shared" si="26"/>
        <v/>
      </c>
      <c r="T130" s="28" t="str">
        <f t="shared" si="26"/>
        <v/>
      </c>
      <c r="U130" s="28" t="str">
        <f t="shared" si="26"/>
        <v/>
      </c>
      <c r="V130" s="28" t="str">
        <f t="shared" si="26"/>
        <v/>
      </c>
      <c r="W130" s="28" t="str">
        <f t="shared" si="26"/>
        <v/>
      </c>
      <c r="X130" s="29" t="str">
        <f t="shared" si="26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17"/>
        <v/>
      </c>
      <c r="M131" s="19" t="str">
        <f t="shared" si="18"/>
        <v/>
      </c>
      <c r="N131" s="19" t="str">
        <f t="shared" si="19"/>
        <v/>
      </c>
      <c r="O131" s="19" t="str">
        <f t="shared" si="20"/>
        <v/>
      </c>
      <c r="P131" s="19" t="str">
        <f t="shared" si="21"/>
        <v/>
      </c>
      <c r="Q131" s="19" t="str">
        <f t="shared" si="22"/>
        <v/>
      </c>
      <c r="R131" s="19" t="str">
        <f t="shared" si="24"/>
        <v/>
      </c>
      <c r="S131" s="27" t="str">
        <f t="shared" si="26"/>
        <v/>
      </c>
      <c r="T131" s="28" t="str">
        <f t="shared" si="26"/>
        <v/>
      </c>
      <c r="U131" s="28" t="str">
        <f t="shared" si="26"/>
        <v/>
      </c>
      <c r="V131" s="28" t="str">
        <f t="shared" si="26"/>
        <v/>
      </c>
      <c r="W131" s="28" t="str">
        <f t="shared" si="26"/>
        <v/>
      </c>
      <c r="X131" s="29" t="str">
        <f t="shared" si="26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17"/>
        <v/>
      </c>
      <c r="M132" s="19" t="str">
        <f t="shared" si="18"/>
        <v/>
      </c>
      <c r="N132" s="19" t="str">
        <f t="shared" si="19"/>
        <v/>
      </c>
      <c r="O132" s="19" t="str">
        <f t="shared" si="20"/>
        <v/>
      </c>
      <c r="P132" s="19" t="str">
        <f t="shared" si="21"/>
        <v/>
      </c>
      <c r="Q132" s="19" t="str">
        <f t="shared" si="22"/>
        <v/>
      </c>
      <c r="R132" s="19" t="str">
        <f t="shared" si="24"/>
        <v/>
      </c>
      <c r="S132" s="27" t="str">
        <f t="shared" si="26"/>
        <v/>
      </c>
      <c r="T132" s="28" t="str">
        <f t="shared" si="26"/>
        <v/>
      </c>
      <c r="U132" s="28" t="str">
        <f t="shared" si="26"/>
        <v/>
      </c>
      <c r="V132" s="28" t="str">
        <f t="shared" si="26"/>
        <v/>
      </c>
      <c r="W132" s="28" t="str">
        <f t="shared" si="26"/>
        <v/>
      </c>
      <c r="X132" s="29" t="str">
        <f t="shared" si="26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17"/>
        <v/>
      </c>
      <c r="M133" s="19" t="str">
        <f t="shared" si="18"/>
        <v/>
      </c>
      <c r="N133" s="19" t="str">
        <f t="shared" si="19"/>
        <v/>
      </c>
      <c r="O133" s="19" t="str">
        <f t="shared" si="20"/>
        <v/>
      </c>
      <c r="P133" s="19" t="str">
        <f t="shared" si="21"/>
        <v/>
      </c>
      <c r="Q133" s="19" t="str">
        <f t="shared" si="22"/>
        <v/>
      </c>
      <c r="R133" s="19" t="str">
        <f t="shared" si="24"/>
        <v/>
      </c>
      <c r="S133" s="27" t="str">
        <f t="shared" si="26"/>
        <v/>
      </c>
      <c r="T133" s="28" t="str">
        <f t="shared" si="26"/>
        <v/>
      </c>
      <c r="U133" s="28" t="str">
        <f t="shared" si="26"/>
        <v/>
      </c>
      <c r="V133" s="28" t="str">
        <f t="shared" si="26"/>
        <v/>
      </c>
      <c r="W133" s="28" t="str">
        <f t="shared" si="26"/>
        <v/>
      </c>
      <c r="X133" s="29" t="str">
        <f t="shared" si="26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17"/>
        <v/>
      </c>
      <c r="M134" s="19" t="str">
        <f t="shared" si="18"/>
        <v/>
      </c>
      <c r="N134" s="19" t="str">
        <f t="shared" si="19"/>
        <v/>
      </c>
      <c r="O134" s="19" t="str">
        <f t="shared" si="20"/>
        <v/>
      </c>
      <c r="P134" s="19" t="str">
        <f t="shared" si="21"/>
        <v/>
      </c>
      <c r="Q134" s="19" t="str">
        <f t="shared" si="22"/>
        <v/>
      </c>
      <c r="R134" s="19" t="str">
        <f t="shared" si="24"/>
        <v/>
      </c>
      <c r="S134" s="27" t="str">
        <f t="shared" si="26"/>
        <v/>
      </c>
      <c r="T134" s="28" t="str">
        <f t="shared" si="26"/>
        <v/>
      </c>
      <c r="U134" s="28" t="str">
        <f t="shared" si="26"/>
        <v/>
      </c>
      <c r="V134" s="28" t="str">
        <f t="shared" si="26"/>
        <v/>
      </c>
      <c r="W134" s="28" t="str">
        <f t="shared" si="26"/>
        <v/>
      </c>
      <c r="X134" s="29" t="str">
        <f t="shared" si="26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17"/>
        <v/>
      </c>
      <c r="M135" s="19" t="str">
        <f t="shared" si="18"/>
        <v/>
      </c>
      <c r="N135" s="19" t="str">
        <f t="shared" si="19"/>
        <v/>
      </c>
      <c r="O135" s="19" t="str">
        <f t="shared" si="20"/>
        <v/>
      </c>
      <c r="P135" s="19" t="str">
        <f t="shared" si="21"/>
        <v/>
      </c>
      <c r="Q135" s="19" t="str">
        <f t="shared" si="22"/>
        <v/>
      </c>
      <c r="R135" s="19" t="str">
        <f t="shared" si="24"/>
        <v/>
      </c>
      <c r="S135" s="27" t="str">
        <f t="shared" si="26"/>
        <v/>
      </c>
      <c r="T135" s="28" t="str">
        <f t="shared" si="26"/>
        <v/>
      </c>
      <c r="U135" s="28" t="str">
        <f t="shared" si="26"/>
        <v/>
      </c>
      <c r="V135" s="28" t="str">
        <f t="shared" si="26"/>
        <v/>
      </c>
      <c r="W135" s="28" t="str">
        <f t="shared" si="26"/>
        <v/>
      </c>
      <c r="X135" s="29" t="str">
        <f t="shared" si="26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17"/>
        <v/>
      </c>
      <c r="M136" s="19" t="str">
        <f t="shared" si="18"/>
        <v/>
      </c>
      <c r="N136" s="19" t="str">
        <f t="shared" si="19"/>
        <v/>
      </c>
      <c r="O136" s="19" t="str">
        <f t="shared" si="20"/>
        <v/>
      </c>
      <c r="P136" s="19" t="str">
        <f t="shared" si="21"/>
        <v/>
      </c>
      <c r="Q136" s="19" t="str">
        <f t="shared" si="22"/>
        <v/>
      </c>
      <c r="R136" s="19" t="str">
        <f t="shared" si="24"/>
        <v/>
      </c>
      <c r="S136" s="27" t="str">
        <f t="shared" si="26"/>
        <v/>
      </c>
      <c r="T136" s="28" t="str">
        <f t="shared" si="26"/>
        <v/>
      </c>
      <c r="U136" s="28" t="str">
        <f t="shared" si="26"/>
        <v/>
      </c>
      <c r="V136" s="28" t="str">
        <f t="shared" si="26"/>
        <v/>
      </c>
      <c r="W136" s="28" t="str">
        <f t="shared" si="26"/>
        <v/>
      </c>
      <c r="X136" s="29" t="str">
        <f t="shared" si="26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17"/>
        <v/>
      </c>
      <c r="M137" s="19" t="str">
        <f t="shared" si="18"/>
        <v/>
      </c>
      <c r="N137" s="19" t="str">
        <f t="shared" si="19"/>
        <v/>
      </c>
      <c r="O137" s="19" t="str">
        <f t="shared" si="20"/>
        <v/>
      </c>
      <c r="P137" s="19" t="str">
        <f t="shared" si="21"/>
        <v/>
      </c>
      <c r="Q137" s="19" t="str">
        <f t="shared" si="22"/>
        <v/>
      </c>
      <c r="R137" s="19" t="str">
        <f t="shared" si="24"/>
        <v/>
      </c>
      <c r="S137" s="27" t="str">
        <f t="shared" si="26"/>
        <v/>
      </c>
      <c r="T137" s="28" t="str">
        <f t="shared" si="26"/>
        <v/>
      </c>
      <c r="U137" s="28" t="str">
        <f t="shared" si="26"/>
        <v/>
      </c>
      <c r="V137" s="28" t="str">
        <f t="shared" si="26"/>
        <v/>
      </c>
      <c r="W137" s="28" t="str">
        <f t="shared" si="26"/>
        <v/>
      </c>
      <c r="X137" s="29" t="str">
        <f t="shared" si="26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17"/>
        <v/>
      </c>
      <c r="M138" s="19" t="str">
        <f t="shared" si="18"/>
        <v/>
      </c>
      <c r="N138" s="19" t="str">
        <f t="shared" si="19"/>
        <v/>
      </c>
      <c r="O138" s="19" t="str">
        <f t="shared" si="20"/>
        <v/>
      </c>
      <c r="P138" s="19" t="str">
        <f t="shared" si="21"/>
        <v/>
      </c>
      <c r="Q138" s="19" t="str">
        <f t="shared" si="22"/>
        <v/>
      </c>
      <c r="R138" s="19" t="str">
        <f t="shared" si="24"/>
        <v/>
      </c>
      <c r="S138" s="27" t="str">
        <f t="shared" si="26"/>
        <v/>
      </c>
      <c r="T138" s="28" t="str">
        <f t="shared" si="26"/>
        <v/>
      </c>
      <c r="U138" s="28" t="str">
        <f t="shared" si="26"/>
        <v/>
      </c>
      <c r="V138" s="28" t="str">
        <f t="shared" si="26"/>
        <v/>
      </c>
      <c r="W138" s="28" t="str">
        <f t="shared" si="26"/>
        <v/>
      </c>
      <c r="X138" s="29" t="str">
        <f t="shared" si="26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17"/>
        <v/>
      </c>
      <c r="M139" s="19" t="str">
        <f t="shared" si="18"/>
        <v/>
      </c>
      <c r="N139" s="19" t="str">
        <f t="shared" si="19"/>
        <v/>
      </c>
      <c r="O139" s="19" t="str">
        <f t="shared" si="20"/>
        <v/>
      </c>
      <c r="P139" s="19" t="str">
        <f t="shared" si="21"/>
        <v/>
      </c>
      <c r="Q139" s="19" t="str">
        <f t="shared" si="22"/>
        <v/>
      </c>
      <c r="R139" s="19" t="str">
        <f t="shared" si="24"/>
        <v/>
      </c>
      <c r="S139" s="27" t="str">
        <f t="shared" si="26"/>
        <v/>
      </c>
      <c r="T139" s="28" t="str">
        <f t="shared" si="26"/>
        <v/>
      </c>
      <c r="U139" s="28" t="str">
        <f t="shared" si="26"/>
        <v/>
      </c>
      <c r="V139" s="28" t="str">
        <f t="shared" si="26"/>
        <v/>
      </c>
      <c r="W139" s="28" t="str">
        <f t="shared" si="26"/>
        <v/>
      </c>
      <c r="X139" s="29" t="str">
        <f t="shared" si="26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17"/>
        <v/>
      </c>
      <c r="M140" s="19" t="str">
        <f t="shared" si="18"/>
        <v/>
      </c>
      <c r="N140" s="19" t="str">
        <f t="shared" si="19"/>
        <v/>
      </c>
      <c r="O140" s="19" t="str">
        <f t="shared" si="20"/>
        <v/>
      </c>
      <c r="P140" s="19" t="str">
        <f t="shared" si="21"/>
        <v/>
      </c>
      <c r="Q140" s="19" t="str">
        <f t="shared" si="22"/>
        <v/>
      </c>
      <c r="R140" s="19" t="str">
        <f t="shared" si="24"/>
        <v/>
      </c>
      <c r="S140" s="27" t="str">
        <f t="shared" si="26"/>
        <v/>
      </c>
      <c r="T140" s="28" t="str">
        <f t="shared" si="26"/>
        <v/>
      </c>
      <c r="U140" s="28" t="str">
        <f t="shared" si="26"/>
        <v/>
      </c>
      <c r="V140" s="28" t="str">
        <f t="shared" si="26"/>
        <v/>
      </c>
      <c r="W140" s="28" t="str">
        <f t="shared" si="26"/>
        <v/>
      </c>
      <c r="X140" s="29" t="str">
        <f t="shared" si="26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17"/>
        <v/>
      </c>
      <c r="M141" s="19" t="str">
        <f t="shared" si="18"/>
        <v/>
      </c>
      <c r="N141" s="19" t="str">
        <f t="shared" si="19"/>
        <v/>
      </c>
      <c r="O141" s="19" t="str">
        <f t="shared" si="20"/>
        <v/>
      </c>
      <c r="P141" s="19" t="str">
        <f t="shared" si="21"/>
        <v/>
      </c>
      <c r="Q141" s="19" t="str">
        <f t="shared" si="22"/>
        <v/>
      </c>
      <c r="R141" s="19" t="str">
        <f t="shared" si="24"/>
        <v/>
      </c>
      <c r="S141" s="27" t="str">
        <f t="shared" si="26"/>
        <v/>
      </c>
      <c r="T141" s="28" t="str">
        <f t="shared" si="26"/>
        <v/>
      </c>
      <c r="U141" s="28" t="str">
        <f t="shared" si="26"/>
        <v/>
      </c>
      <c r="V141" s="28" t="str">
        <f t="shared" si="26"/>
        <v/>
      </c>
      <c r="W141" s="28" t="str">
        <f t="shared" si="26"/>
        <v/>
      </c>
      <c r="X141" s="29" t="str">
        <f t="shared" si="26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17"/>
        <v/>
      </c>
      <c r="M142" s="19" t="str">
        <f t="shared" si="18"/>
        <v/>
      </c>
      <c r="N142" s="19" t="str">
        <f t="shared" si="19"/>
        <v/>
      </c>
      <c r="O142" s="19" t="str">
        <f t="shared" si="20"/>
        <v/>
      </c>
      <c r="P142" s="19" t="str">
        <f t="shared" si="21"/>
        <v/>
      </c>
      <c r="Q142" s="19" t="str">
        <f t="shared" si="22"/>
        <v/>
      </c>
      <c r="R142" s="19" t="str">
        <f t="shared" si="24"/>
        <v/>
      </c>
      <c r="S142" s="27" t="str">
        <f t="shared" si="26"/>
        <v/>
      </c>
      <c r="T142" s="28" t="str">
        <f t="shared" si="26"/>
        <v/>
      </c>
      <c r="U142" s="28" t="str">
        <f t="shared" si="26"/>
        <v/>
      </c>
      <c r="V142" s="28" t="str">
        <f t="shared" si="26"/>
        <v/>
      </c>
      <c r="W142" s="28" t="str">
        <f t="shared" si="26"/>
        <v/>
      </c>
      <c r="X142" s="29" t="str">
        <f t="shared" si="26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17"/>
        <v/>
      </c>
      <c r="M143" s="19" t="str">
        <f t="shared" si="18"/>
        <v/>
      </c>
      <c r="N143" s="19" t="str">
        <f t="shared" si="19"/>
        <v/>
      </c>
      <c r="O143" s="19" t="str">
        <f t="shared" si="20"/>
        <v/>
      </c>
      <c r="P143" s="19" t="str">
        <f t="shared" si="21"/>
        <v/>
      </c>
      <c r="Q143" s="19" t="str">
        <f t="shared" si="22"/>
        <v/>
      </c>
      <c r="R143" s="19" t="str">
        <f t="shared" si="24"/>
        <v/>
      </c>
      <c r="S143" s="27" t="str">
        <f t="shared" si="26"/>
        <v/>
      </c>
      <c r="T143" s="28" t="str">
        <f t="shared" si="26"/>
        <v/>
      </c>
      <c r="U143" s="28" t="str">
        <f t="shared" si="26"/>
        <v/>
      </c>
      <c r="V143" s="28" t="str">
        <f t="shared" si="26"/>
        <v/>
      </c>
      <c r="W143" s="28" t="str">
        <f t="shared" si="26"/>
        <v/>
      </c>
      <c r="X143" s="29" t="str">
        <f t="shared" si="26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17"/>
        <v/>
      </c>
      <c r="M144" s="19" t="str">
        <f t="shared" si="18"/>
        <v/>
      </c>
      <c r="N144" s="19" t="str">
        <f t="shared" si="19"/>
        <v/>
      </c>
      <c r="O144" s="19" t="str">
        <f t="shared" si="20"/>
        <v/>
      </c>
      <c r="P144" s="19" t="str">
        <f t="shared" si="21"/>
        <v/>
      </c>
      <c r="Q144" s="19" t="str">
        <f t="shared" si="22"/>
        <v/>
      </c>
      <c r="R144" s="19" t="str">
        <f t="shared" ref="R144:R153" si="27">IF(ISBLANK(I144),"",(I144-I$16)*1000)</f>
        <v/>
      </c>
      <c r="S144" s="27" t="str">
        <f t="shared" si="26"/>
        <v/>
      </c>
      <c r="T144" s="28" t="str">
        <f t="shared" si="26"/>
        <v/>
      </c>
      <c r="U144" s="28" t="str">
        <f t="shared" si="26"/>
        <v/>
      </c>
      <c r="V144" s="28" t="str">
        <f t="shared" si="26"/>
        <v/>
      </c>
      <c r="W144" s="28" t="str">
        <f t="shared" si="26"/>
        <v/>
      </c>
      <c r="X144" s="29" t="str">
        <f t="shared" si="26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17"/>
        <v/>
      </c>
      <c r="M145" s="19" t="str">
        <f t="shared" si="18"/>
        <v/>
      </c>
      <c r="N145" s="19" t="str">
        <f t="shared" si="19"/>
        <v/>
      </c>
      <c r="O145" s="19" t="str">
        <f t="shared" si="20"/>
        <v/>
      </c>
      <c r="P145" s="19" t="str">
        <f t="shared" si="21"/>
        <v/>
      </c>
      <c r="Q145" s="19" t="str">
        <f t="shared" si="22"/>
        <v/>
      </c>
      <c r="R145" s="19" t="str">
        <f t="shared" si="27"/>
        <v/>
      </c>
      <c r="S145" s="27" t="str">
        <f t="shared" ref="S145:X153" si="28">IF(C145="","",((C145-C144)*1000)/($B145-$B144))</f>
        <v/>
      </c>
      <c r="T145" s="28" t="str">
        <f t="shared" si="28"/>
        <v/>
      </c>
      <c r="U145" s="28" t="str">
        <f t="shared" si="28"/>
        <v/>
      </c>
      <c r="V145" s="28" t="str">
        <f t="shared" si="28"/>
        <v/>
      </c>
      <c r="W145" s="28" t="str">
        <f t="shared" si="28"/>
        <v/>
      </c>
      <c r="X145" s="29" t="str">
        <f t="shared" si="28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17"/>
        <v/>
      </c>
      <c r="M146" s="19" t="str">
        <f t="shared" si="18"/>
        <v/>
      </c>
      <c r="N146" s="19" t="str">
        <f t="shared" si="19"/>
        <v/>
      </c>
      <c r="O146" s="19" t="str">
        <f t="shared" si="20"/>
        <v/>
      </c>
      <c r="P146" s="19" t="str">
        <f t="shared" si="21"/>
        <v/>
      </c>
      <c r="Q146" s="19" t="str">
        <f t="shared" si="22"/>
        <v/>
      </c>
      <c r="R146" s="19" t="str">
        <f t="shared" si="27"/>
        <v/>
      </c>
      <c r="S146" s="27" t="str">
        <f t="shared" si="28"/>
        <v/>
      </c>
      <c r="T146" s="28" t="str">
        <f t="shared" si="28"/>
        <v/>
      </c>
      <c r="U146" s="28" t="str">
        <f t="shared" si="28"/>
        <v/>
      </c>
      <c r="V146" s="28" t="str">
        <f t="shared" si="28"/>
        <v/>
      </c>
      <c r="W146" s="28" t="str">
        <f t="shared" si="28"/>
        <v/>
      </c>
      <c r="X146" s="29" t="str">
        <f t="shared" si="28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17"/>
        <v/>
      </c>
      <c r="M147" s="19" t="str">
        <f t="shared" si="18"/>
        <v/>
      </c>
      <c r="N147" s="19" t="str">
        <f t="shared" si="19"/>
        <v/>
      </c>
      <c r="O147" s="19" t="str">
        <f t="shared" si="20"/>
        <v/>
      </c>
      <c r="P147" s="19" t="str">
        <f t="shared" si="21"/>
        <v/>
      </c>
      <c r="Q147" s="19" t="str">
        <f t="shared" si="22"/>
        <v/>
      </c>
      <c r="R147" s="19" t="str">
        <f t="shared" si="27"/>
        <v/>
      </c>
      <c r="S147" s="27" t="str">
        <f t="shared" si="28"/>
        <v/>
      </c>
      <c r="T147" s="28" t="str">
        <f t="shared" si="28"/>
        <v/>
      </c>
      <c r="U147" s="28" t="str">
        <f t="shared" si="28"/>
        <v/>
      </c>
      <c r="V147" s="28" t="str">
        <f t="shared" si="28"/>
        <v/>
      </c>
      <c r="W147" s="28" t="str">
        <f t="shared" si="28"/>
        <v/>
      </c>
      <c r="X147" s="29" t="str">
        <f t="shared" si="28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17"/>
        <v/>
      </c>
      <c r="M148" s="19" t="str">
        <f t="shared" si="18"/>
        <v/>
      </c>
      <c r="N148" s="19" t="str">
        <f t="shared" si="19"/>
        <v/>
      </c>
      <c r="O148" s="19" t="str">
        <f t="shared" si="20"/>
        <v/>
      </c>
      <c r="P148" s="19" t="str">
        <f t="shared" si="21"/>
        <v/>
      </c>
      <c r="Q148" s="19" t="str">
        <f t="shared" si="22"/>
        <v/>
      </c>
      <c r="R148" s="19" t="str">
        <f t="shared" si="27"/>
        <v/>
      </c>
      <c r="S148" s="27" t="str">
        <f t="shared" si="28"/>
        <v/>
      </c>
      <c r="T148" s="28" t="str">
        <f t="shared" si="28"/>
        <v/>
      </c>
      <c r="U148" s="28" t="str">
        <f t="shared" si="28"/>
        <v/>
      </c>
      <c r="V148" s="28" t="str">
        <f t="shared" si="28"/>
        <v/>
      </c>
      <c r="W148" s="28" t="str">
        <f t="shared" si="28"/>
        <v/>
      </c>
      <c r="X148" s="29" t="str">
        <f t="shared" si="28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17"/>
        <v/>
      </c>
      <c r="M149" s="19" t="str">
        <f t="shared" si="18"/>
        <v/>
      </c>
      <c r="N149" s="19" t="str">
        <f t="shared" si="19"/>
        <v/>
      </c>
      <c r="O149" s="19" t="str">
        <f t="shared" si="20"/>
        <v/>
      </c>
      <c r="P149" s="19" t="str">
        <f t="shared" si="21"/>
        <v/>
      </c>
      <c r="Q149" s="19" t="str">
        <f t="shared" si="22"/>
        <v/>
      </c>
      <c r="R149" s="19" t="str">
        <f t="shared" si="27"/>
        <v/>
      </c>
      <c r="S149" s="27" t="str">
        <f t="shared" si="28"/>
        <v/>
      </c>
      <c r="T149" s="28" t="str">
        <f t="shared" si="28"/>
        <v/>
      </c>
      <c r="U149" s="28" t="str">
        <f t="shared" si="28"/>
        <v/>
      </c>
      <c r="V149" s="28" t="str">
        <f t="shared" si="28"/>
        <v/>
      </c>
      <c r="W149" s="28" t="str">
        <f t="shared" si="28"/>
        <v/>
      </c>
      <c r="X149" s="29" t="str">
        <f t="shared" si="28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17"/>
        <v/>
      </c>
      <c r="M150" s="19" t="str">
        <f t="shared" si="18"/>
        <v/>
      </c>
      <c r="N150" s="19" t="str">
        <f t="shared" si="19"/>
        <v/>
      </c>
      <c r="O150" s="19" t="str">
        <f t="shared" si="20"/>
        <v/>
      </c>
      <c r="P150" s="19" t="str">
        <f t="shared" si="21"/>
        <v/>
      </c>
      <c r="Q150" s="19" t="str">
        <f t="shared" si="22"/>
        <v/>
      </c>
      <c r="R150" s="19" t="str">
        <f t="shared" si="27"/>
        <v/>
      </c>
      <c r="S150" s="27" t="str">
        <f t="shared" si="28"/>
        <v/>
      </c>
      <c r="T150" s="28" t="str">
        <f t="shared" si="28"/>
        <v/>
      </c>
      <c r="U150" s="28" t="str">
        <f t="shared" si="28"/>
        <v/>
      </c>
      <c r="V150" s="28" t="str">
        <f t="shared" si="28"/>
        <v/>
      </c>
      <c r="W150" s="28" t="str">
        <f t="shared" si="28"/>
        <v/>
      </c>
      <c r="X150" s="29" t="str">
        <f t="shared" si="28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17"/>
        <v/>
      </c>
      <c r="M151" s="19" t="str">
        <f t="shared" si="18"/>
        <v/>
      </c>
      <c r="N151" s="19" t="str">
        <f t="shared" si="19"/>
        <v/>
      </c>
      <c r="O151" s="19" t="str">
        <f t="shared" si="20"/>
        <v/>
      </c>
      <c r="P151" s="19" t="str">
        <f t="shared" si="21"/>
        <v/>
      </c>
      <c r="Q151" s="19" t="str">
        <f t="shared" si="22"/>
        <v/>
      </c>
      <c r="R151" s="19" t="str">
        <f t="shared" si="27"/>
        <v/>
      </c>
      <c r="S151" s="27" t="str">
        <f t="shared" si="28"/>
        <v/>
      </c>
      <c r="T151" s="28" t="str">
        <f t="shared" si="28"/>
        <v/>
      </c>
      <c r="U151" s="28" t="str">
        <f t="shared" si="28"/>
        <v/>
      </c>
      <c r="V151" s="28" t="str">
        <f t="shared" si="28"/>
        <v/>
      </c>
      <c r="W151" s="28" t="str">
        <f t="shared" si="28"/>
        <v/>
      </c>
      <c r="X151" s="29" t="str">
        <f t="shared" si="28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17"/>
        <v/>
      </c>
      <c r="M152" s="19" t="str">
        <f t="shared" si="18"/>
        <v/>
      </c>
      <c r="N152" s="19" t="str">
        <f t="shared" si="19"/>
        <v/>
      </c>
      <c r="O152" s="19" t="str">
        <f t="shared" si="20"/>
        <v/>
      </c>
      <c r="P152" s="19" t="str">
        <f t="shared" si="21"/>
        <v/>
      </c>
      <c r="Q152" s="19" t="str">
        <f t="shared" si="22"/>
        <v/>
      </c>
      <c r="R152" s="19" t="str">
        <f t="shared" si="27"/>
        <v/>
      </c>
      <c r="S152" s="27" t="str">
        <f t="shared" si="28"/>
        <v/>
      </c>
      <c r="T152" s="28" t="str">
        <f t="shared" si="28"/>
        <v/>
      </c>
      <c r="U152" s="28" t="str">
        <f t="shared" si="28"/>
        <v/>
      </c>
      <c r="V152" s="28" t="str">
        <f t="shared" si="28"/>
        <v/>
      </c>
      <c r="W152" s="28" t="str">
        <f t="shared" si="28"/>
        <v/>
      </c>
      <c r="X152" s="29" t="str">
        <f t="shared" si="28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17"/>
        <v/>
      </c>
      <c r="M153" s="19" t="str">
        <f t="shared" si="18"/>
        <v/>
      </c>
      <c r="N153" s="19" t="str">
        <f t="shared" si="19"/>
        <v/>
      </c>
      <c r="O153" s="19" t="str">
        <f t="shared" si="20"/>
        <v/>
      </c>
      <c r="P153" s="19" t="str">
        <f t="shared" si="21"/>
        <v/>
      </c>
      <c r="Q153" s="19" t="str">
        <f t="shared" si="22"/>
        <v/>
      </c>
      <c r="R153" s="19" t="str">
        <f t="shared" si="27"/>
        <v/>
      </c>
      <c r="S153" s="27" t="str">
        <f t="shared" si="28"/>
        <v/>
      </c>
      <c r="T153" s="28" t="str">
        <f t="shared" si="28"/>
        <v/>
      </c>
      <c r="U153" s="28" t="str">
        <f t="shared" si="28"/>
        <v/>
      </c>
      <c r="V153" s="28" t="str">
        <f t="shared" si="28"/>
        <v/>
      </c>
      <c r="W153" s="28" t="str">
        <f t="shared" si="28"/>
        <v/>
      </c>
      <c r="X153" s="29" t="str">
        <f t="shared" si="28"/>
        <v/>
      </c>
      <c r="Y153" s="24"/>
    </row>
  </sheetData>
  <sheetProtection selectLockedCells="1"/>
  <mergeCells count="38"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A1:J1"/>
    <mergeCell ref="E2:Q2"/>
    <mergeCell ref="R2:X4"/>
    <mergeCell ref="Y2:Y4"/>
    <mergeCell ref="E3:Q3"/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38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5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TZ-36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47"/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41855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41858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/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782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1040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55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43">
        <v>41858</v>
      </c>
      <c r="C16" s="14">
        <v>12.355</v>
      </c>
      <c r="D16" s="15">
        <v>6.9459999999999997</v>
      </c>
      <c r="E16" s="15">
        <v>8.0120000000000005</v>
      </c>
      <c r="F16" s="42"/>
      <c r="G16" s="42"/>
      <c r="H16" s="42"/>
      <c r="I16" s="41">
        <v>106.65600000000001</v>
      </c>
      <c r="J16" s="62">
        <v>1055</v>
      </c>
      <c r="K16" s="55">
        <f>IF(ISBLANK(J16),"",(J16-$J$8))</f>
        <v>15</v>
      </c>
      <c r="L16" s="19">
        <f t="shared" ref="L16:Q34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41859</v>
      </c>
      <c r="C17" s="25">
        <v>12.353999999999999</v>
      </c>
      <c r="D17" s="26">
        <v>6.944</v>
      </c>
      <c r="E17" s="26">
        <v>8.0109999999999992</v>
      </c>
      <c r="F17" s="16"/>
      <c r="G17" s="16"/>
      <c r="H17" s="16"/>
      <c r="I17" s="17">
        <v>106.655</v>
      </c>
      <c r="J17" s="58">
        <v>1059</v>
      </c>
      <c r="K17" s="18">
        <f t="shared" ref="K17:K28" si="2">IF(ISBLANK(J17),"",(J17-$J$8))</f>
        <v>19</v>
      </c>
      <c r="L17" s="19">
        <f t="shared" si="0"/>
        <v>-1.0000000000012221</v>
      </c>
      <c r="M17" s="19">
        <f t="shared" si="0"/>
        <v>-1.9999999999997797</v>
      </c>
      <c r="N17" s="19">
        <f t="shared" si="0"/>
        <v>-1.0000000000012221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-1.0000000000047748</v>
      </c>
      <c r="S17" s="27">
        <f t="shared" ref="S17:X32" si="3">IF(C17="","",((C17-C16)*1000)/($B17-$B16))</f>
        <v>-1.0000000000012221</v>
      </c>
      <c r="T17" s="28">
        <f t="shared" si="3"/>
        <v>-1.9999999999997797</v>
      </c>
      <c r="U17" s="28">
        <f t="shared" si="3"/>
        <v>-1.0000000000012221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41862</v>
      </c>
      <c r="C18" s="25">
        <v>12.353999999999999</v>
      </c>
      <c r="D18" s="26">
        <v>6.944</v>
      </c>
      <c r="E18" s="26">
        <v>8.0120000000000005</v>
      </c>
      <c r="F18" s="16"/>
      <c r="G18" s="16"/>
      <c r="H18" s="16"/>
      <c r="I18" s="17">
        <v>106.655</v>
      </c>
      <c r="J18" s="58">
        <v>1066</v>
      </c>
      <c r="K18" s="18">
        <f t="shared" si="2"/>
        <v>26</v>
      </c>
      <c r="L18" s="19">
        <f t="shared" si="0"/>
        <v>-1.0000000000012221</v>
      </c>
      <c r="M18" s="19">
        <f t="shared" si="0"/>
        <v>-1.9999999999997797</v>
      </c>
      <c r="N18" s="19">
        <f t="shared" si="0"/>
        <v>0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-1.0000000000047748</v>
      </c>
      <c r="S18" s="27">
        <f t="shared" si="3"/>
        <v>0</v>
      </c>
      <c r="T18" s="28">
        <f t="shared" si="3"/>
        <v>0</v>
      </c>
      <c r="U18" s="28">
        <f t="shared" si="3"/>
        <v>0.33333333333374071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41863</v>
      </c>
      <c r="C19" s="25">
        <v>12.353999999999999</v>
      </c>
      <c r="D19" s="26">
        <v>6.9429999999999996</v>
      </c>
      <c r="E19" s="26">
        <v>8.0109999999999992</v>
      </c>
      <c r="F19" s="16"/>
      <c r="G19" s="16"/>
      <c r="H19" s="16"/>
      <c r="I19" s="17">
        <v>106.655</v>
      </c>
      <c r="J19" s="58">
        <v>1074</v>
      </c>
      <c r="K19" s="18">
        <f t="shared" si="2"/>
        <v>34</v>
      </c>
      <c r="L19" s="19">
        <f t="shared" si="0"/>
        <v>-1.0000000000012221</v>
      </c>
      <c r="M19" s="19">
        <f t="shared" si="0"/>
        <v>-3.0000000000001137</v>
      </c>
      <c r="N19" s="19">
        <f t="shared" si="0"/>
        <v>-1.0000000000012221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-1.0000000000047748</v>
      </c>
      <c r="S19" s="27">
        <f t="shared" si="3"/>
        <v>0</v>
      </c>
      <c r="T19" s="28">
        <f t="shared" si="3"/>
        <v>-1.000000000000334</v>
      </c>
      <c r="U19" s="28">
        <f t="shared" si="3"/>
        <v>-1.0000000000012221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41864</v>
      </c>
      <c r="C20" s="25">
        <v>12.353999999999999</v>
      </c>
      <c r="D20" s="26">
        <v>6.9429999999999996</v>
      </c>
      <c r="E20" s="26">
        <v>8.0109999999999992</v>
      </c>
      <c r="F20" s="16"/>
      <c r="G20" s="16"/>
      <c r="H20" s="16"/>
      <c r="I20" s="17">
        <v>106.654</v>
      </c>
      <c r="J20" s="58">
        <v>1082</v>
      </c>
      <c r="K20" s="18">
        <f t="shared" si="2"/>
        <v>42</v>
      </c>
      <c r="L20" s="19">
        <f t="shared" si="0"/>
        <v>-1.0000000000012221</v>
      </c>
      <c r="M20" s="19">
        <f t="shared" si="0"/>
        <v>-3.0000000000001137</v>
      </c>
      <c r="N20" s="19">
        <f t="shared" si="0"/>
        <v>-1.0000000000012221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-2.0000000000095497</v>
      </c>
      <c r="S20" s="27">
        <f t="shared" si="3"/>
        <v>0</v>
      </c>
      <c r="T20" s="28">
        <f t="shared" si="3"/>
        <v>0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41865</v>
      </c>
      <c r="C21" s="25">
        <v>12.353</v>
      </c>
      <c r="D21" s="26">
        <v>6.9429999999999996</v>
      </c>
      <c r="E21" s="26">
        <v>8.0109999999999992</v>
      </c>
      <c r="F21" s="16"/>
      <c r="G21" s="16"/>
      <c r="H21" s="16"/>
      <c r="I21" s="17">
        <v>106.654</v>
      </c>
      <c r="J21" s="58">
        <v>1090</v>
      </c>
      <c r="K21" s="18">
        <f t="shared" si="2"/>
        <v>50</v>
      </c>
      <c r="L21" s="19">
        <f t="shared" si="0"/>
        <v>-2.0000000000006679</v>
      </c>
      <c r="M21" s="19">
        <f t="shared" si="0"/>
        <v>-3.0000000000001137</v>
      </c>
      <c r="N21" s="19">
        <f t="shared" si="0"/>
        <v>-1.0000000000012221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-2.0000000000095497</v>
      </c>
      <c r="S21" s="27">
        <f t="shared" si="3"/>
        <v>-0.99999999999944578</v>
      </c>
      <c r="T21" s="28">
        <f t="shared" si="3"/>
        <v>0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41869</v>
      </c>
      <c r="C22" s="25">
        <v>12.353999999999999</v>
      </c>
      <c r="D22" s="26">
        <v>6.9429999999999996</v>
      </c>
      <c r="E22" s="26">
        <v>8.01</v>
      </c>
      <c r="F22" s="16"/>
      <c r="G22" s="16"/>
      <c r="H22" s="16"/>
      <c r="I22" s="17">
        <v>106.654</v>
      </c>
      <c r="J22" s="58">
        <v>1099</v>
      </c>
      <c r="K22" s="18">
        <f t="shared" si="2"/>
        <v>59</v>
      </c>
      <c r="L22" s="19">
        <f t="shared" si="0"/>
        <v>-1.0000000000012221</v>
      </c>
      <c r="M22" s="19">
        <f t="shared" si="0"/>
        <v>-3.0000000000001137</v>
      </c>
      <c r="N22" s="19">
        <f t="shared" si="0"/>
        <v>-2.0000000000006679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-2.0000000000095497</v>
      </c>
      <c r="S22" s="27">
        <f t="shared" si="3"/>
        <v>0.24999999999986144</v>
      </c>
      <c r="T22" s="28">
        <f t="shared" si="3"/>
        <v>0</v>
      </c>
      <c r="U22" s="28">
        <f t="shared" si="3"/>
        <v>-0.24999999999986144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41870</v>
      </c>
      <c r="C23" s="25">
        <v>12.353999999999999</v>
      </c>
      <c r="D23" s="26">
        <v>6.9429999999999996</v>
      </c>
      <c r="E23" s="26">
        <v>8.01</v>
      </c>
      <c r="F23" s="16"/>
      <c r="G23" s="16"/>
      <c r="H23" s="16"/>
      <c r="I23" s="17">
        <v>106.65300000000001</v>
      </c>
      <c r="J23" s="58">
        <v>1105</v>
      </c>
      <c r="K23" s="18">
        <f t="shared" si="2"/>
        <v>65</v>
      </c>
      <c r="L23" s="19">
        <f t="shared" si="0"/>
        <v>-1.0000000000012221</v>
      </c>
      <c r="M23" s="19">
        <f t="shared" si="0"/>
        <v>-3.0000000000001137</v>
      </c>
      <c r="N23" s="19">
        <f t="shared" si="0"/>
        <v>-2.0000000000006679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-3.0000000000001137</v>
      </c>
      <c r="S23" s="27">
        <f t="shared" si="3"/>
        <v>0</v>
      </c>
      <c r="T23" s="28">
        <f t="shared" si="3"/>
        <v>0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41871</v>
      </c>
      <c r="C24" s="25">
        <v>12.353</v>
      </c>
      <c r="D24" s="26">
        <v>6.9429999999999996</v>
      </c>
      <c r="E24" s="26">
        <v>8.01</v>
      </c>
      <c r="F24" s="16"/>
      <c r="G24" s="16"/>
      <c r="H24" s="16"/>
      <c r="I24" s="17">
        <v>106.65300000000001</v>
      </c>
      <c r="J24" s="58">
        <v>1111</v>
      </c>
      <c r="K24" s="18">
        <f t="shared" si="2"/>
        <v>71</v>
      </c>
      <c r="L24" s="19">
        <f t="shared" si="0"/>
        <v>-2.0000000000006679</v>
      </c>
      <c r="M24" s="19">
        <f t="shared" si="0"/>
        <v>-3.0000000000001137</v>
      </c>
      <c r="N24" s="19">
        <f t="shared" si="0"/>
        <v>-2.0000000000006679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-3.0000000000001137</v>
      </c>
      <c r="S24" s="27">
        <f t="shared" si="3"/>
        <v>-0.99999999999944578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41872</v>
      </c>
      <c r="C25" s="25">
        <v>12.353999999999999</v>
      </c>
      <c r="D25" s="26">
        <v>6.9420000000000002</v>
      </c>
      <c r="E25" s="26">
        <v>8.01</v>
      </c>
      <c r="F25" s="16"/>
      <c r="G25" s="16"/>
      <c r="H25" s="16"/>
      <c r="I25" s="17">
        <v>106.65300000000001</v>
      </c>
      <c r="J25" s="58">
        <v>1113</v>
      </c>
      <c r="K25" s="18">
        <f t="shared" si="2"/>
        <v>73</v>
      </c>
      <c r="L25" s="19">
        <f t="shared" si="0"/>
        <v>-1.0000000000012221</v>
      </c>
      <c r="M25" s="19">
        <f t="shared" si="0"/>
        <v>-3.9999999999995595</v>
      </c>
      <c r="N25" s="19">
        <f t="shared" si="0"/>
        <v>-2.0000000000006679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-3.0000000000001137</v>
      </c>
      <c r="S25" s="27">
        <f t="shared" si="3"/>
        <v>0.99999999999944578</v>
      </c>
      <c r="T25" s="28">
        <f t="shared" si="3"/>
        <v>-0.99999999999944578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41873</v>
      </c>
      <c r="C26" s="25">
        <v>12.353</v>
      </c>
      <c r="D26" s="26">
        <v>6.9420000000000002</v>
      </c>
      <c r="E26" s="26">
        <v>8.01</v>
      </c>
      <c r="F26" s="16"/>
      <c r="G26" s="16"/>
      <c r="H26" s="16"/>
      <c r="I26" s="17">
        <v>106.65300000000001</v>
      </c>
      <c r="J26" s="58">
        <v>1118</v>
      </c>
      <c r="K26" s="18">
        <f t="shared" si="2"/>
        <v>78</v>
      </c>
      <c r="L26" s="19">
        <f t="shared" si="0"/>
        <v>-2.0000000000006679</v>
      </c>
      <c r="M26" s="19">
        <f t="shared" si="0"/>
        <v>-3.9999999999995595</v>
      </c>
      <c r="N26" s="19">
        <f t="shared" si="0"/>
        <v>-2.0000000000006679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-3.0000000000001137</v>
      </c>
      <c r="S26" s="27">
        <f t="shared" si="3"/>
        <v>-0.99999999999944578</v>
      </c>
      <c r="T26" s="28">
        <f t="shared" si="3"/>
        <v>0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41876</v>
      </c>
      <c r="C27" s="25">
        <v>12.353</v>
      </c>
      <c r="D27" s="26">
        <v>6.9420000000000002</v>
      </c>
      <c r="E27" s="26">
        <v>8.01</v>
      </c>
      <c r="F27" s="16"/>
      <c r="G27" s="16"/>
      <c r="H27" s="16"/>
      <c r="I27" s="17">
        <v>106.65300000000001</v>
      </c>
      <c r="J27" s="32">
        <v>1130</v>
      </c>
      <c r="K27" s="18">
        <f t="shared" si="2"/>
        <v>90</v>
      </c>
      <c r="L27" s="19">
        <f t="shared" si="0"/>
        <v>-2.0000000000006679</v>
      </c>
      <c r="M27" s="19">
        <f t="shared" si="0"/>
        <v>-3.9999999999995595</v>
      </c>
      <c r="N27" s="19">
        <f t="shared" si="0"/>
        <v>-2.0000000000006679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-3.0000000000001137</v>
      </c>
      <c r="S27" s="27">
        <f t="shared" si="3"/>
        <v>0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41883</v>
      </c>
      <c r="C28" s="25">
        <v>12.353</v>
      </c>
      <c r="D28" s="26">
        <v>6.9420000000000002</v>
      </c>
      <c r="E28" s="26">
        <v>8.01</v>
      </c>
      <c r="F28" s="16"/>
      <c r="G28" s="16"/>
      <c r="H28" s="16"/>
      <c r="I28" s="17">
        <v>106.65300000000001</v>
      </c>
      <c r="J28" s="32">
        <v>1170</v>
      </c>
      <c r="K28" s="18">
        <f t="shared" si="2"/>
        <v>130</v>
      </c>
      <c r="L28" s="19">
        <f t="shared" si="0"/>
        <v>-2.0000000000006679</v>
      </c>
      <c r="M28" s="19">
        <f t="shared" si="0"/>
        <v>-3.9999999999995595</v>
      </c>
      <c r="N28" s="19">
        <f t="shared" si="0"/>
        <v>-2.0000000000006679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1"/>
        <v>-3.0000000000001137</v>
      </c>
      <c r="S28" s="27">
        <f t="shared" si="3"/>
        <v>0</v>
      </c>
      <c r="T28" s="28">
        <f t="shared" si="3"/>
        <v>0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41890</v>
      </c>
      <c r="C29" s="25">
        <v>12.353</v>
      </c>
      <c r="D29" s="26">
        <v>6.9420000000000002</v>
      </c>
      <c r="E29" s="26">
        <v>8.01</v>
      </c>
      <c r="F29" s="16"/>
      <c r="G29" s="16"/>
      <c r="H29" s="16"/>
      <c r="I29" s="17">
        <v>106.652</v>
      </c>
      <c r="J29" s="58">
        <v>1177</v>
      </c>
      <c r="K29" s="18">
        <f>IF(ISBLANK(J29),"",(J29-$J$8))</f>
        <v>137</v>
      </c>
      <c r="L29" s="19">
        <f t="shared" si="0"/>
        <v>-2.0000000000006679</v>
      </c>
      <c r="M29" s="19">
        <f t="shared" si="0"/>
        <v>-3.9999999999995595</v>
      </c>
      <c r="N29" s="19">
        <f t="shared" si="0"/>
        <v>-2.0000000000006679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1"/>
        <v>-4.0000000000048885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41897</v>
      </c>
      <c r="C30" s="25">
        <v>12.353999999999999</v>
      </c>
      <c r="D30" s="26">
        <v>6.9420000000000002</v>
      </c>
      <c r="E30" s="26">
        <v>8.0109999999999992</v>
      </c>
      <c r="F30" s="16"/>
      <c r="G30" s="16"/>
      <c r="H30" s="16"/>
      <c r="I30" s="17">
        <v>106.652</v>
      </c>
      <c r="J30" s="58">
        <v>1191</v>
      </c>
      <c r="K30" s="18">
        <f>IF(ISBLANK(J30),"",(J30-$J$8))</f>
        <v>151</v>
      </c>
      <c r="L30" s="19">
        <f t="shared" si="0"/>
        <v>-1.0000000000012221</v>
      </c>
      <c r="M30" s="19">
        <f t="shared" si="0"/>
        <v>-3.9999999999995595</v>
      </c>
      <c r="N30" s="19">
        <f t="shared" si="0"/>
        <v>-1.0000000000012221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1"/>
        <v>-4.0000000000048885</v>
      </c>
      <c r="S30" s="27">
        <f t="shared" si="3"/>
        <v>0.14285714285706369</v>
      </c>
      <c r="T30" s="28">
        <f t="shared" si="3"/>
        <v>0</v>
      </c>
      <c r="U30" s="28">
        <f t="shared" si="3"/>
        <v>0.14285714285706369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41913</v>
      </c>
      <c r="C31" s="25">
        <v>12.353</v>
      </c>
      <c r="D31" s="26">
        <v>6.9409999999999998</v>
      </c>
      <c r="E31" s="26">
        <v>8.0109999999999992</v>
      </c>
      <c r="F31" s="16"/>
      <c r="G31" s="16"/>
      <c r="H31" s="16"/>
      <c r="I31" s="17">
        <v>106.652</v>
      </c>
      <c r="J31" s="58">
        <v>1277</v>
      </c>
      <c r="K31" s="18">
        <f>IF(ISBLANK(J31),"",(J31-$J$8))</f>
        <v>237</v>
      </c>
      <c r="L31" s="19">
        <f t="shared" si="0"/>
        <v>-2.0000000000006679</v>
      </c>
      <c r="M31" s="19">
        <f t="shared" si="0"/>
        <v>-4.9999999999998934</v>
      </c>
      <c r="N31" s="19">
        <f t="shared" si="0"/>
        <v>-1.0000000000012221</v>
      </c>
      <c r="O31" s="19" t="str">
        <f t="shared" si="0"/>
        <v/>
      </c>
      <c r="P31" s="19" t="str">
        <f t="shared" si="0"/>
        <v/>
      </c>
      <c r="Q31" s="19" t="str">
        <f t="shared" si="0"/>
        <v/>
      </c>
      <c r="R31" s="19">
        <f t="shared" si="1"/>
        <v>-4.0000000000048885</v>
      </c>
      <c r="S31" s="27">
        <f t="shared" si="3"/>
        <v>-6.2499999999965361E-2</v>
      </c>
      <c r="T31" s="28">
        <f t="shared" si="3"/>
        <v>-6.2500000000020872E-2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42032</v>
      </c>
      <c r="C32" s="25">
        <v>12.353</v>
      </c>
      <c r="D32" s="26">
        <v>6.9420000000000002</v>
      </c>
      <c r="E32" s="26">
        <v>8.0109999999999992</v>
      </c>
      <c r="F32" s="16"/>
      <c r="G32" s="16"/>
      <c r="H32" s="16"/>
      <c r="I32" s="17">
        <v>106.65300000000001</v>
      </c>
      <c r="J32" s="58">
        <v>1597</v>
      </c>
      <c r="K32" s="18">
        <f>IF(ISBLANK(J32),"",(J32-$J$8))</f>
        <v>557</v>
      </c>
      <c r="L32" s="19">
        <f t="shared" si="0"/>
        <v>-2.0000000000006679</v>
      </c>
      <c r="M32" s="19">
        <f t="shared" si="0"/>
        <v>-3.9999999999995595</v>
      </c>
      <c r="N32" s="19">
        <f t="shared" si="0"/>
        <v>-1.0000000000012221</v>
      </c>
      <c r="O32" s="19" t="str">
        <f t="shared" si="0"/>
        <v/>
      </c>
      <c r="P32" s="19" t="str">
        <f t="shared" si="0"/>
        <v/>
      </c>
      <c r="Q32" s="19" t="str">
        <f t="shared" si="0"/>
        <v/>
      </c>
      <c r="R32" s="19">
        <f t="shared" si="1"/>
        <v>-3.0000000000001137</v>
      </c>
      <c r="S32" s="27">
        <f t="shared" si="3"/>
        <v>0</v>
      </c>
      <c r="T32" s="28">
        <f t="shared" si="3"/>
        <v>8.4033613445406215E-3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42121</v>
      </c>
      <c r="C33" s="25">
        <v>12.353</v>
      </c>
      <c r="D33" s="26">
        <v>6.9420000000000002</v>
      </c>
      <c r="E33" s="26">
        <v>8.0109999999999992</v>
      </c>
      <c r="F33" s="16"/>
      <c r="G33" s="16"/>
      <c r="H33" s="16"/>
      <c r="I33" s="17">
        <v>106.652</v>
      </c>
      <c r="J33" s="58">
        <v>2011</v>
      </c>
      <c r="K33" s="18">
        <f>IF(ISBLANK(J33),"",(J33-$J$8))</f>
        <v>971</v>
      </c>
      <c r="L33" s="19">
        <f t="shared" si="0"/>
        <v>-2.0000000000006679</v>
      </c>
      <c r="M33" s="19">
        <f t="shared" si="0"/>
        <v>-3.9999999999995595</v>
      </c>
      <c r="N33" s="19">
        <f t="shared" si="0"/>
        <v>-1.0000000000012221</v>
      </c>
      <c r="O33" s="19" t="str">
        <f t="shared" si="0"/>
        <v/>
      </c>
      <c r="P33" s="19" t="str">
        <f t="shared" si="0"/>
        <v/>
      </c>
      <c r="Q33" s="19" t="str">
        <f t="shared" si="0"/>
        <v/>
      </c>
      <c r="R33" s="19">
        <f t="shared" si="1"/>
        <v>-4.0000000000048885</v>
      </c>
      <c r="S33" s="27">
        <f t="shared" ref="S33:X48" si="4">IF(C33="","",((C33-C32)*1000)/($B33-$B32))</f>
        <v>0</v>
      </c>
      <c r="T33" s="28">
        <f t="shared" si="4"/>
        <v>0</v>
      </c>
      <c r="U33" s="28">
        <f t="shared" si="4"/>
        <v>0</v>
      </c>
      <c r="V33" s="28" t="str">
        <f t="shared" si="4"/>
        <v/>
      </c>
      <c r="W33" s="28" t="str">
        <f t="shared" si="4"/>
        <v/>
      </c>
      <c r="X33" s="29" t="str">
        <f t="shared" si="4"/>
        <v/>
      </c>
      <c r="Y33" s="24"/>
    </row>
    <row r="34" spans="2:25" ht="15" customHeight="1" x14ac:dyDescent="0.2">
      <c r="B34" s="31">
        <v>42205</v>
      </c>
      <c r="C34" s="74">
        <v>12.388</v>
      </c>
      <c r="D34" s="26">
        <v>6.9420000000000002</v>
      </c>
      <c r="E34" s="70">
        <v>8.0820000000000007</v>
      </c>
      <c r="F34" s="16">
        <v>13.387</v>
      </c>
      <c r="G34" s="16">
        <v>9.6620000000000008</v>
      </c>
      <c r="H34" s="16">
        <v>10.449</v>
      </c>
      <c r="I34" s="17">
        <v>106.652</v>
      </c>
      <c r="J34" s="58">
        <v>1057</v>
      </c>
      <c r="K34" s="18">
        <f t="shared" ref="K34:K36" si="5">IF(ISBLANK(J34),"",(J34-$J$8))</f>
        <v>17</v>
      </c>
      <c r="L34" s="19">
        <f>IF(ISBLANK(C34),"",((C34-C$34)*1000)+L$33)</f>
        <v>-2.0000000000006679</v>
      </c>
      <c r="M34" s="19">
        <f t="shared" si="0"/>
        <v>-3.9999999999995595</v>
      </c>
      <c r="N34" s="19">
        <f>IF(ISBLANK(E34),"",(E34-E$34)*1000)</f>
        <v>0</v>
      </c>
      <c r="O34" s="19">
        <f>IF(ISBLANK(F34),"",((F34-F$34)*1000)+L$34)</f>
        <v>-2.0000000000006679</v>
      </c>
      <c r="P34" s="19">
        <f>IF(ISBLANK(G34),"",((G34-G$34)*1000)+M$34)</f>
        <v>-3.9999999999995595</v>
      </c>
      <c r="Q34" s="19">
        <f>IF(ISBLANK(H34),"",(H34-H$34)*1000)</f>
        <v>0</v>
      </c>
      <c r="R34" s="19">
        <f t="shared" si="1"/>
        <v>-4.0000000000048885</v>
      </c>
      <c r="S34" s="27">
        <f t="shared" si="4"/>
        <v>0.41666666666666835</v>
      </c>
      <c r="T34" s="28">
        <f t="shared" si="4"/>
        <v>0</v>
      </c>
      <c r="U34" s="28">
        <f t="shared" si="4"/>
        <v>0.84523809523811322</v>
      </c>
      <c r="V34" s="28"/>
      <c r="W34" s="28"/>
      <c r="X34" s="29"/>
      <c r="Y34" s="24" t="s">
        <v>53</v>
      </c>
    </row>
    <row r="35" spans="2:25" ht="15" customHeight="1" x14ac:dyDescent="0.2">
      <c r="B35" s="31">
        <v>42206</v>
      </c>
      <c r="C35" s="25">
        <v>12.388999999999999</v>
      </c>
      <c r="D35" s="26">
        <v>6.94</v>
      </c>
      <c r="E35" s="26">
        <v>8.0820000000000007</v>
      </c>
      <c r="F35" s="16">
        <v>13.387</v>
      </c>
      <c r="G35" s="16">
        <v>9.6609999999999996</v>
      </c>
      <c r="H35" s="16">
        <v>10.449</v>
      </c>
      <c r="I35" s="17">
        <v>106.651</v>
      </c>
      <c r="J35" s="58">
        <v>1081</v>
      </c>
      <c r="K35" s="18">
        <f t="shared" si="5"/>
        <v>41</v>
      </c>
      <c r="L35" s="19">
        <f t="shared" ref="L35:L98" si="6">IF(ISBLANK(C35),"",((C35-C$34)*1000)+L$33)</f>
        <v>-1.0000000000012221</v>
      </c>
      <c r="M35" s="19">
        <f t="shared" ref="M35:M98" si="7">IF(ISBLANK(D35),"",(D35-D$16)*1000)</f>
        <v>-5.9999999999993392</v>
      </c>
      <c r="N35" s="19">
        <f t="shared" ref="N35:N98" si="8">IF(ISBLANK(E35),"",(E35-E$34)*1000)</f>
        <v>0</v>
      </c>
      <c r="O35" s="19">
        <f t="shared" ref="O35:O98" si="9">IF(ISBLANK(F35),"",((F35-F$34)*1000)+L$34)</f>
        <v>-2.0000000000006679</v>
      </c>
      <c r="P35" s="19">
        <f t="shared" ref="P35:P98" si="10">IF(ISBLANK(G35),"",((G35-G$34)*1000)+M$34)</f>
        <v>-5.0000000000007816</v>
      </c>
      <c r="Q35" s="19">
        <f t="shared" ref="Q35:Q98" si="11">IF(ISBLANK(H35),"",(H35-H$34)*1000)</f>
        <v>0</v>
      </c>
      <c r="R35" s="19">
        <f t="shared" si="1"/>
        <v>-5.0000000000096634</v>
      </c>
      <c r="S35" s="27">
        <f t="shared" si="4"/>
        <v>0.99999999999944578</v>
      </c>
      <c r="T35" s="28">
        <f t="shared" si="4"/>
        <v>-1.9999999999997797</v>
      </c>
      <c r="U35" s="28">
        <f t="shared" si="4"/>
        <v>0</v>
      </c>
      <c r="V35" s="28">
        <f t="shared" si="4"/>
        <v>0</v>
      </c>
      <c r="W35" s="28">
        <f t="shared" si="4"/>
        <v>-1.0000000000012221</v>
      </c>
      <c r="X35" s="29">
        <f t="shared" si="4"/>
        <v>0</v>
      </c>
      <c r="Y35" s="24"/>
    </row>
    <row r="36" spans="2:25" ht="15" customHeight="1" x14ac:dyDescent="0.2">
      <c r="B36" s="31">
        <v>42209</v>
      </c>
      <c r="C36" s="25">
        <v>12.388999999999999</v>
      </c>
      <c r="D36" s="26">
        <v>6.94</v>
      </c>
      <c r="E36" s="26">
        <v>8.0820000000000007</v>
      </c>
      <c r="F36" s="16">
        <v>13.387</v>
      </c>
      <c r="G36" s="16">
        <v>9.6609999999999996</v>
      </c>
      <c r="H36" s="16">
        <v>10.448</v>
      </c>
      <c r="I36" s="17">
        <v>106.652</v>
      </c>
      <c r="J36" s="58">
        <v>1149</v>
      </c>
      <c r="K36" s="18">
        <f t="shared" si="5"/>
        <v>109</v>
      </c>
      <c r="L36" s="19">
        <f t="shared" si="6"/>
        <v>-1.0000000000012221</v>
      </c>
      <c r="M36" s="19">
        <f t="shared" si="7"/>
        <v>-5.9999999999993392</v>
      </c>
      <c r="N36" s="19">
        <f t="shared" si="8"/>
        <v>0</v>
      </c>
      <c r="O36" s="19">
        <f t="shared" si="9"/>
        <v>-2.0000000000006679</v>
      </c>
      <c r="P36" s="19">
        <f t="shared" si="10"/>
        <v>-5.0000000000007816</v>
      </c>
      <c r="Q36" s="19">
        <f t="shared" si="11"/>
        <v>-0.99999999999944578</v>
      </c>
      <c r="R36" s="19">
        <f t="shared" si="1"/>
        <v>-4.0000000000048885</v>
      </c>
      <c r="S36" s="27">
        <f t="shared" si="4"/>
        <v>0</v>
      </c>
      <c r="T36" s="28">
        <f t="shared" si="4"/>
        <v>0</v>
      </c>
      <c r="U36" s="28">
        <f t="shared" si="4"/>
        <v>0</v>
      </c>
      <c r="V36" s="28">
        <f t="shared" si="4"/>
        <v>0</v>
      </c>
      <c r="W36" s="28">
        <f t="shared" si="4"/>
        <v>0</v>
      </c>
      <c r="X36" s="29">
        <f t="shared" si="4"/>
        <v>-0.33333333333314857</v>
      </c>
      <c r="Y36" s="24"/>
    </row>
    <row r="37" spans="2:25" ht="15" customHeight="1" x14ac:dyDescent="0.2">
      <c r="B37" s="31">
        <v>42212</v>
      </c>
      <c r="C37" s="25">
        <v>12.388999999999999</v>
      </c>
      <c r="D37" s="26">
        <v>6.94</v>
      </c>
      <c r="E37" s="26">
        <v>8.0820000000000007</v>
      </c>
      <c r="F37" s="16">
        <v>13.385999999999999</v>
      </c>
      <c r="G37" s="16">
        <v>9.6609999999999996</v>
      </c>
      <c r="H37" s="16">
        <v>10.449</v>
      </c>
      <c r="I37" s="17">
        <v>106.652</v>
      </c>
      <c r="J37" s="58">
        <v>1175</v>
      </c>
      <c r="K37" s="18">
        <f t="shared" ref="K37:K39" si="12">IF(ISBLANK(J37),"",(J37-$J$8))</f>
        <v>135</v>
      </c>
      <c r="L37" s="19">
        <f t="shared" si="6"/>
        <v>-1.0000000000012221</v>
      </c>
      <c r="M37" s="19">
        <f t="shared" si="7"/>
        <v>-5.9999999999993392</v>
      </c>
      <c r="N37" s="19">
        <f t="shared" si="8"/>
        <v>0</v>
      </c>
      <c r="O37" s="19">
        <f t="shared" si="9"/>
        <v>-3.00000000000189</v>
      </c>
      <c r="P37" s="19">
        <f t="shared" si="10"/>
        <v>-5.0000000000007816</v>
      </c>
      <c r="Q37" s="19">
        <f t="shared" si="11"/>
        <v>0</v>
      </c>
      <c r="R37" s="19">
        <f t="shared" si="1"/>
        <v>-4.0000000000048885</v>
      </c>
      <c r="S37" s="27">
        <f t="shared" si="4"/>
        <v>0</v>
      </c>
      <c r="T37" s="28">
        <f t="shared" si="4"/>
        <v>0</v>
      </c>
      <c r="U37" s="28">
        <f t="shared" si="4"/>
        <v>0</v>
      </c>
      <c r="V37" s="28">
        <f t="shared" si="4"/>
        <v>-0.33333333333374071</v>
      </c>
      <c r="W37" s="28">
        <f t="shared" si="4"/>
        <v>0</v>
      </c>
      <c r="X37" s="29">
        <f t="shared" si="4"/>
        <v>0.33333333333314857</v>
      </c>
      <c r="Y37" s="24"/>
    </row>
    <row r="38" spans="2:25" ht="15" customHeight="1" x14ac:dyDescent="0.2">
      <c r="B38" s="31">
        <v>42213</v>
      </c>
      <c r="C38" s="25">
        <v>12.388999999999999</v>
      </c>
      <c r="D38" s="26">
        <v>6.94</v>
      </c>
      <c r="E38" s="26">
        <v>8.0820000000000007</v>
      </c>
      <c r="F38" s="16">
        <v>13.387</v>
      </c>
      <c r="G38" s="16">
        <v>9.6609999999999996</v>
      </c>
      <c r="H38" s="16">
        <v>10.449</v>
      </c>
      <c r="I38" s="17">
        <v>106.651</v>
      </c>
      <c r="J38" s="58">
        <v>1179</v>
      </c>
      <c r="K38" s="18">
        <f t="shared" si="12"/>
        <v>139</v>
      </c>
      <c r="L38" s="19">
        <f t="shared" si="6"/>
        <v>-1.0000000000012221</v>
      </c>
      <c r="M38" s="19">
        <f t="shared" si="7"/>
        <v>-5.9999999999993392</v>
      </c>
      <c r="N38" s="19">
        <f t="shared" si="8"/>
        <v>0</v>
      </c>
      <c r="O38" s="19">
        <f t="shared" si="9"/>
        <v>-2.0000000000006679</v>
      </c>
      <c r="P38" s="19">
        <f t="shared" si="10"/>
        <v>-5.0000000000007816</v>
      </c>
      <c r="Q38" s="19">
        <f t="shared" si="11"/>
        <v>0</v>
      </c>
      <c r="R38" s="19">
        <f t="shared" si="1"/>
        <v>-5.0000000000096634</v>
      </c>
      <c r="S38" s="27">
        <f t="shared" si="4"/>
        <v>0</v>
      </c>
      <c r="T38" s="28">
        <f t="shared" si="4"/>
        <v>0</v>
      </c>
      <c r="U38" s="28">
        <f t="shared" si="4"/>
        <v>0</v>
      </c>
      <c r="V38" s="28">
        <f t="shared" si="4"/>
        <v>1.0000000000012221</v>
      </c>
      <c r="W38" s="28">
        <f t="shared" si="4"/>
        <v>0</v>
      </c>
      <c r="X38" s="29">
        <f t="shared" si="4"/>
        <v>0</v>
      </c>
      <c r="Y38" s="24"/>
    </row>
    <row r="39" spans="2:25" ht="15" customHeight="1" x14ac:dyDescent="0.2">
      <c r="B39" s="31">
        <v>42214</v>
      </c>
      <c r="C39" s="25">
        <v>12.388999999999999</v>
      </c>
      <c r="D39" s="26">
        <v>6.9409999999999998</v>
      </c>
      <c r="E39" s="26">
        <v>8.0820000000000007</v>
      </c>
      <c r="F39" s="16">
        <v>13.387</v>
      </c>
      <c r="G39" s="16">
        <v>9.6620000000000008</v>
      </c>
      <c r="H39" s="16">
        <v>10.448</v>
      </c>
      <c r="I39" s="17">
        <v>106.652</v>
      </c>
      <c r="J39" s="58">
        <v>1183</v>
      </c>
      <c r="K39" s="18">
        <f t="shared" si="12"/>
        <v>143</v>
      </c>
      <c r="L39" s="19">
        <f t="shared" si="6"/>
        <v>-1.0000000000012221</v>
      </c>
      <c r="M39" s="19">
        <f t="shared" si="7"/>
        <v>-4.9999999999998934</v>
      </c>
      <c r="N39" s="19">
        <f t="shared" si="8"/>
        <v>0</v>
      </c>
      <c r="O39" s="19">
        <f t="shared" si="9"/>
        <v>-2.0000000000006679</v>
      </c>
      <c r="P39" s="19">
        <f t="shared" si="10"/>
        <v>-3.9999999999995595</v>
      </c>
      <c r="Q39" s="19">
        <f t="shared" si="11"/>
        <v>-0.99999999999944578</v>
      </c>
      <c r="R39" s="19">
        <f t="shared" si="1"/>
        <v>-4.0000000000048885</v>
      </c>
      <c r="S39" s="27">
        <f t="shared" si="4"/>
        <v>0</v>
      </c>
      <c r="T39" s="28">
        <f t="shared" si="4"/>
        <v>0.99999999999944578</v>
      </c>
      <c r="U39" s="28">
        <f t="shared" si="4"/>
        <v>0</v>
      </c>
      <c r="V39" s="28">
        <f t="shared" si="4"/>
        <v>0</v>
      </c>
      <c r="W39" s="28">
        <f t="shared" si="4"/>
        <v>1.0000000000012221</v>
      </c>
      <c r="X39" s="29">
        <f t="shared" si="4"/>
        <v>-0.99999999999944578</v>
      </c>
      <c r="Y39" s="24"/>
    </row>
    <row r="40" spans="2:25" ht="15" customHeight="1" x14ac:dyDescent="0.2">
      <c r="B40" s="31">
        <v>42215</v>
      </c>
      <c r="C40" s="25">
        <v>12.388</v>
      </c>
      <c r="D40" s="26">
        <v>6.9409999999999998</v>
      </c>
      <c r="E40" s="26">
        <v>8.0820000000000007</v>
      </c>
      <c r="F40" s="16">
        <v>13.385</v>
      </c>
      <c r="G40" s="16">
        <v>9.6609999999999996</v>
      </c>
      <c r="H40" s="16">
        <v>10.449</v>
      </c>
      <c r="I40" s="17">
        <v>106.652</v>
      </c>
      <c r="J40" s="58">
        <v>999</v>
      </c>
      <c r="K40" s="18">
        <f>IF(ISBLANK(J40),"",(J40-$J$8))</f>
        <v>-41</v>
      </c>
      <c r="L40" s="19">
        <f t="shared" si="6"/>
        <v>-2.0000000000006679</v>
      </c>
      <c r="M40" s="19">
        <f t="shared" si="7"/>
        <v>-4.9999999999998934</v>
      </c>
      <c r="N40" s="19">
        <f t="shared" si="8"/>
        <v>0</v>
      </c>
      <c r="O40" s="19">
        <f t="shared" si="9"/>
        <v>-4.0000000000013358</v>
      </c>
      <c r="P40" s="19">
        <f t="shared" si="10"/>
        <v>-5.0000000000007816</v>
      </c>
      <c r="Q40" s="19">
        <f t="shared" si="11"/>
        <v>0</v>
      </c>
      <c r="R40" s="19">
        <f t="shared" si="1"/>
        <v>-4.0000000000048885</v>
      </c>
      <c r="S40" s="27">
        <f t="shared" si="4"/>
        <v>-0.99999999999944578</v>
      </c>
      <c r="T40" s="28">
        <f t="shared" si="4"/>
        <v>0</v>
      </c>
      <c r="U40" s="28">
        <f t="shared" si="4"/>
        <v>0</v>
      </c>
      <c r="V40" s="28">
        <f t="shared" si="4"/>
        <v>-2.0000000000006679</v>
      </c>
      <c r="W40" s="28">
        <f t="shared" si="4"/>
        <v>-1.0000000000012221</v>
      </c>
      <c r="X40" s="29">
        <f t="shared" si="4"/>
        <v>0.99999999999944578</v>
      </c>
      <c r="Y40" s="24"/>
    </row>
    <row r="41" spans="2:25" ht="15" customHeight="1" x14ac:dyDescent="0.2">
      <c r="B41" s="31">
        <v>42219</v>
      </c>
      <c r="C41" s="25">
        <v>12.388999999999999</v>
      </c>
      <c r="D41" s="26">
        <v>6.94</v>
      </c>
      <c r="E41" s="26">
        <v>8.0820000000000007</v>
      </c>
      <c r="F41" s="16">
        <v>13.385999999999999</v>
      </c>
      <c r="G41" s="16">
        <v>9.6609999999999996</v>
      </c>
      <c r="H41" s="16">
        <v>10.449</v>
      </c>
      <c r="I41" s="17">
        <v>106.652</v>
      </c>
      <c r="J41" s="58">
        <v>1206</v>
      </c>
      <c r="K41" s="18">
        <f>IF(ISBLANK(J41),"",(J41-$J$8))</f>
        <v>166</v>
      </c>
      <c r="L41" s="19">
        <f t="shared" si="6"/>
        <v>-1.0000000000012221</v>
      </c>
      <c r="M41" s="19">
        <f t="shared" si="7"/>
        <v>-5.9999999999993392</v>
      </c>
      <c r="N41" s="19">
        <f t="shared" si="8"/>
        <v>0</v>
      </c>
      <c r="O41" s="19">
        <f t="shared" si="9"/>
        <v>-3.00000000000189</v>
      </c>
      <c r="P41" s="19">
        <f t="shared" si="10"/>
        <v>-5.0000000000007816</v>
      </c>
      <c r="Q41" s="19">
        <f t="shared" si="11"/>
        <v>0</v>
      </c>
      <c r="R41" s="19">
        <f t="shared" si="1"/>
        <v>-4.0000000000048885</v>
      </c>
      <c r="S41" s="27">
        <f t="shared" si="4"/>
        <v>0.24999999999986144</v>
      </c>
      <c r="T41" s="28">
        <f t="shared" si="4"/>
        <v>-0.24999999999986144</v>
      </c>
      <c r="U41" s="28">
        <f t="shared" si="4"/>
        <v>0</v>
      </c>
      <c r="V41" s="28">
        <f t="shared" si="4"/>
        <v>0.24999999999986144</v>
      </c>
      <c r="W41" s="28">
        <f t="shared" si="4"/>
        <v>0</v>
      </c>
      <c r="X41" s="29">
        <f t="shared" si="4"/>
        <v>0</v>
      </c>
      <c r="Y41" s="24"/>
    </row>
    <row r="42" spans="2:25" ht="15" customHeight="1" x14ac:dyDescent="0.2">
      <c r="B42" s="31">
        <v>42311</v>
      </c>
      <c r="C42" s="25">
        <v>12.388</v>
      </c>
      <c r="D42" s="26">
        <v>6.94</v>
      </c>
      <c r="E42" s="26">
        <v>8.0820000000000007</v>
      </c>
      <c r="F42" s="16">
        <v>13.385999999999999</v>
      </c>
      <c r="G42" s="16">
        <v>9.6609999999999996</v>
      </c>
      <c r="H42" s="16">
        <v>10.449</v>
      </c>
      <c r="I42" s="17">
        <v>106.652</v>
      </c>
      <c r="J42" s="58">
        <v>2203</v>
      </c>
      <c r="K42" s="59">
        <f t="shared" ref="K42:K44" si="13">IF(ISBLANK(J42),"",(J42-$J$8))</f>
        <v>1163</v>
      </c>
      <c r="L42" s="19">
        <f t="shared" si="6"/>
        <v>-2.0000000000006679</v>
      </c>
      <c r="M42" s="19">
        <f t="shared" si="7"/>
        <v>-5.9999999999993392</v>
      </c>
      <c r="N42" s="19">
        <f t="shared" si="8"/>
        <v>0</v>
      </c>
      <c r="O42" s="19">
        <f t="shared" si="9"/>
        <v>-3.00000000000189</v>
      </c>
      <c r="P42" s="19">
        <f t="shared" si="10"/>
        <v>-5.0000000000007816</v>
      </c>
      <c r="Q42" s="19">
        <f t="shared" si="11"/>
        <v>0</v>
      </c>
      <c r="R42" s="19">
        <f t="shared" si="1"/>
        <v>-4.0000000000048885</v>
      </c>
      <c r="S42" s="27">
        <f t="shared" si="4"/>
        <v>-1.0869565217385279E-2</v>
      </c>
      <c r="T42" s="28">
        <f t="shared" si="4"/>
        <v>0</v>
      </c>
      <c r="U42" s="28">
        <f t="shared" si="4"/>
        <v>0</v>
      </c>
      <c r="V42" s="28">
        <f t="shared" si="4"/>
        <v>0</v>
      </c>
      <c r="W42" s="28">
        <f t="shared" si="4"/>
        <v>0</v>
      </c>
      <c r="X42" s="29">
        <f t="shared" si="4"/>
        <v>0</v>
      </c>
      <c r="Y42" s="24"/>
    </row>
    <row r="43" spans="2:25" ht="15" customHeight="1" x14ac:dyDescent="0.2">
      <c r="B43" s="31">
        <v>42404</v>
      </c>
      <c r="C43" s="33"/>
      <c r="D43" s="16"/>
      <c r="E43" s="16"/>
      <c r="F43" s="16">
        <v>13.387</v>
      </c>
      <c r="G43" s="16">
        <v>9.6620000000000008</v>
      </c>
      <c r="H43" s="16">
        <v>10.449</v>
      </c>
      <c r="I43" s="17">
        <v>106.652</v>
      </c>
      <c r="J43" s="58">
        <v>2484</v>
      </c>
      <c r="K43" s="18">
        <f t="shared" si="13"/>
        <v>1444</v>
      </c>
      <c r="L43" s="19" t="str">
        <f t="shared" si="6"/>
        <v/>
      </c>
      <c r="M43" s="19" t="str">
        <f t="shared" si="7"/>
        <v/>
      </c>
      <c r="N43" s="19" t="str">
        <f t="shared" si="8"/>
        <v/>
      </c>
      <c r="O43" s="19">
        <f t="shared" si="9"/>
        <v>-2.0000000000006679</v>
      </c>
      <c r="P43" s="19">
        <f t="shared" si="10"/>
        <v>-3.9999999999995595</v>
      </c>
      <c r="Q43" s="19">
        <f t="shared" si="11"/>
        <v>0</v>
      </c>
      <c r="R43" s="19">
        <f t="shared" si="1"/>
        <v>-4.0000000000048885</v>
      </c>
      <c r="S43" s="27" t="str">
        <f t="shared" si="4"/>
        <v/>
      </c>
      <c r="T43" s="28" t="str">
        <f t="shared" si="4"/>
        <v/>
      </c>
      <c r="U43" s="28" t="str">
        <f t="shared" si="4"/>
        <v/>
      </c>
      <c r="V43" s="28">
        <f t="shared" si="4"/>
        <v>1.0752688172056152E-2</v>
      </c>
      <c r="W43" s="28">
        <f t="shared" si="4"/>
        <v>1.0752688172056152E-2</v>
      </c>
      <c r="X43" s="29">
        <f t="shared" si="4"/>
        <v>0</v>
      </c>
      <c r="Y43" s="24"/>
    </row>
    <row r="44" spans="2:25" ht="15" customHeight="1" x14ac:dyDescent="0.2">
      <c r="B44" s="31">
        <v>42530</v>
      </c>
      <c r="C44" s="26"/>
      <c r="D44" s="26"/>
      <c r="E44" s="26"/>
      <c r="F44" s="16">
        <v>13.387</v>
      </c>
      <c r="G44" s="16">
        <v>9.6609999999999996</v>
      </c>
      <c r="H44" s="16">
        <v>10.45</v>
      </c>
      <c r="I44" s="17">
        <v>106.651</v>
      </c>
      <c r="J44" s="58">
        <v>2608</v>
      </c>
      <c r="K44" s="18">
        <f t="shared" si="13"/>
        <v>1568</v>
      </c>
      <c r="L44" s="19" t="str">
        <f t="shared" si="6"/>
        <v/>
      </c>
      <c r="M44" s="19" t="str">
        <f t="shared" si="7"/>
        <v/>
      </c>
      <c r="N44" s="19" t="str">
        <f t="shared" si="8"/>
        <v/>
      </c>
      <c r="O44" s="19">
        <f t="shared" si="9"/>
        <v>-2.0000000000006679</v>
      </c>
      <c r="P44" s="19">
        <f t="shared" si="10"/>
        <v>-5.0000000000007816</v>
      </c>
      <c r="Q44" s="19">
        <f t="shared" si="11"/>
        <v>0.99999999999944578</v>
      </c>
      <c r="R44" s="19">
        <f t="shared" si="1"/>
        <v>-5.0000000000096634</v>
      </c>
      <c r="S44" s="27" t="str">
        <f t="shared" si="4"/>
        <v/>
      </c>
      <c r="T44" s="28" t="str">
        <f t="shared" si="4"/>
        <v/>
      </c>
      <c r="U44" s="28" t="str">
        <f t="shared" si="4"/>
        <v/>
      </c>
      <c r="V44" s="28">
        <f t="shared" si="4"/>
        <v>0</v>
      </c>
      <c r="W44" s="28">
        <f t="shared" si="4"/>
        <v>-7.9365079365176366E-3</v>
      </c>
      <c r="X44" s="29">
        <f t="shared" si="4"/>
        <v>7.9365079365035385E-3</v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6"/>
        <v/>
      </c>
      <c r="M45" s="19" t="str">
        <f t="shared" si="7"/>
        <v/>
      </c>
      <c r="N45" s="19" t="str">
        <f t="shared" si="8"/>
        <v/>
      </c>
      <c r="O45" s="19" t="str">
        <f t="shared" si="9"/>
        <v/>
      </c>
      <c r="P45" s="19" t="str">
        <f t="shared" si="10"/>
        <v/>
      </c>
      <c r="Q45" s="19" t="str">
        <f t="shared" si="11"/>
        <v/>
      </c>
      <c r="R45" s="19" t="str">
        <f t="shared" si="1"/>
        <v/>
      </c>
      <c r="S45" s="27" t="str">
        <f t="shared" si="4"/>
        <v/>
      </c>
      <c r="T45" s="28" t="str">
        <f t="shared" si="4"/>
        <v/>
      </c>
      <c r="U45" s="28" t="str">
        <f t="shared" si="4"/>
        <v/>
      </c>
      <c r="V45" s="28" t="str">
        <f t="shared" si="4"/>
        <v/>
      </c>
      <c r="W45" s="28" t="str">
        <f t="shared" si="4"/>
        <v/>
      </c>
      <c r="X45" s="29" t="str">
        <f t="shared" si="4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6"/>
        <v/>
      </c>
      <c r="M46" s="19" t="str">
        <f t="shared" si="7"/>
        <v/>
      </c>
      <c r="N46" s="19" t="str">
        <f t="shared" si="8"/>
        <v/>
      </c>
      <c r="O46" s="19" t="str">
        <f t="shared" si="9"/>
        <v/>
      </c>
      <c r="P46" s="19" t="str">
        <f t="shared" si="10"/>
        <v/>
      </c>
      <c r="Q46" s="19" t="str">
        <f t="shared" si="11"/>
        <v/>
      </c>
      <c r="R46" s="19" t="str">
        <f t="shared" si="1"/>
        <v/>
      </c>
      <c r="S46" s="27" t="str">
        <f t="shared" si="4"/>
        <v/>
      </c>
      <c r="T46" s="28" t="str">
        <f t="shared" si="4"/>
        <v/>
      </c>
      <c r="U46" s="28" t="str">
        <f t="shared" si="4"/>
        <v/>
      </c>
      <c r="V46" s="28" t="str">
        <f t="shared" si="4"/>
        <v/>
      </c>
      <c r="W46" s="28" t="str">
        <f t="shared" si="4"/>
        <v/>
      </c>
      <c r="X46" s="29" t="str">
        <f t="shared" si="4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6"/>
        <v/>
      </c>
      <c r="M47" s="19" t="str">
        <f t="shared" si="7"/>
        <v/>
      </c>
      <c r="N47" s="19" t="str">
        <f t="shared" si="8"/>
        <v/>
      </c>
      <c r="O47" s="19" t="str">
        <f t="shared" si="9"/>
        <v/>
      </c>
      <c r="P47" s="19" t="str">
        <f t="shared" si="10"/>
        <v/>
      </c>
      <c r="Q47" s="19" t="str">
        <f t="shared" si="11"/>
        <v/>
      </c>
      <c r="R47" s="19" t="str">
        <f t="shared" si="1"/>
        <v/>
      </c>
      <c r="S47" s="27" t="str">
        <f t="shared" si="4"/>
        <v/>
      </c>
      <c r="T47" s="28" t="str">
        <f t="shared" si="4"/>
        <v/>
      </c>
      <c r="U47" s="28" t="str">
        <f t="shared" si="4"/>
        <v/>
      </c>
      <c r="V47" s="28" t="str">
        <f t="shared" si="4"/>
        <v/>
      </c>
      <c r="W47" s="28" t="str">
        <f t="shared" si="4"/>
        <v/>
      </c>
      <c r="X47" s="29" t="str">
        <f t="shared" si="4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6"/>
        <v/>
      </c>
      <c r="M48" s="19" t="str">
        <f t="shared" si="7"/>
        <v/>
      </c>
      <c r="N48" s="19" t="str">
        <f t="shared" si="8"/>
        <v/>
      </c>
      <c r="O48" s="19" t="str">
        <f t="shared" si="9"/>
        <v/>
      </c>
      <c r="P48" s="19" t="str">
        <f t="shared" si="10"/>
        <v/>
      </c>
      <c r="Q48" s="19" t="str">
        <f t="shared" si="11"/>
        <v/>
      </c>
      <c r="R48" s="19" t="str">
        <f t="shared" si="1"/>
        <v/>
      </c>
      <c r="S48" s="27" t="str">
        <f t="shared" si="4"/>
        <v/>
      </c>
      <c r="T48" s="28" t="str">
        <f t="shared" si="4"/>
        <v/>
      </c>
      <c r="U48" s="28" t="str">
        <f t="shared" si="4"/>
        <v/>
      </c>
      <c r="V48" s="28" t="str">
        <f t="shared" si="4"/>
        <v/>
      </c>
      <c r="W48" s="28" t="str">
        <f t="shared" si="4"/>
        <v/>
      </c>
      <c r="X48" s="29" t="str">
        <f t="shared" si="4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6"/>
        <v/>
      </c>
      <c r="M49" s="19" t="str">
        <f t="shared" si="7"/>
        <v/>
      </c>
      <c r="N49" s="19" t="str">
        <f t="shared" si="8"/>
        <v/>
      </c>
      <c r="O49" s="19" t="str">
        <f t="shared" si="9"/>
        <v/>
      </c>
      <c r="P49" s="19" t="str">
        <f t="shared" si="10"/>
        <v/>
      </c>
      <c r="Q49" s="19" t="str">
        <f t="shared" si="11"/>
        <v/>
      </c>
      <c r="R49" s="19" t="str">
        <f t="shared" si="1"/>
        <v/>
      </c>
      <c r="S49" s="27" t="str">
        <f t="shared" ref="S49:X64" si="14">IF(C49="","",((C49-C48)*1000)/($B49-$B48))</f>
        <v/>
      </c>
      <c r="T49" s="28" t="str">
        <f t="shared" si="14"/>
        <v/>
      </c>
      <c r="U49" s="28" t="str">
        <f t="shared" si="14"/>
        <v/>
      </c>
      <c r="V49" s="28" t="str">
        <f t="shared" si="14"/>
        <v/>
      </c>
      <c r="W49" s="28" t="str">
        <f t="shared" si="14"/>
        <v/>
      </c>
      <c r="X49" s="29" t="str">
        <f t="shared" si="14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6"/>
        <v/>
      </c>
      <c r="M50" s="19" t="str">
        <f t="shared" si="7"/>
        <v/>
      </c>
      <c r="N50" s="19" t="str">
        <f t="shared" si="8"/>
        <v/>
      </c>
      <c r="O50" s="19" t="str">
        <f t="shared" si="9"/>
        <v/>
      </c>
      <c r="P50" s="19" t="str">
        <f t="shared" si="10"/>
        <v/>
      </c>
      <c r="Q50" s="19" t="str">
        <f t="shared" si="11"/>
        <v/>
      </c>
      <c r="R50" s="19" t="str">
        <f t="shared" si="1"/>
        <v/>
      </c>
      <c r="S50" s="27" t="str">
        <f t="shared" si="14"/>
        <v/>
      </c>
      <c r="T50" s="28" t="str">
        <f t="shared" si="14"/>
        <v/>
      </c>
      <c r="U50" s="28" t="str">
        <f t="shared" si="14"/>
        <v/>
      </c>
      <c r="V50" s="28" t="str">
        <f t="shared" si="14"/>
        <v/>
      </c>
      <c r="W50" s="28" t="str">
        <f t="shared" si="14"/>
        <v/>
      </c>
      <c r="X50" s="29" t="str">
        <f t="shared" si="14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6"/>
        <v/>
      </c>
      <c r="M51" s="19" t="str">
        <f t="shared" si="7"/>
        <v/>
      </c>
      <c r="N51" s="19" t="str">
        <f t="shared" si="8"/>
        <v/>
      </c>
      <c r="O51" s="19" t="str">
        <f t="shared" si="9"/>
        <v/>
      </c>
      <c r="P51" s="19" t="str">
        <f t="shared" si="10"/>
        <v/>
      </c>
      <c r="Q51" s="19" t="str">
        <f t="shared" si="11"/>
        <v/>
      </c>
      <c r="R51" s="19" t="str">
        <f t="shared" si="1"/>
        <v/>
      </c>
      <c r="S51" s="27" t="str">
        <f t="shared" si="14"/>
        <v/>
      </c>
      <c r="T51" s="28" t="str">
        <f t="shared" si="14"/>
        <v/>
      </c>
      <c r="U51" s="28" t="str">
        <f t="shared" si="14"/>
        <v/>
      </c>
      <c r="V51" s="28" t="str">
        <f t="shared" si="14"/>
        <v/>
      </c>
      <c r="W51" s="28" t="str">
        <f t="shared" si="14"/>
        <v/>
      </c>
      <c r="X51" s="29" t="str">
        <f t="shared" si="14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6"/>
        <v/>
      </c>
      <c r="M52" s="19" t="str">
        <f t="shared" si="7"/>
        <v/>
      </c>
      <c r="N52" s="19" t="str">
        <f t="shared" si="8"/>
        <v/>
      </c>
      <c r="O52" s="19" t="str">
        <f t="shared" si="9"/>
        <v/>
      </c>
      <c r="P52" s="19" t="str">
        <f t="shared" si="10"/>
        <v/>
      </c>
      <c r="Q52" s="19" t="str">
        <f t="shared" si="11"/>
        <v/>
      </c>
      <c r="R52" s="19" t="str">
        <f t="shared" si="1"/>
        <v/>
      </c>
      <c r="S52" s="27" t="str">
        <f t="shared" si="14"/>
        <v/>
      </c>
      <c r="T52" s="28" t="str">
        <f t="shared" si="14"/>
        <v/>
      </c>
      <c r="U52" s="28" t="str">
        <f t="shared" si="14"/>
        <v/>
      </c>
      <c r="V52" s="28" t="str">
        <f t="shared" si="14"/>
        <v/>
      </c>
      <c r="W52" s="28" t="str">
        <f t="shared" si="14"/>
        <v/>
      </c>
      <c r="X52" s="29" t="str">
        <f t="shared" si="14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6"/>
        <v/>
      </c>
      <c r="M53" s="19" t="str">
        <f t="shared" si="7"/>
        <v/>
      </c>
      <c r="N53" s="19" t="str">
        <f t="shared" si="8"/>
        <v/>
      </c>
      <c r="O53" s="19" t="str">
        <f t="shared" si="9"/>
        <v/>
      </c>
      <c r="P53" s="19" t="str">
        <f t="shared" si="10"/>
        <v/>
      </c>
      <c r="Q53" s="19" t="str">
        <f t="shared" si="11"/>
        <v/>
      </c>
      <c r="R53" s="19" t="str">
        <f t="shared" si="1"/>
        <v/>
      </c>
      <c r="S53" s="27" t="str">
        <f t="shared" si="14"/>
        <v/>
      </c>
      <c r="T53" s="28" t="str">
        <f t="shared" si="14"/>
        <v/>
      </c>
      <c r="U53" s="28" t="str">
        <f t="shared" si="14"/>
        <v/>
      </c>
      <c r="V53" s="28" t="str">
        <f t="shared" si="14"/>
        <v/>
      </c>
      <c r="W53" s="28" t="str">
        <f t="shared" si="14"/>
        <v/>
      </c>
      <c r="X53" s="29" t="str">
        <f t="shared" si="14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6"/>
        <v/>
      </c>
      <c r="M54" s="19" t="str">
        <f t="shared" si="7"/>
        <v/>
      </c>
      <c r="N54" s="19" t="str">
        <f t="shared" si="8"/>
        <v/>
      </c>
      <c r="O54" s="19" t="str">
        <f t="shared" si="9"/>
        <v/>
      </c>
      <c r="P54" s="19" t="str">
        <f t="shared" si="10"/>
        <v/>
      </c>
      <c r="Q54" s="19" t="str">
        <f t="shared" si="11"/>
        <v/>
      </c>
      <c r="R54" s="19" t="str">
        <f t="shared" si="1"/>
        <v/>
      </c>
      <c r="S54" s="27" t="str">
        <f t="shared" si="14"/>
        <v/>
      </c>
      <c r="T54" s="28" t="str">
        <f t="shared" si="14"/>
        <v/>
      </c>
      <c r="U54" s="28" t="str">
        <f t="shared" si="14"/>
        <v/>
      </c>
      <c r="V54" s="28" t="str">
        <f t="shared" si="14"/>
        <v/>
      </c>
      <c r="W54" s="28" t="str">
        <f t="shared" si="14"/>
        <v/>
      </c>
      <c r="X54" s="29" t="str">
        <f t="shared" si="14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6"/>
        <v/>
      </c>
      <c r="M55" s="19" t="str">
        <f t="shared" si="7"/>
        <v/>
      </c>
      <c r="N55" s="19" t="str">
        <f t="shared" si="8"/>
        <v/>
      </c>
      <c r="O55" s="19" t="str">
        <f t="shared" si="9"/>
        <v/>
      </c>
      <c r="P55" s="19" t="str">
        <f t="shared" si="10"/>
        <v/>
      </c>
      <c r="Q55" s="19" t="str">
        <f t="shared" si="11"/>
        <v/>
      </c>
      <c r="R55" s="19" t="str">
        <f t="shared" si="1"/>
        <v/>
      </c>
      <c r="S55" s="27" t="str">
        <f t="shared" si="14"/>
        <v/>
      </c>
      <c r="T55" s="28" t="str">
        <f t="shared" si="14"/>
        <v/>
      </c>
      <c r="U55" s="28" t="str">
        <f t="shared" si="14"/>
        <v/>
      </c>
      <c r="V55" s="28" t="str">
        <f t="shared" si="14"/>
        <v/>
      </c>
      <c r="W55" s="28" t="str">
        <f t="shared" si="14"/>
        <v/>
      </c>
      <c r="X55" s="29" t="str">
        <f t="shared" si="14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6"/>
        <v/>
      </c>
      <c r="M56" s="19" t="str">
        <f t="shared" si="7"/>
        <v/>
      </c>
      <c r="N56" s="19" t="str">
        <f t="shared" si="8"/>
        <v/>
      </c>
      <c r="O56" s="19" t="str">
        <f t="shared" si="9"/>
        <v/>
      </c>
      <c r="P56" s="19" t="str">
        <f t="shared" si="10"/>
        <v/>
      </c>
      <c r="Q56" s="19" t="str">
        <f t="shared" si="11"/>
        <v/>
      </c>
      <c r="R56" s="19" t="str">
        <f t="shared" si="1"/>
        <v/>
      </c>
      <c r="S56" s="27" t="str">
        <f t="shared" si="14"/>
        <v/>
      </c>
      <c r="T56" s="28" t="str">
        <f t="shared" si="14"/>
        <v/>
      </c>
      <c r="U56" s="28" t="str">
        <f t="shared" si="14"/>
        <v/>
      </c>
      <c r="V56" s="28" t="str">
        <f t="shared" si="14"/>
        <v/>
      </c>
      <c r="W56" s="28" t="str">
        <f t="shared" si="14"/>
        <v/>
      </c>
      <c r="X56" s="29" t="str">
        <f t="shared" si="14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6"/>
        <v/>
      </c>
      <c r="M57" s="19" t="str">
        <f t="shared" si="7"/>
        <v/>
      </c>
      <c r="N57" s="19" t="str">
        <f t="shared" si="8"/>
        <v/>
      </c>
      <c r="O57" s="19" t="str">
        <f t="shared" si="9"/>
        <v/>
      </c>
      <c r="P57" s="19" t="str">
        <f t="shared" si="10"/>
        <v/>
      </c>
      <c r="Q57" s="19" t="str">
        <f t="shared" si="11"/>
        <v/>
      </c>
      <c r="R57" s="19" t="str">
        <f t="shared" si="1"/>
        <v/>
      </c>
      <c r="S57" s="27" t="str">
        <f t="shared" si="14"/>
        <v/>
      </c>
      <c r="T57" s="28" t="str">
        <f t="shared" si="14"/>
        <v/>
      </c>
      <c r="U57" s="28" t="str">
        <f t="shared" si="14"/>
        <v/>
      </c>
      <c r="V57" s="28" t="str">
        <f t="shared" si="14"/>
        <v/>
      </c>
      <c r="W57" s="28" t="str">
        <f t="shared" si="14"/>
        <v/>
      </c>
      <c r="X57" s="29" t="str">
        <f t="shared" si="14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6"/>
        <v/>
      </c>
      <c r="M58" s="19" t="str">
        <f t="shared" si="7"/>
        <v/>
      </c>
      <c r="N58" s="19" t="str">
        <f t="shared" si="8"/>
        <v/>
      </c>
      <c r="O58" s="19" t="str">
        <f t="shared" si="9"/>
        <v/>
      </c>
      <c r="P58" s="19" t="str">
        <f t="shared" si="10"/>
        <v/>
      </c>
      <c r="Q58" s="19" t="str">
        <f t="shared" si="11"/>
        <v/>
      </c>
      <c r="R58" s="19" t="str">
        <f t="shared" si="1"/>
        <v/>
      </c>
      <c r="S58" s="27" t="str">
        <f t="shared" si="14"/>
        <v/>
      </c>
      <c r="T58" s="28" t="str">
        <f t="shared" si="14"/>
        <v/>
      </c>
      <c r="U58" s="28" t="str">
        <f t="shared" si="14"/>
        <v/>
      </c>
      <c r="V58" s="28" t="str">
        <f t="shared" si="14"/>
        <v/>
      </c>
      <c r="W58" s="28" t="str">
        <f t="shared" si="14"/>
        <v/>
      </c>
      <c r="X58" s="29" t="str">
        <f t="shared" si="14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6"/>
        <v/>
      </c>
      <c r="M59" s="19" t="str">
        <f t="shared" si="7"/>
        <v/>
      </c>
      <c r="N59" s="19" t="str">
        <f t="shared" si="8"/>
        <v/>
      </c>
      <c r="O59" s="19" t="str">
        <f t="shared" si="9"/>
        <v/>
      </c>
      <c r="P59" s="19" t="str">
        <f t="shared" si="10"/>
        <v/>
      </c>
      <c r="Q59" s="19" t="str">
        <f t="shared" si="11"/>
        <v/>
      </c>
      <c r="R59" s="19" t="str">
        <f t="shared" si="1"/>
        <v/>
      </c>
      <c r="S59" s="27" t="str">
        <f t="shared" si="14"/>
        <v/>
      </c>
      <c r="T59" s="28" t="str">
        <f t="shared" si="14"/>
        <v/>
      </c>
      <c r="U59" s="28" t="str">
        <f t="shared" si="14"/>
        <v/>
      </c>
      <c r="V59" s="28" t="str">
        <f t="shared" si="14"/>
        <v/>
      </c>
      <c r="W59" s="28" t="str">
        <f t="shared" si="14"/>
        <v/>
      </c>
      <c r="X59" s="29" t="str">
        <f t="shared" si="14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6"/>
        <v/>
      </c>
      <c r="M60" s="19" t="str">
        <f t="shared" si="7"/>
        <v/>
      </c>
      <c r="N60" s="19" t="str">
        <f t="shared" si="8"/>
        <v/>
      </c>
      <c r="O60" s="19" t="str">
        <f t="shared" si="9"/>
        <v/>
      </c>
      <c r="P60" s="19" t="str">
        <f t="shared" si="10"/>
        <v/>
      </c>
      <c r="Q60" s="19" t="str">
        <f t="shared" si="11"/>
        <v/>
      </c>
      <c r="R60" s="19" t="str">
        <f t="shared" si="1"/>
        <v/>
      </c>
      <c r="S60" s="27" t="str">
        <f t="shared" si="14"/>
        <v/>
      </c>
      <c r="T60" s="28" t="str">
        <f t="shared" si="14"/>
        <v/>
      </c>
      <c r="U60" s="28" t="str">
        <f t="shared" si="14"/>
        <v/>
      </c>
      <c r="V60" s="28" t="str">
        <f t="shared" si="14"/>
        <v/>
      </c>
      <c r="W60" s="28" t="str">
        <f t="shared" si="14"/>
        <v/>
      </c>
      <c r="X60" s="29" t="str">
        <f t="shared" si="14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6"/>
        <v/>
      </c>
      <c r="M61" s="19" t="str">
        <f t="shared" si="7"/>
        <v/>
      </c>
      <c r="N61" s="19" t="str">
        <f t="shared" si="8"/>
        <v/>
      </c>
      <c r="O61" s="19" t="str">
        <f t="shared" si="9"/>
        <v/>
      </c>
      <c r="P61" s="19" t="str">
        <f t="shared" si="10"/>
        <v/>
      </c>
      <c r="Q61" s="19" t="str">
        <f t="shared" si="11"/>
        <v/>
      </c>
      <c r="R61" s="19" t="str">
        <f t="shared" si="1"/>
        <v/>
      </c>
      <c r="S61" s="27" t="str">
        <f t="shared" si="14"/>
        <v/>
      </c>
      <c r="T61" s="28" t="str">
        <f t="shared" si="14"/>
        <v/>
      </c>
      <c r="U61" s="28" t="str">
        <f t="shared" si="14"/>
        <v/>
      </c>
      <c r="V61" s="28" t="str">
        <f t="shared" si="14"/>
        <v/>
      </c>
      <c r="W61" s="28" t="str">
        <f t="shared" si="14"/>
        <v/>
      </c>
      <c r="X61" s="29" t="str">
        <f t="shared" si="14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6"/>
        <v/>
      </c>
      <c r="M62" s="19" t="str">
        <f t="shared" si="7"/>
        <v/>
      </c>
      <c r="N62" s="19" t="str">
        <f t="shared" si="8"/>
        <v/>
      </c>
      <c r="O62" s="19" t="str">
        <f t="shared" si="9"/>
        <v/>
      </c>
      <c r="P62" s="19" t="str">
        <f t="shared" si="10"/>
        <v/>
      </c>
      <c r="Q62" s="19" t="str">
        <f t="shared" si="11"/>
        <v/>
      </c>
      <c r="R62" s="19" t="str">
        <f t="shared" si="1"/>
        <v/>
      </c>
      <c r="S62" s="27" t="str">
        <f t="shared" si="14"/>
        <v/>
      </c>
      <c r="T62" s="28" t="str">
        <f t="shared" si="14"/>
        <v/>
      </c>
      <c r="U62" s="28" t="str">
        <f t="shared" si="14"/>
        <v/>
      </c>
      <c r="V62" s="28" t="str">
        <f t="shared" si="14"/>
        <v/>
      </c>
      <c r="W62" s="28" t="str">
        <f t="shared" si="14"/>
        <v/>
      </c>
      <c r="X62" s="29" t="str">
        <f t="shared" si="14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6"/>
        <v/>
      </c>
      <c r="M63" s="19" t="str">
        <f t="shared" si="7"/>
        <v/>
      </c>
      <c r="N63" s="19" t="str">
        <f t="shared" si="8"/>
        <v/>
      </c>
      <c r="O63" s="19" t="str">
        <f t="shared" si="9"/>
        <v/>
      </c>
      <c r="P63" s="19" t="str">
        <f t="shared" si="10"/>
        <v/>
      </c>
      <c r="Q63" s="19" t="str">
        <f t="shared" si="11"/>
        <v/>
      </c>
      <c r="R63" s="19" t="str">
        <f t="shared" si="1"/>
        <v/>
      </c>
      <c r="S63" s="27" t="str">
        <f t="shared" si="14"/>
        <v/>
      </c>
      <c r="T63" s="28" t="str">
        <f t="shared" si="14"/>
        <v/>
      </c>
      <c r="U63" s="28" t="str">
        <f t="shared" si="14"/>
        <v/>
      </c>
      <c r="V63" s="28" t="str">
        <f t="shared" si="14"/>
        <v/>
      </c>
      <c r="W63" s="28" t="str">
        <f t="shared" si="14"/>
        <v/>
      </c>
      <c r="X63" s="29" t="str">
        <f t="shared" si="14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6"/>
        <v/>
      </c>
      <c r="M64" s="19" t="str">
        <f t="shared" si="7"/>
        <v/>
      </c>
      <c r="N64" s="19" t="str">
        <f t="shared" si="8"/>
        <v/>
      </c>
      <c r="O64" s="19" t="str">
        <f t="shared" si="9"/>
        <v/>
      </c>
      <c r="P64" s="19" t="str">
        <f t="shared" si="10"/>
        <v/>
      </c>
      <c r="Q64" s="19" t="str">
        <f t="shared" si="11"/>
        <v/>
      </c>
      <c r="R64" s="19" t="str">
        <f t="shared" si="1"/>
        <v/>
      </c>
      <c r="S64" s="27" t="str">
        <f t="shared" si="14"/>
        <v/>
      </c>
      <c r="T64" s="28" t="str">
        <f t="shared" si="14"/>
        <v/>
      </c>
      <c r="U64" s="28" t="str">
        <f t="shared" si="14"/>
        <v/>
      </c>
      <c r="V64" s="28" t="str">
        <f t="shared" si="14"/>
        <v/>
      </c>
      <c r="W64" s="28" t="str">
        <f t="shared" si="14"/>
        <v/>
      </c>
      <c r="X64" s="29" t="str">
        <f t="shared" si="14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6"/>
        <v/>
      </c>
      <c r="M65" s="19" t="str">
        <f t="shared" si="7"/>
        <v/>
      </c>
      <c r="N65" s="19" t="str">
        <f t="shared" si="8"/>
        <v/>
      </c>
      <c r="O65" s="19" t="str">
        <f t="shared" si="9"/>
        <v/>
      </c>
      <c r="P65" s="19" t="str">
        <f t="shared" si="10"/>
        <v/>
      </c>
      <c r="Q65" s="19" t="str">
        <f t="shared" si="11"/>
        <v/>
      </c>
      <c r="R65" s="19" t="str">
        <f t="shared" si="1"/>
        <v/>
      </c>
      <c r="S65" s="27" t="str">
        <f t="shared" ref="S65:X80" si="15">IF(C65="","",((C65-C64)*1000)/($B65-$B64))</f>
        <v/>
      </c>
      <c r="T65" s="28" t="str">
        <f t="shared" si="15"/>
        <v/>
      </c>
      <c r="U65" s="28" t="str">
        <f t="shared" si="15"/>
        <v/>
      </c>
      <c r="V65" s="28" t="str">
        <f t="shared" si="15"/>
        <v/>
      </c>
      <c r="W65" s="28" t="str">
        <f t="shared" si="15"/>
        <v/>
      </c>
      <c r="X65" s="29" t="str">
        <f t="shared" si="15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6"/>
        <v/>
      </c>
      <c r="M66" s="19" t="str">
        <f t="shared" si="7"/>
        <v/>
      </c>
      <c r="N66" s="19" t="str">
        <f t="shared" si="8"/>
        <v/>
      </c>
      <c r="O66" s="19" t="str">
        <f t="shared" si="9"/>
        <v/>
      </c>
      <c r="P66" s="19" t="str">
        <f t="shared" si="10"/>
        <v/>
      </c>
      <c r="Q66" s="19" t="str">
        <f t="shared" si="11"/>
        <v/>
      </c>
      <c r="R66" s="19" t="str">
        <f t="shared" si="1"/>
        <v/>
      </c>
      <c r="S66" s="27" t="str">
        <f t="shared" si="15"/>
        <v/>
      </c>
      <c r="T66" s="28" t="str">
        <f t="shared" si="15"/>
        <v/>
      </c>
      <c r="U66" s="28" t="str">
        <f t="shared" si="15"/>
        <v/>
      </c>
      <c r="V66" s="28" t="str">
        <f t="shared" si="15"/>
        <v/>
      </c>
      <c r="W66" s="28" t="str">
        <f t="shared" si="15"/>
        <v/>
      </c>
      <c r="X66" s="29" t="str">
        <f t="shared" si="15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6"/>
        <v/>
      </c>
      <c r="M67" s="19" t="str">
        <f t="shared" si="7"/>
        <v/>
      </c>
      <c r="N67" s="19" t="str">
        <f t="shared" si="8"/>
        <v/>
      </c>
      <c r="O67" s="19" t="str">
        <f t="shared" si="9"/>
        <v/>
      </c>
      <c r="P67" s="19" t="str">
        <f t="shared" si="10"/>
        <v/>
      </c>
      <c r="Q67" s="19" t="str">
        <f t="shared" si="11"/>
        <v/>
      </c>
      <c r="R67" s="19" t="str">
        <f t="shared" si="1"/>
        <v/>
      </c>
      <c r="S67" s="27" t="str">
        <f t="shared" si="15"/>
        <v/>
      </c>
      <c r="T67" s="28" t="str">
        <f t="shared" si="15"/>
        <v/>
      </c>
      <c r="U67" s="28" t="str">
        <f t="shared" si="15"/>
        <v/>
      </c>
      <c r="V67" s="28" t="str">
        <f t="shared" si="15"/>
        <v/>
      </c>
      <c r="W67" s="28" t="str">
        <f t="shared" si="15"/>
        <v/>
      </c>
      <c r="X67" s="29" t="str">
        <f t="shared" si="15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6"/>
        <v/>
      </c>
      <c r="M68" s="19" t="str">
        <f t="shared" si="7"/>
        <v/>
      </c>
      <c r="N68" s="19" t="str">
        <f t="shared" si="8"/>
        <v/>
      </c>
      <c r="O68" s="19" t="str">
        <f t="shared" si="9"/>
        <v/>
      </c>
      <c r="P68" s="19" t="str">
        <f t="shared" si="10"/>
        <v/>
      </c>
      <c r="Q68" s="19" t="str">
        <f t="shared" si="11"/>
        <v/>
      </c>
      <c r="R68" s="19" t="str">
        <f t="shared" si="1"/>
        <v/>
      </c>
      <c r="S68" s="27" t="str">
        <f t="shared" si="15"/>
        <v/>
      </c>
      <c r="T68" s="28" t="str">
        <f t="shared" si="15"/>
        <v/>
      </c>
      <c r="U68" s="28" t="str">
        <f t="shared" si="15"/>
        <v/>
      </c>
      <c r="V68" s="28" t="str">
        <f t="shared" si="15"/>
        <v/>
      </c>
      <c r="W68" s="28" t="str">
        <f t="shared" si="15"/>
        <v/>
      </c>
      <c r="X68" s="29" t="str">
        <f t="shared" si="15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6"/>
        <v/>
      </c>
      <c r="M69" s="19" t="str">
        <f t="shared" si="7"/>
        <v/>
      </c>
      <c r="N69" s="19" t="str">
        <f t="shared" si="8"/>
        <v/>
      </c>
      <c r="O69" s="19" t="str">
        <f t="shared" si="9"/>
        <v/>
      </c>
      <c r="P69" s="19" t="str">
        <f t="shared" si="10"/>
        <v/>
      </c>
      <c r="Q69" s="19" t="str">
        <f t="shared" si="11"/>
        <v/>
      </c>
      <c r="R69" s="19" t="str">
        <f t="shared" si="1"/>
        <v/>
      </c>
      <c r="S69" s="27" t="str">
        <f t="shared" si="15"/>
        <v/>
      </c>
      <c r="T69" s="28" t="str">
        <f t="shared" si="15"/>
        <v/>
      </c>
      <c r="U69" s="28" t="str">
        <f t="shared" si="15"/>
        <v/>
      </c>
      <c r="V69" s="28" t="str">
        <f t="shared" si="15"/>
        <v/>
      </c>
      <c r="W69" s="28" t="str">
        <f t="shared" si="15"/>
        <v/>
      </c>
      <c r="X69" s="29" t="str">
        <f t="shared" si="15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6"/>
        <v/>
      </c>
      <c r="M70" s="19" t="str">
        <f t="shared" si="7"/>
        <v/>
      </c>
      <c r="N70" s="19" t="str">
        <f t="shared" si="8"/>
        <v/>
      </c>
      <c r="O70" s="19" t="str">
        <f t="shared" si="9"/>
        <v/>
      </c>
      <c r="P70" s="19" t="str">
        <f t="shared" si="10"/>
        <v/>
      </c>
      <c r="Q70" s="19" t="str">
        <f t="shared" si="11"/>
        <v/>
      </c>
      <c r="R70" s="19" t="str">
        <f t="shared" si="1"/>
        <v/>
      </c>
      <c r="S70" s="27" t="str">
        <f t="shared" si="15"/>
        <v/>
      </c>
      <c r="T70" s="28" t="str">
        <f t="shared" si="15"/>
        <v/>
      </c>
      <c r="U70" s="28" t="str">
        <f t="shared" si="15"/>
        <v/>
      </c>
      <c r="V70" s="28" t="str">
        <f t="shared" si="15"/>
        <v/>
      </c>
      <c r="W70" s="28" t="str">
        <f t="shared" si="15"/>
        <v/>
      </c>
      <c r="X70" s="29" t="str">
        <f t="shared" si="15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6"/>
        <v/>
      </c>
      <c r="M71" s="19" t="str">
        <f t="shared" si="7"/>
        <v/>
      </c>
      <c r="N71" s="19" t="str">
        <f t="shared" si="8"/>
        <v/>
      </c>
      <c r="O71" s="19" t="str">
        <f t="shared" si="9"/>
        <v/>
      </c>
      <c r="P71" s="19" t="str">
        <f t="shared" si="10"/>
        <v/>
      </c>
      <c r="Q71" s="19" t="str">
        <f t="shared" si="11"/>
        <v/>
      </c>
      <c r="R71" s="19" t="str">
        <f t="shared" si="1"/>
        <v/>
      </c>
      <c r="S71" s="27" t="str">
        <f t="shared" si="15"/>
        <v/>
      </c>
      <c r="T71" s="28" t="str">
        <f t="shared" si="15"/>
        <v/>
      </c>
      <c r="U71" s="28" t="str">
        <f t="shared" si="15"/>
        <v/>
      </c>
      <c r="V71" s="28" t="str">
        <f t="shared" si="15"/>
        <v/>
      </c>
      <c r="W71" s="28" t="str">
        <f t="shared" si="15"/>
        <v/>
      </c>
      <c r="X71" s="29" t="str">
        <f t="shared" si="15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6"/>
        <v/>
      </c>
      <c r="M72" s="19" t="str">
        <f t="shared" si="7"/>
        <v/>
      </c>
      <c r="N72" s="19" t="str">
        <f t="shared" si="8"/>
        <v/>
      </c>
      <c r="O72" s="19" t="str">
        <f t="shared" si="9"/>
        <v/>
      </c>
      <c r="P72" s="19" t="str">
        <f t="shared" si="10"/>
        <v/>
      </c>
      <c r="Q72" s="19" t="str">
        <f t="shared" si="11"/>
        <v/>
      </c>
      <c r="R72" s="19" t="str">
        <f t="shared" si="1"/>
        <v/>
      </c>
      <c r="S72" s="27" t="str">
        <f t="shared" si="15"/>
        <v/>
      </c>
      <c r="T72" s="28" t="str">
        <f t="shared" si="15"/>
        <v/>
      </c>
      <c r="U72" s="28" t="str">
        <f t="shared" si="15"/>
        <v/>
      </c>
      <c r="V72" s="28" t="str">
        <f t="shared" si="15"/>
        <v/>
      </c>
      <c r="W72" s="28" t="str">
        <f t="shared" si="15"/>
        <v/>
      </c>
      <c r="X72" s="29" t="str">
        <f t="shared" si="15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6"/>
        <v/>
      </c>
      <c r="M73" s="19" t="str">
        <f t="shared" si="7"/>
        <v/>
      </c>
      <c r="N73" s="19" t="str">
        <f t="shared" si="8"/>
        <v/>
      </c>
      <c r="O73" s="19" t="str">
        <f t="shared" si="9"/>
        <v/>
      </c>
      <c r="P73" s="19" t="str">
        <f t="shared" si="10"/>
        <v/>
      </c>
      <c r="Q73" s="19" t="str">
        <f t="shared" si="11"/>
        <v/>
      </c>
      <c r="R73" s="19" t="str">
        <f t="shared" si="1"/>
        <v/>
      </c>
      <c r="S73" s="27" t="str">
        <f t="shared" si="15"/>
        <v/>
      </c>
      <c r="T73" s="28" t="str">
        <f t="shared" si="15"/>
        <v/>
      </c>
      <c r="U73" s="28" t="str">
        <f t="shared" si="15"/>
        <v/>
      </c>
      <c r="V73" s="28" t="str">
        <f t="shared" si="15"/>
        <v/>
      </c>
      <c r="W73" s="28" t="str">
        <f t="shared" si="15"/>
        <v/>
      </c>
      <c r="X73" s="29" t="str">
        <f t="shared" si="15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6"/>
        <v/>
      </c>
      <c r="M74" s="19" t="str">
        <f t="shared" si="7"/>
        <v/>
      </c>
      <c r="N74" s="19" t="str">
        <f t="shared" si="8"/>
        <v/>
      </c>
      <c r="O74" s="19" t="str">
        <f t="shared" si="9"/>
        <v/>
      </c>
      <c r="P74" s="19" t="str">
        <f t="shared" si="10"/>
        <v/>
      </c>
      <c r="Q74" s="19" t="str">
        <f t="shared" si="11"/>
        <v/>
      </c>
      <c r="R74" s="19" t="str">
        <f t="shared" si="1"/>
        <v/>
      </c>
      <c r="S74" s="27" t="str">
        <f t="shared" si="15"/>
        <v/>
      </c>
      <c r="T74" s="28" t="str">
        <f t="shared" si="15"/>
        <v/>
      </c>
      <c r="U74" s="28" t="str">
        <f t="shared" si="15"/>
        <v/>
      </c>
      <c r="V74" s="28" t="str">
        <f t="shared" si="15"/>
        <v/>
      </c>
      <c r="W74" s="28" t="str">
        <f t="shared" si="15"/>
        <v/>
      </c>
      <c r="X74" s="29" t="str">
        <f t="shared" si="15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6"/>
        <v/>
      </c>
      <c r="M75" s="19" t="str">
        <f t="shared" si="7"/>
        <v/>
      </c>
      <c r="N75" s="19" t="str">
        <f t="shared" si="8"/>
        <v/>
      </c>
      <c r="O75" s="19" t="str">
        <f t="shared" si="9"/>
        <v/>
      </c>
      <c r="P75" s="19" t="str">
        <f t="shared" si="10"/>
        <v/>
      </c>
      <c r="Q75" s="19" t="str">
        <f t="shared" si="11"/>
        <v/>
      </c>
      <c r="R75" s="19" t="str">
        <f t="shared" si="1"/>
        <v/>
      </c>
      <c r="S75" s="27" t="str">
        <f t="shared" si="15"/>
        <v/>
      </c>
      <c r="T75" s="28" t="str">
        <f t="shared" si="15"/>
        <v/>
      </c>
      <c r="U75" s="28" t="str">
        <f t="shared" si="15"/>
        <v/>
      </c>
      <c r="V75" s="28" t="str">
        <f t="shared" si="15"/>
        <v/>
      </c>
      <c r="W75" s="28" t="str">
        <f t="shared" si="15"/>
        <v/>
      </c>
      <c r="X75" s="29" t="str">
        <f t="shared" si="15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6"/>
        <v/>
      </c>
      <c r="M76" s="19" t="str">
        <f t="shared" si="7"/>
        <v/>
      </c>
      <c r="N76" s="19" t="str">
        <f t="shared" si="8"/>
        <v/>
      </c>
      <c r="O76" s="19" t="str">
        <f t="shared" si="9"/>
        <v/>
      </c>
      <c r="P76" s="19" t="str">
        <f t="shared" si="10"/>
        <v/>
      </c>
      <c r="Q76" s="19" t="str">
        <f t="shared" si="11"/>
        <v/>
      </c>
      <c r="R76" s="19" t="str">
        <f t="shared" si="1"/>
        <v/>
      </c>
      <c r="S76" s="27" t="str">
        <f t="shared" si="15"/>
        <v/>
      </c>
      <c r="T76" s="28" t="str">
        <f t="shared" si="15"/>
        <v/>
      </c>
      <c r="U76" s="28" t="str">
        <f t="shared" si="15"/>
        <v/>
      </c>
      <c r="V76" s="28" t="str">
        <f t="shared" si="15"/>
        <v/>
      </c>
      <c r="W76" s="28" t="str">
        <f t="shared" si="15"/>
        <v/>
      </c>
      <c r="X76" s="29" t="str">
        <f t="shared" si="15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6"/>
        <v/>
      </c>
      <c r="M77" s="19" t="str">
        <f t="shared" si="7"/>
        <v/>
      </c>
      <c r="N77" s="19" t="str">
        <f t="shared" si="8"/>
        <v/>
      </c>
      <c r="O77" s="19" t="str">
        <f t="shared" si="9"/>
        <v/>
      </c>
      <c r="P77" s="19" t="str">
        <f t="shared" si="10"/>
        <v/>
      </c>
      <c r="Q77" s="19" t="str">
        <f t="shared" si="11"/>
        <v/>
      </c>
      <c r="R77" s="19" t="str">
        <f t="shared" si="1"/>
        <v/>
      </c>
      <c r="S77" s="27" t="str">
        <f t="shared" si="15"/>
        <v/>
      </c>
      <c r="T77" s="28" t="str">
        <f t="shared" si="15"/>
        <v/>
      </c>
      <c r="U77" s="28" t="str">
        <f t="shared" si="15"/>
        <v/>
      </c>
      <c r="V77" s="28" t="str">
        <f t="shared" si="15"/>
        <v/>
      </c>
      <c r="W77" s="28" t="str">
        <f t="shared" si="15"/>
        <v/>
      </c>
      <c r="X77" s="29" t="str">
        <f t="shared" si="15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6"/>
        <v/>
      </c>
      <c r="M78" s="19" t="str">
        <f t="shared" si="7"/>
        <v/>
      </c>
      <c r="N78" s="19" t="str">
        <f t="shared" si="8"/>
        <v/>
      </c>
      <c r="O78" s="19" t="str">
        <f t="shared" si="9"/>
        <v/>
      </c>
      <c r="P78" s="19" t="str">
        <f t="shared" si="10"/>
        <v/>
      </c>
      <c r="Q78" s="19" t="str">
        <f t="shared" si="11"/>
        <v/>
      </c>
      <c r="R78" s="19" t="str">
        <f t="shared" si="1"/>
        <v/>
      </c>
      <c r="S78" s="27" t="str">
        <f t="shared" si="15"/>
        <v/>
      </c>
      <c r="T78" s="28" t="str">
        <f t="shared" si="15"/>
        <v/>
      </c>
      <c r="U78" s="28" t="str">
        <f t="shared" si="15"/>
        <v/>
      </c>
      <c r="V78" s="28" t="str">
        <f t="shared" si="15"/>
        <v/>
      </c>
      <c r="W78" s="28" t="str">
        <f t="shared" si="15"/>
        <v/>
      </c>
      <c r="X78" s="29" t="str">
        <f t="shared" si="15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6"/>
        <v/>
      </c>
      <c r="M79" s="19" t="str">
        <f t="shared" si="7"/>
        <v/>
      </c>
      <c r="N79" s="19" t="str">
        <f t="shared" si="8"/>
        <v/>
      </c>
      <c r="O79" s="19" t="str">
        <f t="shared" si="9"/>
        <v/>
      </c>
      <c r="P79" s="19" t="str">
        <f t="shared" si="10"/>
        <v/>
      </c>
      <c r="Q79" s="19" t="str">
        <f t="shared" si="11"/>
        <v/>
      </c>
      <c r="R79" s="19" t="str">
        <f t="shared" si="1"/>
        <v/>
      </c>
      <c r="S79" s="27" t="str">
        <f t="shared" si="15"/>
        <v/>
      </c>
      <c r="T79" s="28" t="str">
        <f t="shared" si="15"/>
        <v/>
      </c>
      <c r="U79" s="28" t="str">
        <f t="shared" si="15"/>
        <v/>
      </c>
      <c r="V79" s="28" t="str">
        <f t="shared" si="15"/>
        <v/>
      </c>
      <c r="W79" s="28" t="str">
        <f t="shared" si="15"/>
        <v/>
      </c>
      <c r="X79" s="29" t="str">
        <f t="shared" si="15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6"/>
        <v/>
      </c>
      <c r="M80" s="19" t="str">
        <f t="shared" si="7"/>
        <v/>
      </c>
      <c r="N80" s="19" t="str">
        <f t="shared" si="8"/>
        <v/>
      </c>
      <c r="O80" s="19" t="str">
        <f t="shared" si="9"/>
        <v/>
      </c>
      <c r="P80" s="19" t="str">
        <f t="shared" si="10"/>
        <v/>
      </c>
      <c r="Q80" s="19" t="str">
        <f t="shared" si="11"/>
        <v/>
      </c>
      <c r="R80" s="19" t="str">
        <f t="shared" ref="R80:R111" si="16">IF(ISBLANK(I80),"",(I80-I$16)*1000)</f>
        <v/>
      </c>
      <c r="S80" s="27" t="str">
        <f t="shared" si="15"/>
        <v/>
      </c>
      <c r="T80" s="28" t="str">
        <f t="shared" si="15"/>
        <v/>
      </c>
      <c r="U80" s="28" t="str">
        <f t="shared" si="15"/>
        <v/>
      </c>
      <c r="V80" s="28" t="str">
        <f t="shared" si="15"/>
        <v/>
      </c>
      <c r="W80" s="28" t="str">
        <f t="shared" si="15"/>
        <v/>
      </c>
      <c r="X80" s="29" t="str">
        <f t="shared" si="15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6"/>
        <v/>
      </c>
      <c r="M81" s="19" t="str">
        <f t="shared" si="7"/>
        <v/>
      </c>
      <c r="N81" s="19" t="str">
        <f t="shared" si="8"/>
        <v/>
      </c>
      <c r="O81" s="19" t="str">
        <f t="shared" si="9"/>
        <v/>
      </c>
      <c r="P81" s="19" t="str">
        <f t="shared" si="10"/>
        <v/>
      </c>
      <c r="Q81" s="19" t="str">
        <f t="shared" si="11"/>
        <v/>
      </c>
      <c r="R81" s="19" t="str">
        <f t="shared" si="16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6"/>
        <v/>
      </c>
      <c r="M82" s="19" t="str">
        <f t="shared" si="7"/>
        <v/>
      </c>
      <c r="N82" s="19" t="str">
        <f t="shared" si="8"/>
        <v/>
      </c>
      <c r="O82" s="19" t="str">
        <f t="shared" si="9"/>
        <v/>
      </c>
      <c r="P82" s="19" t="str">
        <f t="shared" si="10"/>
        <v/>
      </c>
      <c r="Q82" s="19" t="str">
        <f t="shared" si="11"/>
        <v/>
      </c>
      <c r="R82" s="19" t="str">
        <f t="shared" si="16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6"/>
        <v/>
      </c>
      <c r="M83" s="19" t="str">
        <f t="shared" si="7"/>
        <v/>
      </c>
      <c r="N83" s="19" t="str">
        <f t="shared" si="8"/>
        <v/>
      </c>
      <c r="O83" s="19" t="str">
        <f t="shared" si="9"/>
        <v/>
      </c>
      <c r="P83" s="19" t="str">
        <f t="shared" si="10"/>
        <v/>
      </c>
      <c r="Q83" s="19" t="str">
        <f t="shared" si="11"/>
        <v/>
      </c>
      <c r="R83" s="19" t="str">
        <f t="shared" si="16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6"/>
        <v/>
      </c>
      <c r="M84" s="19" t="str">
        <f t="shared" si="7"/>
        <v/>
      </c>
      <c r="N84" s="19" t="str">
        <f t="shared" si="8"/>
        <v/>
      </c>
      <c r="O84" s="19" t="str">
        <f t="shared" si="9"/>
        <v/>
      </c>
      <c r="P84" s="19" t="str">
        <f t="shared" si="10"/>
        <v/>
      </c>
      <c r="Q84" s="19" t="str">
        <f t="shared" si="11"/>
        <v/>
      </c>
      <c r="R84" s="19" t="str">
        <f t="shared" si="16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6"/>
        <v/>
      </c>
      <c r="M85" s="19" t="str">
        <f t="shared" si="7"/>
        <v/>
      </c>
      <c r="N85" s="19" t="str">
        <f t="shared" si="8"/>
        <v/>
      </c>
      <c r="O85" s="19" t="str">
        <f t="shared" si="9"/>
        <v/>
      </c>
      <c r="P85" s="19" t="str">
        <f t="shared" si="10"/>
        <v/>
      </c>
      <c r="Q85" s="19" t="str">
        <f t="shared" si="11"/>
        <v/>
      </c>
      <c r="R85" s="19" t="str">
        <f t="shared" si="16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6"/>
        <v/>
      </c>
      <c r="M86" s="19" t="str">
        <f t="shared" si="7"/>
        <v/>
      </c>
      <c r="N86" s="19" t="str">
        <f t="shared" si="8"/>
        <v/>
      </c>
      <c r="O86" s="19" t="str">
        <f t="shared" si="9"/>
        <v/>
      </c>
      <c r="P86" s="19" t="str">
        <f t="shared" si="10"/>
        <v/>
      </c>
      <c r="Q86" s="19" t="str">
        <f t="shared" si="11"/>
        <v/>
      </c>
      <c r="R86" s="19" t="str">
        <f t="shared" si="16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6"/>
        <v/>
      </c>
      <c r="M87" s="19" t="str">
        <f t="shared" si="7"/>
        <v/>
      </c>
      <c r="N87" s="19" t="str">
        <f t="shared" si="8"/>
        <v/>
      </c>
      <c r="O87" s="19" t="str">
        <f t="shared" si="9"/>
        <v/>
      </c>
      <c r="P87" s="19" t="str">
        <f t="shared" si="10"/>
        <v/>
      </c>
      <c r="Q87" s="19" t="str">
        <f t="shared" si="11"/>
        <v/>
      </c>
      <c r="R87" s="19" t="str">
        <f t="shared" si="16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6"/>
        <v/>
      </c>
      <c r="M88" s="19" t="str">
        <f t="shared" si="7"/>
        <v/>
      </c>
      <c r="N88" s="19" t="str">
        <f t="shared" si="8"/>
        <v/>
      </c>
      <c r="O88" s="19" t="str">
        <f t="shared" si="9"/>
        <v/>
      </c>
      <c r="P88" s="19" t="str">
        <f t="shared" si="10"/>
        <v/>
      </c>
      <c r="Q88" s="19" t="str">
        <f t="shared" si="11"/>
        <v/>
      </c>
      <c r="R88" s="19" t="str">
        <f t="shared" si="16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6"/>
        <v/>
      </c>
      <c r="M89" s="19" t="str">
        <f t="shared" si="7"/>
        <v/>
      </c>
      <c r="N89" s="19" t="str">
        <f t="shared" si="8"/>
        <v/>
      </c>
      <c r="O89" s="19" t="str">
        <f t="shared" si="9"/>
        <v/>
      </c>
      <c r="P89" s="19" t="str">
        <f t="shared" si="10"/>
        <v/>
      </c>
      <c r="Q89" s="19" t="str">
        <f t="shared" si="11"/>
        <v/>
      </c>
      <c r="R89" s="19" t="str">
        <f t="shared" si="16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6"/>
        <v/>
      </c>
      <c r="M90" s="19" t="str">
        <f t="shared" si="7"/>
        <v/>
      </c>
      <c r="N90" s="19" t="str">
        <f t="shared" si="8"/>
        <v/>
      </c>
      <c r="O90" s="19" t="str">
        <f t="shared" si="9"/>
        <v/>
      </c>
      <c r="P90" s="19" t="str">
        <f t="shared" si="10"/>
        <v/>
      </c>
      <c r="Q90" s="19" t="str">
        <f t="shared" si="11"/>
        <v/>
      </c>
      <c r="R90" s="19" t="str">
        <f t="shared" si="16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6"/>
        <v/>
      </c>
      <c r="M91" s="19" t="str">
        <f t="shared" si="7"/>
        <v/>
      </c>
      <c r="N91" s="19" t="str">
        <f t="shared" si="8"/>
        <v/>
      </c>
      <c r="O91" s="19" t="str">
        <f t="shared" si="9"/>
        <v/>
      </c>
      <c r="P91" s="19" t="str">
        <f t="shared" si="10"/>
        <v/>
      </c>
      <c r="Q91" s="19" t="str">
        <f t="shared" si="11"/>
        <v/>
      </c>
      <c r="R91" s="19" t="str">
        <f t="shared" si="16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6"/>
        <v/>
      </c>
      <c r="M92" s="19" t="str">
        <f t="shared" si="7"/>
        <v/>
      </c>
      <c r="N92" s="19" t="str">
        <f t="shared" si="8"/>
        <v/>
      </c>
      <c r="O92" s="19" t="str">
        <f t="shared" si="9"/>
        <v/>
      </c>
      <c r="P92" s="19" t="str">
        <f t="shared" si="10"/>
        <v/>
      </c>
      <c r="Q92" s="19" t="str">
        <f t="shared" si="11"/>
        <v/>
      </c>
      <c r="R92" s="19" t="str">
        <f t="shared" si="16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6"/>
        <v/>
      </c>
      <c r="M93" s="19" t="str">
        <f t="shared" si="7"/>
        <v/>
      </c>
      <c r="N93" s="19" t="str">
        <f t="shared" si="8"/>
        <v/>
      </c>
      <c r="O93" s="19" t="str">
        <f t="shared" si="9"/>
        <v/>
      </c>
      <c r="P93" s="19" t="str">
        <f t="shared" si="10"/>
        <v/>
      </c>
      <c r="Q93" s="19" t="str">
        <f t="shared" si="11"/>
        <v/>
      </c>
      <c r="R93" s="19" t="str">
        <f t="shared" si="16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6"/>
        <v/>
      </c>
      <c r="M94" s="19" t="str">
        <f t="shared" si="7"/>
        <v/>
      </c>
      <c r="N94" s="19" t="str">
        <f t="shared" si="8"/>
        <v/>
      </c>
      <c r="O94" s="19" t="str">
        <f t="shared" si="9"/>
        <v/>
      </c>
      <c r="P94" s="19" t="str">
        <f t="shared" si="10"/>
        <v/>
      </c>
      <c r="Q94" s="19" t="str">
        <f t="shared" si="11"/>
        <v/>
      </c>
      <c r="R94" s="19" t="str">
        <f t="shared" si="16"/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6"/>
        <v/>
      </c>
      <c r="M95" s="19" t="str">
        <f t="shared" si="7"/>
        <v/>
      </c>
      <c r="N95" s="19" t="str">
        <f t="shared" si="8"/>
        <v/>
      </c>
      <c r="O95" s="19" t="str">
        <f t="shared" si="9"/>
        <v/>
      </c>
      <c r="P95" s="19" t="str">
        <f t="shared" si="10"/>
        <v/>
      </c>
      <c r="Q95" s="19" t="str">
        <f t="shared" si="11"/>
        <v/>
      </c>
      <c r="R95" s="19" t="str">
        <f t="shared" si="16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6"/>
        <v/>
      </c>
      <c r="M96" s="19" t="str">
        <f t="shared" si="7"/>
        <v/>
      </c>
      <c r="N96" s="19" t="str">
        <f t="shared" si="8"/>
        <v/>
      </c>
      <c r="O96" s="19" t="str">
        <f t="shared" si="9"/>
        <v/>
      </c>
      <c r="P96" s="19" t="str">
        <f t="shared" si="10"/>
        <v/>
      </c>
      <c r="Q96" s="19" t="str">
        <f t="shared" si="11"/>
        <v/>
      </c>
      <c r="R96" s="19" t="str">
        <f t="shared" si="16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6"/>
        <v/>
      </c>
      <c r="M97" s="19" t="str">
        <f t="shared" si="7"/>
        <v/>
      </c>
      <c r="N97" s="19" t="str">
        <f t="shared" si="8"/>
        <v/>
      </c>
      <c r="O97" s="19" t="str">
        <f t="shared" si="9"/>
        <v/>
      </c>
      <c r="P97" s="19" t="str">
        <f t="shared" si="10"/>
        <v/>
      </c>
      <c r="Q97" s="19" t="str">
        <f t="shared" si="11"/>
        <v/>
      </c>
      <c r="R97" s="19" t="str">
        <f t="shared" si="16"/>
        <v/>
      </c>
      <c r="S97" s="27" t="str">
        <f t="shared" ref="S97:X112" si="18">IF(C97="","",((C97-C96)*1000)/($B97-$B96))</f>
        <v/>
      </c>
      <c r="T97" s="28" t="str">
        <f t="shared" si="18"/>
        <v/>
      </c>
      <c r="U97" s="28" t="str">
        <f t="shared" si="18"/>
        <v/>
      </c>
      <c r="V97" s="28" t="str">
        <f t="shared" si="18"/>
        <v/>
      </c>
      <c r="W97" s="28" t="str">
        <f t="shared" si="18"/>
        <v/>
      </c>
      <c r="X97" s="29" t="str">
        <f t="shared" si="18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6"/>
        <v/>
      </c>
      <c r="M98" s="19" t="str">
        <f t="shared" si="7"/>
        <v/>
      </c>
      <c r="N98" s="19" t="str">
        <f t="shared" si="8"/>
        <v/>
      </c>
      <c r="O98" s="19" t="str">
        <f t="shared" si="9"/>
        <v/>
      </c>
      <c r="P98" s="19" t="str">
        <f t="shared" si="10"/>
        <v/>
      </c>
      <c r="Q98" s="19" t="str">
        <f t="shared" si="11"/>
        <v/>
      </c>
      <c r="R98" s="19" t="str">
        <f t="shared" si="16"/>
        <v/>
      </c>
      <c r="S98" s="27" t="str">
        <f t="shared" si="18"/>
        <v/>
      </c>
      <c r="T98" s="28" t="str">
        <f t="shared" si="18"/>
        <v/>
      </c>
      <c r="U98" s="28" t="str">
        <f t="shared" si="18"/>
        <v/>
      </c>
      <c r="V98" s="28" t="str">
        <f t="shared" si="18"/>
        <v/>
      </c>
      <c r="W98" s="28" t="str">
        <f t="shared" si="18"/>
        <v/>
      </c>
      <c r="X98" s="29" t="str">
        <f t="shared" si="18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ref="L99:L153" si="19">IF(ISBLANK(C99),"",((C99-C$34)*1000)+L$33)</f>
        <v/>
      </c>
      <c r="M99" s="19" t="str">
        <f t="shared" ref="M99:M153" si="20">IF(ISBLANK(D99),"",(D99-D$16)*1000)</f>
        <v/>
      </c>
      <c r="N99" s="19" t="str">
        <f t="shared" ref="N99:N153" si="21">IF(ISBLANK(E99),"",(E99-E$34)*1000)</f>
        <v/>
      </c>
      <c r="O99" s="19" t="str">
        <f t="shared" ref="O99:O153" si="22">IF(ISBLANK(F99),"",((F99-F$34)*1000)+L$34)</f>
        <v/>
      </c>
      <c r="P99" s="19" t="str">
        <f t="shared" ref="P99:P153" si="23">IF(ISBLANK(G99),"",((G99-G$34)*1000)+M$34)</f>
        <v/>
      </c>
      <c r="Q99" s="19" t="str">
        <f t="shared" ref="Q99:Q153" si="24">IF(ISBLANK(H99),"",(H99-H$34)*1000)</f>
        <v/>
      </c>
      <c r="R99" s="19" t="str">
        <f t="shared" si="16"/>
        <v/>
      </c>
      <c r="S99" s="27" t="str">
        <f t="shared" si="18"/>
        <v/>
      </c>
      <c r="T99" s="28" t="str">
        <f t="shared" si="18"/>
        <v/>
      </c>
      <c r="U99" s="28" t="str">
        <f t="shared" si="18"/>
        <v/>
      </c>
      <c r="V99" s="28" t="str">
        <f t="shared" si="18"/>
        <v/>
      </c>
      <c r="W99" s="28" t="str">
        <f t="shared" si="18"/>
        <v/>
      </c>
      <c r="X99" s="29" t="str">
        <f t="shared" si="18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9"/>
        <v/>
      </c>
      <c r="M100" s="19" t="str">
        <f t="shared" si="20"/>
        <v/>
      </c>
      <c r="N100" s="19" t="str">
        <f t="shared" si="21"/>
        <v/>
      </c>
      <c r="O100" s="19" t="str">
        <f t="shared" si="22"/>
        <v/>
      </c>
      <c r="P100" s="19" t="str">
        <f t="shared" si="23"/>
        <v/>
      </c>
      <c r="Q100" s="19" t="str">
        <f t="shared" si="24"/>
        <v/>
      </c>
      <c r="R100" s="19" t="str">
        <f t="shared" si="16"/>
        <v/>
      </c>
      <c r="S100" s="27" t="str">
        <f t="shared" si="18"/>
        <v/>
      </c>
      <c r="T100" s="28" t="str">
        <f t="shared" si="18"/>
        <v/>
      </c>
      <c r="U100" s="28" t="str">
        <f t="shared" si="18"/>
        <v/>
      </c>
      <c r="V100" s="28" t="str">
        <f t="shared" si="18"/>
        <v/>
      </c>
      <c r="W100" s="28" t="str">
        <f t="shared" si="18"/>
        <v/>
      </c>
      <c r="X100" s="29" t="str">
        <f t="shared" si="18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9"/>
        <v/>
      </c>
      <c r="M101" s="19" t="str">
        <f t="shared" si="20"/>
        <v/>
      </c>
      <c r="N101" s="19" t="str">
        <f t="shared" si="21"/>
        <v/>
      </c>
      <c r="O101" s="19" t="str">
        <f t="shared" si="22"/>
        <v/>
      </c>
      <c r="P101" s="19" t="str">
        <f t="shared" si="23"/>
        <v/>
      </c>
      <c r="Q101" s="19" t="str">
        <f t="shared" si="24"/>
        <v/>
      </c>
      <c r="R101" s="19" t="str">
        <f t="shared" si="16"/>
        <v/>
      </c>
      <c r="S101" s="27" t="str">
        <f t="shared" si="18"/>
        <v/>
      </c>
      <c r="T101" s="28" t="str">
        <f t="shared" si="18"/>
        <v/>
      </c>
      <c r="U101" s="28" t="str">
        <f t="shared" si="18"/>
        <v/>
      </c>
      <c r="V101" s="28" t="str">
        <f t="shared" si="18"/>
        <v/>
      </c>
      <c r="W101" s="28" t="str">
        <f t="shared" si="18"/>
        <v/>
      </c>
      <c r="X101" s="29" t="str">
        <f t="shared" si="18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9"/>
        <v/>
      </c>
      <c r="M102" s="19" t="str">
        <f t="shared" si="20"/>
        <v/>
      </c>
      <c r="N102" s="19" t="str">
        <f t="shared" si="21"/>
        <v/>
      </c>
      <c r="O102" s="19" t="str">
        <f t="shared" si="22"/>
        <v/>
      </c>
      <c r="P102" s="19" t="str">
        <f t="shared" si="23"/>
        <v/>
      </c>
      <c r="Q102" s="19" t="str">
        <f t="shared" si="24"/>
        <v/>
      </c>
      <c r="R102" s="19" t="str">
        <f t="shared" si="16"/>
        <v/>
      </c>
      <c r="S102" s="27" t="str">
        <f t="shared" si="18"/>
        <v/>
      </c>
      <c r="T102" s="28" t="str">
        <f t="shared" si="18"/>
        <v/>
      </c>
      <c r="U102" s="28" t="str">
        <f t="shared" si="18"/>
        <v/>
      </c>
      <c r="V102" s="28" t="str">
        <f t="shared" si="18"/>
        <v/>
      </c>
      <c r="W102" s="28" t="str">
        <f t="shared" si="18"/>
        <v/>
      </c>
      <c r="X102" s="29" t="str">
        <f t="shared" si="18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9"/>
        <v/>
      </c>
      <c r="M103" s="19" t="str">
        <f t="shared" si="20"/>
        <v/>
      </c>
      <c r="N103" s="19" t="str">
        <f t="shared" si="21"/>
        <v/>
      </c>
      <c r="O103" s="19" t="str">
        <f t="shared" si="22"/>
        <v/>
      </c>
      <c r="P103" s="19" t="str">
        <f t="shared" si="23"/>
        <v/>
      </c>
      <c r="Q103" s="19" t="str">
        <f t="shared" si="24"/>
        <v/>
      </c>
      <c r="R103" s="19" t="str">
        <f t="shared" si="16"/>
        <v/>
      </c>
      <c r="S103" s="27" t="str">
        <f t="shared" si="18"/>
        <v/>
      </c>
      <c r="T103" s="28" t="str">
        <f t="shared" si="18"/>
        <v/>
      </c>
      <c r="U103" s="28" t="str">
        <f t="shared" si="18"/>
        <v/>
      </c>
      <c r="V103" s="28" t="str">
        <f t="shared" si="18"/>
        <v/>
      </c>
      <c r="W103" s="28" t="str">
        <f t="shared" si="18"/>
        <v/>
      </c>
      <c r="X103" s="29" t="str">
        <f t="shared" si="18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9"/>
        <v/>
      </c>
      <c r="M104" s="19" t="str">
        <f t="shared" si="20"/>
        <v/>
      </c>
      <c r="N104" s="19" t="str">
        <f t="shared" si="21"/>
        <v/>
      </c>
      <c r="O104" s="19" t="str">
        <f t="shared" si="22"/>
        <v/>
      </c>
      <c r="P104" s="19" t="str">
        <f t="shared" si="23"/>
        <v/>
      </c>
      <c r="Q104" s="19" t="str">
        <f t="shared" si="24"/>
        <v/>
      </c>
      <c r="R104" s="19" t="str">
        <f t="shared" si="16"/>
        <v/>
      </c>
      <c r="S104" s="27" t="str">
        <f t="shared" si="18"/>
        <v/>
      </c>
      <c r="T104" s="28" t="str">
        <f t="shared" si="18"/>
        <v/>
      </c>
      <c r="U104" s="28" t="str">
        <f t="shared" si="18"/>
        <v/>
      </c>
      <c r="V104" s="28" t="str">
        <f t="shared" si="18"/>
        <v/>
      </c>
      <c r="W104" s="28" t="str">
        <f t="shared" si="18"/>
        <v/>
      </c>
      <c r="X104" s="29" t="str">
        <f t="shared" si="18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9"/>
        <v/>
      </c>
      <c r="M105" s="19" t="str">
        <f t="shared" si="20"/>
        <v/>
      </c>
      <c r="N105" s="19" t="str">
        <f t="shared" si="21"/>
        <v/>
      </c>
      <c r="O105" s="19" t="str">
        <f t="shared" si="22"/>
        <v/>
      </c>
      <c r="P105" s="19" t="str">
        <f t="shared" si="23"/>
        <v/>
      </c>
      <c r="Q105" s="19" t="str">
        <f t="shared" si="24"/>
        <v/>
      </c>
      <c r="R105" s="19" t="str">
        <f t="shared" si="16"/>
        <v/>
      </c>
      <c r="S105" s="27" t="str">
        <f t="shared" si="18"/>
        <v/>
      </c>
      <c r="T105" s="28" t="str">
        <f t="shared" si="18"/>
        <v/>
      </c>
      <c r="U105" s="28" t="str">
        <f t="shared" si="18"/>
        <v/>
      </c>
      <c r="V105" s="28" t="str">
        <f t="shared" si="18"/>
        <v/>
      </c>
      <c r="W105" s="28" t="str">
        <f t="shared" si="18"/>
        <v/>
      </c>
      <c r="X105" s="29" t="str">
        <f t="shared" si="18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9"/>
        <v/>
      </c>
      <c r="M106" s="19" t="str">
        <f t="shared" si="20"/>
        <v/>
      </c>
      <c r="N106" s="19" t="str">
        <f t="shared" si="21"/>
        <v/>
      </c>
      <c r="O106" s="19" t="str">
        <f t="shared" si="22"/>
        <v/>
      </c>
      <c r="P106" s="19" t="str">
        <f t="shared" si="23"/>
        <v/>
      </c>
      <c r="Q106" s="19" t="str">
        <f t="shared" si="24"/>
        <v/>
      </c>
      <c r="R106" s="19" t="str">
        <f t="shared" si="16"/>
        <v/>
      </c>
      <c r="S106" s="27" t="str">
        <f t="shared" si="18"/>
        <v/>
      </c>
      <c r="T106" s="28" t="str">
        <f t="shared" si="18"/>
        <v/>
      </c>
      <c r="U106" s="28" t="str">
        <f t="shared" si="18"/>
        <v/>
      </c>
      <c r="V106" s="28" t="str">
        <f t="shared" si="18"/>
        <v/>
      </c>
      <c r="W106" s="28" t="str">
        <f t="shared" si="18"/>
        <v/>
      </c>
      <c r="X106" s="29" t="str">
        <f t="shared" si="18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9"/>
        <v/>
      </c>
      <c r="M107" s="19" t="str">
        <f t="shared" si="20"/>
        <v/>
      </c>
      <c r="N107" s="19" t="str">
        <f t="shared" si="21"/>
        <v/>
      </c>
      <c r="O107" s="19" t="str">
        <f t="shared" si="22"/>
        <v/>
      </c>
      <c r="P107" s="19" t="str">
        <f t="shared" si="23"/>
        <v/>
      </c>
      <c r="Q107" s="19" t="str">
        <f t="shared" si="24"/>
        <v/>
      </c>
      <c r="R107" s="19" t="str">
        <f t="shared" si="16"/>
        <v/>
      </c>
      <c r="S107" s="27" t="str">
        <f t="shared" si="18"/>
        <v/>
      </c>
      <c r="T107" s="28" t="str">
        <f t="shared" si="18"/>
        <v/>
      </c>
      <c r="U107" s="28" t="str">
        <f t="shared" si="18"/>
        <v/>
      </c>
      <c r="V107" s="28" t="str">
        <f t="shared" si="18"/>
        <v/>
      </c>
      <c r="W107" s="28" t="str">
        <f t="shared" si="18"/>
        <v/>
      </c>
      <c r="X107" s="29" t="str">
        <f t="shared" si="18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9"/>
        <v/>
      </c>
      <c r="M108" s="19" t="str">
        <f t="shared" si="20"/>
        <v/>
      </c>
      <c r="N108" s="19" t="str">
        <f t="shared" si="21"/>
        <v/>
      </c>
      <c r="O108" s="19" t="str">
        <f t="shared" si="22"/>
        <v/>
      </c>
      <c r="P108" s="19" t="str">
        <f t="shared" si="23"/>
        <v/>
      </c>
      <c r="Q108" s="19" t="str">
        <f t="shared" si="24"/>
        <v/>
      </c>
      <c r="R108" s="19" t="str">
        <f t="shared" si="16"/>
        <v/>
      </c>
      <c r="S108" s="27" t="str">
        <f t="shared" si="18"/>
        <v/>
      </c>
      <c r="T108" s="28" t="str">
        <f t="shared" si="18"/>
        <v/>
      </c>
      <c r="U108" s="28" t="str">
        <f t="shared" si="18"/>
        <v/>
      </c>
      <c r="V108" s="28" t="str">
        <f t="shared" si="18"/>
        <v/>
      </c>
      <c r="W108" s="28" t="str">
        <f t="shared" si="18"/>
        <v/>
      </c>
      <c r="X108" s="29" t="str">
        <f t="shared" si="18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9"/>
        <v/>
      </c>
      <c r="M109" s="19" t="str">
        <f t="shared" si="20"/>
        <v/>
      </c>
      <c r="N109" s="19" t="str">
        <f t="shared" si="21"/>
        <v/>
      </c>
      <c r="O109" s="19" t="str">
        <f t="shared" si="22"/>
        <v/>
      </c>
      <c r="P109" s="19" t="str">
        <f t="shared" si="23"/>
        <v/>
      </c>
      <c r="Q109" s="19" t="str">
        <f t="shared" si="24"/>
        <v/>
      </c>
      <c r="R109" s="19" t="str">
        <f t="shared" si="16"/>
        <v/>
      </c>
      <c r="S109" s="27" t="str">
        <f t="shared" si="18"/>
        <v/>
      </c>
      <c r="T109" s="28" t="str">
        <f t="shared" si="18"/>
        <v/>
      </c>
      <c r="U109" s="28" t="str">
        <f t="shared" si="18"/>
        <v/>
      </c>
      <c r="V109" s="28" t="str">
        <f t="shared" si="18"/>
        <v/>
      </c>
      <c r="W109" s="28" t="str">
        <f t="shared" si="18"/>
        <v/>
      </c>
      <c r="X109" s="29" t="str">
        <f t="shared" si="18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9"/>
        <v/>
      </c>
      <c r="M110" s="19" t="str">
        <f t="shared" si="20"/>
        <v/>
      </c>
      <c r="N110" s="19" t="str">
        <f t="shared" si="21"/>
        <v/>
      </c>
      <c r="O110" s="19" t="str">
        <f t="shared" si="22"/>
        <v/>
      </c>
      <c r="P110" s="19" t="str">
        <f t="shared" si="23"/>
        <v/>
      </c>
      <c r="Q110" s="19" t="str">
        <f t="shared" si="24"/>
        <v/>
      </c>
      <c r="R110" s="19" t="str">
        <f t="shared" si="16"/>
        <v/>
      </c>
      <c r="S110" s="27" t="str">
        <f t="shared" si="18"/>
        <v/>
      </c>
      <c r="T110" s="28" t="str">
        <f t="shared" si="18"/>
        <v/>
      </c>
      <c r="U110" s="28" t="str">
        <f t="shared" si="18"/>
        <v/>
      </c>
      <c r="V110" s="28" t="str">
        <f t="shared" si="18"/>
        <v/>
      </c>
      <c r="W110" s="28" t="str">
        <f t="shared" si="18"/>
        <v/>
      </c>
      <c r="X110" s="29" t="str">
        <f t="shared" si="18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9"/>
        <v/>
      </c>
      <c r="M111" s="19" t="str">
        <f t="shared" si="20"/>
        <v/>
      </c>
      <c r="N111" s="19" t="str">
        <f t="shared" si="21"/>
        <v/>
      </c>
      <c r="O111" s="19" t="str">
        <f t="shared" si="22"/>
        <v/>
      </c>
      <c r="P111" s="19" t="str">
        <f t="shared" si="23"/>
        <v/>
      </c>
      <c r="Q111" s="19" t="str">
        <f t="shared" si="24"/>
        <v/>
      </c>
      <c r="R111" s="19" t="str">
        <f t="shared" si="16"/>
        <v/>
      </c>
      <c r="S111" s="27" t="str">
        <f t="shared" si="18"/>
        <v/>
      </c>
      <c r="T111" s="28" t="str">
        <f t="shared" si="18"/>
        <v/>
      </c>
      <c r="U111" s="28" t="str">
        <f t="shared" si="18"/>
        <v/>
      </c>
      <c r="V111" s="28" t="str">
        <f t="shared" si="18"/>
        <v/>
      </c>
      <c r="W111" s="28" t="str">
        <f t="shared" si="18"/>
        <v/>
      </c>
      <c r="X111" s="29" t="str">
        <f t="shared" si="18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9"/>
        <v/>
      </c>
      <c r="M112" s="19" t="str">
        <f t="shared" si="20"/>
        <v/>
      </c>
      <c r="N112" s="19" t="str">
        <f t="shared" si="21"/>
        <v/>
      </c>
      <c r="O112" s="19" t="str">
        <f t="shared" si="22"/>
        <v/>
      </c>
      <c r="P112" s="19" t="str">
        <f t="shared" si="23"/>
        <v/>
      </c>
      <c r="Q112" s="19" t="str">
        <f t="shared" si="24"/>
        <v/>
      </c>
      <c r="R112" s="19" t="str">
        <f t="shared" ref="R112:R143" si="25">IF(ISBLANK(I112),"",(I112-I$16)*1000)</f>
        <v/>
      </c>
      <c r="S112" s="27" t="str">
        <f t="shared" si="18"/>
        <v/>
      </c>
      <c r="T112" s="28" t="str">
        <f t="shared" si="18"/>
        <v/>
      </c>
      <c r="U112" s="28" t="str">
        <f t="shared" si="18"/>
        <v/>
      </c>
      <c r="V112" s="28" t="str">
        <f t="shared" si="18"/>
        <v/>
      </c>
      <c r="W112" s="28" t="str">
        <f t="shared" si="18"/>
        <v/>
      </c>
      <c r="X112" s="29" t="str">
        <f t="shared" si="18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9"/>
        <v/>
      </c>
      <c r="M113" s="19" t="str">
        <f t="shared" si="20"/>
        <v/>
      </c>
      <c r="N113" s="19" t="str">
        <f t="shared" si="21"/>
        <v/>
      </c>
      <c r="O113" s="19" t="str">
        <f t="shared" si="22"/>
        <v/>
      </c>
      <c r="P113" s="19" t="str">
        <f t="shared" si="23"/>
        <v/>
      </c>
      <c r="Q113" s="19" t="str">
        <f t="shared" si="24"/>
        <v/>
      </c>
      <c r="R113" s="19" t="str">
        <f t="shared" si="25"/>
        <v/>
      </c>
      <c r="S113" s="27" t="str">
        <f t="shared" ref="S113:X128" si="26">IF(C113="","",((C113-C112)*1000)/($B113-$B112))</f>
        <v/>
      </c>
      <c r="T113" s="28" t="str">
        <f t="shared" si="26"/>
        <v/>
      </c>
      <c r="U113" s="28" t="str">
        <f t="shared" si="26"/>
        <v/>
      </c>
      <c r="V113" s="28" t="str">
        <f t="shared" si="26"/>
        <v/>
      </c>
      <c r="W113" s="28" t="str">
        <f t="shared" si="26"/>
        <v/>
      </c>
      <c r="X113" s="29" t="str">
        <f t="shared" si="26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9"/>
        <v/>
      </c>
      <c r="M114" s="19" t="str">
        <f t="shared" si="20"/>
        <v/>
      </c>
      <c r="N114" s="19" t="str">
        <f t="shared" si="21"/>
        <v/>
      </c>
      <c r="O114" s="19" t="str">
        <f t="shared" si="22"/>
        <v/>
      </c>
      <c r="P114" s="19" t="str">
        <f t="shared" si="23"/>
        <v/>
      </c>
      <c r="Q114" s="19" t="str">
        <f t="shared" si="24"/>
        <v/>
      </c>
      <c r="R114" s="19" t="str">
        <f t="shared" si="25"/>
        <v/>
      </c>
      <c r="S114" s="27" t="str">
        <f t="shared" si="26"/>
        <v/>
      </c>
      <c r="T114" s="28" t="str">
        <f t="shared" si="26"/>
        <v/>
      </c>
      <c r="U114" s="28" t="str">
        <f t="shared" si="26"/>
        <v/>
      </c>
      <c r="V114" s="28" t="str">
        <f t="shared" si="26"/>
        <v/>
      </c>
      <c r="W114" s="28" t="str">
        <f t="shared" si="26"/>
        <v/>
      </c>
      <c r="X114" s="29" t="str">
        <f t="shared" si="26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9"/>
        <v/>
      </c>
      <c r="M115" s="19" t="str">
        <f t="shared" si="20"/>
        <v/>
      </c>
      <c r="N115" s="19" t="str">
        <f t="shared" si="21"/>
        <v/>
      </c>
      <c r="O115" s="19" t="str">
        <f t="shared" si="22"/>
        <v/>
      </c>
      <c r="P115" s="19" t="str">
        <f t="shared" si="23"/>
        <v/>
      </c>
      <c r="Q115" s="19" t="str">
        <f t="shared" si="24"/>
        <v/>
      </c>
      <c r="R115" s="19" t="str">
        <f t="shared" si="25"/>
        <v/>
      </c>
      <c r="S115" s="27" t="str">
        <f t="shared" si="26"/>
        <v/>
      </c>
      <c r="T115" s="28" t="str">
        <f t="shared" si="26"/>
        <v/>
      </c>
      <c r="U115" s="28" t="str">
        <f t="shared" si="26"/>
        <v/>
      </c>
      <c r="V115" s="28" t="str">
        <f t="shared" si="26"/>
        <v/>
      </c>
      <c r="W115" s="28" t="str">
        <f t="shared" si="26"/>
        <v/>
      </c>
      <c r="X115" s="29" t="str">
        <f t="shared" si="26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9"/>
        <v/>
      </c>
      <c r="M116" s="19" t="str">
        <f t="shared" si="20"/>
        <v/>
      </c>
      <c r="N116" s="19" t="str">
        <f t="shared" si="21"/>
        <v/>
      </c>
      <c r="O116" s="19" t="str">
        <f t="shared" si="22"/>
        <v/>
      </c>
      <c r="P116" s="19" t="str">
        <f t="shared" si="23"/>
        <v/>
      </c>
      <c r="Q116" s="19" t="str">
        <f t="shared" si="24"/>
        <v/>
      </c>
      <c r="R116" s="19" t="str">
        <f t="shared" si="25"/>
        <v/>
      </c>
      <c r="S116" s="27" t="str">
        <f t="shared" si="26"/>
        <v/>
      </c>
      <c r="T116" s="28" t="str">
        <f t="shared" si="26"/>
        <v/>
      </c>
      <c r="U116" s="28" t="str">
        <f t="shared" si="26"/>
        <v/>
      </c>
      <c r="V116" s="28" t="str">
        <f t="shared" si="26"/>
        <v/>
      </c>
      <c r="W116" s="28" t="str">
        <f t="shared" si="26"/>
        <v/>
      </c>
      <c r="X116" s="29" t="str">
        <f t="shared" si="26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9"/>
        <v/>
      </c>
      <c r="M117" s="19" t="str">
        <f t="shared" si="20"/>
        <v/>
      </c>
      <c r="N117" s="19" t="str">
        <f t="shared" si="21"/>
        <v/>
      </c>
      <c r="O117" s="19" t="str">
        <f t="shared" si="22"/>
        <v/>
      </c>
      <c r="P117" s="19" t="str">
        <f t="shared" si="23"/>
        <v/>
      </c>
      <c r="Q117" s="19" t="str">
        <f t="shared" si="24"/>
        <v/>
      </c>
      <c r="R117" s="19" t="str">
        <f t="shared" si="25"/>
        <v/>
      </c>
      <c r="S117" s="27" t="str">
        <f t="shared" si="26"/>
        <v/>
      </c>
      <c r="T117" s="28" t="str">
        <f t="shared" si="26"/>
        <v/>
      </c>
      <c r="U117" s="28" t="str">
        <f t="shared" si="26"/>
        <v/>
      </c>
      <c r="V117" s="28" t="str">
        <f t="shared" si="26"/>
        <v/>
      </c>
      <c r="W117" s="28" t="str">
        <f t="shared" si="26"/>
        <v/>
      </c>
      <c r="X117" s="29" t="str">
        <f t="shared" si="26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19"/>
        <v/>
      </c>
      <c r="M118" s="19" t="str">
        <f t="shared" si="20"/>
        <v/>
      </c>
      <c r="N118" s="19" t="str">
        <f t="shared" si="21"/>
        <v/>
      </c>
      <c r="O118" s="19" t="str">
        <f t="shared" si="22"/>
        <v/>
      </c>
      <c r="P118" s="19" t="str">
        <f t="shared" si="23"/>
        <v/>
      </c>
      <c r="Q118" s="19" t="str">
        <f t="shared" si="24"/>
        <v/>
      </c>
      <c r="R118" s="19" t="str">
        <f t="shared" si="25"/>
        <v/>
      </c>
      <c r="S118" s="27" t="str">
        <f t="shared" si="26"/>
        <v/>
      </c>
      <c r="T118" s="28" t="str">
        <f t="shared" si="26"/>
        <v/>
      </c>
      <c r="U118" s="28" t="str">
        <f t="shared" si="26"/>
        <v/>
      </c>
      <c r="V118" s="28" t="str">
        <f t="shared" si="26"/>
        <v/>
      </c>
      <c r="W118" s="28" t="str">
        <f t="shared" si="26"/>
        <v/>
      </c>
      <c r="X118" s="29" t="str">
        <f t="shared" si="26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19"/>
        <v/>
      </c>
      <c r="M119" s="19" t="str">
        <f t="shared" si="20"/>
        <v/>
      </c>
      <c r="N119" s="19" t="str">
        <f t="shared" si="21"/>
        <v/>
      </c>
      <c r="O119" s="19" t="str">
        <f t="shared" si="22"/>
        <v/>
      </c>
      <c r="P119" s="19" t="str">
        <f t="shared" si="23"/>
        <v/>
      </c>
      <c r="Q119" s="19" t="str">
        <f t="shared" si="24"/>
        <v/>
      </c>
      <c r="R119" s="19" t="str">
        <f t="shared" si="25"/>
        <v/>
      </c>
      <c r="S119" s="27" t="str">
        <f t="shared" si="26"/>
        <v/>
      </c>
      <c r="T119" s="28" t="str">
        <f t="shared" si="26"/>
        <v/>
      </c>
      <c r="U119" s="28" t="str">
        <f t="shared" si="26"/>
        <v/>
      </c>
      <c r="V119" s="28" t="str">
        <f t="shared" si="26"/>
        <v/>
      </c>
      <c r="W119" s="28" t="str">
        <f t="shared" si="26"/>
        <v/>
      </c>
      <c r="X119" s="29" t="str">
        <f t="shared" si="26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19"/>
        <v/>
      </c>
      <c r="M120" s="19" t="str">
        <f t="shared" si="20"/>
        <v/>
      </c>
      <c r="N120" s="19" t="str">
        <f t="shared" si="21"/>
        <v/>
      </c>
      <c r="O120" s="19" t="str">
        <f t="shared" si="22"/>
        <v/>
      </c>
      <c r="P120" s="19" t="str">
        <f t="shared" si="23"/>
        <v/>
      </c>
      <c r="Q120" s="19" t="str">
        <f t="shared" si="24"/>
        <v/>
      </c>
      <c r="R120" s="19" t="str">
        <f t="shared" si="25"/>
        <v/>
      </c>
      <c r="S120" s="27" t="str">
        <f t="shared" si="26"/>
        <v/>
      </c>
      <c r="T120" s="28" t="str">
        <f t="shared" si="26"/>
        <v/>
      </c>
      <c r="U120" s="28" t="str">
        <f t="shared" si="26"/>
        <v/>
      </c>
      <c r="V120" s="28" t="str">
        <f t="shared" si="26"/>
        <v/>
      </c>
      <c r="W120" s="28" t="str">
        <f t="shared" si="26"/>
        <v/>
      </c>
      <c r="X120" s="29" t="str">
        <f t="shared" si="26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19"/>
        <v/>
      </c>
      <c r="M121" s="19" t="str">
        <f t="shared" si="20"/>
        <v/>
      </c>
      <c r="N121" s="19" t="str">
        <f t="shared" si="21"/>
        <v/>
      </c>
      <c r="O121" s="19" t="str">
        <f t="shared" si="22"/>
        <v/>
      </c>
      <c r="P121" s="19" t="str">
        <f t="shared" si="23"/>
        <v/>
      </c>
      <c r="Q121" s="19" t="str">
        <f t="shared" si="24"/>
        <v/>
      </c>
      <c r="R121" s="19" t="str">
        <f t="shared" si="25"/>
        <v/>
      </c>
      <c r="S121" s="27" t="str">
        <f t="shared" si="26"/>
        <v/>
      </c>
      <c r="T121" s="28" t="str">
        <f t="shared" si="26"/>
        <v/>
      </c>
      <c r="U121" s="28" t="str">
        <f t="shared" si="26"/>
        <v/>
      </c>
      <c r="V121" s="28" t="str">
        <f t="shared" si="26"/>
        <v/>
      </c>
      <c r="W121" s="28" t="str">
        <f t="shared" si="26"/>
        <v/>
      </c>
      <c r="X121" s="29" t="str">
        <f t="shared" si="26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19"/>
        <v/>
      </c>
      <c r="M122" s="19" t="str">
        <f t="shared" si="20"/>
        <v/>
      </c>
      <c r="N122" s="19" t="str">
        <f t="shared" si="21"/>
        <v/>
      </c>
      <c r="O122" s="19" t="str">
        <f t="shared" si="22"/>
        <v/>
      </c>
      <c r="P122" s="19" t="str">
        <f t="shared" si="23"/>
        <v/>
      </c>
      <c r="Q122" s="19" t="str">
        <f t="shared" si="24"/>
        <v/>
      </c>
      <c r="R122" s="19" t="str">
        <f t="shared" si="25"/>
        <v/>
      </c>
      <c r="S122" s="27" t="str">
        <f t="shared" si="26"/>
        <v/>
      </c>
      <c r="T122" s="28" t="str">
        <f t="shared" si="26"/>
        <v/>
      </c>
      <c r="U122" s="28" t="str">
        <f t="shared" si="26"/>
        <v/>
      </c>
      <c r="V122" s="28" t="str">
        <f t="shared" si="26"/>
        <v/>
      </c>
      <c r="W122" s="28" t="str">
        <f t="shared" si="26"/>
        <v/>
      </c>
      <c r="X122" s="29" t="str">
        <f t="shared" si="26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19"/>
        <v/>
      </c>
      <c r="M123" s="19" t="str">
        <f t="shared" si="20"/>
        <v/>
      </c>
      <c r="N123" s="19" t="str">
        <f t="shared" si="21"/>
        <v/>
      </c>
      <c r="O123" s="19" t="str">
        <f t="shared" si="22"/>
        <v/>
      </c>
      <c r="P123" s="19" t="str">
        <f t="shared" si="23"/>
        <v/>
      </c>
      <c r="Q123" s="19" t="str">
        <f t="shared" si="24"/>
        <v/>
      </c>
      <c r="R123" s="19" t="str">
        <f t="shared" si="25"/>
        <v/>
      </c>
      <c r="S123" s="27" t="str">
        <f t="shared" si="26"/>
        <v/>
      </c>
      <c r="T123" s="28" t="str">
        <f t="shared" si="26"/>
        <v/>
      </c>
      <c r="U123" s="28" t="str">
        <f t="shared" si="26"/>
        <v/>
      </c>
      <c r="V123" s="28" t="str">
        <f t="shared" si="26"/>
        <v/>
      </c>
      <c r="W123" s="28" t="str">
        <f t="shared" si="26"/>
        <v/>
      </c>
      <c r="X123" s="29" t="str">
        <f t="shared" si="26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19"/>
        <v/>
      </c>
      <c r="M124" s="19" t="str">
        <f t="shared" si="20"/>
        <v/>
      </c>
      <c r="N124" s="19" t="str">
        <f t="shared" si="21"/>
        <v/>
      </c>
      <c r="O124" s="19" t="str">
        <f t="shared" si="22"/>
        <v/>
      </c>
      <c r="P124" s="19" t="str">
        <f t="shared" si="23"/>
        <v/>
      </c>
      <c r="Q124" s="19" t="str">
        <f t="shared" si="24"/>
        <v/>
      </c>
      <c r="R124" s="19" t="str">
        <f t="shared" si="25"/>
        <v/>
      </c>
      <c r="S124" s="27" t="str">
        <f t="shared" si="26"/>
        <v/>
      </c>
      <c r="T124" s="28" t="str">
        <f t="shared" si="26"/>
        <v/>
      </c>
      <c r="U124" s="28" t="str">
        <f t="shared" si="26"/>
        <v/>
      </c>
      <c r="V124" s="28" t="str">
        <f t="shared" si="26"/>
        <v/>
      </c>
      <c r="W124" s="28" t="str">
        <f t="shared" si="26"/>
        <v/>
      </c>
      <c r="X124" s="29" t="str">
        <f t="shared" si="26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19"/>
        <v/>
      </c>
      <c r="M125" s="19" t="str">
        <f t="shared" si="20"/>
        <v/>
      </c>
      <c r="N125" s="19" t="str">
        <f t="shared" si="21"/>
        <v/>
      </c>
      <c r="O125" s="19" t="str">
        <f t="shared" si="22"/>
        <v/>
      </c>
      <c r="P125" s="19" t="str">
        <f t="shared" si="23"/>
        <v/>
      </c>
      <c r="Q125" s="19" t="str">
        <f t="shared" si="24"/>
        <v/>
      </c>
      <c r="R125" s="19" t="str">
        <f t="shared" si="25"/>
        <v/>
      </c>
      <c r="S125" s="27" t="str">
        <f t="shared" si="26"/>
        <v/>
      </c>
      <c r="T125" s="28" t="str">
        <f t="shared" si="26"/>
        <v/>
      </c>
      <c r="U125" s="28" t="str">
        <f t="shared" si="26"/>
        <v/>
      </c>
      <c r="V125" s="28" t="str">
        <f t="shared" si="26"/>
        <v/>
      </c>
      <c r="W125" s="28" t="str">
        <f t="shared" si="26"/>
        <v/>
      </c>
      <c r="X125" s="29" t="str">
        <f t="shared" si="26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19"/>
        <v/>
      </c>
      <c r="M126" s="19" t="str">
        <f t="shared" si="20"/>
        <v/>
      </c>
      <c r="N126" s="19" t="str">
        <f t="shared" si="21"/>
        <v/>
      </c>
      <c r="O126" s="19" t="str">
        <f t="shared" si="22"/>
        <v/>
      </c>
      <c r="P126" s="19" t="str">
        <f t="shared" si="23"/>
        <v/>
      </c>
      <c r="Q126" s="19" t="str">
        <f t="shared" si="24"/>
        <v/>
      </c>
      <c r="R126" s="19" t="str">
        <f t="shared" si="25"/>
        <v/>
      </c>
      <c r="S126" s="27" t="str">
        <f t="shared" si="26"/>
        <v/>
      </c>
      <c r="T126" s="28" t="str">
        <f t="shared" si="26"/>
        <v/>
      </c>
      <c r="U126" s="28" t="str">
        <f t="shared" si="26"/>
        <v/>
      </c>
      <c r="V126" s="28" t="str">
        <f t="shared" si="26"/>
        <v/>
      </c>
      <c r="W126" s="28" t="str">
        <f t="shared" si="26"/>
        <v/>
      </c>
      <c r="X126" s="29" t="str">
        <f t="shared" si="26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19"/>
        <v/>
      </c>
      <c r="M127" s="19" t="str">
        <f t="shared" si="20"/>
        <v/>
      </c>
      <c r="N127" s="19" t="str">
        <f t="shared" si="21"/>
        <v/>
      </c>
      <c r="O127" s="19" t="str">
        <f t="shared" si="22"/>
        <v/>
      </c>
      <c r="P127" s="19" t="str">
        <f t="shared" si="23"/>
        <v/>
      </c>
      <c r="Q127" s="19" t="str">
        <f t="shared" si="24"/>
        <v/>
      </c>
      <c r="R127" s="19" t="str">
        <f t="shared" si="25"/>
        <v/>
      </c>
      <c r="S127" s="27" t="str">
        <f t="shared" si="26"/>
        <v/>
      </c>
      <c r="T127" s="28" t="str">
        <f t="shared" si="26"/>
        <v/>
      </c>
      <c r="U127" s="28" t="str">
        <f t="shared" si="26"/>
        <v/>
      </c>
      <c r="V127" s="28" t="str">
        <f t="shared" si="26"/>
        <v/>
      </c>
      <c r="W127" s="28" t="str">
        <f t="shared" si="26"/>
        <v/>
      </c>
      <c r="X127" s="29" t="str">
        <f t="shared" si="26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19"/>
        <v/>
      </c>
      <c r="M128" s="19" t="str">
        <f t="shared" si="20"/>
        <v/>
      </c>
      <c r="N128" s="19" t="str">
        <f t="shared" si="21"/>
        <v/>
      </c>
      <c r="O128" s="19" t="str">
        <f t="shared" si="22"/>
        <v/>
      </c>
      <c r="P128" s="19" t="str">
        <f t="shared" si="23"/>
        <v/>
      </c>
      <c r="Q128" s="19" t="str">
        <f t="shared" si="24"/>
        <v/>
      </c>
      <c r="R128" s="19" t="str">
        <f t="shared" si="25"/>
        <v/>
      </c>
      <c r="S128" s="27" t="str">
        <f t="shared" si="26"/>
        <v/>
      </c>
      <c r="T128" s="28" t="str">
        <f t="shared" si="26"/>
        <v/>
      </c>
      <c r="U128" s="28" t="str">
        <f t="shared" si="26"/>
        <v/>
      </c>
      <c r="V128" s="28" t="str">
        <f t="shared" si="26"/>
        <v/>
      </c>
      <c r="W128" s="28" t="str">
        <f t="shared" si="26"/>
        <v/>
      </c>
      <c r="X128" s="29" t="str">
        <f t="shared" si="26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19"/>
        <v/>
      </c>
      <c r="M129" s="19" t="str">
        <f t="shared" si="20"/>
        <v/>
      </c>
      <c r="N129" s="19" t="str">
        <f t="shared" si="21"/>
        <v/>
      </c>
      <c r="O129" s="19" t="str">
        <f t="shared" si="22"/>
        <v/>
      </c>
      <c r="P129" s="19" t="str">
        <f t="shared" si="23"/>
        <v/>
      </c>
      <c r="Q129" s="19" t="str">
        <f t="shared" si="24"/>
        <v/>
      </c>
      <c r="R129" s="19" t="str">
        <f t="shared" si="25"/>
        <v/>
      </c>
      <c r="S129" s="27" t="str">
        <f t="shared" ref="S129:X144" si="27">IF(C129="","",((C129-C128)*1000)/($B129-$B128))</f>
        <v/>
      </c>
      <c r="T129" s="28" t="str">
        <f t="shared" si="27"/>
        <v/>
      </c>
      <c r="U129" s="28" t="str">
        <f t="shared" si="27"/>
        <v/>
      </c>
      <c r="V129" s="28" t="str">
        <f t="shared" si="27"/>
        <v/>
      </c>
      <c r="W129" s="28" t="str">
        <f t="shared" si="27"/>
        <v/>
      </c>
      <c r="X129" s="29" t="str">
        <f t="shared" si="27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19"/>
        <v/>
      </c>
      <c r="M130" s="19" t="str">
        <f t="shared" si="20"/>
        <v/>
      </c>
      <c r="N130" s="19" t="str">
        <f t="shared" si="21"/>
        <v/>
      </c>
      <c r="O130" s="19" t="str">
        <f t="shared" si="22"/>
        <v/>
      </c>
      <c r="P130" s="19" t="str">
        <f t="shared" si="23"/>
        <v/>
      </c>
      <c r="Q130" s="19" t="str">
        <f t="shared" si="24"/>
        <v/>
      </c>
      <c r="R130" s="19" t="str">
        <f t="shared" si="25"/>
        <v/>
      </c>
      <c r="S130" s="27" t="str">
        <f t="shared" si="27"/>
        <v/>
      </c>
      <c r="T130" s="28" t="str">
        <f t="shared" si="27"/>
        <v/>
      </c>
      <c r="U130" s="28" t="str">
        <f t="shared" si="27"/>
        <v/>
      </c>
      <c r="V130" s="28" t="str">
        <f t="shared" si="27"/>
        <v/>
      </c>
      <c r="W130" s="28" t="str">
        <f t="shared" si="27"/>
        <v/>
      </c>
      <c r="X130" s="29" t="str">
        <f t="shared" si="27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19"/>
        <v/>
      </c>
      <c r="M131" s="19" t="str">
        <f t="shared" si="20"/>
        <v/>
      </c>
      <c r="N131" s="19" t="str">
        <f t="shared" si="21"/>
        <v/>
      </c>
      <c r="O131" s="19" t="str">
        <f t="shared" si="22"/>
        <v/>
      </c>
      <c r="P131" s="19" t="str">
        <f t="shared" si="23"/>
        <v/>
      </c>
      <c r="Q131" s="19" t="str">
        <f t="shared" si="24"/>
        <v/>
      </c>
      <c r="R131" s="19" t="str">
        <f t="shared" si="25"/>
        <v/>
      </c>
      <c r="S131" s="27" t="str">
        <f t="shared" si="27"/>
        <v/>
      </c>
      <c r="T131" s="28" t="str">
        <f t="shared" si="27"/>
        <v/>
      </c>
      <c r="U131" s="28" t="str">
        <f t="shared" si="27"/>
        <v/>
      </c>
      <c r="V131" s="28" t="str">
        <f t="shared" si="27"/>
        <v/>
      </c>
      <c r="W131" s="28" t="str">
        <f t="shared" si="27"/>
        <v/>
      </c>
      <c r="X131" s="29" t="str">
        <f t="shared" si="27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19"/>
        <v/>
      </c>
      <c r="M132" s="19" t="str">
        <f t="shared" si="20"/>
        <v/>
      </c>
      <c r="N132" s="19" t="str">
        <f t="shared" si="21"/>
        <v/>
      </c>
      <c r="O132" s="19" t="str">
        <f t="shared" si="22"/>
        <v/>
      </c>
      <c r="P132" s="19" t="str">
        <f t="shared" si="23"/>
        <v/>
      </c>
      <c r="Q132" s="19" t="str">
        <f t="shared" si="24"/>
        <v/>
      </c>
      <c r="R132" s="19" t="str">
        <f t="shared" si="25"/>
        <v/>
      </c>
      <c r="S132" s="27" t="str">
        <f t="shared" si="27"/>
        <v/>
      </c>
      <c r="T132" s="28" t="str">
        <f t="shared" si="27"/>
        <v/>
      </c>
      <c r="U132" s="28" t="str">
        <f t="shared" si="27"/>
        <v/>
      </c>
      <c r="V132" s="28" t="str">
        <f t="shared" si="27"/>
        <v/>
      </c>
      <c r="W132" s="28" t="str">
        <f t="shared" si="27"/>
        <v/>
      </c>
      <c r="X132" s="29" t="str">
        <f t="shared" si="27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19"/>
        <v/>
      </c>
      <c r="M133" s="19" t="str">
        <f t="shared" si="20"/>
        <v/>
      </c>
      <c r="N133" s="19" t="str">
        <f t="shared" si="21"/>
        <v/>
      </c>
      <c r="O133" s="19" t="str">
        <f t="shared" si="22"/>
        <v/>
      </c>
      <c r="P133" s="19" t="str">
        <f t="shared" si="23"/>
        <v/>
      </c>
      <c r="Q133" s="19" t="str">
        <f t="shared" si="24"/>
        <v/>
      </c>
      <c r="R133" s="19" t="str">
        <f t="shared" si="25"/>
        <v/>
      </c>
      <c r="S133" s="27" t="str">
        <f t="shared" si="27"/>
        <v/>
      </c>
      <c r="T133" s="28" t="str">
        <f t="shared" si="27"/>
        <v/>
      </c>
      <c r="U133" s="28" t="str">
        <f t="shared" si="27"/>
        <v/>
      </c>
      <c r="V133" s="28" t="str">
        <f t="shared" si="27"/>
        <v/>
      </c>
      <c r="W133" s="28" t="str">
        <f t="shared" si="27"/>
        <v/>
      </c>
      <c r="X133" s="29" t="str">
        <f t="shared" si="27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19"/>
        <v/>
      </c>
      <c r="M134" s="19" t="str">
        <f t="shared" si="20"/>
        <v/>
      </c>
      <c r="N134" s="19" t="str">
        <f t="shared" si="21"/>
        <v/>
      </c>
      <c r="O134" s="19" t="str">
        <f t="shared" si="22"/>
        <v/>
      </c>
      <c r="P134" s="19" t="str">
        <f t="shared" si="23"/>
        <v/>
      </c>
      <c r="Q134" s="19" t="str">
        <f t="shared" si="24"/>
        <v/>
      </c>
      <c r="R134" s="19" t="str">
        <f t="shared" si="25"/>
        <v/>
      </c>
      <c r="S134" s="27" t="str">
        <f t="shared" si="27"/>
        <v/>
      </c>
      <c r="T134" s="28" t="str">
        <f t="shared" si="27"/>
        <v/>
      </c>
      <c r="U134" s="28" t="str">
        <f t="shared" si="27"/>
        <v/>
      </c>
      <c r="V134" s="28" t="str">
        <f t="shared" si="27"/>
        <v/>
      </c>
      <c r="W134" s="28" t="str">
        <f t="shared" si="27"/>
        <v/>
      </c>
      <c r="X134" s="29" t="str">
        <f t="shared" si="27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19"/>
        <v/>
      </c>
      <c r="M135" s="19" t="str">
        <f t="shared" si="20"/>
        <v/>
      </c>
      <c r="N135" s="19" t="str">
        <f t="shared" si="21"/>
        <v/>
      </c>
      <c r="O135" s="19" t="str">
        <f t="shared" si="22"/>
        <v/>
      </c>
      <c r="P135" s="19" t="str">
        <f t="shared" si="23"/>
        <v/>
      </c>
      <c r="Q135" s="19" t="str">
        <f t="shared" si="24"/>
        <v/>
      </c>
      <c r="R135" s="19" t="str">
        <f t="shared" si="25"/>
        <v/>
      </c>
      <c r="S135" s="27" t="str">
        <f t="shared" si="27"/>
        <v/>
      </c>
      <c r="T135" s="28" t="str">
        <f t="shared" si="27"/>
        <v/>
      </c>
      <c r="U135" s="28" t="str">
        <f t="shared" si="27"/>
        <v/>
      </c>
      <c r="V135" s="28" t="str">
        <f t="shared" si="27"/>
        <v/>
      </c>
      <c r="W135" s="28" t="str">
        <f t="shared" si="27"/>
        <v/>
      </c>
      <c r="X135" s="29" t="str">
        <f t="shared" si="27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19"/>
        <v/>
      </c>
      <c r="M136" s="19" t="str">
        <f t="shared" si="20"/>
        <v/>
      </c>
      <c r="N136" s="19" t="str">
        <f t="shared" si="21"/>
        <v/>
      </c>
      <c r="O136" s="19" t="str">
        <f t="shared" si="22"/>
        <v/>
      </c>
      <c r="P136" s="19" t="str">
        <f t="shared" si="23"/>
        <v/>
      </c>
      <c r="Q136" s="19" t="str">
        <f t="shared" si="24"/>
        <v/>
      </c>
      <c r="R136" s="19" t="str">
        <f t="shared" si="25"/>
        <v/>
      </c>
      <c r="S136" s="27" t="str">
        <f t="shared" si="27"/>
        <v/>
      </c>
      <c r="T136" s="28" t="str">
        <f t="shared" si="27"/>
        <v/>
      </c>
      <c r="U136" s="28" t="str">
        <f t="shared" si="27"/>
        <v/>
      </c>
      <c r="V136" s="28" t="str">
        <f t="shared" si="27"/>
        <v/>
      </c>
      <c r="W136" s="28" t="str">
        <f t="shared" si="27"/>
        <v/>
      </c>
      <c r="X136" s="29" t="str">
        <f t="shared" si="27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19"/>
        <v/>
      </c>
      <c r="M137" s="19" t="str">
        <f t="shared" si="20"/>
        <v/>
      </c>
      <c r="N137" s="19" t="str">
        <f t="shared" si="21"/>
        <v/>
      </c>
      <c r="O137" s="19" t="str">
        <f t="shared" si="22"/>
        <v/>
      </c>
      <c r="P137" s="19" t="str">
        <f t="shared" si="23"/>
        <v/>
      </c>
      <c r="Q137" s="19" t="str">
        <f t="shared" si="24"/>
        <v/>
      </c>
      <c r="R137" s="19" t="str">
        <f t="shared" si="25"/>
        <v/>
      </c>
      <c r="S137" s="27" t="str">
        <f t="shared" si="27"/>
        <v/>
      </c>
      <c r="T137" s="28" t="str">
        <f t="shared" si="27"/>
        <v/>
      </c>
      <c r="U137" s="28" t="str">
        <f t="shared" si="27"/>
        <v/>
      </c>
      <c r="V137" s="28" t="str">
        <f t="shared" si="27"/>
        <v/>
      </c>
      <c r="W137" s="28" t="str">
        <f t="shared" si="27"/>
        <v/>
      </c>
      <c r="X137" s="29" t="str">
        <f t="shared" si="27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19"/>
        <v/>
      </c>
      <c r="M138" s="19" t="str">
        <f t="shared" si="20"/>
        <v/>
      </c>
      <c r="N138" s="19" t="str">
        <f t="shared" si="21"/>
        <v/>
      </c>
      <c r="O138" s="19" t="str">
        <f t="shared" si="22"/>
        <v/>
      </c>
      <c r="P138" s="19" t="str">
        <f t="shared" si="23"/>
        <v/>
      </c>
      <c r="Q138" s="19" t="str">
        <f t="shared" si="24"/>
        <v/>
      </c>
      <c r="R138" s="19" t="str">
        <f t="shared" si="25"/>
        <v/>
      </c>
      <c r="S138" s="27" t="str">
        <f t="shared" si="27"/>
        <v/>
      </c>
      <c r="T138" s="28" t="str">
        <f t="shared" si="27"/>
        <v/>
      </c>
      <c r="U138" s="28" t="str">
        <f t="shared" si="27"/>
        <v/>
      </c>
      <c r="V138" s="28" t="str">
        <f t="shared" si="27"/>
        <v/>
      </c>
      <c r="W138" s="28" t="str">
        <f t="shared" si="27"/>
        <v/>
      </c>
      <c r="X138" s="29" t="str">
        <f t="shared" si="27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19"/>
        <v/>
      </c>
      <c r="M139" s="19" t="str">
        <f t="shared" si="20"/>
        <v/>
      </c>
      <c r="N139" s="19" t="str">
        <f t="shared" si="21"/>
        <v/>
      </c>
      <c r="O139" s="19" t="str">
        <f t="shared" si="22"/>
        <v/>
      </c>
      <c r="P139" s="19" t="str">
        <f t="shared" si="23"/>
        <v/>
      </c>
      <c r="Q139" s="19" t="str">
        <f t="shared" si="24"/>
        <v/>
      </c>
      <c r="R139" s="19" t="str">
        <f t="shared" si="25"/>
        <v/>
      </c>
      <c r="S139" s="27" t="str">
        <f t="shared" si="27"/>
        <v/>
      </c>
      <c r="T139" s="28" t="str">
        <f t="shared" si="27"/>
        <v/>
      </c>
      <c r="U139" s="28" t="str">
        <f t="shared" si="27"/>
        <v/>
      </c>
      <c r="V139" s="28" t="str">
        <f t="shared" si="27"/>
        <v/>
      </c>
      <c r="W139" s="28" t="str">
        <f t="shared" si="27"/>
        <v/>
      </c>
      <c r="X139" s="29" t="str">
        <f t="shared" si="27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19"/>
        <v/>
      </c>
      <c r="M140" s="19" t="str">
        <f t="shared" si="20"/>
        <v/>
      </c>
      <c r="N140" s="19" t="str">
        <f t="shared" si="21"/>
        <v/>
      </c>
      <c r="O140" s="19" t="str">
        <f t="shared" si="22"/>
        <v/>
      </c>
      <c r="P140" s="19" t="str">
        <f t="shared" si="23"/>
        <v/>
      </c>
      <c r="Q140" s="19" t="str">
        <f t="shared" si="24"/>
        <v/>
      </c>
      <c r="R140" s="19" t="str">
        <f t="shared" si="25"/>
        <v/>
      </c>
      <c r="S140" s="27" t="str">
        <f t="shared" si="27"/>
        <v/>
      </c>
      <c r="T140" s="28" t="str">
        <f t="shared" si="27"/>
        <v/>
      </c>
      <c r="U140" s="28" t="str">
        <f t="shared" si="27"/>
        <v/>
      </c>
      <c r="V140" s="28" t="str">
        <f t="shared" si="27"/>
        <v/>
      </c>
      <c r="W140" s="28" t="str">
        <f t="shared" si="27"/>
        <v/>
      </c>
      <c r="X140" s="29" t="str">
        <f t="shared" si="27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19"/>
        <v/>
      </c>
      <c r="M141" s="19" t="str">
        <f t="shared" si="20"/>
        <v/>
      </c>
      <c r="N141" s="19" t="str">
        <f t="shared" si="21"/>
        <v/>
      </c>
      <c r="O141" s="19" t="str">
        <f t="shared" si="22"/>
        <v/>
      </c>
      <c r="P141" s="19" t="str">
        <f t="shared" si="23"/>
        <v/>
      </c>
      <c r="Q141" s="19" t="str">
        <f t="shared" si="24"/>
        <v/>
      </c>
      <c r="R141" s="19" t="str">
        <f t="shared" si="25"/>
        <v/>
      </c>
      <c r="S141" s="27" t="str">
        <f t="shared" si="27"/>
        <v/>
      </c>
      <c r="T141" s="28" t="str">
        <f t="shared" si="27"/>
        <v/>
      </c>
      <c r="U141" s="28" t="str">
        <f t="shared" si="27"/>
        <v/>
      </c>
      <c r="V141" s="28" t="str">
        <f t="shared" si="27"/>
        <v/>
      </c>
      <c r="W141" s="28" t="str">
        <f t="shared" si="27"/>
        <v/>
      </c>
      <c r="X141" s="29" t="str">
        <f t="shared" si="27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19"/>
        <v/>
      </c>
      <c r="M142" s="19" t="str">
        <f t="shared" si="20"/>
        <v/>
      </c>
      <c r="N142" s="19" t="str">
        <f t="shared" si="21"/>
        <v/>
      </c>
      <c r="O142" s="19" t="str">
        <f t="shared" si="22"/>
        <v/>
      </c>
      <c r="P142" s="19" t="str">
        <f t="shared" si="23"/>
        <v/>
      </c>
      <c r="Q142" s="19" t="str">
        <f t="shared" si="24"/>
        <v/>
      </c>
      <c r="R142" s="19" t="str">
        <f t="shared" si="25"/>
        <v/>
      </c>
      <c r="S142" s="27" t="str">
        <f t="shared" si="27"/>
        <v/>
      </c>
      <c r="T142" s="28" t="str">
        <f t="shared" si="27"/>
        <v/>
      </c>
      <c r="U142" s="28" t="str">
        <f t="shared" si="27"/>
        <v/>
      </c>
      <c r="V142" s="28" t="str">
        <f t="shared" si="27"/>
        <v/>
      </c>
      <c r="W142" s="28" t="str">
        <f t="shared" si="27"/>
        <v/>
      </c>
      <c r="X142" s="29" t="str">
        <f t="shared" si="27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19"/>
        <v/>
      </c>
      <c r="M143" s="19" t="str">
        <f t="shared" si="20"/>
        <v/>
      </c>
      <c r="N143" s="19" t="str">
        <f t="shared" si="21"/>
        <v/>
      </c>
      <c r="O143" s="19" t="str">
        <f t="shared" si="22"/>
        <v/>
      </c>
      <c r="P143" s="19" t="str">
        <f t="shared" si="23"/>
        <v/>
      </c>
      <c r="Q143" s="19" t="str">
        <f t="shared" si="24"/>
        <v/>
      </c>
      <c r="R143" s="19" t="str">
        <f t="shared" si="25"/>
        <v/>
      </c>
      <c r="S143" s="27" t="str">
        <f t="shared" si="27"/>
        <v/>
      </c>
      <c r="T143" s="28" t="str">
        <f t="shared" si="27"/>
        <v/>
      </c>
      <c r="U143" s="28" t="str">
        <f t="shared" si="27"/>
        <v/>
      </c>
      <c r="V143" s="28" t="str">
        <f t="shared" si="27"/>
        <v/>
      </c>
      <c r="W143" s="28" t="str">
        <f t="shared" si="27"/>
        <v/>
      </c>
      <c r="X143" s="29" t="str">
        <f t="shared" si="27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19"/>
        <v/>
      </c>
      <c r="M144" s="19" t="str">
        <f t="shared" si="20"/>
        <v/>
      </c>
      <c r="N144" s="19" t="str">
        <f t="shared" si="21"/>
        <v/>
      </c>
      <c r="O144" s="19" t="str">
        <f t="shared" si="22"/>
        <v/>
      </c>
      <c r="P144" s="19" t="str">
        <f t="shared" si="23"/>
        <v/>
      </c>
      <c r="Q144" s="19" t="str">
        <f t="shared" si="24"/>
        <v/>
      </c>
      <c r="R144" s="19" t="str">
        <f t="shared" ref="R144:R153" si="28">IF(ISBLANK(I144),"",(I144-I$16)*1000)</f>
        <v/>
      </c>
      <c r="S144" s="27" t="str">
        <f t="shared" si="27"/>
        <v/>
      </c>
      <c r="T144" s="28" t="str">
        <f t="shared" si="27"/>
        <v/>
      </c>
      <c r="U144" s="28" t="str">
        <f t="shared" si="27"/>
        <v/>
      </c>
      <c r="V144" s="28" t="str">
        <f t="shared" si="27"/>
        <v/>
      </c>
      <c r="W144" s="28" t="str">
        <f t="shared" si="27"/>
        <v/>
      </c>
      <c r="X144" s="29" t="str">
        <f t="shared" si="27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19"/>
        <v/>
      </c>
      <c r="M145" s="19" t="str">
        <f t="shared" si="20"/>
        <v/>
      </c>
      <c r="N145" s="19" t="str">
        <f t="shared" si="21"/>
        <v/>
      </c>
      <c r="O145" s="19" t="str">
        <f t="shared" si="22"/>
        <v/>
      </c>
      <c r="P145" s="19" t="str">
        <f t="shared" si="23"/>
        <v/>
      </c>
      <c r="Q145" s="19" t="str">
        <f t="shared" si="24"/>
        <v/>
      </c>
      <c r="R145" s="19" t="str">
        <f t="shared" si="28"/>
        <v/>
      </c>
      <c r="S145" s="27" t="str">
        <f t="shared" ref="S145:X153" si="29">IF(C145="","",((C145-C144)*1000)/($B145-$B144))</f>
        <v/>
      </c>
      <c r="T145" s="28" t="str">
        <f t="shared" si="29"/>
        <v/>
      </c>
      <c r="U145" s="28" t="str">
        <f t="shared" si="29"/>
        <v/>
      </c>
      <c r="V145" s="28" t="str">
        <f t="shared" si="29"/>
        <v/>
      </c>
      <c r="W145" s="28" t="str">
        <f t="shared" si="29"/>
        <v/>
      </c>
      <c r="X145" s="29" t="str">
        <f t="shared" si="29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19"/>
        <v/>
      </c>
      <c r="M146" s="19" t="str">
        <f t="shared" si="20"/>
        <v/>
      </c>
      <c r="N146" s="19" t="str">
        <f t="shared" si="21"/>
        <v/>
      </c>
      <c r="O146" s="19" t="str">
        <f t="shared" si="22"/>
        <v/>
      </c>
      <c r="P146" s="19" t="str">
        <f t="shared" si="23"/>
        <v/>
      </c>
      <c r="Q146" s="19" t="str">
        <f t="shared" si="24"/>
        <v/>
      </c>
      <c r="R146" s="19" t="str">
        <f t="shared" si="28"/>
        <v/>
      </c>
      <c r="S146" s="27" t="str">
        <f t="shared" si="29"/>
        <v/>
      </c>
      <c r="T146" s="28" t="str">
        <f t="shared" si="29"/>
        <v/>
      </c>
      <c r="U146" s="28" t="str">
        <f t="shared" si="29"/>
        <v/>
      </c>
      <c r="V146" s="28" t="str">
        <f t="shared" si="29"/>
        <v/>
      </c>
      <c r="W146" s="28" t="str">
        <f t="shared" si="29"/>
        <v/>
      </c>
      <c r="X146" s="29" t="str">
        <f t="shared" si="29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19"/>
        <v/>
      </c>
      <c r="M147" s="19" t="str">
        <f t="shared" si="20"/>
        <v/>
      </c>
      <c r="N147" s="19" t="str">
        <f t="shared" si="21"/>
        <v/>
      </c>
      <c r="O147" s="19" t="str">
        <f t="shared" si="22"/>
        <v/>
      </c>
      <c r="P147" s="19" t="str">
        <f t="shared" si="23"/>
        <v/>
      </c>
      <c r="Q147" s="19" t="str">
        <f t="shared" si="24"/>
        <v/>
      </c>
      <c r="R147" s="19" t="str">
        <f t="shared" si="28"/>
        <v/>
      </c>
      <c r="S147" s="27" t="str">
        <f t="shared" si="29"/>
        <v/>
      </c>
      <c r="T147" s="28" t="str">
        <f t="shared" si="29"/>
        <v/>
      </c>
      <c r="U147" s="28" t="str">
        <f t="shared" si="29"/>
        <v/>
      </c>
      <c r="V147" s="28" t="str">
        <f t="shared" si="29"/>
        <v/>
      </c>
      <c r="W147" s="28" t="str">
        <f t="shared" si="29"/>
        <v/>
      </c>
      <c r="X147" s="29" t="str">
        <f t="shared" si="29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19"/>
        <v/>
      </c>
      <c r="M148" s="19" t="str">
        <f t="shared" si="20"/>
        <v/>
      </c>
      <c r="N148" s="19" t="str">
        <f t="shared" si="21"/>
        <v/>
      </c>
      <c r="O148" s="19" t="str">
        <f t="shared" si="22"/>
        <v/>
      </c>
      <c r="P148" s="19" t="str">
        <f t="shared" si="23"/>
        <v/>
      </c>
      <c r="Q148" s="19" t="str">
        <f t="shared" si="24"/>
        <v/>
      </c>
      <c r="R148" s="19" t="str">
        <f t="shared" si="28"/>
        <v/>
      </c>
      <c r="S148" s="27" t="str">
        <f t="shared" si="29"/>
        <v/>
      </c>
      <c r="T148" s="28" t="str">
        <f t="shared" si="29"/>
        <v/>
      </c>
      <c r="U148" s="28" t="str">
        <f t="shared" si="29"/>
        <v/>
      </c>
      <c r="V148" s="28" t="str">
        <f t="shared" si="29"/>
        <v/>
      </c>
      <c r="W148" s="28" t="str">
        <f t="shared" si="29"/>
        <v/>
      </c>
      <c r="X148" s="29" t="str">
        <f t="shared" si="29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19"/>
        <v/>
      </c>
      <c r="M149" s="19" t="str">
        <f t="shared" si="20"/>
        <v/>
      </c>
      <c r="N149" s="19" t="str">
        <f t="shared" si="21"/>
        <v/>
      </c>
      <c r="O149" s="19" t="str">
        <f t="shared" si="22"/>
        <v/>
      </c>
      <c r="P149" s="19" t="str">
        <f t="shared" si="23"/>
        <v/>
      </c>
      <c r="Q149" s="19" t="str">
        <f t="shared" si="24"/>
        <v/>
      </c>
      <c r="R149" s="19" t="str">
        <f t="shared" si="28"/>
        <v/>
      </c>
      <c r="S149" s="27" t="str">
        <f t="shared" si="29"/>
        <v/>
      </c>
      <c r="T149" s="28" t="str">
        <f t="shared" si="29"/>
        <v/>
      </c>
      <c r="U149" s="28" t="str">
        <f t="shared" si="29"/>
        <v/>
      </c>
      <c r="V149" s="28" t="str">
        <f t="shared" si="29"/>
        <v/>
      </c>
      <c r="W149" s="28" t="str">
        <f t="shared" si="29"/>
        <v/>
      </c>
      <c r="X149" s="29" t="str">
        <f t="shared" si="29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19"/>
        <v/>
      </c>
      <c r="M150" s="19" t="str">
        <f t="shared" si="20"/>
        <v/>
      </c>
      <c r="N150" s="19" t="str">
        <f t="shared" si="21"/>
        <v/>
      </c>
      <c r="O150" s="19" t="str">
        <f t="shared" si="22"/>
        <v/>
      </c>
      <c r="P150" s="19" t="str">
        <f t="shared" si="23"/>
        <v/>
      </c>
      <c r="Q150" s="19" t="str">
        <f t="shared" si="24"/>
        <v/>
      </c>
      <c r="R150" s="19" t="str">
        <f t="shared" si="28"/>
        <v/>
      </c>
      <c r="S150" s="27" t="str">
        <f t="shared" si="29"/>
        <v/>
      </c>
      <c r="T150" s="28" t="str">
        <f t="shared" si="29"/>
        <v/>
      </c>
      <c r="U150" s="28" t="str">
        <f t="shared" si="29"/>
        <v/>
      </c>
      <c r="V150" s="28" t="str">
        <f t="shared" si="29"/>
        <v/>
      </c>
      <c r="W150" s="28" t="str">
        <f t="shared" si="29"/>
        <v/>
      </c>
      <c r="X150" s="29" t="str">
        <f t="shared" si="29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19"/>
        <v/>
      </c>
      <c r="M151" s="19" t="str">
        <f t="shared" si="20"/>
        <v/>
      </c>
      <c r="N151" s="19" t="str">
        <f t="shared" si="21"/>
        <v/>
      </c>
      <c r="O151" s="19" t="str">
        <f t="shared" si="22"/>
        <v/>
      </c>
      <c r="P151" s="19" t="str">
        <f t="shared" si="23"/>
        <v/>
      </c>
      <c r="Q151" s="19" t="str">
        <f t="shared" si="24"/>
        <v/>
      </c>
      <c r="R151" s="19" t="str">
        <f t="shared" si="28"/>
        <v/>
      </c>
      <c r="S151" s="27" t="str">
        <f t="shared" si="29"/>
        <v/>
      </c>
      <c r="T151" s="28" t="str">
        <f t="shared" si="29"/>
        <v/>
      </c>
      <c r="U151" s="28" t="str">
        <f t="shared" si="29"/>
        <v/>
      </c>
      <c r="V151" s="28" t="str">
        <f t="shared" si="29"/>
        <v/>
      </c>
      <c r="W151" s="28" t="str">
        <f t="shared" si="29"/>
        <v/>
      </c>
      <c r="X151" s="29" t="str">
        <f t="shared" si="29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19"/>
        <v/>
      </c>
      <c r="M152" s="19" t="str">
        <f t="shared" si="20"/>
        <v/>
      </c>
      <c r="N152" s="19" t="str">
        <f t="shared" si="21"/>
        <v/>
      </c>
      <c r="O152" s="19" t="str">
        <f t="shared" si="22"/>
        <v/>
      </c>
      <c r="P152" s="19" t="str">
        <f t="shared" si="23"/>
        <v/>
      </c>
      <c r="Q152" s="19" t="str">
        <f t="shared" si="24"/>
        <v/>
      </c>
      <c r="R152" s="19" t="str">
        <f t="shared" si="28"/>
        <v/>
      </c>
      <c r="S152" s="27" t="str">
        <f t="shared" si="29"/>
        <v/>
      </c>
      <c r="T152" s="28" t="str">
        <f t="shared" si="29"/>
        <v/>
      </c>
      <c r="U152" s="28" t="str">
        <f t="shared" si="29"/>
        <v/>
      </c>
      <c r="V152" s="28" t="str">
        <f t="shared" si="29"/>
        <v/>
      </c>
      <c r="W152" s="28" t="str">
        <f t="shared" si="29"/>
        <v/>
      </c>
      <c r="X152" s="29" t="str">
        <f t="shared" si="29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19"/>
        <v/>
      </c>
      <c r="M153" s="19" t="str">
        <f t="shared" si="20"/>
        <v/>
      </c>
      <c r="N153" s="19" t="str">
        <f t="shared" si="21"/>
        <v/>
      </c>
      <c r="O153" s="19" t="str">
        <f t="shared" si="22"/>
        <v/>
      </c>
      <c r="P153" s="19" t="str">
        <f t="shared" si="23"/>
        <v/>
      </c>
      <c r="Q153" s="19" t="str">
        <f t="shared" si="24"/>
        <v/>
      </c>
      <c r="R153" s="19" t="str">
        <f t="shared" si="28"/>
        <v/>
      </c>
      <c r="S153" s="27" t="str">
        <f t="shared" si="29"/>
        <v/>
      </c>
      <c r="T153" s="28" t="str">
        <f t="shared" si="29"/>
        <v/>
      </c>
      <c r="U153" s="28" t="str">
        <f t="shared" si="29"/>
        <v/>
      </c>
      <c r="V153" s="28" t="str">
        <f t="shared" si="29"/>
        <v/>
      </c>
      <c r="W153" s="28" t="str">
        <f t="shared" si="29"/>
        <v/>
      </c>
      <c r="X153" s="29" t="str">
        <f t="shared" si="29"/>
        <v/>
      </c>
      <c r="Y153" s="24"/>
    </row>
  </sheetData>
  <sheetProtection selectLockedCells="1"/>
  <mergeCells count="38"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A1:J1"/>
    <mergeCell ref="E2:Q2"/>
    <mergeCell ref="R2:X4"/>
    <mergeCell ref="Y2:Y4"/>
    <mergeCell ref="E3:Q3"/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A2BD-4C26-4EA1-87EC-9323EEC801E4}">
  <dimension ref="A1:F1722"/>
  <sheetViews>
    <sheetView topLeftCell="A1555" zoomScaleNormal="100" workbookViewId="0">
      <selection activeCell="L1576" sqref="L1576"/>
    </sheetView>
  </sheetViews>
  <sheetFormatPr baseColWidth="10" defaultColWidth="11.42578125" defaultRowHeight="15" x14ac:dyDescent="0.25"/>
  <cols>
    <col min="1" max="1" width="15.7109375" style="84" customWidth="1"/>
    <col min="2" max="4" width="15.7109375" style="85" customWidth="1"/>
    <col min="5" max="5" width="11.42578125" style="85"/>
    <col min="6" max="6" width="11.42578125" style="91"/>
  </cols>
  <sheetData>
    <row r="1" spans="1:5" x14ac:dyDescent="0.25">
      <c r="A1" s="90" t="s">
        <v>17</v>
      </c>
      <c r="B1" s="90" t="s">
        <v>58</v>
      </c>
      <c r="C1" s="90" t="s">
        <v>59</v>
      </c>
      <c r="D1" s="90" t="s">
        <v>60</v>
      </c>
      <c r="E1" s="90" t="s">
        <v>61</v>
      </c>
    </row>
    <row r="2" spans="1:5" x14ac:dyDescent="0.25">
      <c r="A2" s="84">
        <v>45724</v>
      </c>
      <c r="B2" s="96">
        <v>513495.201</v>
      </c>
      <c r="C2" s="96">
        <v>4786386.5449999999</v>
      </c>
      <c r="D2" s="96">
        <v>61.19</v>
      </c>
      <c r="E2" s="96" t="s">
        <v>62</v>
      </c>
    </row>
    <row r="3" spans="1:5" x14ac:dyDescent="0.25">
      <c r="A3" s="84">
        <v>45724</v>
      </c>
      <c r="B3" s="96">
        <v>513495.14600000001</v>
      </c>
      <c r="C3" s="96">
        <v>4786386.38</v>
      </c>
      <c r="D3" s="96">
        <v>59.661000000000001</v>
      </c>
      <c r="E3" s="96" t="s">
        <v>63</v>
      </c>
    </row>
    <row r="4" spans="1:5" x14ac:dyDescent="0.25">
      <c r="A4" s="84">
        <v>45724</v>
      </c>
      <c r="B4" s="96">
        <v>513495.77500000002</v>
      </c>
      <c r="C4" s="96">
        <v>4786386.2029999997</v>
      </c>
      <c r="D4" s="96">
        <v>56.582000000000001</v>
      </c>
      <c r="E4" s="96" t="s">
        <v>64</v>
      </c>
    </row>
    <row r="5" spans="1:5" x14ac:dyDescent="0.25">
      <c r="A5" s="84">
        <v>45724</v>
      </c>
      <c r="B5" s="96">
        <v>513495.41700000002</v>
      </c>
      <c r="C5" s="96">
        <v>4786386.142</v>
      </c>
      <c r="D5" s="96">
        <v>53.594999999999999</v>
      </c>
      <c r="E5" s="96" t="s">
        <v>65</v>
      </c>
    </row>
    <row r="6" spans="1:5" x14ac:dyDescent="0.25">
      <c r="A6" s="84">
        <v>45724</v>
      </c>
      <c r="B6" s="96">
        <v>513491.95</v>
      </c>
      <c r="C6" s="96">
        <v>4786383.7079999996</v>
      </c>
      <c r="D6" s="96">
        <v>61.482999999999997</v>
      </c>
      <c r="E6" s="96" t="s">
        <v>66</v>
      </c>
    </row>
    <row r="7" spans="1:5" x14ac:dyDescent="0.25">
      <c r="A7" s="84">
        <v>45724</v>
      </c>
      <c r="B7" s="96">
        <v>513492.01799999998</v>
      </c>
      <c r="C7" s="96">
        <v>4786383.6849999996</v>
      </c>
      <c r="D7" s="96">
        <v>59.484999999999999</v>
      </c>
      <c r="E7" s="96" t="s">
        <v>67</v>
      </c>
    </row>
    <row r="8" spans="1:5" x14ac:dyDescent="0.25">
      <c r="A8" s="84">
        <v>45724</v>
      </c>
      <c r="B8" s="96">
        <v>513492.283</v>
      </c>
      <c r="C8" s="96">
        <v>4786384.1229999997</v>
      </c>
      <c r="D8" s="96">
        <v>56.494</v>
      </c>
      <c r="E8" s="96" t="s">
        <v>68</v>
      </c>
    </row>
    <row r="9" spans="1:5" x14ac:dyDescent="0.25">
      <c r="A9" s="84">
        <v>45724</v>
      </c>
      <c r="B9" s="96">
        <v>513492.49699999997</v>
      </c>
      <c r="C9" s="96">
        <v>4786384.4890000001</v>
      </c>
      <c r="D9" s="96">
        <v>53.417000000000002</v>
      </c>
      <c r="E9" s="96" t="s">
        <v>69</v>
      </c>
    </row>
    <row r="10" spans="1:5" x14ac:dyDescent="0.25">
      <c r="A10" s="84">
        <v>45724</v>
      </c>
      <c r="B10" s="96">
        <v>513487.79700000002</v>
      </c>
      <c r="C10" s="96">
        <v>4786375.6500000004</v>
      </c>
      <c r="D10" s="96">
        <v>60.912999999999997</v>
      </c>
      <c r="E10" s="96" t="s">
        <v>70</v>
      </c>
    </row>
    <row r="11" spans="1:5" x14ac:dyDescent="0.25">
      <c r="A11" s="84">
        <v>45724</v>
      </c>
      <c r="B11" s="96">
        <v>513488.163</v>
      </c>
      <c r="C11" s="96">
        <v>4786375.625</v>
      </c>
      <c r="D11" s="96">
        <v>59.329000000000001</v>
      </c>
      <c r="E11" s="96" t="s">
        <v>71</v>
      </c>
    </row>
    <row r="12" spans="1:5" x14ac:dyDescent="0.25">
      <c r="A12" s="84">
        <v>45724</v>
      </c>
      <c r="B12" s="96">
        <v>513484.61499999999</v>
      </c>
      <c r="C12" s="96">
        <v>4786368.8159999996</v>
      </c>
      <c r="D12" s="96">
        <v>60.353999999999999</v>
      </c>
      <c r="E12" s="96" t="s">
        <v>72</v>
      </c>
    </row>
    <row r="13" spans="1:5" x14ac:dyDescent="0.25">
      <c r="A13" s="84">
        <v>45724</v>
      </c>
      <c r="B13" s="96">
        <v>513484.728</v>
      </c>
      <c r="C13" s="96">
        <v>4786368.7350000003</v>
      </c>
      <c r="D13" s="96">
        <v>59.374000000000002</v>
      </c>
      <c r="E13" s="96" t="s">
        <v>73</v>
      </c>
    </row>
    <row r="14" spans="1:5" x14ac:dyDescent="0.25">
      <c r="A14" s="84">
        <v>45724</v>
      </c>
      <c r="B14" s="96">
        <v>513484.75199999998</v>
      </c>
      <c r="C14" s="96">
        <v>4786368.7410000004</v>
      </c>
      <c r="D14" s="96">
        <v>56.354999999999997</v>
      </c>
      <c r="E14" s="96" t="s">
        <v>74</v>
      </c>
    </row>
    <row r="15" spans="1:5" x14ac:dyDescent="0.25">
      <c r="A15" s="84">
        <v>45724</v>
      </c>
      <c r="B15" s="96">
        <v>513484.82199999999</v>
      </c>
      <c r="C15" s="96">
        <v>4786368.9380000001</v>
      </c>
      <c r="D15" s="96">
        <v>53.371000000000002</v>
      </c>
      <c r="E15" s="96" t="s">
        <v>75</v>
      </c>
    </row>
    <row r="16" spans="1:5" x14ac:dyDescent="0.25">
      <c r="A16" s="84">
        <v>45724</v>
      </c>
      <c r="B16" s="96">
        <v>513480.114</v>
      </c>
      <c r="C16" s="96">
        <v>4786359.8140000002</v>
      </c>
      <c r="D16" s="96">
        <v>59.851999999999997</v>
      </c>
      <c r="E16" s="96" t="s">
        <v>76</v>
      </c>
    </row>
    <row r="17" spans="1:5" x14ac:dyDescent="0.25">
      <c r="A17" s="84">
        <v>45724</v>
      </c>
      <c r="B17" s="96">
        <v>513480.48599999998</v>
      </c>
      <c r="C17" s="96">
        <v>4786360.1330000004</v>
      </c>
      <c r="D17" s="96">
        <v>56.338999999999999</v>
      </c>
      <c r="E17" s="96" t="s">
        <v>77</v>
      </c>
    </row>
    <row r="18" spans="1:5" x14ac:dyDescent="0.25">
      <c r="A18" s="84">
        <v>45724</v>
      </c>
      <c r="B18" s="96">
        <v>513480.00799999997</v>
      </c>
      <c r="C18" s="96">
        <v>4786359.2740000002</v>
      </c>
      <c r="D18" s="96">
        <v>53.338999999999999</v>
      </c>
      <c r="E18" s="96" t="s">
        <v>78</v>
      </c>
    </row>
    <row r="19" spans="1:5" x14ac:dyDescent="0.25">
      <c r="A19" s="84">
        <v>45724</v>
      </c>
      <c r="B19" s="96">
        <v>513474.54100000003</v>
      </c>
      <c r="C19" s="96">
        <v>4786353.87</v>
      </c>
      <c r="D19" s="96">
        <v>59.293999999999997</v>
      </c>
      <c r="E19" s="96" t="s">
        <v>79</v>
      </c>
    </row>
    <row r="20" spans="1:5" x14ac:dyDescent="0.25">
      <c r="A20" s="84">
        <v>45724</v>
      </c>
      <c r="B20" s="96">
        <v>513474.65600000002</v>
      </c>
      <c r="C20" s="96">
        <v>4786353.7680000002</v>
      </c>
      <c r="D20" s="96">
        <v>56.320999999999998</v>
      </c>
      <c r="E20" s="96" t="s">
        <v>80</v>
      </c>
    </row>
    <row r="21" spans="1:5" x14ac:dyDescent="0.25">
      <c r="A21" s="84">
        <v>45724</v>
      </c>
      <c r="B21" s="96">
        <v>513474.76299999998</v>
      </c>
      <c r="C21" s="96">
        <v>4786353.8739999998</v>
      </c>
      <c r="D21" s="96">
        <v>53.354999999999997</v>
      </c>
      <c r="E21" s="96" t="s">
        <v>81</v>
      </c>
    </row>
    <row r="22" spans="1:5" x14ac:dyDescent="0.25">
      <c r="A22" s="84">
        <v>45726</v>
      </c>
      <c r="B22" s="96">
        <v>513495.201</v>
      </c>
      <c r="C22" s="96">
        <v>4786386.5449999999</v>
      </c>
      <c r="D22" s="96">
        <v>61.189</v>
      </c>
      <c r="E22" s="96" t="s">
        <v>62</v>
      </c>
    </row>
    <row r="23" spans="1:5" x14ac:dyDescent="0.25">
      <c r="A23" s="84">
        <v>45726</v>
      </c>
      <c r="B23" s="96">
        <v>513495.147</v>
      </c>
      <c r="C23" s="96">
        <v>4786386.3789999997</v>
      </c>
      <c r="D23" s="96">
        <v>59.66</v>
      </c>
      <c r="E23" s="96" t="s">
        <v>63</v>
      </c>
    </row>
    <row r="24" spans="1:5" x14ac:dyDescent="0.25">
      <c r="A24" s="84">
        <v>45726</v>
      </c>
      <c r="B24" s="96">
        <v>513495.77600000001</v>
      </c>
      <c r="C24" s="96">
        <v>4786386.2039999999</v>
      </c>
      <c r="D24" s="96">
        <v>56.582000000000001</v>
      </c>
      <c r="E24" s="96" t="s">
        <v>64</v>
      </c>
    </row>
    <row r="25" spans="1:5" x14ac:dyDescent="0.25">
      <c r="A25" s="84">
        <v>45726</v>
      </c>
      <c r="B25" s="96">
        <v>513495.41800000001</v>
      </c>
      <c r="C25" s="96">
        <v>4786386.1430000002</v>
      </c>
      <c r="D25" s="96">
        <v>53.594999999999999</v>
      </c>
      <c r="E25" s="96" t="s">
        <v>65</v>
      </c>
    </row>
    <row r="26" spans="1:5" x14ac:dyDescent="0.25">
      <c r="A26" s="84">
        <v>45726</v>
      </c>
      <c r="B26" s="96">
        <v>513491.951</v>
      </c>
      <c r="C26" s="96">
        <v>4786383.7089999998</v>
      </c>
      <c r="D26" s="96">
        <v>61.482999999999997</v>
      </c>
      <c r="E26" s="96" t="s">
        <v>66</v>
      </c>
    </row>
    <row r="27" spans="1:5" x14ac:dyDescent="0.25">
      <c r="A27" s="84">
        <v>45726</v>
      </c>
      <c r="B27" s="96">
        <v>513492.01899999997</v>
      </c>
      <c r="C27" s="96">
        <v>4786383.6859999998</v>
      </c>
      <c r="D27" s="96">
        <v>59.484999999999999</v>
      </c>
      <c r="E27" s="96" t="s">
        <v>67</v>
      </c>
    </row>
    <row r="28" spans="1:5" x14ac:dyDescent="0.25">
      <c r="A28" s="84">
        <v>45726</v>
      </c>
      <c r="B28" s="96">
        <v>513492.283</v>
      </c>
      <c r="C28" s="96">
        <v>4786384.125</v>
      </c>
      <c r="D28" s="96">
        <v>56.494</v>
      </c>
      <c r="E28" s="96" t="s">
        <v>68</v>
      </c>
    </row>
    <row r="29" spans="1:5" x14ac:dyDescent="0.25">
      <c r="A29" s="84">
        <v>45726</v>
      </c>
      <c r="B29" s="96">
        <v>513492.49800000002</v>
      </c>
      <c r="C29" s="96">
        <v>4786384.49</v>
      </c>
      <c r="D29" s="96">
        <v>53.417000000000002</v>
      </c>
      <c r="E29" s="96" t="s">
        <v>69</v>
      </c>
    </row>
    <row r="30" spans="1:5" x14ac:dyDescent="0.25">
      <c r="A30" s="84">
        <v>45726</v>
      </c>
      <c r="B30" s="96">
        <v>513487.79800000001</v>
      </c>
      <c r="C30" s="96">
        <v>4786375.6509999996</v>
      </c>
      <c r="D30" s="96">
        <v>60.912999999999997</v>
      </c>
      <c r="E30" s="96" t="s">
        <v>70</v>
      </c>
    </row>
    <row r="31" spans="1:5" x14ac:dyDescent="0.25">
      <c r="A31" s="84">
        <v>45726</v>
      </c>
      <c r="B31" s="96">
        <v>513488.16499999998</v>
      </c>
      <c r="C31" s="96">
        <v>4786375.625</v>
      </c>
      <c r="D31" s="96">
        <v>59.328000000000003</v>
      </c>
      <c r="E31" s="96" t="s">
        <v>71</v>
      </c>
    </row>
    <row r="32" spans="1:5" x14ac:dyDescent="0.25">
      <c r="A32" s="84">
        <v>45726</v>
      </c>
      <c r="B32" s="96">
        <v>513484.61499999999</v>
      </c>
      <c r="C32" s="96">
        <v>4786368.8169999998</v>
      </c>
      <c r="D32" s="96">
        <v>60.353000000000002</v>
      </c>
      <c r="E32" s="96" t="s">
        <v>72</v>
      </c>
    </row>
    <row r="33" spans="1:5" x14ac:dyDescent="0.25">
      <c r="A33" s="84">
        <v>45726</v>
      </c>
      <c r="B33" s="96">
        <v>513484.72700000001</v>
      </c>
      <c r="C33" s="96">
        <v>4786368.7359999996</v>
      </c>
      <c r="D33" s="96">
        <v>59.374000000000002</v>
      </c>
      <c r="E33" s="96" t="s">
        <v>73</v>
      </c>
    </row>
    <row r="34" spans="1:5" x14ac:dyDescent="0.25">
      <c r="A34" s="84">
        <v>45726</v>
      </c>
      <c r="B34" s="96">
        <v>513484.75199999998</v>
      </c>
      <c r="C34" s="96">
        <v>4786368.7419999996</v>
      </c>
      <c r="D34" s="96">
        <v>56.356000000000002</v>
      </c>
      <c r="E34" s="96" t="s">
        <v>74</v>
      </c>
    </row>
    <row r="35" spans="1:5" x14ac:dyDescent="0.25">
      <c r="A35" s="84">
        <v>45726</v>
      </c>
      <c r="B35" s="96">
        <v>513484.82299999997</v>
      </c>
      <c r="C35" s="96">
        <v>4786368.9390000002</v>
      </c>
      <c r="D35" s="96">
        <v>53.369</v>
      </c>
      <c r="E35" s="96" t="s">
        <v>75</v>
      </c>
    </row>
    <row r="36" spans="1:5" x14ac:dyDescent="0.25">
      <c r="A36" s="84">
        <v>45726</v>
      </c>
      <c r="B36" s="96">
        <v>513480.11200000002</v>
      </c>
      <c r="C36" s="96">
        <v>4786359.8150000004</v>
      </c>
      <c r="D36" s="96">
        <v>59.851999999999997</v>
      </c>
      <c r="E36" s="96" t="s">
        <v>76</v>
      </c>
    </row>
    <row r="37" spans="1:5" x14ac:dyDescent="0.25">
      <c r="A37" s="84">
        <v>45726</v>
      </c>
      <c r="B37" s="96">
        <v>513480.48599999998</v>
      </c>
      <c r="C37" s="96">
        <v>4786360.1339999996</v>
      </c>
      <c r="D37" s="96">
        <v>56.338000000000001</v>
      </c>
      <c r="E37" s="96" t="s">
        <v>77</v>
      </c>
    </row>
    <row r="38" spans="1:5" x14ac:dyDescent="0.25">
      <c r="A38" s="84">
        <v>45726</v>
      </c>
      <c r="B38" s="96">
        <v>513480.00799999997</v>
      </c>
      <c r="C38" s="96">
        <v>4786359.2750000004</v>
      </c>
      <c r="D38" s="96">
        <v>53.338999999999999</v>
      </c>
      <c r="E38" s="96" t="s">
        <v>78</v>
      </c>
    </row>
    <row r="39" spans="1:5" x14ac:dyDescent="0.25">
      <c r="A39" s="84">
        <v>45726</v>
      </c>
      <c r="B39" s="96">
        <v>513474.54200000002</v>
      </c>
      <c r="C39" s="96">
        <v>4786353.8710000003</v>
      </c>
      <c r="D39" s="96">
        <v>59.295000000000002</v>
      </c>
      <c r="E39" s="96" t="s">
        <v>79</v>
      </c>
    </row>
    <row r="40" spans="1:5" x14ac:dyDescent="0.25">
      <c r="A40" s="84">
        <v>45726</v>
      </c>
      <c r="B40" s="96">
        <v>513474.65600000002</v>
      </c>
      <c r="C40" s="96">
        <v>4786353.7690000003</v>
      </c>
      <c r="D40" s="96">
        <v>56.320999999999998</v>
      </c>
      <c r="E40" s="96" t="s">
        <v>80</v>
      </c>
    </row>
    <row r="41" spans="1:5" x14ac:dyDescent="0.25">
      <c r="A41" s="84">
        <v>45726</v>
      </c>
      <c r="B41" s="96">
        <v>513474.76400000002</v>
      </c>
      <c r="C41" s="96">
        <v>4786353.875</v>
      </c>
      <c r="D41" s="96">
        <v>53.356000000000002</v>
      </c>
      <c r="E41" s="96" t="s">
        <v>81</v>
      </c>
    </row>
    <row r="42" spans="1:5" x14ac:dyDescent="0.25">
      <c r="A42" s="84">
        <v>45727</v>
      </c>
      <c r="B42" s="96">
        <v>513495.2</v>
      </c>
      <c r="C42" s="96">
        <v>4786386.5460000001</v>
      </c>
      <c r="D42" s="96">
        <v>61.19</v>
      </c>
      <c r="E42" s="96" t="s">
        <v>62</v>
      </c>
    </row>
    <row r="43" spans="1:5" x14ac:dyDescent="0.25">
      <c r="A43" s="84">
        <v>45727</v>
      </c>
      <c r="B43" s="96">
        <v>513495.14500000002</v>
      </c>
      <c r="C43" s="96">
        <v>4786386.3810000001</v>
      </c>
      <c r="D43" s="96">
        <v>59.661000000000001</v>
      </c>
      <c r="E43" s="96" t="s">
        <v>63</v>
      </c>
    </row>
    <row r="44" spans="1:5" x14ac:dyDescent="0.25">
      <c r="A44" s="84">
        <v>45727</v>
      </c>
      <c r="B44" s="96">
        <v>513495.77500000002</v>
      </c>
      <c r="C44" s="96">
        <v>4786386.2050000001</v>
      </c>
      <c r="D44" s="96">
        <v>56.582000000000001</v>
      </c>
      <c r="E44" s="96" t="s">
        <v>64</v>
      </c>
    </row>
    <row r="45" spans="1:5" x14ac:dyDescent="0.25">
      <c r="A45" s="84">
        <v>45727</v>
      </c>
      <c r="B45" s="96">
        <v>513495.41899999999</v>
      </c>
      <c r="C45" s="96">
        <v>4786386.1430000002</v>
      </c>
      <c r="D45" s="96">
        <v>53.595999999999997</v>
      </c>
      <c r="E45" s="96" t="s">
        <v>65</v>
      </c>
    </row>
    <row r="46" spans="1:5" x14ac:dyDescent="0.25">
      <c r="A46" s="84">
        <v>45727</v>
      </c>
      <c r="B46" s="96">
        <v>513491.951</v>
      </c>
      <c r="C46" s="96">
        <v>4786383.71</v>
      </c>
      <c r="D46" s="96">
        <v>61.484000000000002</v>
      </c>
      <c r="E46" s="96" t="s">
        <v>66</v>
      </c>
    </row>
    <row r="47" spans="1:5" x14ac:dyDescent="0.25">
      <c r="A47" s="84">
        <v>45727</v>
      </c>
      <c r="B47" s="96">
        <v>513492.02</v>
      </c>
      <c r="C47" s="96">
        <v>4786383.6859999998</v>
      </c>
      <c r="D47" s="96">
        <v>59.485999999999997</v>
      </c>
      <c r="E47" s="96" t="s">
        <v>67</v>
      </c>
    </row>
    <row r="48" spans="1:5" x14ac:dyDescent="0.25">
      <c r="A48" s="84">
        <v>45727</v>
      </c>
      <c r="B48" s="96">
        <v>513492.28399999999</v>
      </c>
      <c r="C48" s="96">
        <v>4786384.1239999998</v>
      </c>
      <c r="D48" s="96">
        <v>56.494999999999997</v>
      </c>
      <c r="E48" s="96" t="s">
        <v>68</v>
      </c>
    </row>
    <row r="49" spans="1:5" x14ac:dyDescent="0.25">
      <c r="A49" s="84">
        <v>45727</v>
      </c>
      <c r="B49" s="96">
        <v>513492.49800000002</v>
      </c>
      <c r="C49" s="96">
        <v>4786384.49</v>
      </c>
      <c r="D49" s="96">
        <v>53.418999999999997</v>
      </c>
      <c r="E49" s="96" t="s">
        <v>69</v>
      </c>
    </row>
    <row r="50" spans="1:5" x14ac:dyDescent="0.25">
      <c r="A50" s="84">
        <v>45727</v>
      </c>
      <c r="B50" s="96">
        <v>513487.79800000001</v>
      </c>
      <c r="C50" s="96">
        <v>4786375.6509999996</v>
      </c>
      <c r="D50" s="96">
        <v>60.912999999999997</v>
      </c>
      <c r="E50" s="96" t="s">
        <v>70</v>
      </c>
    </row>
    <row r="51" spans="1:5" x14ac:dyDescent="0.25">
      <c r="A51" s="84">
        <v>45727</v>
      </c>
      <c r="B51" s="96">
        <v>513488.16399999999</v>
      </c>
      <c r="C51" s="96">
        <v>4786375.6260000002</v>
      </c>
      <c r="D51" s="96">
        <v>59.329000000000001</v>
      </c>
      <c r="E51" s="96" t="s">
        <v>71</v>
      </c>
    </row>
    <row r="52" spans="1:5" x14ac:dyDescent="0.25">
      <c r="A52" s="84">
        <v>45727</v>
      </c>
      <c r="B52" s="96">
        <v>513484.61499999999</v>
      </c>
      <c r="C52" s="96">
        <v>4786368.818</v>
      </c>
      <c r="D52" s="96">
        <v>60.354999999999997</v>
      </c>
      <c r="E52" s="96" t="s">
        <v>72</v>
      </c>
    </row>
    <row r="53" spans="1:5" x14ac:dyDescent="0.25">
      <c r="A53" s="84">
        <v>45727</v>
      </c>
      <c r="B53" s="96">
        <v>513484.72899999999</v>
      </c>
      <c r="C53" s="96">
        <v>4786368.7350000003</v>
      </c>
      <c r="D53" s="96">
        <v>59.375</v>
      </c>
      <c r="E53" s="96" t="s">
        <v>73</v>
      </c>
    </row>
    <row r="54" spans="1:5" x14ac:dyDescent="0.25">
      <c r="A54" s="84">
        <v>45727</v>
      </c>
      <c r="B54" s="96">
        <v>513484.75199999998</v>
      </c>
      <c r="C54" s="96">
        <v>4786368.7419999996</v>
      </c>
      <c r="D54" s="96">
        <v>56.356000000000002</v>
      </c>
      <c r="E54" s="96" t="s">
        <v>74</v>
      </c>
    </row>
    <row r="55" spans="1:5" x14ac:dyDescent="0.25">
      <c r="A55" s="84">
        <v>45727</v>
      </c>
      <c r="B55" s="96">
        <v>513484.82199999999</v>
      </c>
      <c r="C55" s="96">
        <v>4786368.9390000002</v>
      </c>
      <c r="D55" s="96">
        <v>53.37</v>
      </c>
      <c r="E55" s="96" t="s">
        <v>75</v>
      </c>
    </row>
    <row r="56" spans="1:5" x14ac:dyDescent="0.25">
      <c r="A56" s="84">
        <v>45727</v>
      </c>
      <c r="B56" s="96">
        <v>513480.11200000002</v>
      </c>
      <c r="C56" s="96">
        <v>4786359.8150000004</v>
      </c>
      <c r="D56" s="96">
        <v>59.853000000000002</v>
      </c>
      <c r="E56" s="96" t="s">
        <v>76</v>
      </c>
    </row>
    <row r="57" spans="1:5" x14ac:dyDescent="0.25">
      <c r="A57" s="84">
        <v>45727</v>
      </c>
      <c r="B57" s="96">
        <v>513480.48599999998</v>
      </c>
      <c r="C57" s="96">
        <v>4786360.1339999996</v>
      </c>
      <c r="D57" s="96">
        <v>56.338999999999999</v>
      </c>
      <c r="E57" s="96" t="s">
        <v>77</v>
      </c>
    </row>
    <row r="58" spans="1:5" x14ac:dyDescent="0.25">
      <c r="A58" s="84">
        <v>45727</v>
      </c>
      <c r="B58" s="96">
        <v>513480.00799999997</v>
      </c>
      <c r="C58" s="96">
        <v>4786359.2750000004</v>
      </c>
      <c r="D58" s="96">
        <v>53.34</v>
      </c>
      <c r="E58" s="96" t="s">
        <v>78</v>
      </c>
    </row>
    <row r="59" spans="1:5" x14ac:dyDescent="0.25">
      <c r="A59" s="84">
        <v>45727</v>
      </c>
      <c r="B59" s="96">
        <v>513474.54100000003</v>
      </c>
      <c r="C59" s="96">
        <v>4786353.8710000003</v>
      </c>
      <c r="D59" s="96">
        <v>59.295000000000002</v>
      </c>
      <c r="E59" s="96" t="s">
        <v>79</v>
      </c>
    </row>
    <row r="60" spans="1:5" x14ac:dyDescent="0.25">
      <c r="A60" s="84">
        <v>45727</v>
      </c>
      <c r="B60" s="96">
        <v>513474.65500000003</v>
      </c>
      <c r="C60" s="96">
        <v>4786353.7690000003</v>
      </c>
      <c r="D60" s="96">
        <v>56.322000000000003</v>
      </c>
      <c r="E60" s="96" t="s">
        <v>80</v>
      </c>
    </row>
    <row r="61" spans="1:5" x14ac:dyDescent="0.25">
      <c r="A61" s="84">
        <v>45727</v>
      </c>
      <c r="B61" s="96">
        <v>513474.76400000002</v>
      </c>
      <c r="C61" s="96">
        <v>4786353.875</v>
      </c>
      <c r="D61" s="96">
        <v>53.354999999999997</v>
      </c>
      <c r="E61" s="96" t="s">
        <v>81</v>
      </c>
    </row>
    <row r="62" spans="1:5" x14ac:dyDescent="0.25">
      <c r="A62" s="84">
        <v>45728</v>
      </c>
      <c r="B62" s="96">
        <v>513495.201</v>
      </c>
      <c r="C62" s="96">
        <v>4786386.5449999999</v>
      </c>
      <c r="D62" s="96">
        <v>61.188000000000002</v>
      </c>
      <c r="E62" s="96" t="s">
        <v>62</v>
      </c>
    </row>
    <row r="63" spans="1:5" x14ac:dyDescent="0.25">
      <c r="A63" s="84">
        <v>45728</v>
      </c>
      <c r="B63" s="96">
        <v>513495.14600000001</v>
      </c>
      <c r="C63" s="96">
        <v>4786386.38</v>
      </c>
      <c r="D63" s="96">
        <v>59.66</v>
      </c>
      <c r="E63" s="96" t="s">
        <v>63</v>
      </c>
    </row>
    <row r="64" spans="1:5" x14ac:dyDescent="0.25">
      <c r="A64" s="84">
        <v>45728</v>
      </c>
      <c r="B64" s="96">
        <v>513495.77600000001</v>
      </c>
      <c r="C64" s="96">
        <v>4786386.2039999999</v>
      </c>
      <c r="D64" s="96">
        <v>56.581000000000003</v>
      </c>
      <c r="E64" s="96" t="s">
        <v>64</v>
      </c>
    </row>
    <row r="65" spans="1:5" x14ac:dyDescent="0.25">
      <c r="A65" s="84">
        <v>45728</v>
      </c>
      <c r="B65" s="96">
        <v>513491.95</v>
      </c>
      <c r="C65" s="96">
        <v>4786383.7089999998</v>
      </c>
      <c r="D65" s="96">
        <v>61.482999999999997</v>
      </c>
      <c r="E65" s="96" t="s">
        <v>66</v>
      </c>
    </row>
    <row r="66" spans="1:5" x14ac:dyDescent="0.25">
      <c r="A66" s="84">
        <v>45728</v>
      </c>
      <c r="B66" s="96">
        <v>513492.01899999997</v>
      </c>
      <c r="C66" s="96">
        <v>4786383.6859999998</v>
      </c>
      <c r="D66" s="96">
        <v>59.484999999999999</v>
      </c>
      <c r="E66" s="96" t="s">
        <v>67</v>
      </c>
    </row>
    <row r="67" spans="1:5" x14ac:dyDescent="0.25">
      <c r="A67" s="84">
        <v>45728</v>
      </c>
      <c r="B67" s="96">
        <v>513492.283</v>
      </c>
      <c r="C67" s="96">
        <v>4786384.1239999998</v>
      </c>
      <c r="D67" s="96">
        <v>56.494</v>
      </c>
      <c r="E67" s="96" t="s">
        <v>68</v>
      </c>
    </row>
    <row r="68" spans="1:5" x14ac:dyDescent="0.25">
      <c r="A68" s="84">
        <v>45728</v>
      </c>
      <c r="B68" s="96">
        <v>513492.49699999997</v>
      </c>
      <c r="C68" s="96">
        <v>4786384.49</v>
      </c>
      <c r="D68" s="96">
        <v>53.417000000000002</v>
      </c>
      <c r="E68" s="96" t="s">
        <v>69</v>
      </c>
    </row>
    <row r="69" spans="1:5" x14ac:dyDescent="0.25">
      <c r="A69" s="84">
        <v>45728</v>
      </c>
      <c r="B69" s="96">
        <v>513487.79800000001</v>
      </c>
      <c r="C69" s="96">
        <v>4786375.6509999996</v>
      </c>
      <c r="D69" s="96">
        <v>60.911999999999999</v>
      </c>
      <c r="E69" s="96" t="s">
        <v>70</v>
      </c>
    </row>
    <row r="70" spans="1:5" x14ac:dyDescent="0.25">
      <c r="A70" s="84">
        <v>45728</v>
      </c>
      <c r="B70" s="96">
        <v>513488.16399999999</v>
      </c>
      <c r="C70" s="96">
        <v>4786375.6260000002</v>
      </c>
      <c r="D70" s="96">
        <v>59.328000000000003</v>
      </c>
      <c r="E70" s="96" t="s">
        <v>71</v>
      </c>
    </row>
    <row r="71" spans="1:5" x14ac:dyDescent="0.25">
      <c r="A71" s="84">
        <v>45728</v>
      </c>
      <c r="B71" s="96">
        <v>513484.61499999999</v>
      </c>
      <c r="C71" s="96">
        <v>4786368.8169999998</v>
      </c>
      <c r="D71" s="96">
        <v>60.353000000000002</v>
      </c>
      <c r="E71" s="96" t="s">
        <v>72</v>
      </c>
    </row>
    <row r="72" spans="1:5" x14ac:dyDescent="0.25">
      <c r="A72" s="84">
        <v>45728</v>
      </c>
      <c r="B72" s="96">
        <v>513484.728</v>
      </c>
      <c r="C72" s="96">
        <v>4786368.7359999996</v>
      </c>
      <c r="D72" s="96">
        <v>59.372999999999998</v>
      </c>
      <c r="E72" s="96" t="s">
        <v>73</v>
      </c>
    </row>
    <row r="73" spans="1:5" x14ac:dyDescent="0.25">
      <c r="A73" s="84">
        <v>45728</v>
      </c>
      <c r="B73" s="96">
        <v>513484.75300000003</v>
      </c>
      <c r="C73" s="96">
        <v>4786368.7410000004</v>
      </c>
      <c r="D73" s="96">
        <v>56.354999999999997</v>
      </c>
      <c r="E73" s="96" t="s">
        <v>74</v>
      </c>
    </row>
    <row r="74" spans="1:5" x14ac:dyDescent="0.25">
      <c r="A74" s="84">
        <v>45728</v>
      </c>
      <c r="B74" s="96">
        <v>513484.82299999997</v>
      </c>
      <c r="C74" s="96">
        <v>4786368.9390000002</v>
      </c>
      <c r="D74" s="96">
        <v>53.369</v>
      </c>
      <c r="E74" s="96" t="s">
        <v>75</v>
      </c>
    </row>
    <row r="75" spans="1:5" x14ac:dyDescent="0.25">
      <c r="A75" s="84">
        <v>45728</v>
      </c>
      <c r="B75" s="96">
        <v>513480.11300000001</v>
      </c>
      <c r="C75" s="96">
        <v>4786359.8150000004</v>
      </c>
      <c r="D75" s="96">
        <v>59.850999999999999</v>
      </c>
      <c r="E75" s="96" t="s">
        <v>76</v>
      </c>
    </row>
    <row r="76" spans="1:5" x14ac:dyDescent="0.25">
      <c r="A76" s="84">
        <v>45728</v>
      </c>
      <c r="B76" s="96">
        <v>513480.48599999998</v>
      </c>
      <c r="C76" s="96">
        <v>4786360.1339999996</v>
      </c>
      <c r="D76" s="96">
        <v>56.338000000000001</v>
      </c>
      <c r="E76" s="96" t="s">
        <v>77</v>
      </c>
    </row>
    <row r="77" spans="1:5" x14ac:dyDescent="0.25">
      <c r="A77" s="84">
        <v>45728</v>
      </c>
      <c r="B77" s="96">
        <v>513480.00799999997</v>
      </c>
      <c r="C77" s="96">
        <v>4786359.2750000004</v>
      </c>
      <c r="D77" s="96">
        <v>53.338999999999999</v>
      </c>
      <c r="E77" s="96" t="s">
        <v>78</v>
      </c>
    </row>
    <row r="78" spans="1:5" x14ac:dyDescent="0.25">
      <c r="A78" s="84">
        <v>45728</v>
      </c>
      <c r="B78" s="96">
        <v>513474.54</v>
      </c>
      <c r="C78" s="96">
        <v>4786353.8710000003</v>
      </c>
      <c r="D78" s="96">
        <v>59.293999999999997</v>
      </c>
      <c r="E78" s="96" t="s">
        <v>79</v>
      </c>
    </row>
    <row r="79" spans="1:5" x14ac:dyDescent="0.25">
      <c r="A79" s="84">
        <v>45728</v>
      </c>
      <c r="B79" s="96">
        <v>513474.65700000001</v>
      </c>
      <c r="C79" s="96">
        <v>4786353.7680000002</v>
      </c>
      <c r="D79" s="96">
        <v>56.320999999999998</v>
      </c>
      <c r="E79" s="96" t="s">
        <v>80</v>
      </c>
    </row>
    <row r="80" spans="1:5" x14ac:dyDescent="0.25">
      <c r="A80" s="84">
        <v>45728</v>
      </c>
      <c r="B80" s="96">
        <v>513474.76400000002</v>
      </c>
      <c r="C80" s="96">
        <v>4786353.875</v>
      </c>
      <c r="D80" s="96">
        <v>53.354999999999997</v>
      </c>
      <c r="E80" s="96" t="s">
        <v>81</v>
      </c>
    </row>
    <row r="81" spans="1:5" x14ac:dyDescent="0.25">
      <c r="A81" s="84">
        <v>45729</v>
      </c>
      <c r="B81" s="96">
        <v>513495.201</v>
      </c>
      <c r="C81" s="96">
        <v>4786386.5439999998</v>
      </c>
      <c r="D81" s="96">
        <v>61.188000000000002</v>
      </c>
      <c r="E81" s="96" t="s">
        <v>62</v>
      </c>
    </row>
    <row r="82" spans="1:5" x14ac:dyDescent="0.25">
      <c r="A82" s="84">
        <v>45729</v>
      </c>
      <c r="B82" s="96">
        <v>513495.147</v>
      </c>
      <c r="C82" s="96">
        <v>4786386.3789999997</v>
      </c>
      <c r="D82" s="96">
        <v>59.658999999999999</v>
      </c>
      <c r="E82" s="96" t="s">
        <v>63</v>
      </c>
    </row>
    <row r="83" spans="1:5" x14ac:dyDescent="0.25">
      <c r="A83" s="84">
        <v>45729</v>
      </c>
      <c r="B83" s="96">
        <v>513495.77600000001</v>
      </c>
      <c r="C83" s="96">
        <v>4786386.2019999996</v>
      </c>
      <c r="D83" s="96">
        <v>56.58</v>
      </c>
      <c r="E83" s="96" t="s">
        <v>64</v>
      </c>
    </row>
    <row r="84" spans="1:5" x14ac:dyDescent="0.25">
      <c r="A84" s="84">
        <v>45729</v>
      </c>
      <c r="B84" s="96">
        <v>513491.95</v>
      </c>
      <c r="C84" s="96">
        <v>4786383.7110000001</v>
      </c>
      <c r="D84" s="96">
        <v>61.482999999999997</v>
      </c>
      <c r="E84" s="96" t="s">
        <v>66</v>
      </c>
    </row>
    <row r="85" spans="1:5" x14ac:dyDescent="0.25">
      <c r="A85" s="84">
        <v>45729</v>
      </c>
      <c r="B85" s="96">
        <v>513492.01899999997</v>
      </c>
      <c r="C85" s="96">
        <v>4786383.6869999999</v>
      </c>
      <c r="D85" s="96">
        <v>59.484000000000002</v>
      </c>
      <c r="E85" s="96" t="s">
        <v>67</v>
      </c>
    </row>
    <row r="86" spans="1:5" x14ac:dyDescent="0.25">
      <c r="A86" s="84">
        <v>45729</v>
      </c>
      <c r="B86" s="96">
        <v>513492.283</v>
      </c>
      <c r="C86" s="96">
        <v>4786384.125</v>
      </c>
      <c r="D86" s="96">
        <v>56.494</v>
      </c>
      <c r="E86" s="96" t="s">
        <v>68</v>
      </c>
    </row>
    <row r="87" spans="1:5" x14ac:dyDescent="0.25">
      <c r="A87" s="84">
        <v>45729</v>
      </c>
      <c r="B87" s="96">
        <v>513492.49800000002</v>
      </c>
      <c r="C87" s="96">
        <v>4786384.49</v>
      </c>
      <c r="D87" s="96">
        <v>53.415999999999997</v>
      </c>
      <c r="E87" s="96" t="s">
        <v>69</v>
      </c>
    </row>
    <row r="88" spans="1:5" x14ac:dyDescent="0.25">
      <c r="A88" s="84">
        <v>45729</v>
      </c>
      <c r="B88" s="96">
        <v>513487.79800000001</v>
      </c>
      <c r="C88" s="96">
        <v>4786375.6509999996</v>
      </c>
      <c r="D88" s="96">
        <v>60.911999999999999</v>
      </c>
      <c r="E88" s="96" t="s">
        <v>70</v>
      </c>
    </row>
    <row r="89" spans="1:5" x14ac:dyDescent="0.25">
      <c r="A89" s="84">
        <v>45729</v>
      </c>
      <c r="B89" s="96">
        <v>513488.16399999999</v>
      </c>
      <c r="C89" s="96">
        <v>4786375.625</v>
      </c>
      <c r="D89" s="96">
        <v>59.328000000000003</v>
      </c>
      <c r="E89" s="96" t="s">
        <v>71</v>
      </c>
    </row>
    <row r="90" spans="1:5" x14ac:dyDescent="0.25">
      <c r="A90" s="84">
        <v>45729</v>
      </c>
      <c r="B90" s="96">
        <v>513484.614</v>
      </c>
      <c r="C90" s="96">
        <v>4786368.818</v>
      </c>
      <c r="D90" s="96">
        <v>60.353000000000002</v>
      </c>
      <c r="E90" s="96" t="s">
        <v>72</v>
      </c>
    </row>
    <row r="91" spans="1:5" x14ac:dyDescent="0.25">
      <c r="A91" s="84">
        <v>45729</v>
      </c>
      <c r="B91" s="96">
        <v>513484.72700000001</v>
      </c>
      <c r="C91" s="96">
        <v>4786368.7359999996</v>
      </c>
      <c r="D91" s="96">
        <v>59.372999999999998</v>
      </c>
      <c r="E91" s="96" t="s">
        <v>73</v>
      </c>
    </row>
    <row r="92" spans="1:5" x14ac:dyDescent="0.25">
      <c r="A92" s="84">
        <v>45729</v>
      </c>
      <c r="B92" s="96">
        <v>513484.75099999999</v>
      </c>
      <c r="C92" s="96">
        <v>4786368.7410000004</v>
      </c>
      <c r="D92" s="96">
        <v>56.353999999999999</v>
      </c>
      <c r="E92" s="96" t="s">
        <v>74</v>
      </c>
    </row>
    <row r="93" spans="1:5" x14ac:dyDescent="0.25">
      <c r="A93" s="84">
        <v>45729</v>
      </c>
      <c r="B93" s="96">
        <v>513484.82199999999</v>
      </c>
      <c r="C93" s="96">
        <v>4786368.9390000002</v>
      </c>
      <c r="D93" s="96">
        <v>53.368000000000002</v>
      </c>
      <c r="E93" s="96" t="s">
        <v>75</v>
      </c>
    </row>
    <row r="94" spans="1:5" x14ac:dyDescent="0.25">
      <c r="A94" s="84">
        <v>45729</v>
      </c>
      <c r="B94" s="96">
        <v>513480.11200000002</v>
      </c>
      <c r="C94" s="96">
        <v>4786359.8150000004</v>
      </c>
      <c r="D94" s="96">
        <v>59.850999999999999</v>
      </c>
      <c r="E94" s="96" t="s">
        <v>76</v>
      </c>
    </row>
    <row r="95" spans="1:5" x14ac:dyDescent="0.25">
      <c r="A95" s="84">
        <v>45729</v>
      </c>
      <c r="B95" s="96">
        <v>513480.484</v>
      </c>
      <c r="C95" s="96">
        <v>4786360.1339999996</v>
      </c>
      <c r="D95" s="96">
        <v>56.338000000000001</v>
      </c>
      <c r="E95" s="96" t="s">
        <v>77</v>
      </c>
    </row>
    <row r="96" spans="1:5" x14ac:dyDescent="0.25">
      <c r="A96" s="84">
        <v>45729</v>
      </c>
      <c r="B96" s="96">
        <v>513480.00599999999</v>
      </c>
      <c r="C96" s="96">
        <v>4786359.2750000004</v>
      </c>
      <c r="D96" s="96">
        <v>53.338000000000001</v>
      </c>
      <c r="E96" s="96" t="s">
        <v>78</v>
      </c>
    </row>
    <row r="97" spans="1:5" x14ac:dyDescent="0.25">
      <c r="A97" s="84">
        <v>45729</v>
      </c>
      <c r="B97" s="96">
        <v>513474.53899999999</v>
      </c>
      <c r="C97" s="96">
        <v>4786353.87</v>
      </c>
      <c r="D97" s="96">
        <v>59.292999999999999</v>
      </c>
      <c r="E97" s="96" t="s">
        <v>79</v>
      </c>
    </row>
    <row r="98" spans="1:5" x14ac:dyDescent="0.25">
      <c r="A98" s="84">
        <v>45729</v>
      </c>
      <c r="B98" s="96">
        <v>513474.65500000003</v>
      </c>
      <c r="C98" s="96">
        <v>4786353.7690000003</v>
      </c>
      <c r="D98" s="96">
        <v>56.32</v>
      </c>
      <c r="E98" s="96" t="s">
        <v>80</v>
      </c>
    </row>
    <row r="99" spans="1:5" x14ac:dyDescent="0.25">
      <c r="A99" s="84">
        <v>45729</v>
      </c>
      <c r="B99" s="96">
        <v>513474.76199999999</v>
      </c>
      <c r="C99" s="96">
        <v>4786353.875</v>
      </c>
      <c r="D99" s="96">
        <v>53.353999999999999</v>
      </c>
      <c r="E99" s="96" t="s">
        <v>81</v>
      </c>
    </row>
    <row r="100" spans="1:5" x14ac:dyDescent="0.25">
      <c r="A100" s="84">
        <v>45730</v>
      </c>
      <c r="B100" s="96">
        <v>513495.20199999999</v>
      </c>
      <c r="C100" s="96">
        <v>4786386.5439999998</v>
      </c>
      <c r="D100" s="96">
        <v>61.189</v>
      </c>
      <c r="E100" s="96" t="s">
        <v>62</v>
      </c>
    </row>
    <row r="101" spans="1:5" x14ac:dyDescent="0.25">
      <c r="A101" s="84">
        <v>45730</v>
      </c>
      <c r="B101" s="96">
        <v>513495.147</v>
      </c>
      <c r="C101" s="96">
        <v>4786386.3789999997</v>
      </c>
      <c r="D101" s="96">
        <v>59.66</v>
      </c>
      <c r="E101" s="96" t="s">
        <v>63</v>
      </c>
    </row>
    <row r="102" spans="1:5" x14ac:dyDescent="0.25">
      <c r="A102" s="84">
        <v>45730</v>
      </c>
      <c r="B102" s="96">
        <v>513495.77600000001</v>
      </c>
      <c r="C102" s="96">
        <v>4786386.2039999999</v>
      </c>
      <c r="D102" s="96">
        <v>56.582000000000001</v>
      </c>
      <c r="E102" s="96" t="s">
        <v>64</v>
      </c>
    </row>
    <row r="103" spans="1:5" x14ac:dyDescent="0.25">
      <c r="A103" s="84">
        <v>45730</v>
      </c>
      <c r="B103" s="96">
        <v>513491.95</v>
      </c>
      <c r="C103" s="96">
        <v>4786383.7089999998</v>
      </c>
      <c r="D103" s="96">
        <v>61.482999999999997</v>
      </c>
      <c r="E103" s="96" t="s">
        <v>66</v>
      </c>
    </row>
    <row r="104" spans="1:5" x14ac:dyDescent="0.25">
      <c r="A104" s="84">
        <v>45730</v>
      </c>
      <c r="B104" s="96">
        <v>513492.28200000001</v>
      </c>
      <c r="C104" s="96">
        <v>4786384.125</v>
      </c>
      <c r="D104" s="96">
        <v>56.494999999999997</v>
      </c>
      <c r="E104" s="96" t="s">
        <v>68</v>
      </c>
    </row>
    <row r="105" spans="1:5" x14ac:dyDescent="0.25">
      <c r="A105" s="84">
        <v>45730</v>
      </c>
      <c r="B105" s="96">
        <v>513492.49599999998</v>
      </c>
      <c r="C105" s="96">
        <v>4786384.49</v>
      </c>
      <c r="D105" s="96">
        <v>53.417000000000002</v>
      </c>
      <c r="E105" s="96" t="s">
        <v>69</v>
      </c>
    </row>
    <row r="106" spans="1:5" x14ac:dyDescent="0.25">
      <c r="A106" s="84">
        <v>45730</v>
      </c>
      <c r="B106" s="96">
        <v>513487.79700000002</v>
      </c>
      <c r="C106" s="96">
        <v>4786375.6509999996</v>
      </c>
      <c r="D106" s="96">
        <v>60.912999999999997</v>
      </c>
      <c r="E106" s="96" t="s">
        <v>70</v>
      </c>
    </row>
    <row r="107" spans="1:5" x14ac:dyDescent="0.25">
      <c r="A107" s="84">
        <v>45730</v>
      </c>
      <c r="B107" s="96">
        <v>513488.163</v>
      </c>
      <c r="C107" s="96">
        <v>4786375.6270000003</v>
      </c>
      <c r="D107" s="96">
        <v>59.329000000000001</v>
      </c>
      <c r="E107" s="96" t="s">
        <v>71</v>
      </c>
    </row>
    <row r="108" spans="1:5" x14ac:dyDescent="0.25">
      <c r="A108" s="84">
        <v>45730</v>
      </c>
      <c r="B108" s="96">
        <v>513484.614</v>
      </c>
      <c r="C108" s="96">
        <v>4786368.818</v>
      </c>
      <c r="D108" s="96">
        <v>60.353000000000002</v>
      </c>
      <c r="E108" s="96" t="s">
        <v>72</v>
      </c>
    </row>
    <row r="109" spans="1:5" x14ac:dyDescent="0.25">
      <c r="A109" s="84">
        <v>45730</v>
      </c>
      <c r="B109" s="96">
        <v>513484.72700000001</v>
      </c>
      <c r="C109" s="96">
        <v>4786368.7359999996</v>
      </c>
      <c r="D109" s="96">
        <v>59.374000000000002</v>
      </c>
      <c r="E109" s="96" t="s">
        <v>73</v>
      </c>
    </row>
    <row r="110" spans="1:5" x14ac:dyDescent="0.25">
      <c r="A110" s="84">
        <v>45730</v>
      </c>
      <c r="B110" s="96">
        <v>513484.75199999998</v>
      </c>
      <c r="C110" s="96">
        <v>4786368.7419999996</v>
      </c>
      <c r="D110" s="96">
        <v>56.354999999999997</v>
      </c>
      <c r="E110" s="96" t="s">
        <v>74</v>
      </c>
    </row>
    <row r="111" spans="1:5" x14ac:dyDescent="0.25">
      <c r="A111" s="84">
        <v>45730</v>
      </c>
      <c r="B111" s="96">
        <v>513484.82199999999</v>
      </c>
      <c r="C111" s="96">
        <v>4786368.9400000004</v>
      </c>
      <c r="D111" s="96">
        <v>53.37</v>
      </c>
      <c r="E111" s="96" t="s">
        <v>75</v>
      </c>
    </row>
    <row r="112" spans="1:5" x14ac:dyDescent="0.25">
      <c r="A112" s="84">
        <v>45730</v>
      </c>
      <c r="B112" s="96">
        <v>513480.11300000001</v>
      </c>
      <c r="C112" s="96">
        <v>4786359.8159999996</v>
      </c>
      <c r="D112" s="96">
        <v>59.851999999999997</v>
      </c>
      <c r="E112" s="96" t="s">
        <v>76</v>
      </c>
    </row>
    <row r="113" spans="1:5" x14ac:dyDescent="0.25">
      <c r="A113" s="84">
        <v>45730</v>
      </c>
      <c r="B113" s="96">
        <v>513480.48499999999</v>
      </c>
      <c r="C113" s="96">
        <v>4786360.1349999998</v>
      </c>
      <c r="D113" s="96">
        <v>56.338999999999999</v>
      </c>
      <c r="E113" s="96" t="s">
        <v>77</v>
      </c>
    </row>
    <row r="114" spans="1:5" x14ac:dyDescent="0.25">
      <c r="A114" s="84">
        <v>45730</v>
      </c>
      <c r="B114" s="96">
        <v>513480.00799999997</v>
      </c>
      <c r="C114" s="96">
        <v>4786359.2750000004</v>
      </c>
      <c r="D114" s="96">
        <v>53.338999999999999</v>
      </c>
      <c r="E114" s="96" t="s">
        <v>78</v>
      </c>
    </row>
    <row r="115" spans="1:5" x14ac:dyDescent="0.25">
      <c r="A115" s="84">
        <v>45730</v>
      </c>
      <c r="B115" s="96">
        <v>513474.53899999999</v>
      </c>
      <c r="C115" s="96">
        <v>4786353.87</v>
      </c>
      <c r="D115" s="96">
        <v>59.295000000000002</v>
      </c>
      <c r="E115" s="96" t="s">
        <v>79</v>
      </c>
    </row>
    <row r="116" spans="1:5" x14ac:dyDescent="0.25">
      <c r="A116" s="84">
        <v>45730</v>
      </c>
      <c r="B116" s="96">
        <v>513474.65500000003</v>
      </c>
      <c r="C116" s="96">
        <v>4786353.7690000003</v>
      </c>
      <c r="D116" s="96">
        <v>56.320999999999998</v>
      </c>
      <c r="E116" s="96" t="s">
        <v>80</v>
      </c>
    </row>
    <row r="117" spans="1:5" x14ac:dyDescent="0.25">
      <c r="A117" s="84">
        <v>45730</v>
      </c>
      <c r="B117" s="96">
        <v>513474.76199999999</v>
      </c>
      <c r="C117" s="96">
        <v>4786353.875</v>
      </c>
      <c r="D117" s="96">
        <v>53.354999999999997</v>
      </c>
      <c r="E117" s="96" t="s">
        <v>81</v>
      </c>
    </row>
    <row r="118" spans="1:5" x14ac:dyDescent="0.25">
      <c r="A118" s="84">
        <v>45734</v>
      </c>
      <c r="B118" s="96">
        <v>513495.201</v>
      </c>
      <c r="C118" s="96">
        <v>4786386.5439999998</v>
      </c>
      <c r="D118" s="96">
        <v>61.188000000000002</v>
      </c>
      <c r="E118" s="96" t="s">
        <v>62</v>
      </c>
    </row>
    <row r="119" spans="1:5" x14ac:dyDescent="0.25">
      <c r="A119" s="84">
        <v>45734</v>
      </c>
      <c r="B119" s="96">
        <v>513495.14600000001</v>
      </c>
      <c r="C119" s="96">
        <v>4786386.38</v>
      </c>
      <c r="D119" s="96">
        <v>59.66</v>
      </c>
      <c r="E119" s="96" t="s">
        <v>63</v>
      </c>
    </row>
    <row r="120" spans="1:5" x14ac:dyDescent="0.25">
      <c r="A120" s="84">
        <v>45734</v>
      </c>
      <c r="B120" s="96">
        <v>513495.77600000001</v>
      </c>
      <c r="C120" s="96">
        <v>4786386.2029999997</v>
      </c>
      <c r="D120" s="96">
        <v>56.581000000000003</v>
      </c>
      <c r="E120" s="96" t="s">
        <v>64</v>
      </c>
    </row>
    <row r="121" spans="1:5" x14ac:dyDescent="0.25">
      <c r="A121" s="84">
        <v>45734</v>
      </c>
      <c r="B121" s="96">
        <v>513491.95</v>
      </c>
      <c r="C121" s="96">
        <v>4786383.7089999998</v>
      </c>
      <c r="D121" s="96">
        <v>61.481999999999999</v>
      </c>
      <c r="E121" s="96" t="s">
        <v>66</v>
      </c>
    </row>
    <row r="122" spans="1:5" x14ac:dyDescent="0.25">
      <c r="A122" s="84">
        <v>45734</v>
      </c>
      <c r="B122" s="96">
        <v>513492.01899999997</v>
      </c>
      <c r="C122" s="96">
        <v>4786383.6840000004</v>
      </c>
      <c r="D122" s="96">
        <v>59.484000000000002</v>
      </c>
      <c r="E122" s="96" t="s">
        <v>67</v>
      </c>
    </row>
    <row r="123" spans="1:5" x14ac:dyDescent="0.25">
      <c r="A123" s="84">
        <v>45734</v>
      </c>
      <c r="B123" s="96">
        <v>513492.283</v>
      </c>
      <c r="C123" s="96">
        <v>4786384.1239999998</v>
      </c>
      <c r="D123" s="96">
        <v>56.494</v>
      </c>
      <c r="E123" s="96" t="s">
        <v>68</v>
      </c>
    </row>
    <row r="124" spans="1:5" x14ac:dyDescent="0.25">
      <c r="A124" s="84">
        <v>45734</v>
      </c>
      <c r="B124" s="96">
        <v>513487.79800000001</v>
      </c>
      <c r="C124" s="96">
        <v>4786375.6509999996</v>
      </c>
      <c r="D124" s="96">
        <v>60.911999999999999</v>
      </c>
      <c r="E124" s="96" t="s">
        <v>70</v>
      </c>
    </row>
    <row r="125" spans="1:5" x14ac:dyDescent="0.25">
      <c r="A125" s="84">
        <v>45734</v>
      </c>
      <c r="B125" s="96">
        <v>513488.16399999999</v>
      </c>
      <c r="C125" s="96">
        <v>4786375.625</v>
      </c>
      <c r="D125" s="96">
        <v>59.328000000000003</v>
      </c>
      <c r="E125" s="96" t="s">
        <v>71</v>
      </c>
    </row>
    <row r="126" spans="1:5" x14ac:dyDescent="0.25">
      <c r="A126" s="84">
        <v>45734</v>
      </c>
      <c r="B126" s="96">
        <v>513484.61499999999</v>
      </c>
      <c r="C126" s="96">
        <v>4786368.8169999998</v>
      </c>
      <c r="D126" s="96">
        <v>60.353000000000002</v>
      </c>
      <c r="E126" s="96" t="s">
        <v>72</v>
      </c>
    </row>
    <row r="127" spans="1:5" x14ac:dyDescent="0.25">
      <c r="A127" s="84">
        <v>45734</v>
      </c>
      <c r="B127" s="96">
        <v>513484.728</v>
      </c>
      <c r="C127" s="96">
        <v>4786368.7350000003</v>
      </c>
      <c r="D127" s="96">
        <v>59.372999999999998</v>
      </c>
      <c r="E127" s="96" t="s">
        <v>73</v>
      </c>
    </row>
    <row r="128" spans="1:5" x14ac:dyDescent="0.25">
      <c r="A128" s="84">
        <v>45734</v>
      </c>
      <c r="B128" s="96">
        <v>513484.75300000003</v>
      </c>
      <c r="C128" s="96">
        <v>4786368.7410000004</v>
      </c>
      <c r="D128" s="96">
        <v>56.354999999999997</v>
      </c>
      <c r="E128" s="96" t="s">
        <v>74</v>
      </c>
    </row>
    <row r="129" spans="1:5" x14ac:dyDescent="0.25">
      <c r="A129" s="84">
        <v>45734</v>
      </c>
      <c r="B129" s="96">
        <v>513484.82299999997</v>
      </c>
      <c r="C129" s="96">
        <v>4786368.9390000002</v>
      </c>
      <c r="D129" s="96">
        <v>53.369</v>
      </c>
      <c r="E129" s="96" t="s">
        <v>75</v>
      </c>
    </row>
    <row r="130" spans="1:5" x14ac:dyDescent="0.25">
      <c r="A130" s="84">
        <v>45734</v>
      </c>
      <c r="B130" s="96">
        <v>513480.11300000001</v>
      </c>
      <c r="C130" s="96">
        <v>4786359.8150000004</v>
      </c>
      <c r="D130" s="96">
        <v>59.850999999999999</v>
      </c>
      <c r="E130" s="96" t="s">
        <v>76</v>
      </c>
    </row>
    <row r="131" spans="1:5" x14ac:dyDescent="0.25">
      <c r="A131" s="84">
        <v>45734</v>
      </c>
      <c r="B131" s="96">
        <v>513480.48599999998</v>
      </c>
      <c r="C131" s="96">
        <v>4786360.1339999996</v>
      </c>
      <c r="D131" s="96">
        <v>56.338000000000001</v>
      </c>
      <c r="E131" s="96" t="s">
        <v>77</v>
      </c>
    </row>
    <row r="132" spans="1:5" x14ac:dyDescent="0.25">
      <c r="A132" s="84">
        <v>45734</v>
      </c>
      <c r="B132" s="96">
        <v>513480.00900000002</v>
      </c>
      <c r="C132" s="96">
        <v>4786359.2750000004</v>
      </c>
      <c r="D132" s="96">
        <v>53.338999999999999</v>
      </c>
      <c r="E132" s="96" t="s">
        <v>78</v>
      </c>
    </row>
    <row r="133" spans="1:5" x14ac:dyDescent="0.25">
      <c r="A133" s="84">
        <v>45734</v>
      </c>
      <c r="B133" s="96">
        <v>513474.54</v>
      </c>
      <c r="C133" s="96">
        <v>4786353.87</v>
      </c>
      <c r="D133" s="96">
        <v>59.293999999999997</v>
      </c>
      <c r="E133" s="96" t="s">
        <v>79</v>
      </c>
    </row>
    <row r="134" spans="1:5" x14ac:dyDescent="0.25">
      <c r="A134" s="84">
        <v>45734</v>
      </c>
      <c r="B134" s="96">
        <v>513474.65600000002</v>
      </c>
      <c r="C134" s="96">
        <v>4786353.7680000002</v>
      </c>
      <c r="D134" s="96">
        <v>56.320999999999998</v>
      </c>
      <c r="E134" s="96" t="s">
        <v>80</v>
      </c>
    </row>
    <row r="135" spans="1:5" x14ac:dyDescent="0.25">
      <c r="A135" s="84">
        <v>45734</v>
      </c>
      <c r="B135" s="96">
        <v>513474.76299999998</v>
      </c>
      <c r="C135" s="96">
        <v>4786353.875</v>
      </c>
      <c r="D135" s="96">
        <v>53.354999999999997</v>
      </c>
      <c r="E135" s="96" t="s">
        <v>81</v>
      </c>
    </row>
    <row r="136" spans="1:5" x14ac:dyDescent="0.25">
      <c r="A136" s="84">
        <v>45735</v>
      </c>
      <c r="B136" s="96">
        <v>513495.201</v>
      </c>
      <c r="C136" s="96">
        <v>4786386.5449999999</v>
      </c>
      <c r="D136" s="96">
        <v>61.19</v>
      </c>
      <c r="E136" s="96" t="s">
        <v>62</v>
      </c>
    </row>
    <row r="137" spans="1:5" x14ac:dyDescent="0.25">
      <c r="A137" s="84">
        <v>45735</v>
      </c>
      <c r="B137" s="96">
        <v>513495.14600000001</v>
      </c>
      <c r="C137" s="96">
        <v>4786386.3789999997</v>
      </c>
      <c r="D137" s="96">
        <v>59.661999999999999</v>
      </c>
      <c r="E137" s="96" t="s">
        <v>63</v>
      </c>
    </row>
    <row r="138" spans="1:5" x14ac:dyDescent="0.25">
      <c r="A138" s="84">
        <v>45735</v>
      </c>
      <c r="B138" s="96">
        <v>513495.777</v>
      </c>
      <c r="C138" s="96">
        <v>4786386.2019999996</v>
      </c>
      <c r="D138" s="96">
        <v>56.582999999999998</v>
      </c>
      <c r="E138" s="96" t="s">
        <v>64</v>
      </c>
    </row>
    <row r="139" spans="1:5" x14ac:dyDescent="0.25">
      <c r="A139" s="84">
        <v>45735</v>
      </c>
      <c r="B139" s="96">
        <v>513491.951</v>
      </c>
      <c r="C139" s="96">
        <v>4786383.7079999996</v>
      </c>
      <c r="D139" s="96">
        <v>61.484000000000002</v>
      </c>
      <c r="E139" s="96" t="s">
        <v>66</v>
      </c>
    </row>
    <row r="140" spans="1:5" x14ac:dyDescent="0.25">
      <c r="A140" s="84">
        <v>45735</v>
      </c>
      <c r="B140" s="96">
        <v>513492.01799999998</v>
      </c>
      <c r="C140" s="96">
        <v>4786383.6849999996</v>
      </c>
      <c r="D140" s="96">
        <v>59.485999999999997</v>
      </c>
      <c r="E140" s="96" t="s">
        <v>67</v>
      </c>
    </row>
    <row r="141" spans="1:5" x14ac:dyDescent="0.25">
      <c r="A141" s="84">
        <v>45735</v>
      </c>
      <c r="B141" s="96">
        <v>513492.283</v>
      </c>
      <c r="C141" s="96">
        <v>4786384.1229999997</v>
      </c>
      <c r="D141" s="96">
        <v>56.496000000000002</v>
      </c>
      <c r="E141" s="96" t="s">
        <v>68</v>
      </c>
    </row>
    <row r="142" spans="1:5" x14ac:dyDescent="0.25">
      <c r="A142" s="84">
        <v>45735</v>
      </c>
      <c r="B142" s="96">
        <v>513487.79800000001</v>
      </c>
      <c r="C142" s="96">
        <v>4786375.6509999996</v>
      </c>
      <c r="D142" s="96">
        <v>60.914000000000001</v>
      </c>
      <c r="E142" s="96" t="s">
        <v>70</v>
      </c>
    </row>
    <row r="143" spans="1:5" x14ac:dyDescent="0.25">
      <c r="A143" s="84">
        <v>45735</v>
      </c>
      <c r="B143" s="96">
        <v>513488.16499999998</v>
      </c>
      <c r="C143" s="96">
        <v>4786375.625</v>
      </c>
      <c r="D143" s="96">
        <v>59.329000000000001</v>
      </c>
      <c r="E143" s="96" t="s">
        <v>71</v>
      </c>
    </row>
    <row r="144" spans="1:5" x14ac:dyDescent="0.25">
      <c r="A144" s="84">
        <v>45735</v>
      </c>
      <c r="B144" s="96">
        <v>513484.61599999998</v>
      </c>
      <c r="C144" s="96">
        <v>4786368.8159999996</v>
      </c>
      <c r="D144" s="96">
        <v>60.354999999999997</v>
      </c>
      <c r="E144" s="96" t="s">
        <v>72</v>
      </c>
    </row>
    <row r="145" spans="1:5" x14ac:dyDescent="0.25">
      <c r="A145" s="84">
        <v>45735</v>
      </c>
      <c r="B145" s="96">
        <v>513484.728</v>
      </c>
      <c r="C145" s="96">
        <v>4786368.7350000003</v>
      </c>
      <c r="D145" s="96">
        <v>59.375</v>
      </c>
      <c r="E145" s="96" t="s">
        <v>73</v>
      </c>
    </row>
    <row r="146" spans="1:5" x14ac:dyDescent="0.25">
      <c r="A146" s="84">
        <v>45735</v>
      </c>
      <c r="B146" s="96">
        <v>513484.75199999998</v>
      </c>
      <c r="C146" s="96">
        <v>4786368.7410000004</v>
      </c>
      <c r="D146" s="96">
        <v>56.356999999999999</v>
      </c>
      <c r="E146" s="96" t="s">
        <v>74</v>
      </c>
    </row>
    <row r="147" spans="1:5" x14ac:dyDescent="0.25">
      <c r="A147" s="84">
        <v>45735</v>
      </c>
      <c r="B147" s="96">
        <v>513480.11300000001</v>
      </c>
      <c r="C147" s="96">
        <v>4786359.8140000002</v>
      </c>
      <c r="D147" s="96">
        <v>59.853000000000002</v>
      </c>
      <c r="E147" s="96" t="s">
        <v>76</v>
      </c>
    </row>
    <row r="148" spans="1:5" x14ac:dyDescent="0.25">
      <c r="A148" s="84">
        <v>45735</v>
      </c>
      <c r="B148" s="96">
        <v>513480.48599999998</v>
      </c>
      <c r="C148" s="96">
        <v>4786360.1330000004</v>
      </c>
      <c r="D148" s="96">
        <v>56.34</v>
      </c>
      <c r="E148" s="96" t="s">
        <v>77</v>
      </c>
    </row>
    <row r="149" spans="1:5" x14ac:dyDescent="0.25">
      <c r="A149" s="84">
        <v>45735</v>
      </c>
      <c r="B149" s="96">
        <v>513480.00799999997</v>
      </c>
      <c r="C149" s="96">
        <v>4786359.2740000002</v>
      </c>
      <c r="D149" s="96">
        <v>53.341000000000001</v>
      </c>
      <c r="E149" s="96" t="s">
        <v>78</v>
      </c>
    </row>
    <row r="150" spans="1:5" x14ac:dyDescent="0.25">
      <c r="A150" s="84">
        <v>45735</v>
      </c>
      <c r="B150" s="96">
        <v>513474.54100000003</v>
      </c>
      <c r="C150" s="96">
        <v>4786353.87</v>
      </c>
      <c r="D150" s="96">
        <v>59.295999999999999</v>
      </c>
      <c r="E150" s="96" t="s">
        <v>79</v>
      </c>
    </row>
    <row r="151" spans="1:5" x14ac:dyDescent="0.25">
      <c r="A151" s="84">
        <v>45735</v>
      </c>
      <c r="B151" s="96">
        <v>513474.65700000001</v>
      </c>
      <c r="C151" s="96">
        <v>4786353.7680000002</v>
      </c>
      <c r="D151" s="96">
        <v>56.322000000000003</v>
      </c>
      <c r="E151" s="96" t="s">
        <v>80</v>
      </c>
    </row>
    <row r="152" spans="1:5" x14ac:dyDescent="0.25">
      <c r="A152" s="84">
        <v>45735</v>
      </c>
      <c r="B152" s="96">
        <v>513474.76400000002</v>
      </c>
      <c r="C152" s="96">
        <v>4786353.8739999998</v>
      </c>
      <c r="D152" s="96">
        <v>53.356999999999999</v>
      </c>
      <c r="E152" s="96" t="s">
        <v>81</v>
      </c>
    </row>
    <row r="153" spans="1:5" x14ac:dyDescent="0.25">
      <c r="A153" s="84">
        <v>45736</v>
      </c>
      <c r="B153" s="96">
        <v>513495.201</v>
      </c>
      <c r="C153" s="96">
        <v>4786386.5439999998</v>
      </c>
      <c r="D153" s="96">
        <v>61.189</v>
      </c>
      <c r="E153" s="96" t="s">
        <v>62</v>
      </c>
    </row>
    <row r="154" spans="1:5" x14ac:dyDescent="0.25">
      <c r="A154" s="84">
        <v>45736</v>
      </c>
      <c r="B154" s="96">
        <v>513495.14600000001</v>
      </c>
      <c r="C154" s="96">
        <v>4786386.38</v>
      </c>
      <c r="D154" s="96">
        <v>59.661000000000001</v>
      </c>
      <c r="E154" s="96" t="s">
        <v>63</v>
      </c>
    </row>
    <row r="155" spans="1:5" x14ac:dyDescent="0.25">
      <c r="A155" s="84">
        <v>45736</v>
      </c>
      <c r="B155" s="96">
        <v>513495.77600000001</v>
      </c>
      <c r="C155" s="96">
        <v>4786386.2029999997</v>
      </c>
      <c r="D155" s="96">
        <v>56.582000000000001</v>
      </c>
      <c r="E155" s="96" t="s">
        <v>64</v>
      </c>
    </row>
    <row r="156" spans="1:5" x14ac:dyDescent="0.25">
      <c r="A156" s="84">
        <v>45736</v>
      </c>
      <c r="B156" s="96">
        <v>513491.951</v>
      </c>
      <c r="C156" s="96">
        <v>4786383.7079999996</v>
      </c>
      <c r="D156" s="96">
        <v>61.482999999999997</v>
      </c>
      <c r="E156" s="96" t="s">
        <v>66</v>
      </c>
    </row>
    <row r="157" spans="1:5" x14ac:dyDescent="0.25">
      <c r="A157" s="84">
        <v>45736</v>
      </c>
      <c r="B157" s="96">
        <v>513492.01899999997</v>
      </c>
      <c r="C157" s="96">
        <v>4786383.6840000004</v>
      </c>
      <c r="D157" s="96">
        <v>59.484999999999999</v>
      </c>
      <c r="E157" s="96" t="s">
        <v>67</v>
      </c>
    </row>
    <row r="158" spans="1:5" x14ac:dyDescent="0.25">
      <c r="A158" s="84">
        <v>45736</v>
      </c>
      <c r="B158" s="96">
        <v>513492.283</v>
      </c>
      <c r="C158" s="96">
        <v>4786384.1239999998</v>
      </c>
      <c r="D158" s="96">
        <v>56.494999999999997</v>
      </c>
      <c r="E158" s="96" t="s">
        <v>68</v>
      </c>
    </row>
    <row r="159" spans="1:5" x14ac:dyDescent="0.25">
      <c r="A159" s="84">
        <v>45736</v>
      </c>
      <c r="B159" s="96">
        <v>513487.799</v>
      </c>
      <c r="C159" s="96">
        <v>4786375.6500000004</v>
      </c>
      <c r="D159" s="96">
        <v>60.912999999999997</v>
      </c>
      <c r="E159" s="96" t="s">
        <v>70</v>
      </c>
    </row>
    <row r="160" spans="1:5" x14ac:dyDescent="0.25">
      <c r="A160" s="84">
        <v>45736</v>
      </c>
      <c r="B160" s="96">
        <v>513488.16399999999</v>
      </c>
      <c r="C160" s="96">
        <v>4786375.625</v>
      </c>
      <c r="D160" s="96">
        <v>59.329000000000001</v>
      </c>
      <c r="E160" s="96" t="s">
        <v>71</v>
      </c>
    </row>
    <row r="161" spans="1:5" x14ac:dyDescent="0.25">
      <c r="A161" s="84">
        <v>45736</v>
      </c>
      <c r="B161" s="96">
        <v>513484.61499999999</v>
      </c>
      <c r="C161" s="96">
        <v>4786368.8169999998</v>
      </c>
      <c r="D161" s="96">
        <v>60.353000000000002</v>
      </c>
      <c r="E161" s="96" t="s">
        <v>72</v>
      </c>
    </row>
    <row r="162" spans="1:5" x14ac:dyDescent="0.25">
      <c r="A162" s="84">
        <v>45736</v>
      </c>
      <c r="B162" s="96">
        <v>513484.72700000001</v>
      </c>
      <c r="C162" s="96">
        <v>4786368.7359999996</v>
      </c>
      <c r="D162" s="96">
        <v>59.374000000000002</v>
      </c>
      <c r="E162" s="96" t="s">
        <v>73</v>
      </c>
    </row>
    <row r="163" spans="1:5" x14ac:dyDescent="0.25">
      <c r="A163" s="84">
        <v>45736</v>
      </c>
      <c r="B163" s="96">
        <v>513484.75199999998</v>
      </c>
      <c r="C163" s="96">
        <v>4786368.7419999996</v>
      </c>
      <c r="D163" s="96">
        <v>56.356000000000002</v>
      </c>
      <c r="E163" s="96" t="s">
        <v>74</v>
      </c>
    </row>
    <row r="164" spans="1:5" x14ac:dyDescent="0.25">
      <c r="A164" s="84">
        <v>45736</v>
      </c>
      <c r="B164" s="96">
        <v>513484.82400000002</v>
      </c>
      <c r="C164" s="96">
        <v>4786368.9380000001</v>
      </c>
      <c r="D164" s="96">
        <v>53.369</v>
      </c>
      <c r="E164" s="96" t="s">
        <v>75</v>
      </c>
    </row>
    <row r="165" spans="1:5" x14ac:dyDescent="0.25">
      <c r="A165" s="84">
        <v>45736</v>
      </c>
      <c r="B165" s="96">
        <v>513480.11300000001</v>
      </c>
      <c r="C165" s="96">
        <v>4786359.8150000004</v>
      </c>
      <c r="D165" s="96">
        <v>59.851999999999997</v>
      </c>
      <c r="E165" s="96" t="s">
        <v>76</v>
      </c>
    </row>
    <row r="166" spans="1:5" x14ac:dyDescent="0.25">
      <c r="A166" s="84">
        <v>45736</v>
      </c>
      <c r="B166" s="96">
        <v>513480.48599999998</v>
      </c>
      <c r="C166" s="96">
        <v>4786360.1339999996</v>
      </c>
      <c r="D166" s="96">
        <v>56.338999999999999</v>
      </c>
      <c r="E166" s="96" t="s">
        <v>77</v>
      </c>
    </row>
    <row r="167" spans="1:5" x14ac:dyDescent="0.25">
      <c r="A167" s="84">
        <v>45736</v>
      </c>
      <c r="B167" s="96">
        <v>513480.00900000002</v>
      </c>
      <c r="C167" s="96">
        <v>4786359.2740000002</v>
      </c>
      <c r="D167" s="96">
        <v>53.34</v>
      </c>
      <c r="E167" s="96" t="s">
        <v>78</v>
      </c>
    </row>
    <row r="168" spans="1:5" x14ac:dyDescent="0.25">
      <c r="A168" s="84">
        <v>45736</v>
      </c>
      <c r="B168" s="96">
        <v>513474.54100000003</v>
      </c>
      <c r="C168" s="96">
        <v>4786353.87</v>
      </c>
      <c r="D168" s="96">
        <v>59.295000000000002</v>
      </c>
      <c r="E168" s="96" t="s">
        <v>79</v>
      </c>
    </row>
    <row r="169" spans="1:5" x14ac:dyDescent="0.25">
      <c r="A169" s="84">
        <v>45736</v>
      </c>
      <c r="B169" s="96">
        <v>513474.65700000001</v>
      </c>
      <c r="C169" s="96">
        <v>4786353.7680000002</v>
      </c>
      <c r="D169" s="96">
        <v>56.320999999999998</v>
      </c>
      <c r="E169" s="96" t="s">
        <v>80</v>
      </c>
    </row>
    <row r="170" spans="1:5" x14ac:dyDescent="0.25">
      <c r="A170" s="84">
        <v>45736</v>
      </c>
      <c r="B170" s="96">
        <v>513474.76299999998</v>
      </c>
      <c r="C170" s="96">
        <v>4786353.8739999998</v>
      </c>
      <c r="D170" s="96">
        <v>53.356000000000002</v>
      </c>
      <c r="E170" s="96" t="s">
        <v>81</v>
      </c>
    </row>
    <row r="171" spans="1:5" x14ac:dyDescent="0.25">
      <c r="A171" s="84">
        <v>45737</v>
      </c>
      <c r="B171" s="96">
        <v>513495.20199999999</v>
      </c>
      <c r="C171" s="96">
        <v>4786386.5460000001</v>
      </c>
      <c r="D171" s="96">
        <v>61.191000000000003</v>
      </c>
      <c r="E171" s="96" t="s">
        <v>62</v>
      </c>
    </row>
    <row r="172" spans="1:5" x14ac:dyDescent="0.25">
      <c r="A172" s="84">
        <v>45737</v>
      </c>
      <c r="B172" s="96">
        <v>513495.147</v>
      </c>
      <c r="C172" s="96">
        <v>4786386.3810000001</v>
      </c>
      <c r="D172" s="96">
        <v>59.661999999999999</v>
      </c>
      <c r="E172" s="96" t="s">
        <v>63</v>
      </c>
    </row>
    <row r="173" spans="1:5" x14ac:dyDescent="0.25">
      <c r="A173" s="84">
        <v>45737</v>
      </c>
      <c r="B173" s="96">
        <v>513495.777</v>
      </c>
      <c r="C173" s="96">
        <v>4786386.2039999999</v>
      </c>
      <c r="D173" s="96">
        <v>56.584000000000003</v>
      </c>
      <c r="E173" s="96" t="s">
        <v>64</v>
      </c>
    </row>
    <row r="174" spans="1:5" x14ac:dyDescent="0.25">
      <c r="A174" s="84">
        <v>45737</v>
      </c>
      <c r="B174" s="96">
        <v>513491.95199999999</v>
      </c>
      <c r="C174" s="96">
        <v>4786383.7089999998</v>
      </c>
      <c r="D174" s="96">
        <v>61.484999999999999</v>
      </c>
      <c r="E174" s="96" t="s">
        <v>66</v>
      </c>
    </row>
    <row r="175" spans="1:5" x14ac:dyDescent="0.25">
      <c r="A175" s="84">
        <v>45737</v>
      </c>
      <c r="B175" s="96">
        <v>513492.02</v>
      </c>
      <c r="C175" s="96">
        <v>4786383.6849999996</v>
      </c>
      <c r="D175" s="96">
        <v>59.487000000000002</v>
      </c>
      <c r="E175" s="96" t="s">
        <v>67</v>
      </c>
    </row>
    <row r="176" spans="1:5" x14ac:dyDescent="0.25">
      <c r="A176" s="84">
        <v>45737</v>
      </c>
      <c r="B176" s="96">
        <v>513492.283</v>
      </c>
      <c r="C176" s="96">
        <v>4786384.1260000002</v>
      </c>
      <c r="D176" s="96">
        <v>56.496000000000002</v>
      </c>
      <c r="E176" s="96" t="s">
        <v>68</v>
      </c>
    </row>
    <row r="177" spans="1:5" x14ac:dyDescent="0.25">
      <c r="A177" s="84">
        <v>45737</v>
      </c>
      <c r="B177" s="96">
        <v>513492.49900000001</v>
      </c>
      <c r="C177" s="96">
        <v>4786384.49</v>
      </c>
      <c r="D177" s="96">
        <v>53.42</v>
      </c>
      <c r="E177" s="96" t="s">
        <v>69</v>
      </c>
    </row>
    <row r="178" spans="1:5" x14ac:dyDescent="0.25">
      <c r="A178" s="84">
        <v>45737</v>
      </c>
      <c r="B178" s="96">
        <v>513487.799</v>
      </c>
      <c r="C178" s="96">
        <v>4786375.6519999998</v>
      </c>
      <c r="D178" s="96">
        <v>60.914000000000001</v>
      </c>
      <c r="E178" s="96" t="s">
        <v>70</v>
      </c>
    </row>
    <row r="179" spans="1:5" x14ac:dyDescent="0.25">
      <c r="A179" s="84">
        <v>45737</v>
      </c>
      <c r="B179" s="96">
        <v>513488.16499999998</v>
      </c>
      <c r="C179" s="96">
        <v>4786375.6260000002</v>
      </c>
      <c r="D179" s="96">
        <v>59.331000000000003</v>
      </c>
      <c r="E179" s="96" t="s">
        <v>71</v>
      </c>
    </row>
    <row r="180" spans="1:5" x14ac:dyDescent="0.25">
      <c r="A180" s="84">
        <v>45737</v>
      </c>
      <c r="B180" s="96">
        <v>513484.61499999999</v>
      </c>
      <c r="C180" s="96">
        <v>4786368.818</v>
      </c>
      <c r="D180" s="96">
        <v>60.356000000000002</v>
      </c>
      <c r="E180" s="96" t="s">
        <v>72</v>
      </c>
    </row>
    <row r="181" spans="1:5" x14ac:dyDescent="0.25">
      <c r="A181" s="84">
        <v>45737</v>
      </c>
      <c r="B181" s="96">
        <v>513484.728</v>
      </c>
      <c r="C181" s="96">
        <v>4786368.7359999996</v>
      </c>
      <c r="D181" s="96">
        <v>59.375999999999998</v>
      </c>
      <c r="E181" s="96" t="s">
        <v>73</v>
      </c>
    </row>
    <row r="182" spans="1:5" x14ac:dyDescent="0.25">
      <c r="A182" s="84">
        <v>45737</v>
      </c>
      <c r="B182" s="96">
        <v>513484.75099999999</v>
      </c>
      <c r="C182" s="96">
        <v>4786368.7429999998</v>
      </c>
      <c r="D182" s="96">
        <v>56.357999999999997</v>
      </c>
      <c r="E182" s="96" t="s">
        <v>74</v>
      </c>
    </row>
    <row r="183" spans="1:5" x14ac:dyDescent="0.25">
      <c r="A183" s="84">
        <v>45737</v>
      </c>
      <c r="B183" s="96">
        <v>513484.82299999997</v>
      </c>
      <c r="C183" s="96">
        <v>4786368.9400000004</v>
      </c>
      <c r="D183" s="96">
        <v>53.371000000000002</v>
      </c>
      <c r="E183" s="96" t="s">
        <v>75</v>
      </c>
    </row>
    <row r="184" spans="1:5" x14ac:dyDescent="0.25">
      <c r="A184" s="84">
        <v>45737</v>
      </c>
      <c r="B184" s="96">
        <v>513480.11200000002</v>
      </c>
      <c r="C184" s="96">
        <v>4786359.8150000004</v>
      </c>
      <c r="D184" s="96">
        <v>59.853999999999999</v>
      </c>
      <c r="E184" s="96" t="s">
        <v>76</v>
      </c>
    </row>
    <row r="185" spans="1:5" x14ac:dyDescent="0.25">
      <c r="A185" s="84">
        <v>45737</v>
      </c>
      <c r="B185" s="96">
        <v>513480.48499999999</v>
      </c>
      <c r="C185" s="96">
        <v>4786360.1339999996</v>
      </c>
      <c r="D185" s="96">
        <v>56.341000000000001</v>
      </c>
      <c r="E185" s="96" t="s">
        <v>77</v>
      </c>
    </row>
    <row r="186" spans="1:5" x14ac:dyDescent="0.25">
      <c r="A186" s="84">
        <v>45737</v>
      </c>
      <c r="B186" s="96">
        <v>513480.00900000002</v>
      </c>
      <c r="C186" s="96">
        <v>4786359.2740000002</v>
      </c>
      <c r="D186" s="96">
        <v>53.34</v>
      </c>
      <c r="E186" s="96" t="s">
        <v>78</v>
      </c>
    </row>
    <row r="187" spans="1:5" x14ac:dyDescent="0.25">
      <c r="A187" s="84">
        <v>45737</v>
      </c>
      <c r="B187" s="96">
        <v>513474.54</v>
      </c>
      <c r="C187" s="96">
        <v>4786353.87</v>
      </c>
      <c r="D187" s="96">
        <v>59.295999999999999</v>
      </c>
      <c r="E187" s="96" t="s">
        <v>79</v>
      </c>
    </row>
    <row r="188" spans="1:5" x14ac:dyDescent="0.25">
      <c r="A188" s="84">
        <v>45737</v>
      </c>
      <c r="B188" s="96">
        <v>513474.65500000003</v>
      </c>
      <c r="C188" s="96">
        <v>4786353.7680000002</v>
      </c>
      <c r="D188" s="96">
        <v>56.323</v>
      </c>
      <c r="E188" s="96" t="s">
        <v>80</v>
      </c>
    </row>
    <row r="189" spans="1:5" x14ac:dyDescent="0.25">
      <c r="A189" s="84">
        <v>45740</v>
      </c>
      <c r="B189" s="96">
        <v>513495.2</v>
      </c>
      <c r="C189" s="96">
        <v>4786386.5449999999</v>
      </c>
      <c r="D189" s="96">
        <v>61.19</v>
      </c>
      <c r="E189" s="96" t="s">
        <v>62</v>
      </c>
    </row>
    <row r="190" spans="1:5" x14ac:dyDescent="0.25">
      <c r="A190" s="84">
        <v>45740</v>
      </c>
      <c r="B190" s="96">
        <v>513495.14600000001</v>
      </c>
      <c r="C190" s="96">
        <v>4786386.3789999997</v>
      </c>
      <c r="D190" s="96">
        <v>59.661999999999999</v>
      </c>
      <c r="E190" s="96" t="s">
        <v>63</v>
      </c>
    </row>
    <row r="191" spans="1:5" x14ac:dyDescent="0.25">
      <c r="A191" s="84">
        <v>45740</v>
      </c>
      <c r="B191" s="96">
        <v>513495.77600000001</v>
      </c>
      <c r="C191" s="96">
        <v>4786386.2029999997</v>
      </c>
      <c r="D191" s="96">
        <v>56.582999999999998</v>
      </c>
      <c r="E191" s="96" t="s">
        <v>64</v>
      </c>
    </row>
    <row r="192" spans="1:5" x14ac:dyDescent="0.25">
      <c r="A192" s="84">
        <v>45740</v>
      </c>
      <c r="B192" s="96">
        <v>513491.95</v>
      </c>
      <c r="C192" s="96">
        <v>4786383.7089999998</v>
      </c>
      <c r="D192" s="96">
        <v>61.484000000000002</v>
      </c>
      <c r="E192" s="96" t="s">
        <v>66</v>
      </c>
    </row>
    <row r="193" spans="1:5" x14ac:dyDescent="0.25">
      <c r="A193" s="84">
        <v>45740</v>
      </c>
      <c r="B193" s="96">
        <v>513492.01699999999</v>
      </c>
      <c r="C193" s="96">
        <v>4786383.6859999998</v>
      </c>
      <c r="D193" s="96">
        <v>59.487000000000002</v>
      </c>
      <c r="E193" s="96" t="s">
        <v>67</v>
      </c>
    </row>
    <row r="194" spans="1:5" x14ac:dyDescent="0.25">
      <c r="A194" s="84">
        <v>45740</v>
      </c>
      <c r="B194" s="96">
        <v>513492.283</v>
      </c>
      <c r="C194" s="96">
        <v>4786384.1239999998</v>
      </c>
      <c r="D194" s="96">
        <v>56.496000000000002</v>
      </c>
      <c r="E194" s="96" t="s">
        <v>68</v>
      </c>
    </row>
    <row r="195" spans="1:5" x14ac:dyDescent="0.25">
      <c r="A195" s="84">
        <v>45740</v>
      </c>
      <c r="B195" s="96">
        <v>513492.49800000002</v>
      </c>
      <c r="C195" s="96">
        <v>4786384.4879999999</v>
      </c>
      <c r="D195" s="96">
        <v>53.418999999999997</v>
      </c>
      <c r="E195" s="96" t="s">
        <v>69</v>
      </c>
    </row>
    <row r="196" spans="1:5" x14ac:dyDescent="0.25">
      <c r="A196" s="84">
        <v>45740</v>
      </c>
      <c r="B196" s="96">
        <v>513487.79800000001</v>
      </c>
      <c r="C196" s="96">
        <v>4786375.6509999996</v>
      </c>
      <c r="D196" s="96">
        <v>60.914000000000001</v>
      </c>
      <c r="E196" s="96" t="s">
        <v>70</v>
      </c>
    </row>
    <row r="197" spans="1:5" x14ac:dyDescent="0.25">
      <c r="A197" s="84">
        <v>45740</v>
      </c>
      <c r="B197" s="96">
        <v>513488.16399999999</v>
      </c>
      <c r="C197" s="96">
        <v>4786375.625</v>
      </c>
      <c r="D197" s="96">
        <v>59.33</v>
      </c>
      <c r="E197" s="96" t="s">
        <v>71</v>
      </c>
    </row>
    <row r="198" spans="1:5" x14ac:dyDescent="0.25">
      <c r="A198" s="84">
        <v>45740</v>
      </c>
      <c r="B198" s="96">
        <v>513484.614</v>
      </c>
      <c r="C198" s="96">
        <v>4786368.8169999998</v>
      </c>
      <c r="D198" s="96">
        <v>60.354999999999997</v>
      </c>
      <c r="E198" s="96" t="s">
        <v>72</v>
      </c>
    </row>
    <row r="199" spans="1:5" x14ac:dyDescent="0.25">
      <c r="A199" s="84">
        <v>45740</v>
      </c>
      <c r="B199" s="96">
        <v>513484.72600000002</v>
      </c>
      <c r="C199" s="96">
        <v>4786368.7350000003</v>
      </c>
      <c r="D199" s="96">
        <v>59.375</v>
      </c>
      <c r="E199" s="96" t="s">
        <v>73</v>
      </c>
    </row>
    <row r="200" spans="1:5" x14ac:dyDescent="0.25">
      <c r="A200" s="84">
        <v>45740</v>
      </c>
      <c r="B200" s="96">
        <v>513484.75099999999</v>
      </c>
      <c r="C200" s="96">
        <v>4786368.7410000004</v>
      </c>
      <c r="D200" s="96">
        <v>56.356999999999999</v>
      </c>
      <c r="E200" s="96" t="s">
        <v>74</v>
      </c>
    </row>
    <row r="201" spans="1:5" x14ac:dyDescent="0.25">
      <c r="A201" s="84">
        <v>45740</v>
      </c>
      <c r="B201" s="96">
        <v>513484.82400000002</v>
      </c>
      <c r="C201" s="96">
        <v>4786368.9380000001</v>
      </c>
      <c r="D201" s="96">
        <v>53.371000000000002</v>
      </c>
      <c r="E201" s="96" t="s">
        <v>75</v>
      </c>
    </row>
    <row r="202" spans="1:5" x14ac:dyDescent="0.25">
      <c r="A202" s="84">
        <v>45740</v>
      </c>
      <c r="B202" s="96">
        <v>513480.11200000002</v>
      </c>
      <c r="C202" s="96">
        <v>4786359.8150000004</v>
      </c>
      <c r="D202" s="96">
        <v>59.853999999999999</v>
      </c>
      <c r="E202" s="96" t="s">
        <v>76</v>
      </c>
    </row>
    <row r="203" spans="1:5" x14ac:dyDescent="0.25">
      <c r="A203" s="84">
        <v>45740</v>
      </c>
      <c r="B203" s="96">
        <v>513480.48599999998</v>
      </c>
      <c r="C203" s="96">
        <v>4786360.1339999996</v>
      </c>
      <c r="D203" s="96">
        <v>56.34</v>
      </c>
      <c r="E203" s="96" t="s">
        <v>77</v>
      </c>
    </row>
    <row r="204" spans="1:5" x14ac:dyDescent="0.25">
      <c r="A204" s="84">
        <v>45740</v>
      </c>
      <c r="B204" s="96">
        <v>513480.00599999999</v>
      </c>
      <c r="C204" s="96">
        <v>4786359.2740000002</v>
      </c>
      <c r="D204" s="96">
        <v>53.341999999999999</v>
      </c>
      <c r="E204" s="96" t="s">
        <v>78</v>
      </c>
    </row>
    <row r="205" spans="1:5" x14ac:dyDescent="0.25">
      <c r="A205" s="84">
        <v>45740</v>
      </c>
      <c r="B205" s="96">
        <v>513474.53899999999</v>
      </c>
      <c r="C205" s="96">
        <v>4786353.87</v>
      </c>
      <c r="D205" s="96">
        <v>59.295999999999999</v>
      </c>
      <c r="E205" s="96" t="s">
        <v>79</v>
      </c>
    </row>
    <row r="206" spans="1:5" x14ac:dyDescent="0.25">
      <c r="A206" s="84">
        <v>45740</v>
      </c>
      <c r="B206" s="96">
        <v>513474.65700000001</v>
      </c>
      <c r="C206" s="96">
        <v>4786353.7680000002</v>
      </c>
      <c r="D206" s="96">
        <v>56.323</v>
      </c>
      <c r="E206" s="96" t="s">
        <v>80</v>
      </c>
    </row>
    <row r="207" spans="1:5" x14ac:dyDescent="0.25">
      <c r="A207" s="84">
        <v>45742</v>
      </c>
      <c r="B207" s="96">
        <v>513495.201</v>
      </c>
      <c r="C207" s="96">
        <v>4786386.5449999999</v>
      </c>
      <c r="D207" s="96">
        <v>61.19</v>
      </c>
      <c r="E207" s="96" t="s">
        <v>62</v>
      </c>
    </row>
    <row r="208" spans="1:5" x14ac:dyDescent="0.25">
      <c r="A208" s="84">
        <v>45742</v>
      </c>
      <c r="B208" s="96">
        <v>513495.147</v>
      </c>
      <c r="C208" s="96">
        <v>4786386.3779999996</v>
      </c>
      <c r="D208" s="96">
        <v>59.661000000000001</v>
      </c>
      <c r="E208" s="96" t="s">
        <v>63</v>
      </c>
    </row>
    <row r="209" spans="1:5" x14ac:dyDescent="0.25">
      <c r="A209" s="84">
        <v>45742</v>
      </c>
      <c r="B209" s="96">
        <v>513495.77600000001</v>
      </c>
      <c r="C209" s="96">
        <v>4786386.2029999997</v>
      </c>
      <c r="D209" s="96">
        <v>56.582999999999998</v>
      </c>
      <c r="E209" s="96" t="s">
        <v>64</v>
      </c>
    </row>
    <row r="210" spans="1:5" x14ac:dyDescent="0.25">
      <c r="A210" s="84">
        <v>45742</v>
      </c>
      <c r="B210" s="96">
        <v>513491.951</v>
      </c>
      <c r="C210" s="96">
        <v>4786383.7079999996</v>
      </c>
      <c r="D210" s="96">
        <v>61.484000000000002</v>
      </c>
      <c r="E210" s="96" t="s">
        <v>66</v>
      </c>
    </row>
    <row r="211" spans="1:5" x14ac:dyDescent="0.25">
      <c r="A211" s="84">
        <v>45742</v>
      </c>
      <c r="B211" s="96">
        <v>513492.01899999997</v>
      </c>
      <c r="C211" s="96">
        <v>4786383.6840000004</v>
      </c>
      <c r="D211" s="96">
        <v>59.485999999999997</v>
      </c>
      <c r="E211" s="96" t="s">
        <v>67</v>
      </c>
    </row>
    <row r="212" spans="1:5" x14ac:dyDescent="0.25">
      <c r="A212" s="84">
        <v>45742</v>
      </c>
      <c r="B212" s="96">
        <v>513492.283</v>
      </c>
      <c r="C212" s="96">
        <v>4786384.1239999998</v>
      </c>
      <c r="D212" s="96">
        <v>56.496000000000002</v>
      </c>
      <c r="E212" s="96" t="s">
        <v>68</v>
      </c>
    </row>
    <row r="213" spans="1:5" x14ac:dyDescent="0.25">
      <c r="A213" s="84">
        <v>45742</v>
      </c>
      <c r="B213" s="96">
        <v>513492.49699999997</v>
      </c>
      <c r="C213" s="96">
        <v>4786384.4890000001</v>
      </c>
      <c r="D213" s="96">
        <v>53.418999999999997</v>
      </c>
      <c r="E213" s="96" t="s">
        <v>69</v>
      </c>
    </row>
    <row r="214" spans="1:5" x14ac:dyDescent="0.25">
      <c r="A214" s="84">
        <v>45742</v>
      </c>
      <c r="B214" s="96">
        <v>513487.79800000001</v>
      </c>
      <c r="C214" s="96">
        <v>4786375.6509999996</v>
      </c>
      <c r="D214" s="96">
        <v>60.914000000000001</v>
      </c>
      <c r="E214" s="96" t="s">
        <v>70</v>
      </c>
    </row>
    <row r="215" spans="1:5" x14ac:dyDescent="0.25">
      <c r="A215" s="84">
        <v>45742</v>
      </c>
      <c r="B215" s="96">
        <v>513488.16399999999</v>
      </c>
      <c r="C215" s="96">
        <v>4786375.625</v>
      </c>
      <c r="D215" s="96">
        <v>59.33</v>
      </c>
      <c r="E215" s="96" t="s">
        <v>71</v>
      </c>
    </row>
    <row r="216" spans="1:5" x14ac:dyDescent="0.25">
      <c r="A216" s="84">
        <v>45742</v>
      </c>
      <c r="B216" s="96">
        <v>513484.614</v>
      </c>
      <c r="C216" s="96">
        <v>4786368.8169999998</v>
      </c>
      <c r="D216" s="96">
        <v>60.354999999999997</v>
      </c>
      <c r="E216" s="96" t="s">
        <v>72</v>
      </c>
    </row>
    <row r="217" spans="1:5" x14ac:dyDescent="0.25">
      <c r="A217" s="84">
        <v>45742</v>
      </c>
      <c r="B217" s="96">
        <v>513484.728</v>
      </c>
      <c r="C217" s="96">
        <v>4786368.7350000003</v>
      </c>
      <c r="D217" s="96">
        <v>59.375</v>
      </c>
      <c r="E217" s="96" t="s">
        <v>73</v>
      </c>
    </row>
    <row r="218" spans="1:5" x14ac:dyDescent="0.25">
      <c r="A218" s="84">
        <v>45742</v>
      </c>
      <c r="B218" s="96">
        <v>513484.75099999999</v>
      </c>
      <c r="C218" s="96">
        <v>4786368.7419999996</v>
      </c>
      <c r="D218" s="96">
        <v>56.356999999999999</v>
      </c>
      <c r="E218" s="96" t="s">
        <v>74</v>
      </c>
    </row>
    <row r="219" spans="1:5" x14ac:dyDescent="0.25">
      <c r="A219" s="84">
        <v>45742</v>
      </c>
      <c r="B219" s="96">
        <v>513484.82299999997</v>
      </c>
      <c r="C219" s="96">
        <v>4786368.9380000001</v>
      </c>
      <c r="D219" s="96">
        <v>53.371000000000002</v>
      </c>
      <c r="E219" s="96" t="s">
        <v>75</v>
      </c>
    </row>
    <row r="220" spans="1:5" x14ac:dyDescent="0.25">
      <c r="A220" s="84">
        <v>45742</v>
      </c>
      <c r="B220" s="96">
        <v>513480.11300000001</v>
      </c>
      <c r="C220" s="96">
        <v>4786359.8150000004</v>
      </c>
      <c r="D220" s="96">
        <v>59.853000000000002</v>
      </c>
      <c r="E220" s="96" t="s">
        <v>76</v>
      </c>
    </row>
    <row r="221" spans="1:5" x14ac:dyDescent="0.25">
      <c r="A221" s="84">
        <v>45742</v>
      </c>
      <c r="B221" s="96">
        <v>513480.48700000002</v>
      </c>
      <c r="C221" s="96">
        <v>4786360.1339999996</v>
      </c>
      <c r="D221" s="96">
        <v>56.34</v>
      </c>
      <c r="E221" s="96" t="s">
        <v>77</v>
      </c>
    </row>
    <row r="222" spans="1:5" x14ac:dyDescent="0.25">
      <c r="A222" s="84">
        <v>45742</v>
      </c>
      <c r="B222" s="96">
        <v>513474.54200000002</v>
      </c>
      <c r="C222" s="96">
        <v>4786353.87</v>
      </c>
      <c r="D222" s="96">
        <v>59.295000000000002</v>
      </c>
      <c r="E222" s="96" t="s">
        <v>79</v>
      </c>
    </row>
    <row r="223" spans="1:5" x14ac:dyDescent="0.25">
      <c r="A223" s="84">
        <v>45742</v>
      </c>
      <c r="B223" s="96">
        <v>513474.65600000002</v>
      </c>
      <c r="C223" s="96">
        <v>4786353.7680000002</v>
      </c>
      <c r="D223" s="96">
        <v>56.323</v>
      </c>
      <c r="E223" s="96" t="s">
        <v>80</v>
      </c>
    </row>
    <row r="224" spans="1:5" x14ac:dyDescent="0.25">
      <c r="A224" s="84">
        <v>45744</v>
      </c>
      <c r="B224" s="96">
        <v>513495.201</v>
      </c>
      <c r="C224" s="96">
        <v>4786386.5460000001</v>
      </c>
      <c r="D224" s="96">
        <v>61.191000000000003</v>
      </c>
      <c r="E224" s="96" t="s">
        <v>62</v>
      </c>
    </row>
    <row r="225" spans="1:5" x14ac:dyDescent="0.25">
      <c r="A225" s="84">
        <v>45744</v>
      </c>
      <c r="B225" s="96">
        <v>513495.14600000001</v>
      </c>
      <c r="C225" s="96">
        <v>4786386.3810000001</v>
      </c>
      <c r="D225" s="96">
        <v>59.661999999999999</v>
      </c>
      <c r="E225" s="96" t="s">
        <v>63</v>
      </c>
    </row>
    <row r="226" spans="1:5" x14ac:dyDescent="0.25">
      <c r="A226" s="84">
        <v>45744</v>
      </c>
      <c r="B226" s="96">
        <v>513495.777</v>
      </c>
      <c r="C226" s="96">
        <v>4786386.2050000001</v>
      </c>
      <c r="D226" s="96">
        <v>56.582999999999998</v>
      </c>
      <c r="E226" s="96" t="s">
        <v>64</v>
      </c>
    </row>
    <row r="227" spans="1:5" x14ac:dyDescent="0.25">
      <c r="A227" s="84">
        <v>45744</v>
      </c>
      <c r="B227" s="96">
        <v>513491.95199999999</v>
      </c>
      <c r="C227" s="96">
        <v>4786383.7089999998</v>
      </c>
      <c r="D227" s="96">
        <v>61.484000000000002</v>
      </c>
      <c r="E227" s="96" t="s">
        <v>66</v>
      </c>
    </row>
    <row r="228" spans="1:5" x14ac:dyDescent="0.25">
      <c r="A228" s="84">
        <v>45744</v>
      </c>
      <c r="B228" s="96">
        <v>513492.02</v>
      </c>
      <c r="C228" s="96">
        <v>4786383.6859999998</v>
      </c>
      <c r="D228" s="96">
        <v>59.487000000000002</v>
      </c>
      <c r="E228" s="96" t="s">
        <v>67</v>
      </c>
    </row>
    <row r="229" spans="1:5" x14ac:dyDescent="0.25">
      <c r="A229" s="84">
        <v>45744</v>
      </c>
      <c r="B229" s="96">
        <v>513487.799</v>
      </c>
      <c r="C229" s="96">
        <v>4786375.6519999998</v>
      </c>
      <c r="D229" s="96">
        <v>60.914000000000001</v>
      </c>
      <c r="E229" s="96" t="s">
        <v>70</v>
      </c>
    </row>
    <row r="230" spans="1:5" x14ac:dyDescent="0.25">
      <c r="A230" s="84">
        <v>45744</v>
      </c>
      <c r="B230" s="96">
        <v>513488.16499999998</v>
      </c>
      <c r="C230" s="96">
        <v>4786375.6260000002</v>
      </c>
      <c r="D230" s="96">
        <v>59.33</v>
      </c>
      <c r="E230" s="96" t="s">
        <v>71</v>
      </c>
    </row>
    <row r="231" spans="1:5" x14ac:dyDescent="0.25">
      <c r="A231" s="84">
        <v>45744</v>
      </c>
      <c r="B231" s="96">
        <v>513484.614</v>
      </c>
      <c r="C231" s="96">
        <v>4786368.818</v>
      </c>
      <c r="D231" s="96">
        <v>60.354999999999997</v>
      </c>
      <c r="E231" s="96" t="s">
        <v>72</v>
      </c>
    </row>
    <row r="232" spans="1:5" x14ac:dyDescent="0.25">
      <c r="A232" s="84">
        <v>45744</v>
      </c>
      <c r="B232" s="96">
        <v>513484.728</v>
      </c>
      <c r="C232" s="96">
        <v>4786368.7369999997</v>
      </c>
      <c r="D232" s="96">
        <v>59.375</v>
      </c>
      <c r="E232" s="96" t="s">
        <v>73</v>
      </c>
    </row>
    <row r="233" spans="1:5" x14ac:dyDescent="0.25">
      <c r="A233" s="84">
        <v>45744</v>
      </c>
      <c r="B233" s="96">
        <v>513484.75099999999</v>
      </c>
      <c r="C233" s="96">
        <v>4786368.7429999998</v>
      </c>
      <c r="D233" s="96">
        <v>56.356999999999999</v>
      </c>
      <c r="E233" s="96" t="s">
        <v>74</v>
      </c>
    </row>
    <row r="234" spans="1:5" x14ac:dyDescent="0.25">
      <c r="A234" s="84">
        <v>45744</v>
      </c>
      <c r="B234" s="96">
        <v>513484.82299999997</v>
      </c>
      <c r="C234" s="96">
        <v>4786368.9400000004</v>
      </c>
      <c r="D234" s="96">
        <v>53.371000000000002</v>
      </c>
      <c r="E234" s="96" t="s">
        <v>75</v>
      </c>
    </row>
    <row r="235" spans="1:5" x14ac:dyDescent="0.25">
      <c r="A235" s="84">
        <v>45744</v>
      </c>
      <c r="B235" s="96">
        <v>513480.11200000002</v>
      </c>
      <c r="C235" s="96">
        <v>4786359.8150000004</v>
      </c>
      <c r="D235" s="96">
        <v>59.853999999999999</v>
      </c>
      <c r="E235" s="96" t="s">
        <v>76</v>
      </c>
    </row>
    <row r="236" spans="1:5" x14ac:dyDescent="0.25">
      <c r="A236" s="84">
        <v>45744</v>
      </c>
      <c r="B236" s="96">
        <v>513480.48599999998</v>
      </c>
      <c r="C236" s="96">
        <v>4786360.1339999996</v>
      </c>
      <c r="D236" s="96">
        <v>56.34</v>
      </c>
      <c r="E236" s="96" t="s">
        <v>77</v>
      </c>
    </row>
    <row r="237" spans="1:5" x14ac:dyDescent="0.25">
      <c r="A237" s="84">
        <v>45744</v>
      </c>
      <c r="B237" s="96">
        <v>513474.53899999999</v>
      </c>
      <c r="C237" s="96">
        <v>4786353.87</v>
      </c>
      <c r="D237" s="96">
        <v>59.295999999999999</v>
      </c>
      <c r="E237" s="96" t="s">
        <v>79</v>
      </c>
    </row>
    <row r="238" spans="1:5" x14ac:dyDescent="0.25">
      <c r="A238" s="84">
        <v>45744</v>
      </c>
      <c r="B238" s="96">
        <v>513474.65700000001</v>
      </c>
      <c r="C238" s="96">
        <v>4786353.7680000002</v>
      </c>
      <c r="D238" s="96">
        <v>56.323</v>
      </c>
      <c r="E238" s="96" t="s">
        <v>80</v>
      </c>
    </row>
    <row r="239" spans="1:5" x14ac:dyDescent="0.25">
      <c r="A239" s="84">
        <v>45747</v>
      </c>
      <c r="B239" s="96">
        <v>513495.201</v>
      </c>
      <c r="C239" s="96">
        <v>4786386.5449999999</v>
      </c>
      <c r="D239" s="96">
        <v>61.19</v>
      </c>
      <c r="E239" s="96" t="s">
        <v>62</v>
      </c>
    </row>
    <row r="240" spans="1:5" x14ac:dyDescent="0.25">
      <c r="A240" s="84">
        <v>45747</v>
      </c>
      <c r="B240" s="96">
        <v>513495.14600000001</v>
      </c>
      <c r="C240" s="96">
        <v>4786386.38</v>
      </c>
      <c r="D240" s="96">
        <v>59.661000000000001</v>
      </c>
      <c r="E240" s="96" t="s">
        <v>63</v>
      </c>
    </row>
    <row r="241" spans="1:5" x14ac:dyDescent="0.25">
      <c r="A241" s="84">
        <v>45747</v>
      </c>
      <c r="B241" s="96">
        <v>513495.77600000001</v>
      </c>
      <c r="C241" s="96">
        <v>4786386.2029999997</v>
      </c>
      <c r="D241" s="96">
        <v>56.582999999999998</v>
      </c>
      <c r="E241" s="96" t="s">
        <v>64</v>
      </c>
    </row>
    <row r="242" spans="1:5" x14ac:dyDescent="0.25">
      <c r="A242" s="84">
        <v>45747</v>
      </c>
      <c r="B242" s="96">
        <v>513491.951</v>
      </c>
      <c r="C242" s="96">
        <v>4786383.7079999996</v>
      </c>
      <c r="D242" s="96">
        <v>61.484000000000002</v>
      </c>
      <c r="E242" s="96" t="s">
        <v>66</v>
      </c>
    </row>
    <row r="243" spans="1:5" x14ac:dyDescent="0.25">
      <c r="A243" s="84">
        <v>45747</v>
      </c>
      <c r="B243" s="96">
        <v>513492.01899999997</v>
      </c>
      <c r="C243" s="96">
        <v>4786383.6849999996</v>
      </c>
      <c r="D243" s="96">
        <v>59.485999999999997</v>
      </c>
      <c r="E243" s="96" t="s">
        <v>67</v>
      </c>
    </row>
    <row r="244" spans="1:5" x14ac:dyDescent="0.25">
      <c r="A244" s="84">
        <v>45747</v>
      </c>
      <c r="B244" s="96">
        <v>513492.28399999999</v>
      </c>
      <c r="C244" s="96">
        <v>4786384.1229999997</v>
      </c>
      <c r="D244" s="96">
        <v>56.494999999999997</v>
      </c>
      <c r="E244" s="96" t="s">
        <v>68</v>
      </c>
    </row>
    <row r="245" spans="1:5" x14ac:dyDescent="0.25">
      <c r="A245" s="84">
        <v>45747</v>
      </c>
      <c r="B245" s="96">
        <v>513487.79800000001</v>
      </c>
      <c r="C245" s="96">
        <v>4786375.6519999998</v>
      </c>
      <c r="D245" s="96">
        <v>60.914000000000001</v>
      </c>
      <c r="E245" s="96" t="s">
        <v>70</v>
      </c>
    </row>
    <row r="246" spans="1:5" x14ac:dyDescent="0.25">
      <c r="A246" s="84">
        <v>45747</v>
      </c>
      <c r="B246" s="96">
        <v>513488.16499999998</v>
      </c>
      <c r="C246" s="96">
        <v>4786375.625</v>
      </c>
      <c r="D246" s="96">
        <v>59.33</v>
      </c>
      <c r="E246" s="96" t="s">
        <v>71</v>
      </c>
    </row>
    <row r="247" spans="1:5" x14ac:dyDescent="0.25">
      <c r="A247" s="84">
        <v>45747</v>
      </c>
      <c r="B247" s="96">
        <v>513484.61499999999</v>
      </c>
      <c r="C247" s="96">
        <v>4786368.8169999998</v>
      </c>
      <c r="D247" s="96">
        <v>60.354999999999997</v>
      </c>
      <c r="E247" s="96" t="s">
        <v>72</v>
      </c>
    </row>
    <row r="248" spans="1:5" x14ac:dyDescent="0.25">
      <c r="A248" s="84">
        <v>45747</v>
      </c>
      <c r="B248" s="96">
        <v>513484.72899999999</v>
      </c>
      <c r="C248" s="96">
        <v>4786368.7350000003</v>
      </c>
      <c r="D248" s="96">
        <v>59.375</v>
      </c>
      <c r="E248" s="96" t="s">
        <v>73</v>
      </c>
    </row>
    <row r="249" spans="1:5" x14ac:dyDescent="0.25">
      <c r="A249" s="84">
        <v>45747</v>
      </c>
      <c r="B249" s="96">
        <v>513484.75300000003</v>
      </c>
      <c r="C249" s="96">
        <v>4786368.7410000004</v>
      </c>
      <c r="D249" s="96">
        <v>56.356999999999999</v>
      </c>
      <c r="E249" s="96" t="s">
        <v>74</v>
      </c>
    </row>
    <row r="250" spans="1:5" x14ac:dyDescent="0.25">
      <c r="A250" s="84">
        <v>45747</v>
      </c>
      <c r="B250" s="96">
        <v>513484.82299999997</v>
      </c>
      <c r="C250" s="96">
        <v>4786368.9380000001</v>
      </c>
      <c r="D250" s="96">
        <v>53.371000000000002</v>
      </c>
      <c r="E250" s="96" t="s">
        <v>75</v>
      </c>
    </row>
    <row r="251" spans="1:5" x14ac:dyDescent="0.25">
      <c r="A251" s="84">
        <v>45747</v>
      </c>
      <c r="B251" s="96">
        <v>513480.114</v>
      </c>
      <c r="C251" s="96">
        <v>4786359.8150000004</v>
      </c>
      <c r="D251" s="96">
        <v>59.853000000000002</v>
      </c>
      <c r="E251" s="96" t="s">
        <v>76</v>
      </c>
    </row>
    <row r="252" spans="1:5" x14ac:dyDescent="0.25">
      <c r="A252" s="84">
        <v>45747</v>
      </c>
      <c r="B252" s="96">
        <v>513480.48700000002</v>
      </c>
      <c r="C252" s="96">
        <v>4786360.1339999996</v>
      </c>
      <c r="D252" s="96">
        <v>56.34</v>
      </c>
      <c r="E252" s="96" t="s">
        <v>77</v>
      </c>
    </row>
    <row r="253" spans="1:5" x14ac:dyDescent="0.25">
      <c r="A253" s="84">
        <v>45747</v>
      </c>
      <c r="B253" s="96">
        <v>513474.54</v>
      </c>
      <c r="C253" s="96">
        <v>4786353.8710000003</v>
      </c>
      <c r="D253" s="96">
        <v>59.295000000000002</v>
      </c>
      <c r="E253" s="96" t="s">
        <v>79</v>
      </c>
    </row>
    <row r="254" spans="1:5" x14ac:dyDescent="0.25">
      <c r="A254" s="84">
        <v>45749</v>
      </c>
      <c r="B254" s="96">
        <v>513495.201</v>
      </c>
      <c r="C254" s="96">
        <v>4786386.5460000001</v>
      </c>
      <c r="D254" s="96">
        <v>61.19</v>
      </c>
      <c r="E254" s="96" t="s">
        <v>62</v>
      </c>
    </row>
    <row r="255" spans="1:5" x14ac:dyDescent="0.25">
      <c r="A255" s="84">
        <v>45749</v>
      </c>
      <c r="B255" s="96">
        <v>513495.14600000001</v>
      </c>
      <c r="C255" s="96">
        <v>4786386.3810000001</v>
      </c>
      <c r="D255" s="96">
        <v>59.661000000000001</v>
      </c>
      <c r="E255" s="96" t="s">
        <v>63</v>
      </c>
    </row>
    <row r="256" spans="1:5" x14ac:dyDescent="0.25">
      <c r="A256" s="84">
        <v>45749</v>
      </c>
      <c r="B256" s="96">
        <v>513495.77600000001</v>
      </c>
      <c r="C256" s="96">
        <v>4786386.2039999999</v>
      </c>
      <c r="D256" s="96">
        <v>56.582000000000001</v>
      </c>
      <c r="E256" s="96" t="s">
        <v>64</v>
      </c>
    </row>
    <row r="257" spans="1:5" x14ac:dyDescent="0.25">
      <c r="A257" s="84">
        <v>45749</v>
      </c>
      <c r="B257" s="96">
        <v>513491.95</v>
      </c>
      <c r="C257" s="96">
        <v>4786383.71</v>
      </c>
      <c r="D257" s="96">
        <v>61.482999999999997</v>
      </c>
      <c r="E257" s="96" t="s">
        <v>66</v>
      </c>
    </row>
    <row r="258" spans="1:5" x14ac:dyDescent="0.25">
      <c r="A258" s="84">
        <v>45749</v>
      </c>
      <c r="B258" s="96">
        <v>513492.01899999997</v>
      </c>
      <c r="C258" s="96">
        <v>4786383.6849999996</v>
      </c>
      <c r="D258" s="96">
        <v>59.484999999999999</v>
      </c>
      <c r="E258" s="96" t="s">
        <v>67</v>
      </c>
    </row>
    <row r="259" spans="1:5" x14ac:dyDescent="0.25">
      <c r="A259" s="84">
        <v>45749</v>
      </c>
      <c r="B259" s="96">
        <v>513492.28399999999</v>
      </c>
      <c r="C259" s="96">
        <v>4786384.125</v>
      </c>
      <c r="D259" s="96">
        <v>56.494</v>
      </c>
      <c r="E259" s="96" t="s">
        <v>68</v>
      </c>
    </row>
    <row r="260" spans="1:5" x14ac:dyDescent="0.25">
      <c r="A260" s="84">
        <v>45749</v>
      </c>
      <c r="B260" s="96">
        <v>513487.79800000001</v>
      </c>
      <c r="C260" s="96">
        <v>4786375.6519999998</v>
      </c>
      <c r="D260" s="96">
        <v>60.912999999999997</v>
      </c>
      <c r="E260" s="96" t="s">
        <v>70</v>
      </c>
    </row>
    <row r="261" spans="1:5" x14ac:dyDescent="0.25">
      <c r="A261" s="84">
        <v>45749</v>
      </c>
      <c r="B261" s="96">
        <v>513488.16499999998</v>
      </c>
      <c r="C261" s="96">
        <v>4786375.625</v>
      </c>
      <c r="D261" s="96">
        <v>59.329000000000001</v>
      </c>
      <c r="E261" s="96" t="s">
        <v>71</v>
      </c>
    </row>
    <row r="262" spans="1:5" x14ac:dyDescent="0.25">
      <c r="A262" s="84">
        <v>45749</v>
      </c>
      <c r="B262" s="96">
        <v>513484.61499999999</v>
      </c>
      <c r="C262" s="96">
        <v>4786368.818</v>
      </c>
      <c r="D262" s="96">
        <v>60.353999999999999</v>
      </c>
      <c r="E262" s="96" t="s">
        <v>72</v>
      </c>
    </row>
    <row r="263" spans="1:5" x14ac:dyDescent="0.25">
      <c r="A263" s="84">
        <v>45749</v>
      </c>
      <c r="B263" s="96">
        <v>513484.72700000001</v>
      </c>
      <c r="C263" s="96">
        <v>4786368.7359999996</v>
      </c>
      <c r="D263" s="96">
        <v>59.374000000000002</v>
      </c>
      <c r="E263" s="96" t="s">
        <v>73</v>
      </c>
    </row>
    <row r="264" spans="1:5" x14ac:dyDescent="0.25">
      <c r="A264" s="84">
        <v>45749</v>
      </c>
      <c r="B264" s="96">
        <v>513484.75099999999</v>
      </c>
      <c r="C264" s="96">
        <v>4786368.7429999998</v>
      </c>
      <c r="D264" s="96">
        <v>56.356000000000002</v>
      </c>
      <c r="E264" s="96" t="s">
        <v>74</v>
      </c>
    </row>
    <row r="265" spans="1:5" x14ac:dyDescent="0.25">
      <c r="A265" s="84">
        <v>45749</v>
      </c>
      <c r="B265" s="96">
        <v>513484.82299999997</v>
      </c>
      <c r="C265" s="96">
        <v>4786368.9390000002</v>
      </c>
      <c r="D265" s="96">
        <v>53.37</v>
      </c>
      <c r="E265" s="96" t="s">
        <v>75</v>
      </c>
    </row>
    <row r="266" spans="1:5" x14ac:dyDescent="0.25">
      <c r="A266" s="84">
        <v>45749</v>
      </c>
      <c r="B266" s="96">
        <v>513480.11200000002</v>
      </c>
      <c r="C266" s="96">
        <v>4786359.8150000004</v>
      </c>
      <c r="D266" s="96">
        <v>59.851999999999997</v>
      </c>
      <c r="E266" s="96" t="s">
        <v>76</v>
      </c>
    </row>
    <row r="267" spans="1:5" x14ac:dyDescent="0.25">
      <c r="A267" s="84">
        <v>45749</v>
      </c>
      <c r="B267" s="96">
        <v>513480.48499999999</v>
      </c>
      <c r="C267" s="96">
        <v>4786360.1349999998</v>
      </c>
      <c r="D267" s="96">
        <v>56.338999999999999</v>
      </c>
      <c r="E267" s="96" t="s">
        <v>77</v>
      </c>
    </row>
    <row r="268" spans="1:5" x14ac:dyDescent="0.25">
      <c r="A268" s="84">
        <v>45749</v>
      </c>
      <c r="B268" s="96">
        <v>513474.53899999999</v>
      </c>
      <c r="C268" s="96">
        <v>4786353.8710000003</v>
      </c>
      <c r="D268" s="96">
        <v>59.295000000000002</v>
      </c>
      <c r="E268" s="96" t="s">
        <v>79</v>
      </c>
    </row>
    <row r="269" spans="1:5" x14ac:dyDescent="0.25">
      <c r="A269" s="84">
        <v>45749</v>
      </c>
      <c r="B269" s="96">
        <v>513474.65600000002</v>
      </c>
      <c r="C269" s="96">
        <v>4786353.7680000002</v>
      </c>
      <c r="D269" s="96">
        <v>56.322000000000003</v>
      </c>
      <c r="E269" s="96" t="s">
        <v>80</v>
      </c>
    </row>
    <row r="270" spans="1:5" x14ac:dyDescent="0.25">
      <c r="A270" s="84">
        <v>45749</v>
      </c>
      <c r="B270" s="96">
        <v>513474.76299999998</v>
      </c>
      <c r="C270" s="96">
        <v>4786353.8739999998</v>
      </c>
      <c r="D270" s="96">
        <v>53.354999999999997</v>
      </c>
      <c r="E270" s="96" t="s">
        <v>81</v>
      </c>
    </row>
    <row r="271" spans="1:5" x14ac:dyDescent="0.25">
      <c r="A271" s="84">
        <v>45754</v>
      </c>
      <c r="B271" s="96">
        <v>513495.201</v>
      </c>
      <c r="C271" s="96">
        <v>4786386.5449999999</v>
      </c>
      <c r="D271" s="96">
        <v>61.19</v>
      </c>
      <c r="E271" s="96" t="s">
        <v>62</v>
      </c>
    </row>
    <row r="272" spans="1:5" x14ac:dyDescent="0.25">
      <c r="A272" s="84">
        <v>45754</v>
      </c>
      <c r="B272" s="96">
        <v>513495.14600000001</v>
      </c>
      <c r="C272" s="96">
        <v>4786386.38</v>
      </c>
      <c r="D272" s="96">
        <v>59.661000000000001</v>
      </c>
      <c r="E272" s="96" t="s">
        <v>63</v>
      </c>
    </row>
    <row r="273" spans="1:5" x14ac:dyDescent="0.25">
      <c r="A273" s="84">
        <v>45754</v>
      </c>
      <c r="B273" s="96">
        <v>513495.77600000001</v>
      </c>
      <c r="C273" s="96">
        <v>4786386.2029999997</v>
      </c>
      <c r="D273" s="96">
        <v>56.582000000000001</v>
      </c>
      <c r="E273" s="96" t="s">
        <v>64</v>
      </c>
    </row>
    <row r="274" spans="1:5" x14ac:dyDescent="0.25">
      <c r="A274" s="84">
        <v>45754</v>
      </c>
      <c r="B274" s="96">
        <v>513491.951</v>
      </c>
      <c r="C274" s="96">
        <v>4786383.7089999998</v>
      </c>
      <c r="D274" s="96">
        <v>61.484000000000002</v>
      </c>
      <c r="E274" s="96" t="s">
        <v>66</v>
      </c>
    </row>
    <row r="275" spans="1:5" x14ac:dyDescent="0.25">
      <c r="A275" s="84">
        <v>45754</v>
      </c>
      <c r="B275" s="96">
        <v>513492.01899999997</v>
      </c>
      <c r="C275" s="96">
        <v>4786383.6849999996</v>
      </c>
      <c r="D275" s="96">
        <v>59.485999999999997</v>
      </c>
      <c r="E275" s="96" t="s">
        <v>67</v>
      </c>
    </row>
    <row r="276" spans="1:5" x14ac:dyDescent="0.25">
      <c r="A276" s="84">
        <v>45754</v>
      </c>
      <c r="B276" s="96">
        <v>513492.283</v>
      </c>
      <c r="C276" s="96">
        <v>4786384.1239999998</v>
      </c>
      <c r="D276" s="96">
        <v>56.494999999999997</v>
      </c>
      <c r="E276" s="96" t="s">
        <v>68</v>
      </c>
    </row>
    <row r="277" spans="1:5" x14ac:dyDescent="0.25">
      <c r="A277" s="84">
        <v>45754</v>
      </c>
      <c r="B277" s="96">
        <v>513487.79800000001</v>
      </c>
      <c r="C277" s="96">
        <v>4786375.6509999996</v>
      </c>
      <c r="D277" s="96">
        <v>60.912999999999997</v>
      </c>
      <c r="E277" s="96" t="s">
        <v>70</v>
      </c>
    </row>
    <row r="278" spans="1:5" x14ac:dyDescent="0.25">
      <c r="A278" s="84">
        <v>45754</v>
      </c>
      <c r="B278" s="96">
        <v>513488.16600000003</v>
      </c>
      <c r="C278" s="96">
        <v>4786375.6239999998</v>
      </c>
      <c r="D278" s="96">
        <v>59.329000000000001</v>
      </c>
      <c r="E278" s="96" t="s">
        <v>71</v>
      </c>
    </row>
    <row r="279" spans="1:5" x14ac:dyDescent="0.25">
      <c r="A279" s="84">
        <v>45754</v>
      </c>
      <c r="B279" s="96">
        <v>513484.614</v>
      </c>
      <c r="C279" s="96">
        <v>4786368.818</v>
      </c>
      <c r="D279" s="96">
        <v>60.354999999999997</v>
      </c>
      <c r="E279" s="96" t="s">
        <v>72</v>
      </c>
    </row>
    <row r="280" spans="1:5" x14ac:dyDescent="0.25">
      <c r="A280" s="84">
        <v>45754</v>
      </c>
      <c r="B280" s="96">
        <v>513484.72700000001</v>
      </c>
      <c r="C280" s="96">
        <v>4786368.7359999996</v>
      </c>
      <c r="D280" s="96">
        <v>59.375</v>
      </c>
      <c r="E280" s="96" t="s">
        <v>73</v>
      </c>
    </row>
    <row r="281" spans="1:5" x14ac:dyDescent="0.25">
      <c r="A281" s="84">
        <v>45754</v>
      </c>
      <c r="B281" s="96">
        <v>513484.75199999998</v>
      </c>
      <c r="C281" s="96">
        <v>4786368.7419999996</v>
      </c>
      <c r="D281" s="96">
        <v>56.356000000000002</v>
      </c>
      <c r="E281" s="96" t="s">
        <v>74</v>
      </c>
    </row>
    <row r="282" spans="1:5" x14ac:dyDescent="0.25">
      <c r="A282" s="84">
        <v>45754</v>
      </c>
      <c r="B282" s="96">
        <v>513484.82299999997</v>
      </c>
      <c r="C282" s="96">
        <v>4786368.9390000002</v>
      </c>
      <c r="D282" s="96">
        <v>53.37</v>
      </c>
      <c r="E282" s="96" t="s">
        <v>75</v>
      </c>
    </row>
    <row r="283" spans="1:5" x14ac:dyDescent="0.25">
      <c r="A283" s="84">
        <v>45754</v>
      </c>
      <c r="B283" s="96">
        <v>513480.11300000001</v>
      </c>
      <c r="C283" s="96">
        <v>4786359.8150000004</v>
      </c>
      <c r="D283" s="96">
        <v>59.853000000000002</v>
      </c>
      <c r="E283" s="96" t="s">
        <v>76</v>
      </c>
    </row>
    <row r="284" spans="1:5" x14ac:dyDescent="0.25">
      <c r="A284" s="84">
        <v>45754</v>
      </c>
      <c r="B284" s="96">
        <v>513480.48599999998</v>
      </c>
      <c r="C284" s="96">
        <v>4786360.1339999996</v>
      </c>
      <c r="D284" s="96">
        <v>56.34</v>
      </c>
      <c r="E284" s="96" t="s">
        <v>77</v>
      </c>
    </row>
    <row r="285" spans="1:5" x14ac:dyDescent="0.25">
      <c r="A285" s="84">
        <v>45754</v>
      </c>
      <c r="B285" s="96">
        <v>513474.54100000003</v>
      </c>
      <c r="C285" s="96">
        <v>4786353.87</v>
      </c>
      <c r="D285" s="96">
        <v>59.295000000000002</v>
      </c>
      <c r="E285" s="96" t="s">
        <v>79</v>
      </c>
    </row>
    <row r="286" spans="1:5" x14ac:dyDescent="0.25">
      <c r="A286" s="84">
        <v>45754</v>
      </c>
      <c r="B286" s="96">
        <v>513474.65700000001</v>
      </c>
      <c r="C286" s="96">
        <v>4786353.7680000002</v>
      </c>
      <c r="D286" s="96">
        <v>56.322000000000003</v>
      </c>
      <c r="E286" s="96" t="s">
        <v>80</v>
      </c>
    </row>
    <row r="287" spans="1:5" x14ac:dyDescent="0.25">
      <c r="A287" s="84">
        <v>45757</v>
      </c>
      <c r="B287" s="96">
        <v>513495.20199999999</v>
      </c>
      <c r="C287" s="96">
        <v>4786386.5449999999</v>
      </c>
      <c r="D287" s="96">
        <v>61.19</v>
      </c>
      <c r="E287" s="96" t="s">
        <v>62</v>
      </c>
    </row>
    <row r="288" spans="1:5" x14ac:dyDescent="0.25">
      <c r="A288" s="84">
        <v>45757</v>
      </c>
      <c r="B288" s="96">
        <v>513495.14600000001</v>
      </c>
      <c r="C288" s="96">
        <v>4786386.3810000001</v>
      </c>
      <c r="D288" s="96">
        <v>59.66</v>
      </c>
      <c r="E288" s="96" t="s">
        <v>63</v>
      </c>
    </row>
    <row r="289" spans="1:5" x14ac:dyDescent="0.25">
      <c r="A289" s="84">
        <v>45757</v>
      </c>
      <c r="B289" s="96">
        <v>513495.777</v>
      </c>
      <c r="C289" s="96">
        <v>4786386.2039999999</v>
      </c>
      <c r="D289" s="96">
        <v>56.582000000000001</v>
      </c>
      <c r="E289" s="96" t="s">
        <v>64</v>
      </c>
    </row>
    <row r="290" spans="1:5" x14ac:dyDescent="0.25">
      <c r="A290" s="84">
        <v>45757</v>
      </c>
      <c r="B290" s="96">
        <v>513491.95</v>
      </c>
      <c r="C290" s="96">
        <v>4786383.71</v>
      </c>
      <c r="D290" s="96">
        <v>61.482999999999997</v>
      </c>
      <c r="E290" s="96" t="s">
        <v>66</v>
      </c>
    </row>
    <row r="291" spans="1:5" x14ac:dyDescent="0.25">
      <c r="A291" s="84">
        <v>45757</v>
      </c>
      <c r="B291" s="96">
        <v>513492.01899999997</v>
      </c>
      <c r="C291" s="96">
        <v>4786383.6859999998</v>
      </c>
      <c r="D291" s="96">
        <v>59.484999999999999</v>
      </c>
      <c r="E291" s="96" t="s">
        <v>67</v>
      </c>
    </row>
    <row r="292" spans="1:5" x14ac:dyDescent="0.25">
      <c r="A292" s="84">
        <v>45757</v>
      </c>
      <c r="B292" s="96">
        <v>513487.799</v>
      </c>
      <c r="C292" s="96">
        <v>4786375.6509999996</v>
      </c>
      <c r="D292" s="96">
        <v>60.911999999999999</v>
      </c>
      <c r="E292" s="96" t="s">
        <v>70</v>
      </c>
    </row>
    <row r="293" spans="1:5" x14ac:dyDescent="0.25">
      <c r="A293" s="84">
        <v>45757</v>
      </c>
      <c r="B293" s="96">
        <v>513488.16600000003</v>
      </c>
      <c r="C293" s="96">
        <v>4786375.625</v>
      </c>
      <c r="D293" s="96">
        <v>59.329000000000001</v>
      </c>
      <c r="E293" s="96" t="s">
        <v>71</v>
      </c>
    </row>
    <row r="294" spans="1:5" x14ac:dyDescent="0.25">
      <c r="A294" s="84">
        <v>45757</v>
      </c>
      <c r="B294" s="96">
        <v>513484.61499999999</v>
      </c>
      <c r="C294" s="96">
        <v>4786368.818</v>
      </c>
      <c r="D294" s="96">
        <v>60.353999999999999</v>
      </c>
      <c r="E294" s="96" t="s">
        <v>72</v>
      </c>
    </row>
    <row r="295" spans="1:5" x14ac:dyDescent="0.25">
      <c r="A295" s="84">
        <v>45757</v>
      </c>
      <c r="B295" s="96">
        <v>513484.728</v>
      </c>
      <c r="C295" s="96">
        <v>4786368.7359999996</v>
      </c>
      <c r="D295" s="96">
        <v>59.374000000000002</v>
      </c>
      <c r="E295" s="96" t="s">
        <v>73</v>
      </c>
    </row>
    <row r="296" spans="1:5" x14ac:dyDescent="0.25">
      <c r="A296" s="84">
        <v>45757</v>
      </c>
      <c r="B296" s="96">
        <v>513484.75199999998</v>
      </c>
      <c r="C296" s="96">
        <v>4786368.7419999996</v>
      </c>
      <c r="D296" s="96">
        <v>56.356000000000002</v>
      </c>
      <c r="E296" s="96" t="s">
        <v>74</v>
      </c>
    </row>
    <row r="297" spans="1:5" x14ac:dyDescent="0.25">
      <c r="A297" s="84">
        <v>45757</v>
      </c>
      <c r="B297" s="96">
        <v>513484.82400000002</v>
      </c>
      <c r="C297" s="96">
        <v>4786368.9380000001</v>
      </c>
      <c r="D297" s="96">
        <v>53.37</v>
      </c>
      <c r="E297" s="96" t="s">
        <v>75</v>
      </c>
    </row>
    <row r="298" spans="1:5" x14ac:dyDescent="0.25">
      <c r="A298" s="84">
        <v>45757</v>
      </c>
      <c r="B298" s="96">
        <v>513480.11300000001</v>
      </c>
      <c r="C298" s="96">
        <v>4786359.8150000004</v>
      </c>
      <c r="D298" s="96">
        <v>59.851999999999997</v>
      </c>
      <c r="E298" s="96" t="s">
        <v>76</v>
      </c>
    </row>
    <row r="299" spans="1:5" x14ac:dyDescent="0.25">
      <c r="A299" s="84">
        <v>45757</v>
      </c>
      <c r="B299" s="96">
        <v>513480.48700000002</v>
      </c>
      <c r="C299" s="96">
        <v>4786360.1339999996</v>
      </c>
      <c r="D299" s="96">
        <v>56.338999999999999</v>
      </c>
      <c r="E299" s="96" t="s">
        <v>77</v>
      </c>
    </row>
    <row r="300" spans="1:5" x14ac:dyDescent="0.25">
      <c r="A300" s="84">
        <v>45757</v>
      </c>
      <c r="B300" s="96">
        <v>513474.54100000003</v>
      </c>
      <c r="C300" s="96">
        <v>4786353.8710000003</v>
      </c>
      <c r="D300" s="96">
        <v>59.295000000000002</v>
      </c>
      <c r="E300" s="96" t="s">
        <v>79</v>
      </c>
    </row>
    <row r="301" spans="1:5" x14ac:dyDescent="0.25">
      <c r="A301" s="84">
        <v>45757</v>
      </c>
      <c r="B301" s="96">
        <v>513474.65700000001</v>
      </c>
      <c r="C301" s="96">
        <v>4786353.7690000003</v>
      </c>
      <c r="D301" s="96">
        <v>56.322000000000003</v>
      </c>
      <c r="E301" s="96" t="s">
        <v>80</v>
      </c>
    </row>
    <row r="302" spans="1:5" x14ac:dyDescent="0.25">
      <c r="A302" s="84">
        <v>45757</v>
      </c>
      <c r="B302" s="96">
        <v>513474.76500000001</v>
      </c>
      <c r="C302" s="96">
        <v>4786353.875</v>
      </c>
      <c r="D302" s="96">
        <v>53.356000000000002</v>
      </c>
      <c r="E302" s="96" t="s">
        <v>81</v>
      </c>
    </row>
    <row r="303" spans="1:5" x14ac:dyDescent="0.25">
      <c r="A303" s="84">
        <v>45769</v>
      </c>
      <c r="B303" s="96">
        <v>513495.2</v>
      </c>
      <c r="C303" s="96">
        <v>4786386.5460000001</v>
      </c>
      <c r="D303" s="96">
        <v>61.189</v>
      </c>
      <c r="E303" s="96" t="s">
        <v>62</v>
      </c>
    </row>
    <row r="304" spans="1:5" x14ac:dyDescent="0.25">
      <c r="A304" s="84">
        <v>45769</v>
      </c>
      <c r="B304" s="96">
        <v>513495.14600000001</v>
      </c>
      <c r="C304" s="96">
        <v>4786386.3810000001</v>
      </c>
      <c r="D304" s="96">
        <v>59.66</v>
      </c>
      <c r="E304" s="96" t="s">
        <v>63</v>
      </c>
    </row>
    <row r="305" spans="1:5" x14ac:dyDescent="0.25">
      <c r="A305" s="84">
        <v>45769</v>
      </c>
      <c r="B305" s="96">
        <v>513495.77600000001</v>
      </c>
      <c r="C305" s="96">
        <v>4786386.2039999999</v>
      </c>
      <c r="D305" s="96">
        <v>56.581000000000003</v>
      </c>
      <c r="E305" s="96" t="s">
        <v>64</v>
      </c>
    </row>
    <row r="306" spans="1:5" x14ac:dyDescent="0.25">
      <c r="A306" s="84">
        <v>45769</v>
      </c>
      <c r="B306" s="96">
        <v>513491.95</v>
      </c>
      <c r="C306" s="96">
        <v>4786383.71</v>
      </c>
      <c r="D306" s="96">
        <v>61.482999999999997</v>
      </c>
      <c r="E306" s="96" t="s">
        <v>66</v>
      </c>
    </row>
    <row r="307" spans="1:5" x14ac:dyDescent="0.25">
      <c r="A307" s="84">
        <v>45769</v>
      </c>
      <c r="B307" s="96">
        <v>513492.01799999998</v>
      </c>
      <c r="C307" s="96">
        <v>4786383.6859999998</v>
      </c>
      <c r="D307" s="96">
        <v>59.484999999999999</v>
      </c>
      <c r="E307" s="96" t="s">
        <v>67</v>
      </c>
    </row>
    <row r="308" spans="1:5" x14ac:dyDescent="0.25">
      <c r="A308" s="84">
        <v>45769</v>
      </c>
      <c r="B308" s="96">
        <v>513492.283</v>
      </c>
      <c r="C308" s="96">
        <v>4786384.125</v>
      </c>
      <c r="D308" s="96">
        <v>56.494</v>
      </c>
      <c r="E308" s="96" t="s">
        <v>68</v>
      </c>
    </row>
    <row r="309" spans="1:5" x14ac:dyDescent="0.25">
      <c r="A309" s="84">
        <v>45769</v>
      </c>
      <c r="B309" s="96">
        <v>513487.79800000001</v>
      </c>
      <c r="C309" s="96">
        <v>4786375.6519999998</v>
      </c>
      <c r="D309" s="96">
        <v>60.911999999999999</v>
      </c>
      <c r="E309" s="96" t="s">
        <v>70</v>
      </c>
    </row>
    <row r="310" spans="1:5" x14ac:dyDescent="0.25">
      <c r="A310" s="84">
        <v>45769</v>
      </c>
      <c r="B310" s="96">
        <v>513488.16499999998</v>
      </c>
      <c r="C310" s="96">
        <v>4786375.625</v>
      </c>
      <c r="D310" s="96">
        <v>59.328000000000003</v>
      </c>
      <c r="E310" s="96" t="s">
        <v>71</v>
      </c>
    </row>
    <row r="311" spans="1:5" x14ac:dyDescent="0.25">
      <c r="A311" s="84">
        <v>45769</v>
      </c>
      <c r="B311" s="96">
        <v>513484.614</v>
      </c>
      <c r="C311" s="96">
        <v>4786368.818</v>
      </c>
      <c r="D311" s="96">
        <v>60.353999999999999</v>
      </c>
      <c r="E311" s="96" t="s">
        <v>72</v>
      </c>
    </row>
    <row r="312" spans="1:5" x14ac:dyDescent="0.25">
      <c r="A312" s="84">
        <v>45769</v>
      </c>
      <c r="B312" s="96">
        <v>513484.72700000001</v>
      </c>
      <c r="C312" s="96">
        <v>4786368.7359999996</v>
      </c>
      <c r="D312" s="96">
        <v>59.374000000000002</v>
      </c>
      <c r="E312" s="96" t="s">
        <v>73</v>
      </c>
    </row>
    <row r="313" spans="1:5" x14ac:dyDescent="0.25">
      <c r="A313" s="84">
        <v>45769</v>
      </c>
      <c r="B313" s="96">
        <v>513484.75199999998</v>
      </c>
      <c r="C313" s="96">
        <v>4786368.7419999996</v>
      </c>
      <c r="D313" s="96">
        <v>56.356000000000002</v>
      </c>
      <c r="E313" s="96" t="s">
        <v>74</v>
      </c>
    </row>
    <row r="314" spans="1:5" x14ac:dyDescent="0.25">
      <c r="A314" s="84">
        <v>45769</v>
      </c>
      <c r="B314" s="96">
        <v>513480.11200000002</v>
      </c>
      <c r="C314" s="96">
        <v>4786359.8150000004</v>
      </c>
      <c r="D314" s="96">
        <v>59.851999999999997</v>
      </c>
      <c r="E314" s="96" t="s">
        <v>76</v>
      </c>
    </row>
    <row r="315" spans="1:5" x14ac:dyDescent="0.25">
      <c r="A315" s="84">
        <v>45769</v>
      </c>
      <c r="B315" s="96">
        <v>513480.48499999999</v>
      </c>
      <c r="C315" s="96">
        <v>4786360.1349999998</v>
      </c>
      <c r="D315" s="96">
        <v>56.338999999999999</v>
      </c>
      <c r="E315" s="96" t="s">
        <v>77</v>
      </c>
    </row>
    <row r="316" spans="1:5" x14ac:dyDescent="0.25">
      <c r="A316" s="84">
        <v>45769</v>
      </c>
      <c r="B316" s="96">
        <v>513474.53899999999</v>
      </c>
      <c r="C316" s="96">
        <v>4786353.8710000003</v>
      </c>
      <c r="D316" s="96">
        <v>59.295000000000002</v>
      </c>
      <c r="E316" s="96" t="s">
        <v>79</v>
      </c>
    </row>
    <row r="317" spans="1:5" x14ac:dyDescent="0.25">
      <c r="A317" s="84">
        <v>45769</v>
      </c>
      <c r="B317" s="96">
        <v>513474.65500000003</v>
      </c>
      <c r="C317" s="96">
        <v>4786353.7690000003</v>
      </c>
      <c r="D317" s="96">
        <v>56.322000000000003</v>
      </c>
      <c r="E317" s="96" t="s">
        <v>80</v>
      </c>
    </row>
    <row r="318" spans="1:5" x14ac:dyDescent="0.25">
      <c r="A318" s="84">
        <v>45769</v>
      </c>
      <c r="B318" s="96">
        <v>513474.76199999999</v>
      </c>
      <c r="C318" s="96">
        <v>4786353.875</v>
      </c>
      <c r="D318" s="96">
        <v>53.356000000000002</v>
      </c>
      <c r="E318" s="96" t="s">
        <v>81</v>
      </c>
    </row>
    <row r="319" spans="1:5" x14ac:dyDescent="0.25">
      <c r="A319" s="84">
        <v>45771</v>
      </c>
      <c r="B319" s="96">
        <v>513495.201</v>
      </c>
      <c r="C319" s="96">
        <v>4786386.5449999999</v>
      </c>
      <c r="D319" s="96">
        <v>61.19</v>
      </c>
      <c r="E319" s="96" t="s">
        <v>62</v>
      </c>
    </row>
    <row r="320" spans="1:5" x14ac:dyDescent="0.25">
      <c r="A320" s="84">
        <v>45771</v>
      </c>
      <c r="B320" s="96">
        <v>513495.14600000001</v>
      </c>
      <c r="C320" s="96">
        <v>4786386.38</v>
      </c>
      <c r="D320" s="96">
        <v>59.661000000000001</v>
      </c>
      <c r="E320" s="96" t="s">
        <v>63</v>
      </c>
    </row>
    <row r="321" spans="1:5" x14ac:dyDescent="0.25">
      <c r="A321" s="84">
        <v>45771</v>
      </c>
      <c r="B321" s="96">
        <v>513495.777</v>
      </c>
      <c r="C321" s="96">
        <v>4786386.2029999997</v>
      </c>
      <c r="D321" s="96">
        <v>56.582000000000001</v>
      </c>
      <c r="E321" s="96" t="s">
        <v>64</v>
      </c>
    </row>
    <row r="322" spans="1:5" x14ac:dyDescent="0.25">
      <c r="A322" s="84">
        <v>45771</v>
      </c>
      <c r="B322" s="96">
        <v>513491.951</v>
      </c>
      <c r="C322" s="96">
        <v>4786383.7089999998</v>
      </c>
      <c r="D322" s="96">
        <v>61.482999999999997</v>
      </c>
      <c r="E322" s="96" t="s">
        <v>66</v>
      </c>
    </row>
    <row r="323" spans="1:5" x14ac:dyDescent="0.25">
      <c r="A323" s="84">
        <v>45771</v>
      </c>
      <c r="B323" s="96">
        <v>513492.02</v>
      </c>
      <c r="C323" s="96">
        <v>4786383.6849999996</v>
      </c>
      <c r="D323" s="96">
        <v>59.485999999999997</v>
      </c>
      <c r="E323" s="96" t="s">
        <v>67</v>
      </c>
    </row>
    <row r="324" spans="1:5" x14ac:dyDescent="0.25">
      <c r="A324" s="84">
        <v>45771</v>
      </c>
      <c r="B324" s="96">
        <v>513492.28399999999</v>
      </c>
      <c r="C324" s="96">
        <v>4786384.125</v>
      </c>
      <c r="D324" s="96">
        <v>56.494999999999997</v>
      </c>
      <c r="E324" s="96" t="s">
        <v>68</v>
      </c>
    </row>
    <row r="325" spans="1:5" x14ac:dyDescent="0.25">
      <c r="A325" s="84">
        <v>45771</v>
      </c>
      <c r="B325" s="96">
        <v>513487.799</v>
      </c>
      <c r="C325" s="96">
        <v>4786375.6509999996</v>
      </c>
      <c r="D325" s="96">
        <v>60.912999999999997</v>
      </c>
      <c r="E325" s="96" t="s">
        <v>70</v>
      </c>
    </row>
    <row r="326" spans="1:5" x14ac:dyDescent="0.25">
      <c r="A326" s="84">
        <v>45771</v>
      </c>
      <c r="B326" s="96">
        <v>513488.16600000003</v>
      </c>
      <c r="C326" s="96">
        <v>4786375.6239999998</v>
      </c>
      <c r="D326" s="96">
        <v>59.329000000000001</v>
      </c>
      <c r="E326" s="96" t="s">
        <v>71</v>
      </c>
    </row>
    <row r="327" spans="1:5" x14ac:dyDescent="0.25">
      <c r="A327" s="84">
        <v>45771</v>
      </c>
      <c r="B327" s="96">
        <v>513484.614</v>
      </c>
      <c r="C327" s="96">
        <v>4786368.818</v>
      </c>
      <c r="D327" s="96">
        <v>60.353999999999999</v>
      </c>
      <c r="E327" s="96" t="s">
        <v>72</v>
      </c>
    </row>
    <row r="328" spans="1:5" x14ac:dyDescent="0.25">
      <c r="A328" s="84">
        <v>45771</v>
      </c>
      <c r="B328" s="96">
        <v>513484.728</v>
      </c>
      <c r="C328" s="96">
        <v>4786368.7359999996</v>
      </c>
      <c r="D328" s="96">
        <v>59.375</v>
      </c>
      <c r="E328" s="96" t="s">
        <v>73</v>
      </c>
    </row>
    <row r="329" spans="1:5" x14ac:dyDescent="0.25">
      <c r="A329" s="84">
        <v>45771</v>
      </c>
      <c r="B329" s="96">
        <v>513484.75199999998</v>
      </c>
      <c r="C329" s="96">
        <v>4786368.7419999996</v>
      </c>
      <c r="D329" s="96">
        <v>56.356000000000002</v>
      </c>
      <c r="E329" s="96" t="s">
        <v>74</v>
      </c>
    </row>
    <row r="330" spans="1:5" x14ac:dyDescent="0.25">
      <c r="A330" s="84">
        <v>45771</v>
      </c>
      <c r="B330" s="96">
        <v>513484.82299999997</v>
      </c>
      <c r="C330" s="96">
        <v>4786368.9390000002</v>
      </c>
      <c r="D330" s="96">
        <v>53.37</v>
      </c>
      <c r="E330" s="96" t="s">
        <v>75</v>
      </c>
    </row>
    <row r="331" spans="1:5" x14ac:dyDescent="0.25">
      <c r="A331" s="84">
        <v>45771</v>
      </c>
      <c r="B331" s="96">
        <v>513480.11200000002</v>
      </c>
      <c r="C331" s="96">
        <v>4786359.8150000004</v>
      </c>
      <c r="D331" s="96">
        <v>59.851999999999997</v>
      </c>
      <c r="E331" s="96" t="s">
        <v>76</v>
      </c>
    </row>
    <row r="332" spans="1:5" x14ac:dyDescent="0.25">
      <c r="A332" s="84">
        <v>45771</v>
      </c>
      <c r="B332" s="96">
        <v>513480.48700000002</v>
      </c>
      <c r="C332" s="96">
        <v>4786360.1339999996</v>
      </c>
      <c r="D332" s="96">
        <v>56.34</v>
      </c>
      <c r="E332" s="96" t="s">
        <v>77</v>
      </c>
    </row>
    <row r="333" spans="1:5" x14ac:dyDescent="0.25">
      <c r="A333" s="84">
        <v>45771</v>
      </c>
      <c r="B333" s="96">
        <v>513474.54100000003</v>
      </c>
      <c r="C333" s="96">
        <v>4786353.8710000003</v>
      </c>
      <c r="D333" s="96">
        <v>59.295000000000002</v>
      </c>
      <c r="E333" s="96" t="s">
        <v>79</v>
      </c>
    </row>
    <row r="334" spans="1:5" x14ac:dyDescent="0.25">
      <c r="A334" s="84">
        <v>45771</v>
      </c>
      <c r="B334" s="96">
        <v>513474.65700000001</v>
      </c>
      <c r="C334" s="96">
        <v>4786353.7690000003</v>
      </c>
      <c r="D334" s="96">
        <v>56.322000000000003</v>
      </c>
      <c r="E334" s="96" t="s">
        <v>80</v>
      </c>
    </row>
    <row r="335" spans="1:5" x14ac:dyDescent="0.25">
      <c r="A335" s="84">
        <v>45771</v>
      </c>
      <c r="B335" s="96">
        <v>513474.76500000001</v>
      </c>
      <c r="C335" s="96">
        <v>4786353.8720000004</v>
      </c>
      <c r="D335" s="96">
        <v>53.360999999999997</v>
      </c>
      <c r="E335" s="96" t="s">
        <v>81</v>
      </c>
    </row>
    <row r="336" spans="1:5" x14ac:dyDescent="0.25">
      <c r="A336" s="84">
        <v>45776</v>
      </c>
      <c r="B336" s="96">
        <v>513495.201</v>
      </c>
      <c r="C336" s="96">
        <v>4786386.5460000001</v>
      </c>
      <c r="D336" s="96">
        <v>61.189</v>
      </c>
      <c r="E336" s="96" t="s">
        <v>62</v>
      </c>
    </row>
    <row r="337" spans="1:5" x14ac:dyDescent="0.25">
      <c r="A337" s="84">
        <v>45776</v>
      </c>
      <c r="B337" s="96">
        <v>513495.147</v>
      </c>
      <c r="C337" s="96">
        <v>4786386.3789999997</v>
      </c>
      <c r="D337" s="96">
        <v>59.66</v>
      </c>
      <c r="E337" s="96" t="s">
        <v>63</v>
      </c>
    </row>
    <row r="338" spans="1:5" x14ac:dyDescent="0.25">
      <c r="A338" s="84">
        <v>45776</v>
      </c>
      <c r="B338" s="96">
        <v>513495.77600000001</v>
      </c>
      <c r="C338" s="96">
        <v>4786386.2029999997</v>
      </c>
      <c r="D338" s="96">
        <v>56.581000000000003</v>
      </c>
      <c r="E338" s="96" t="s">
        <v>64</v>
      </c>
    </row>
    <row r="339" spans="1:5" x14ac:dyDescent="0.25">
      <c r="A339" s="84">
        <v>45776</v>
      </c>
      <c r="B339" s="96">
        <v>513491.951</v>
      </c>
      <c r="C339" s="96">
        <v>4786383.7089999998</v>
      </c>
      <c r="D339" s="96">
        <v>61.481999999999999</v>
      </c>
      <c r="E339" s="96" t="s">
        <v>66</v>
      </c>
    </row>
    <row r="340" spans="1:5" x14ac:dyDescent="0.25">
      <c r="A340" s="84">
        <v>45776</v>
      </c>
      <c r="B340" s="96">
        <v>513492.02</v>
      </c>
      <c r="C340" s="96">
        <v>4786383.6849999996</v>
      </c>
      <c r="D340" s="96">
        <v>59.484999999999999</v>
      </c>
      <c r="E340" s="96" t="s">
        <v>67</v>
      </c>
    </row>
    <row r="341" spans="1:5" x14ac:dyDescent="0.25">
      <c r="A341" s="84">
        <v>45776</v>
      </c>
      <c r="B341" s="96">
        <v>513492.283</v>
      </c>
      <c r="C341" s="96">
        <v>4786384.1239999998</v>
      </c>
      <c r="D341" s="96">
        <v>56.494</v>
      </c>
      <c r="E341" s="96" t="s">
        <v>68</v>
      </c>
    </row>
    <row r="342" spans="1:5" x14ac:dyDescent="0.25">
      <c r="A342" s="84">
        <v>45776</v>
      </c>
      <c r="B342" s="96">
        <v>513487.8</v>
      </c>
      <c r="C342" s="96">
        <v>4786375.6509999996</v>
      </c>
      <c r="D342" s="96">
        <v>60.911999999999999</v>
      </c>
      <c r="E342" s="96" t="s">
        <v>70</v>
      </c>
    </row>
    <row r="343" spans="1:5" x14ac:dyDescent="0.25">
      <c r="A343" s="84">
        <v>45776</v>
      </c>
      <c r="B343" s="96">
        <v>513488.16700000002</v>
      </c>
      <c r="C343" s="96">
        <v>4786375.6239999998</v>
      </c>
      <c r="D343" s="96">
        <v>59.328000000000003</v>
      </c>
      <c r="E343" s="96" t="s">
        <v>71</v>
      </c>
    </row>
    <row r="344" spans="1:5" x14ac:dyDescent="0.25">
      <c r="A344" s="84">
        <v>45776</v>
      </c>
      <c r="B344" s="96">
        <v>513484.614</v>
      </c>
      <c r="C344" s="96">
        <v>4786368.818</v>
      </c>
      <c r="D344" s="96">
        <v>60.353999999999999</v>
      </c>
      <c r="E344" s="96" t="s">
        <v>72</v>
      </c>
    </row>
    <row r="345" spans="1:5" x14ac:dyDescent="0.25">
      <c r="A345" s="84">
        <v>45776</v>
      </c>
      <c r="B345" s="96">
        <v>513484.728</v>
      </c>
      <c r="C345" s="96">
        <v>4786368.7359999996</v>
      </c>
      <c r="D345" s="96">
        <v>59.374000000000002</v>
      </c>
      <c r="E345" s="96" t="s">
        <v>73</v>
      </c>
    </row>
    <row r="346" spans="1:5" x14ac:dyDescent="0.25">
      <c r="A346" s="84">
        <v>45776</v>
      </c>
      <c r="B346" s="96">
        <v>513484.75300000003</v>
      </c>
      <c r="C346" s="96">
        <v>4786368.7419999996</v>
      </c>
      <c r="D346" s="96">
        <v>56.354999999999997</v>
      </c>
      <c r="E346" s="96" t="s">
        <v>74</v>
      </c>
    </row>
    <row r="347" spans="1:5" x14ac:dyDescent="0.25">
      <c r="A347" s="84">
        <v>45776</v>
      </c>
      <c r="B347" s="96">
        <v>513484.82299999997</v>
      </c>
      <c r="C347" s="96">
        <v>4786368.9390000002</v>
      </c>
      <c r="D347" s="96">
        <v>53.369</v>
      </c>
      <c r="E347" s="96" t="s">
        <v>75</v>
      </c>
    </row>
    <row r="348" spans="1:5" x14ac:dyDescent="0.25">
      <c r="A348" s="84">
        <v>45776</v>
      </c>
      <c r="B348" s="96">
        <v>513480.114</v>
      </c>
      <c r="C348" s="96">
        <v>4786359.8150000004</v>
      </c>
      <c r="D348" s="96">
        <v>59.851999999999997</v>
      </c>
      <c r="E348" s="96" t="s">
        <v>76</v>
      </c>
    </row>
    <row r="349" spans="1:5" x14ac:dyDescent="0.25">
      <c r="A349" s="84">
        <v>45776</v>
      </c>
      <c r="B349" s="96">
        <v>513480.48700000002</v>
      </c>
      <c r="C349" s="96">
        <v>4786360.1339999996</v>
      </c>
      <c r="D349" s="96">
        <v>56.338999999999999</v>
      </c>
      <c r="E349" s="96" t="s">
        <v>77</v>
      </c>
    </row>
    <row r="350" spans="1:5" x14ac:dyDescent="0.25">
      <c r="A350" s="84">
        <v>45776</v>
      </c>
      <c r="B350" s="96">
        <v>513474.54200000002</v>
      </c>
      <c r="C350" s="96">
        <v>4786353.8710000003</v>
      </c>
      <c r="D350" s="96">
        <v>59.295000000000002</v>
      </c>
      <c r="E350" s="96" t="s">
        <v>79</v>
      </c>
    </row>
    <row r="351" spans="1:5" x14ac:dyDescent="0.25">
      <c r="A351" s="84">
        <v>45776</v>
      </c>
      <c r="B351" s="96">
        <v>513474.65600000002</v>
      </c>
      <c r="C351" s="96">
        <v>4786353.7690000003</v>
      </c>
      <c r="D351" s="96">
        <v>56.322000000000003</v>
      </c>
      <c r="E351" s="96" t="s">
        <v>80</v>
      </c>
    </row>
    <row r="352" spans="1:5" x14ac:dyDescent="0.25">
      <c r="A352" s="84">
        <v>45776</v>
      </c>
      <c r="B352" s="96">
        <v>513474.76400000002</v>
      </c>
      <c r="C352" s="96">
        <v>4786353.875</v>
      </c>
      <c r="D352" s="96">
        <v>53.356000000000002</v>
      </c>
      <c r="E352" s="96" t="s">
        <v>81</v>
      </c>
    </row>
    <row r="353" spans="1:5" x14ac:dyDescent="0.25">
      <c r="A353" s="84">
        <v>45782</v>
      </c>
      <c r="B353" s="96">
        <v>513495.201</v>
      </c>
      <c r="C353" s="96">
        <v>4786386.5460000001</v>
      </c>
      <c r="D353" s="96">
        <v>61.189</v>
      </c>
      <c r="E353" s="96" t="s">
        <v>62</v>
      </c>
    </row>
    <row r="354" spans="1:5" x14ac:dyDescent="0.25">
      <c r="A354" s="84">
        <v>45782</v>
      </c>
      <c r="B354" s="96">
        <v>513495.14600000001</v>
      </c>
      <c r="C354" s="96">
        <v>4786386.38</v>
      </c>
      <c r="D354" s="96">
        <v>59.66</v>
      </c>
      <c r="E354" s="96" t="s">
        <v>63</v>
      </c>
    </row>
    <row r="355" spans="1:5" x14ac:dyDescent="0.25">
      <c r="A355" s="84">
        <v>45782</v>
      </c>
      <c r="B355" s="96">
        <v>513495.777</v>
      </c>
      <c r="C355" s="96">
        <v>4786386.2029999997</v>
      </c>
      <c r="D355" s="96">
        <v>56.581000000000003</v>
      </c>
      <c r="E355" s="96" t="s">
        <v>64</v>
      </c>
    </row>
    <row r="356" spans="1:5" x14ac:dyDescent="0.25">
      <c r="A356" s="84">
        <v>45782</v>
      </c>
      <c r="B356" s="96">
        <v>513491.951</v>
      </c>
      <c r="C356" s="96">
        <v>4786383.7089999998</v>
      </c>
      <c r="D356" s="96">
        <v>61.482999999999997</v>
      </c>
      <c r="E356" s="96" t="s">
        <v>66</v>
      </c>
    </row>
    <row r="357" spans="1:5" x14ac:dyDescent="0.25">
      <c r="A357" s="84">
        <v>45782</v>
      </c>
      <c r="B357" s="96">
        <v>513492.01899999997</v>
      </c>
      <c r="C357" s="96">
        <v>4786383.6859999998</v>
      </c>
      <c r="D357" s="96">
        <v>59.484999999999999</v>
      </c>
      <c r="E357" s="96" t="s">
        <v>67</v>
      </c>
    </row>
    <row r="358" spans="1:5" x14ac:dyDescent="0.25">
      <c r="A358" s="84">
        <v>45782</v>
      </c>
      <c r="B358" s="96">
        <v>513492.283</v>
      </c>
      <c r="C358" s="96">
        <v>4786384.1239999998</v>
      </c>
      <c r="D358" s="96">
        <v>56.494</v>
      </c>
      <c r="E358" s="96" t="s">
        <v>68</v>
      </c>
    </row>
    <row r="359" spans="1:5" x14ac:dyDescent="0.25">
      <c r="A359" s="84">
        <v>45782</v>
      </c>
      <c r="B359" s="96">
        <v>513487.799</v>
      </c>
      <c r="C359" s="96">
        <v>4786375.6519999998</v>
      </c>
      <c r="D359" s="96">
        <v>60.911999999999999</v>
      </c>
      <c r="E359" s="96" t="s">
        <v>70</v>
      </c>
    </row>
    <row r="360" spans="1:5" x14ac:dyDescent="0.25">
      <c r="A360" s="84">
        <v>45782</v>
      </c>
      <c r="B360" s="96">
        <v>513488.16600000003</v>
      </c>
      <c r="C360" s="96">
        <v>4786375.625</v>
      </c>
      <c r="D360" s="96">
        <v>59.329000000000001</v>
      </c>
      <c r="E360" s="96" t="s">
        <v>71</v>
      </c>
    </row>
    <row r="361" spans="1:5" x14ac:dyDescent="0.25">
      <c r="A361" s="84">
        <v>45782</v>
      </c>
      <c r="B361" s="96">
        <v>513484.614</v>
      </c>
      <c r="C361" s="96">
        <v>4786368.818</v>
      </c>
      <c r="D361" s="96">
        <v>60.353999999999999</v>
      </c>
      <c r="E361" s="96" t="s">
        <v>72</v>
      </c>
    </row>
    <row r="362" spans="1:5" x14ac:dyDescent="0.25">
      <c r="A362" s="84">
        <v>45782</v>
      </c>
      <c r="B362" s="96">
        <v>513484.72700000001</v>
      </c>
      <c r="C362" s="96">
        <v>4786368.7359999996</v>
      </c>
      <c r="D362" s="96">
        <v>59.374000000000002</v>
      </c>
      <c r="E362" s="96" t="s">
        <v>73</v>
      </c>
    </row>
    <row r="363" spans="1:5" x14ac:dyDescent="0.25">
      <c r="A363" s="84">
        <v>45782</v>
      </c>
      <c r="B363" s="96">
        <v>513484.75199999998</v>
      </c>
      <c r="C363" s="96">
        <v>4786368.7419999996</v>
      </c>
      <c r="D363" s="96">
        <v>56.356000000000002</v>
      </c>
      <c r="E363" s="96" t="s">
        <v>74</v>
      </c>
    </row>
    <row r="364" spans="1:5" x14ac:dyDescent="0.25">
      <c r="A364" s="84">
        <v>45782</v>
      </c>
      <c r="B364" s="96">
        <v>513484.82299999997</v>
      </c>
      <c r="C364" s="96">
        <v>4786368.9390000002</v>
      </c>
      <c r="D364" s="96">
        <v>53.369</v>
      </c>
      <c r="E364" s="96" t="s">
        <v>75</v>
      </c>
    </row>
    <row r="365" spans="1:5" x14ac:dyDescent="0.25">
      <c r="A365" s="84">
        <v>45782</v>
      </c>
      <c r="B365" s="96">
        <v>513480.11300000001</v>
      </c>
      <c r="C365" s="96">
        <v>4786359.8150000004</v>
      </c>
      <c r="D365" s="96">
        <v>59.851999999999997</v>
      </c>
      <c r="E365" s="96" t="s">
        <v>76</v>
      </c>
    </row>
    <row r="366" spans="1:5" x14ac:dyDescent="0.25">
      <c r="A366" s="84">
        <v>45782</v>
      </c>
      <c r="B366" s="96">
        <v>513480.48499999999</v>
      </c>
      <c r="C366" s="96">
        <v>4786360.1349999998</v>
      </c>
      <c r="D366" s="96">
        <v>56.338999999999999</v>
      </c>
      <c r="E366" s="96" t="s">
        <v>77</v>
      </c>
    </row>
    <row r="367" spans="1:5" x14ac:dyDescent="0.25">
      <c r="A367" s="84">
        <v>45782</v>
      </c>
      <c r="B367" s="96">
        <v>513474.54</v>
      </c>
      <c r="C367" s="96">
        <v>4786353.8710000003</v>
      </c>
      <c r="D367" s="96">
        <v>59.295000000000002</v>
      </c>
      <c r="E367" s="96" t="s">
        <v>79</v>
      </c>
    </row>
    <row r="368" spans="1:5" x14ac:dyDescent="0.25">
      <c r="A368" s="84">
        <v>45782</v>
      </c>
      <c r="B368" s="96">
        <v>513474.65600000002</v>
      </c>
      <c r="C368" s="96">
        <v>4786353.7690000003</v>
      </c>
      <c r="D368" s="96">
        <v>56.322000000000003</v>
      </c>
      <c r="E368" s="96" t="s">
        <v>80</v>
      </c>
    </row>
    <row r="369" spans="1:5" x14ac:dyDescent="0.25">
      <c r="A369" s="84">
        <v>45782</v>
      </c>
      <c r="B369" s="96">
        <v>513474.76299999998</v>
      </c>
      <c r="C369" s="96">
        <v>4786353.875</v>
      </c>
      <c r="D369" s="96">
        <v>53.354999999999997</v>
      </c>
      <c r="E369" s="96" t="s">
        <v>81</v>
      </c>
    </row>
    <row r="370" spans="1:5" x14ac:dyDescent="0.25">
      <c r="A370" s="84">
        <v>45785</v>
      </c>
      <c r="B370" s="96">
        <v>513495.201</v>
      </c>
      <c r="C370" s="96">
        <v>4786386.5460000001</v>
      </c>
      <c r="D370" s="96">
        <v>61.188000000000002</v>
      </c>
      <c r="E370" s="96" t="s">
        <v>62</v>
      </c>
    </row>
    <row r="371" spans="1:5" x14ac:dyDescent="0.25">
      <c r="A371" s="84">
        <v>45785</v>
      </c>
      <c r="B371" s="96">
        <v>513495.147</v>
      </c>
      <c r="C371" s="96">
        <v>4786386.3810000001</v>
      </c>
      <c r="D371" s="96">
        <v>59.658999999999999</v>
      </c>
      <c r="E371" s="96" t="s">
        <v>63</v>
      </c>
    </row>
    <row r="372" spans="1:5" x14ac:dyDescent="0.25">
      <c r="A372" s="84">
        <v>45785</v>
      </c>
      <c r="B372" s="96">
        <v>513495.777</v>
      </c>
      <c r="C372" s="96">
        <v>4786386.2029999997</v>
      </c>
      <c r="D372" s="96">
        <v>56.58</v>
      </c>
      <c r="E372" s="96" t="s">
        <v>64</v>
      </c>
    </row>
    <row r="373" spans="1:5" x14ac:dyDescent="0.25">
      <c r="A373" s="84">
        <v>45785</v>
      </c>
      <c r="B373" s="96">
        <v>513491.951</v>
      </c>
      <c r="C373" s="96">
        <v>4786383.71</v>
      </c>
      <c r="D373" s="96">
        <v>61.481999999999999</v>
      </c>
      <c r="E373" s="96" t="s">
        <v>66</v>
      </c>
    </row>
    <row r="374" spans="1:5" x14ac:dyDescent="0.25">
      <c r="A374" s="84">
        <v>45785</v>
      </c>
      <c r="B374" s="96">
        <v>513492.02</v>
      </c>
      <c r="C374" s="96">
        <v>4786383.6859999998</v>
      </c>
      <c r="D374" s="96">
        <v>59.484000000000002</v>
      </c>
      <c r="E374" s="96" t="s">
        <v>67</v>
      </c>
    </row>
    <row r="375" spans="1:5" x14ac:dyDescent="0.25">
      <c r="A375" s="84">
        <v>45785</v>
      </c>
      <c r="B375" s="96">
        <v>513492.283</v>
      </c>
      <c r="C375" s="96">
        <v>4786384.125</v>
      </c>
      <c r="D375" s="96">
        <v>56.494</v>
      </c>
      <c r="E375" s="96" t="s">
        <v>68</v>
      </c>
    </row>
    <row r="376" spans="1:5" x14ac:dyDescent="0.25">
      <c r="A376" s="84">
        <v>45785</v>
      </c>
      <c r="B376" s="96">
        <v>513487.799</v>
      </c>
      <c r="C376" s="96">
        <v>4786375.6509999996</v>
      </c>
      <c r="D376" s="96">
        <v>60.911000000000001</v>
      </c>
      <c r="E376" s="96" t="s">
        <v>70</v>
      </c>
    </row>
    <row r="377" spans="1:5" x14ac:dyDescent="0.25">
      <c r="A377" s="84">
        <v>45785</v>
      </c>
      <c r="B377" s="96">
        <v>513488.16600000003</v>
      </c>
      <c r="C377" s="96">
        <v>4786375.625</v>
      </c>
      <c r="D377" s="96">
        <v>59.326999999999998</v>
      </c>
      <c r="E377" s="96" t="s">
        <v>71</v>
      </c>
    </row>
    <row r="378" spans="1:5" x14ac:dyDescent="0.25">
      <c r="A378" s="84">
        <v>45785</v>
      </c>
      <c r="B378" s="96">
        <v>513484.61499999999</v>
      </c>
      <c r="C378" s="96">
        <v>4786368.818</v>
      </c>
      <c r="D378" s="96">
        <v>60.353000000000002</v>
      </c>
      <c r="E378" s="96" t="s">
        <v>72</v>
      </c>
    </row>
    <row r="379" spans="1:5" x14ac:dyDescent="0.25">
      <c r="A379" s="84">
        <v>45785</v>
      </c>
      <c r="B379" s="96">
        <v>513484.728</v>
      </c>
      <c r="C379" s="96">
        <v>4786368.7359999996</v>
      </c>
      <c r="D379" s="96">
        <v>59.372999999999998</v>
      </c>
      <c r="E379" s="96" t="s">
        <v>73</v>
      </c>
    </row>
    <row r="380" spans="1:5" x14ac:dyDescent="0.25">
      <c r="A380" s="84">
        <v>45785</v>
      </c>
      <c r="B380" s="96">
        <v>513484.75199999998</v>
      </c>
      <c r="C380" s="96">
        <v>4786368.7419999996</v>
      </c>
      <c r="D380" s="96">
        <v>56.354999999999997</v>
      </c>
      <c r="E380" s="96" t="s">
        <v>74</v>
      </c>
    </row>
    <row r="381" spans="1:5" x14ac:dyDescent="0.25">
      <c r="A381" s="84">
        <v>45785</v>
      </c>
      <c r="B381" s="96">
        <v>513484.82299999997</v>
      </c>
      <c r="C381" s="96">
        <v>4786368.9390000002</v>
      </c>
      <c r="D381" s="96">
        <v>53.369</v>
      </c>
      <c r="E381" s="96" t="s">
        <v>75</v>
      </c>
    </row>
    <row r="382" spans="1:5" x14ac:dyDescent="0.25">
      <c r="A382" s="84">
        <v>45785</v>
      </c>
      <c r="B382" s="96">
        <v>513480.11200000002</v>
      </c>
      <c r="C382" s="96">
        <v>4786359.8159999996</v>
      </c>
      <c r="D382" s="96">
        <v>59.851999999999997</v>
      </c>
      <c r="E382" s="96" t="s">
        <v>76</v>
      </c>
    </row>
    <row r="383" spans="1:5" x14ac:dyDescent="0.25">
      <c r="A383" s="84">
        <v>45785</v>
      </c>
      <c r="B383" s="96">
        <v>513480.48599999998</v>
      </c>
      <c r="C383" s="96">
        <v>4786360.1349999998</v>
      </c>
      <c r="D383" s="96">
        <v>56.338000000000001</v>
      </c>
      <c r="E383" s="96" t="s">
        <v>77</v>
      </c>
    </row>
    <row r="384" spans="1:5" x14ac:dyDescent="0.25">
      <c r="A384" s="84">
        <v>45785</v>
      </c>
      <c r="B384" s="96">
        <v>513474.54</v>
      </c>
      <c r="C384" s="96">
        <v>4786353.87</v>
      </c>
      <c r="D384" s="96">
        <v>59.293999999999997</v>
      </c>
      <c r="E384" s="96" t="s">
        <v>79</v>
      </c>
    </row>
    <row r="385" spans="1:5" x14ac:dyDescent="0.25">
      <c r="A385" s="84">
        <v>45785</v>
      </c>
      <c r="B385" s="96">
        <v>513474.65600000002</v>
      </c>
      <c r="C385" s="96">
        <v>4786353.7690000003</v>
      </c>
      <c r="D385" s="96">
        <v>56.320999999999998</v>
      </c>
      <c r="E385" s="96" t="s">
        <v>80</v>
      </c>
    </row>
    <row r="386" spans="1:5" x14ac:dyDescent="0.25">
      <c r="A386" s="84">
        <v>45789</v>
      </c>
      <c r="B386" s="96">
        <v>513495.201</v>
      </c>
      <c r="C386" s="96">
        <v>4786386.5470000003</v>
      </c>
      <c r="D386" s="96">
        <v>61.189</v>
      </c>
      <c r="E386" s="96" t="s">
        <v>62</v>
      </c>
    </row>
    <row r="387" spans="1:5" x14ac:dyDescent="0.25">
      <c r="A387" s="84">
        <v>45789</v>
      </c>
      <c r="B387" s="96">
        <v>513495.147</v>
      </c>
      <c r="C387" s="96">
        <v>4786386.3789999997</v>
      </c>
      <c r="D387" s="96">
        <v>59.658999999999999</v>
      </c>
      <c r="E387" s="96" t="s">
        <v>63</v>
      </c>
    </row>
    <row r="388" spans="1:5" x14ac:dyDescent="0.25">
      <c r="A388" s="84">
        <v>45789</v>
      </c>
      <c r="B388" s="96">
        <v>513495.77600000001</v>
      </c>
      <c r="C388" s="96">
        <v>4786386.2050000001</v>
      </c>
      <c r="D388" s="96">
        <v>56.581000000000003</v>
      </c>
      <c r="E388" s="96" t="s">
        <v>64</v>
      </c>
    </row>
    <row r="389" spans="1:5" x14ac:dyDescent="0.25">
      <c r="A389" s="84">
        <v>45789</v>
      </c>
      <c r="B389" s="96">
        <v>513491.951</v>
      </c>
      <c r="C389" s="96">
        <v>4786383.7110000001</v>
      </c>
      <c r="D389" s="96">
        <v>61.482999999999997</v>
      </c>
      <c r="E389" s="96" t="s">
        <v>66</v>
      </c>
    </row>
    <row r="390" spans="1:5" x14ac:dyDescent="0.25">
      <c r="A390" s="84">
        <v>45789</v>
      </c>
      <c r="B390" s="96">
        <v>513492.01899999997</v>
      </c>
      <c r="C390" s="96">
        <v>4786383.6869999999</v>
      </c>
      <c r="D390" s="96">
        <v>59.484999999999999</v>
      </c>
      <c r="E390" s="96" t="s">
        <v>67</v>
      </c>
    </row>
    <row r="391" spans="1:5" x14ac:dyDescent="0.25">
      <c r="A391" s="84">
        <v>45789</v>
      </c>
      <c r="B391" s="96">
        <v>513492.28399999999</v>
      </c>
      <c r="C391" s="96">
        <v>4786384.125</v>
      </c>
      <c r="D391" s="96">
        <v>56.494</v>
      </c>
      <c r="E391" s="96" t="s">
        <v>68</v>
      </c>
    </row>
    <row r="392" spans="1:5" x14ac:dyDescent="0.25">
      <c r="A392" s="84">
        <v>45789</v>
      </c>
      <c r="B392" s="96">
        <v>513487.799</v>
      </c>
      <c r="C392" s="96">
        <v>4786375.6519999998</v>
      </c>
      <c r="D392" s="96">
        <v>60.911000000000001</v>
      </c>
      <c r="E392" s="96" t="s">
        <v>70</v>
      </c>
    </row>
    <row r="393" spans="1:5" x14ac:dyDescent="0.25">
      <c r="A393" s="84">
        <v>45789</v>
      </c>
      <c r="B393" s="96">
        <v>513488.16600000003</v>
      </c>
      <c r="C393" s="96">
        <v>4786375.625</v>
      </c>
      <c r="D393" s="96">
        <v>59.328000000000003</v>
      </c>
      <c r="E393" s="96" t="s">
        <v>71</v>
      </c>
    </row>
    <row r="394" spans="1:5" x14ac:dyDescent="0.25">
      <c r="A394" s="84">
        <v>45789</v>
      </c>
      <c r="B394" s="96">
        <v>513484.61300000001</v>
      </c>
      <c r="C394" s="96">
        <v>4786368.8190000001</v>
      </c>
      <c r="D394" s="96">
        <v>60.353000000000002</v>
      </c>
      <c r="E394" s="96" t="s">
        <v>72</v>
      </c>
    </row>
    <row r="395" spans="1:5" x14ac:dyDescent="0.25">
      <c r="A395" s="84">
        <v>45789</v>
      </c>
      <c r="B395" s="96">
        <v>513484.72700000001</v>
      </c>
      <c r="C395" s="96">
        <v>4786368.7369999997</v>
      </c>
      <c r="D395" s="96">
        <v>59.372999999999998</v>
      </c>
      <c r="E395" s="96" t="s">
        <v>73</v>
      </c>
    </row>
    <row r="396" spans="1:5" x14ac:dyDescent="0.25">
      <c r="A396" s="84">
        <v>45789</v>
      </c>
      <c r="B396" s="96">
        <v>513484.75199999998</v>
      </c>
      <c r="C396" s="96">
        <v>4786368.7429999998</v>
      </c>
      <c r="D396" s="96">
        <v>56.354999999999997</v>
      </c>
      <c r="E396" s="96" t="s">
        <v>74</v>
      </c>
    </row>
    <row r="397" spans="1:5" x14ac:dyDescent="0.25">
      <c r="A397" s="84">
        <v>45789</v>
      </c>
      <c r="B397" s="96">
        <v>513484.82299999997</v>
      </c>
      <c r="C397" s="96">
        <v>4786368.9400000004</v>
      </c>
      <c r="D397" s="96">
        <v>53.369</v>
      </c>
      <c r="E397" s="96" t="s">
        <v>75</v>
      </c>
    </row>
    <row r="398" spans="1:5" x14ac:dyDescent="0.25">
      <c r="A398" s="84">
        <v>45789</v>
      </c>
      <c r="B398" s="96">
        <v>513480.11200000002</v>
      </c>
      <c r="C398" s="96">
        <v>4786359.8159999996</v>
      </c>
      <c r="D398" s="96">
        <v>59.851999999999997</v>
      </c>
      <c r="E398" s="96" t="s">
        <v>76</v>
      </c>
    </row>
    <row r="399" spans="1:5" x14ac:dyDescent="0.25">
      <c r="A399" s="84">
        <v>45789</v>
      </c>
      <c r="B399" s="96">
        <v>513480.48599999998</v>
      </c>
      <c r="C399" s="96">
        <v>4786360.1349999998</v>
      </c>
      <c r="D399" s="96">
        <v>56.338000000000001</v>
      </c>
      <c r="E399" s="96" t="s">
        <v>77</v>
      </c>
    </row>
    <row r="400" spans="1:5" x14ac:dyDescent="0.25">
      <c r="A400" s="84">
        <v>45789</v>
      </c>
      <c r="B400" s="96">
        <v>513474.54</v>
      </c>
      <c r="C400" s="96">
        <v>4786353.8710000003</v>
      </c>
      <c r="D400" s="96">
        <v>59.293999999999997</v>
      </c>
      <c r="E400" s="96" t="s">
        <v>79</v>
      </c>
    </row>
    <row r="401" spans="1:5" x14ac:dyDescent="0.25">
      <c r="A401" s="84">
        <v>45789</v>
      </c>
      <c r="B401" s="96">
        <v>513474.65600000002</v>
      </c>
      <c r="C401" s="96">
        <v>4786353.7690000003</v>
      </c>
      <c r="D401" s="96">
        <v>56.320999999999998</v>
      </c>
      <c r="E401" s="96" t="s">
        <v>80</v>
      </c>
    </row>
    <row r="402" spans="1:5" x14ac:dyDescent="0.25">
      <c r="A402" s="84">
        <v>45790</v>
      </c>
      <c r="B402" s="96">
        <v>513495.201</v>
      </c>
      <c r="C402" s="96">
        <v>4786386.5449999999</v>
      </c>
      <c r="D402" s="96">
        <v>61.189</v>
      </c>
      <c r="E402" s="96" t="s">
        <v>62</v>
      </c>
    </row>
    <row r="403" spans="1:5" x14ac:dyDescent="0.25">
      <c r="A403" s="84">
        <v>45790</v>
      </c>
      <c r="B403" s="96">
        <v>513495.147</v>
      </c>
      <c r="C403" s="96">
        <v>4786386.3789999997</v>
      </c>
      <c r="D403" s="96">
        <v>59.66</v>
      </c>
      <c r="E403" s="96" t="s">
        <v>63</v>
      </c>
    </row>
    <row r="404" spans="1:5" x14ac:dyDescent="0.25">
      <c r="A404" s="84">
        <v>45790</v>
      </c>
      <c r="B404" s="96">
        <v>513495.77600000001</v>
      </c>
      <c r="C404" s="96">
        <v>4786386.2029999997</v>
      </c>
      <c r="D404" s="96">
        <v>56.582000000000001</v>
      </c>
      <c r="E404" s="96" t="s">
        <v>64</v>
      </c>
    </row>
    <row r="405" spans="1:5" x14ac:dyDescent="0.25">
      <c r="A405" s="84">
        <v>45790</v>
      </c>
      <c r="B405" s="96">
        <v>513491.951</v>
      </c>
      <c r="C405" s="96">
        <v>4786383.71</v>
      </c>
      <c r="D405" s="96">
        <v>61.482999999999997</v>
      </c>
      <c r="E405" s="96" t="s">
        <v>66</v>
      </c>
    </row>
    <row r="406" spans="1:5" x14ac:dyDescent="0.25">
      <c r="A406" s="84">
        <v>45790</v>
      </c>
      <c r="B406" s="96">
        <v>513492.01899999997</v>
      </c>
      <c r="C406" s="96">
        <v>4786383.6859999998</v>
      </c>
      <c r="D406" s="96">
        <v>59.484999999999999</v>
      </c>
      <c r="E406" s="96" t="s">
        <v>67</v>
      </c>
    </row>
    <row r="407" spans="1:5" x14ac:dyDescent="0.25">
      <c r="A407" s="84">
        <v>45790</v>
      </c>
      <c r="B407" s="96">
        <v>513492.283</v>
      </c>
      <c r="C407" s="96">
        <v>4786384.125</v>
      </c>
      <c r="D407" s="96">
        <v>56.494</v>
      </c>
      <c r="E407" s="96" t="s">
        <v>68</v>
      </c>
    </row>
    <row r="408" spans="1:5" x14ac:dyDescent="0.25">
      <c r="A408" s="84">
        <v>45790</v>
      </c>
      <c r="B408" s="96">
        <v>513487.799</v>
      </c>
      <c r="C408" s="96">
        <v>4786375.6519999998</v>
      </c>
      <c r="D408" s="96">
        <v>60.912999999999997</v>
      </c>
      <c r="E408" s="96" t="s">
        <v>70</v>
      </c>
    </row>
    <row r="409" spans="1:5" x14ac:dyDescent="0.25">
      <c r="A409" s="84">
        <v>45790</v>
      </c>
      <c r="B409" s="96">
        <v>513488.16600000003</v>
      </c>
      <c r="C409" s="96">
        <v>4786375.6239999998</v>
      </c>
      <c r="D409" s="96">
        <v>59.329000000000001</v>
      </c>
      <c r="E409" s="96" t="s">
        <v>71</v>
      </c>
    </row>
    <row r="410" spans="1:5" x14ac:dyDescent="0.25">
      <c r="A410" s="84">
        <v>45790</v>
      </c>
      <c r="B410" s="96">
        <v>513484.61499999999</v>
      </c>
      <c r="C410" s="96">
        <v>4786368.818</v>
      </c>
      <c r="D410" s="96">
        <v>60.353999999999999</v>
      </c>
      <c r="E410" s="96" t="s">
        <v>72</v>
      </c>
    </row>
    <row r="411" spans="1:5" x14ac:dyDescent="0.25">
      <c r="A411" s="84">
        <v>45790</v>
      </c>
      <c r="B411" s="96">
        <v>513484.72700000001</v>
      </c>
      <c r="C411" s="96">
        <v>4786368.7359999996</v>
      </c>
      <c r="D411" s="96">
        <v>59.375</v>
      </c>
      <c r="E411" s="96" t="s">
        <v>73</v>
      </c>
    </row>
    <row r="412" spans="1:5" x14ac:dyDescent="0.25">
      <c r="A412" s="84">
        <v>45790</v>
      </c>
      <c r="B412" s="96">
        <v>513484.75199999998</v>
      </c>
      <c r="C412" s="96">
        <v>4786368.7419999996</v>
      </c>
      <c r="D412" s="96">
        <v>56.356000000000002</v>
      </c>
      <c r="E412" s="96" t="s">
        <v>74</v>
      </c>
    </row>
    <row r="413" spans="1:5" x14ac:dyDescent="0.25">
      <c r="A413" s="84">
        <v>45790</v>
      </c>
      <c r="B413" s="96">
        <v>513484.82400000002</v>
      </c>
      <c r="C413" s="96">
        <v>4786368.9390000002</v>
      </c>
      <c r="D413" s="96">
        <v>53.37</v>
      </c>
      <c r="E413" s="96" t="s">
        <v>75</v>
      </c>
    </row>
    <row r="414" spans="1:5" x14ac:dyDescent="0.25">
      <c r="A414" s="84">
        <v>45790</v>
      </c>
      <c r="B414" s="96">
        <v>513480.11200000002</v>
      </c>
      <c r="C414" s="96">
        <v>4786359.8150000004</v>
      </c>
      <c r="D414" s="96">
        <v>59.851999999999997</v>
      </c>
      <c r="E414" s="96" t="s">
        <v>76</v>
      </c>
    </row>
    <row r="415" spans="1:5" x14ac:dyDescent="0.25">
      <c r="A415" s="84">
        <v>45790</v>
      </c>
      <c r="B415" s="96">
        <v>513480.48499999999</v>
      </c>
      <c r="C415" s="96">
        <v>4786360.1349999998</v>
      </c>
      <c r="D415" s="96">
        <v>56.338999999999999</v>
      </c>
      <c r="E415" s="96" t="s">
        <v>77</v>
      </c>
    </row>
    <row r="416" spans="1:5" x14ac:dyDescent="0.25">
      <c r="A416" s="84">
        <v>45790</v>
      </c>
      <c r="B416" s="96">
        <v>513474.54</v>
      </c>
      <c r="C416" s="96">
        <v>4786353.8710000003</v>
      </c>
      <c r="D416" s="96">
        <v>59.295000000000002</v>
      </c>
      <c r="E416" s="96" t="s">
        <v>79</v>
      </c>
    </row>
    <row r="417" spans="1:5" x14ac:dyDescent="0.25">
      <c r="A417" s="84">
        <v>45790</v>
      </c>
      <c r="B417" s="96">
        <v>513474.65600000002</v>
      </c>
      <c r="C417" s="96">
        <v>4786353.7690000003</v>
      </c>
      <c r="D417" s="96">
        <v>56.320999999999998</v>
      </c>
      <c r="E417" s="96" t="s">
        <v>80</v>
      </c>
    </row>
    <row r="418" spans="1:5" x14ac:dyDescent="0.25">
      <c r="A418" s="84">
        <v>45791</v>
      </c>
      <c r="B418" s="96">
        <v>513495.20199999999</v>
      </c>
      <c r="C418" s="96">
        <v>4786386.5460000001</v>
      </c>
      <c r="D418" s="96">
        <v>61.189</v>
      </c>
      <c r="E418" s="96" t="s">
        <v>62</v>
      </c>
    </row>
    <row r="419" spans="1:5" x14ac:dyDescent="0.25">
      <c r="A419" s="84">
        <v>45791</v>
      </c>
      <c r="B419" s="96">
        <v>513495.14799999999</v>
      </c>
      <c r="C419" s="96">
        <v>4786386.38</v>
      </c>
      <c r="D419" s="96">
        <v>59.66</v>
      </c>
      <c r="E419" s="96" t="s">
        <v>63</v>
      </c>
    </row>
    <row r="420" spans="1:5" x14ac:dyDescent="0.25">
      <c r="A420" s="84">
        <v>45791</v>
      </c>
      <c r="B420" s="96">
        <v>513495.777</v>
      </c>
      <c r="C420" s="96">
        <v>4786386.2019999996</v>
      </c>
      <c r="D420" s="96">
        <v>56.582000000000001</v>
      </c>
      <c r="E420" s="96" t="s">
        <v>64</v>
      </c>
    </row>
    <row r="421" spans="1:5" x14ac:dyDescent="0.25">
      <c r="A421" s="84">
        <v>45791</v>
      </c>
      <c r="B421" s="96">
        <v>513491.95199999999</v>
      </c>
      <c r="C421" s="96">
        <v>4786383.7079999996</v>
      </c>
      <c r="D421" s="96">
        <v>61.482999999999997</v>
      </c>
      <c r="E421" s="96" t="s">
        <v>66</v>
      </c>
    </row>
    <row r="422" spans="1:5" x14ac:dyDescent="0.25">
      <c r="A422" s="84">
        <v>45791</v>
      </c>
      <c r="B422" s="96">
        <v>513492.02100000001</v>
      </c>
      <c r="C422" s="96">
        <v>4786383.6849999996</v>
      </c>
      <c r="D422" s="96">
        <v>59.484999999999999</v>
      </c>
      <c r="E422" s="96" t="s">
        <v>67</v>
      </c>
    </row>
    <row r="423" spans="1:5" x14ac:dyDescent="0.25">
      <c r="A423" s="84">
        <v>45791</v>
      </c>
      <c r="B423" s="96">
        <v>513492.28499999997</v>
      </c>
      <c r="C423" s="96">
        <v>4786384.1229999997</v>
      </c>
      <c r="D423" s="96">
        <v>56.494</v>
      </c>
      <c r="E423" s="96" t="s">
        <v>68</v>
      </c>
    </row>
    <row r="424" spans="1:5" x14ac:dyDescent="0.25">
      <c r="A424" s="84">
        <v>45791</v>
      </c>
      <c r="B424" s="96">
        <v>513487.8</v>
      </c>
      <c r="C424" s="96">
        <v>4786375.6519999998</v>
      </c>
      <c r="D424" s="96">
        <v>60.912999999999997</v>
      </c>
      <c r="E424" s="96" t="s">
        <v>70</v>
      </c>
    </row>
    <row r="425" spans="1:5" x14ac:dyDescent="0.25">
      <c r="A425" s="84">
        <v>45791</v>
      </c>
      <c r="B425" s="96">
        <v>513488.16800000001</v>
      </c>
      <c r="C425" s="96">
        <v>4786375.6239999998</v>
      </c>
      <c r="D425" s="96">
        <v>59.329000000000001</v>
      </c>
      <c r="E425" s="96" t="s">
        <v>71</v>
      </c>
    </row>
    <row r="426" spans="1:5" x14ac:dyDescent="0.25">
      <c r="A426" s="84">
        <v>45791</v>
      </c>
      <c r="B426" s="96">
        <v>513484.61499999999</v>
      </c>
      <c r="C426" s="96">
        <v>4786368.818</v>
      </c>
      <c r="D426" s="96">
        <v>60.353999999999999</v>
      </c>
      <c r="E426" s="96" t="s">
        <v>72</v>
      </c>
    </row>
    <row r="427" spans="1:5" x14ac:dyDescent="0.25">
      <c r="A427" s="84">
        <v>45791</v>
      </c>
      <c r="B427" s="96">
        <v>513484.72899999999</v>
      </c>
      <c r="C427" s="96">
        <v>4786368.7369999997</v>
      </c>
      <c r="D427" s="96">
        <v>59.374000000000002</v>
      </c>
      <c r="E427" s="96" t="s">
        <v>73</v>
      </c>
    </row>
    <row r="428" spans="1:5" x14ac:dyDescent="0.25">
      <c r="A428" s="84">
        <v>45791</v>
      </c>
      <c r="B428" s="96">
        <v>513484.75400000002</v>
      </c>
      <c r="C428" s="96">
        <v>4786368.7419999996</v>
      </c>
      <c r="D428" s="96">
        <v>56.356000000000002</v>
      </c>
      <c r="E428" s="96" t="s">
        <v>74</v>
      </c>
    </row>
    <row r="429" spans="1:5" x14ac:dyDescent="0.25">
      <c r="A429" s="84">
        <v>45791</v>
      </c>
      <c r="B429" s="96">
        <v>513484.82500000001</v>
      </c>
      <c r="C429" s="96">
        <v>4786368.9400000004</v>
      </c>
      <c r="D429" s="96">
        <v>53.369</v>
      </c>
      <c r="E429" s="96" t="s">
        <v>75</v>
      </c>
    </row>
    <row r="430" spans="1:5" x14ac:dyDescent="0.25">
      <c r="A430" s="84">
        <v>45791</v>
      </c>
      <c r="B430" s="96">
        <v>513480.114</v>
      </c>
      <c r="C430" s="96">
        <v>4786359.8150000004</v>
      </c>
      <c r="D430" s="96">
        <v>59.851999999999997</v>
      </c>
      <c r="E430" s="96" t="s">
        <v>76</v>
      </c>
    </row>
    <row r="431" spans="1:5" x14ac:dyDescent="0.25">
      <c r="A431" s="84">
        <v>45791</v>
      </c>
      <c r="B431" s="96">
        <v>513480.48700000002</v>
      </c>
      <c r="C431" s="96">
        <v>4786360.1339999996</v>
      </c>
      <c r="D431" s="96">
        <v>56.338999999999999</v>
      </c>
      <c r="E431" s="96" t="s">
        <v>77</v>
      </c>
    </row>
    <row r="432" spans="1:5" x14ac:dyDescent="0.25">
      <c r="A432" s="84">
        <v>45791</v>
      </c>
      <c r="B432" s="96">
        <v>513474.54100000003</v>
      </c>
      <c r="C432" s="96">
        <v>4786353.8710000003</v>
      </c>
      <c r="D432" s="96">
        <v>59.295000000000002</v>
      </c>
      <c r="E432" s="96" t="s">
        <v>79</v>
      </c>
    </row>
    <row r="433" spans="1:5" x14ac:dyDescent="0.25">
      <c r="A433" s="84">
        <v>45791</v>
      </c>
      <c r="B433" s="96">
        <v>513474.65700000001</v>
      </c>
      <c r="C433" s="96">
        <v>4786353.7680000002</v>
      </c>
      <c r="D433" s="96">
        <v>56.322000000000003</v>
      </c>
      <c r="E433" s="96" t="s">
        <v>80</v>
      </c>
    </row>
    <row r="434" spans="1:5" x14ac:dyDescent="0.25">
      <c r="A434" s="84">
        <v>45792</v>
      </c>
      <c r="B434" s="96">
        <v>513495.20199999999</v>
      </c>
      <c r="C434" s="96">
        <v>4786386.5449999999</v>
      </c>
      <c r="D434" s="96">
        <v>61.189</v>
      </c>
      <c r="E434" s="96" t="s">
        <v>62</v>
      </c>
    </row>
    <row r="435" spans="1:5" x14ac:dyDescent="0.25">
      <c r="A435" s="84">
        <v>45792</v>
      </c>
      <c r="B435" s="96">
        <v>513495.14799999999</v>
      </c>
      <c r="C435" s="96">
        <v>4786386.38</v>
      </c>
      <c r="D435" s="96">
        <v>59.661000000000001</v>
      </c>
      <c r="E435" s="96" t="s">
        <v>63</v>
      </c>
    </row>
    <row r="436" spans="1:5" x14ac:dyDescent="0.25">
      <c r="A436" s="84">
        <v>45792</v>
      </c>
      <c r="B436" s="96">
        <v>513495.77799999999</v>
      </c>
      <c r="C436" s="96">
        <v>4786386.2029999997</v>
      </c>
      <c r="D436" s="96">
        <v>56.582000000000001</v>
      </c>
      <c r="E436" s="96" t="s">
        <v>64</v>
      </c>
    </row>
    <row r="437" spans="1:5" x14ac:dyDescent="0.25">
      <c r="A437" s="84">
        <v>45792</v>
      </c>
      <c r="B437" s="96">
        <v>513491.95299999998</v>
      </c>
      <c r="C437" s="96">
        <v>4786383.7079999996</v>
      </c>
      <c r="D437" s="96">
        <v>61.482999999999997</v>
      </c>
      <c r="E437" s="96" t="s">
        <v>66</v>
      </c>
    </row>
    <row r="438" spans="1:5" x14ac:dyDescent="0.25">
      <c r="A438" s="84">
        <v>45792</v>
      </c>
      <c r="B438" s="96">
        <v>513492.02100000001</v>
      </c>
      <c r="C438" s="96">
        <v>4786383.6849999996</v>
      </c>
      <c r="D438" s="96">
        <v>59.484999999999999</v>
      </c>
      <c r="E438" s="96" t="s">
        <v>67</v>
      </c>
    </row>
    <row r="439" spans="1:5" x14ac:dyDescent="0.25">
      <c r="A439" s="84">
        <v>45792</v>
      </c>
      <c r="B439" s="96">
        <v>513492.28499999997</v>
      </c>
      <c r="C439" s="96">
        <v>4786384.1229999997</v>
      </c>
      <c r="D439" s="96">
        <v>56.494999999999997</v>
      </c>
      <c r="E439" s="96" t="s">
        <v>68</v>
      </c>
    </row>
    <row r="440" spans="1:5" x14ac:dyDescent="0.25">
      <c r="A440" s="84">
        <v>45792</v>
      </c>
      <c r="B440" s="96">
        <v>513487.80099999998</v>
      </c>
      <c r="C440" s="96">
        <v>4786375.6519999998</v>
      </c>
      <c r="D440" s="96">
        <v>60.912999999999997</v>
      </c>
      <c r="E440" s="96" t="s">
        <v>70</v>
      </c>
    </row>
    <row r="441" spans="1:5" x14ac:dyDescent="0.25">
      <c r="A441" s="84">
        <v>45792</v>
      </c>
      <c r="B441" s="96">
        <v>513488.16800000001</v>
      </c>
      <c r="C441" s="96">
        <v>4786375.625</v>
      </c>
      <c r="D441" s="96">
        <v>59.329000000000001</v>
      </c>
      <c r="E441" s="96" t="s">
        <v>71</v>
      </c>
    </row>
    <row r="442" spans="1:5" x14ac:dyDescent="0.25">
      <c r="A442" s="84">
        <v>45792</v>
      </c>
      <c r="B442" s="96">
        <v>513484.61599999998</v>
      </c>
      <c r="C442" s="96">
        <v>4786368.818</v>
      </c>
      <c r="D442" s="96">
        <v>60.353999999999999</v>
      </c>
      <c r="E442" s="96" t="s">
        <v>72</v>
      </c>
    </row>
    <row r="443" spans="1:5" x14ac:dyDescent="0.25">
      <c r="A443" s="84">
        <v>45792</v>
      </c>
      <c r="B443" s="96">
        <v>513484.72899999999</v>
      </c>
      <c r="C443" s="96">
        <v>4786368.7369999997</v>
      </c>
      <c r="D443" s="96">
        <v>59.375</v>
      </c>
      <c r="E443" s="96" t="s">
        <v>73</v>
      </c>
    </row>
    <row r="444" spans="1:5" x14ac:dyDescent="0.25">
      <c r="A444" s="84">
        <v>45792</v>
      </c>
      <c r="B444" s="96">
        <v>513484.75400000002</v>
      </c>
      <c r="C444" s="96">
        <v>4786368.7429999998</v>
      </c>
      <c r="D444" s="96">
        <v>56.356000000000002</v>
      </c>
      <c r="E444" s="96" t="s">
        <v>74</v>
      </c>
    </row>
    <row r="445" spans="1:5" x14ac:dyDescent="0.25">
      <c r="A445" s="84">
        <v>45792</v>
      </c>
      <c r="B445" s="96">
        <v>513484.82500000001</v>
      </c>
      <c r="C445" s="96">
        <v>4786368.9400000004</v>
      </c>
      <c r="D445" s="96">
        <v>53.37</v>
      </c>
      <c r="E445" s="96" t="s">
        <v>75</v>
      </c>
    </row>
    <row r="446" spans="1:5" x14ac:dyDescent="0.25">
      <c r="A446" s="84">
        <v>45792</v>
      </c>
      <c r="B446" s="96">
        <v>513480.114</v>
      </c>
      <c r="C446" s="96">
        <v>4786359.8150000004</v>
      </c>
      <c r="D446" s="96">
        <v>59.853000000000002</v>
      </c>
      <c r="E446" s="96" t="s">
        <v>76</v>
      </c>
    </row>
    <row r="447" spans="1:5" x14ac:dyDescent="0.25">
      <c r="A447" s="84">
        <v>45792</v>
      </c>
      <c r="B447" s="96">
        <v>513474.54100000003</v>
      </c>
      <c r="C447" s="96">
        <v>4786353.87</v>
      </c>
      <c r="D447" s="96">
        <v>59.295000000000002</v>
      </c>
      <c r="E447" s="96" t="s">
        <v>79</v>
      </c>
    </row>
    <row r="448" spans="1:5" x14ac:dyDescent="0.25">
      <c r="A448" s="84">
        <v>45792</v>
      </c>
      <c r="B448" s="96">
        <v>513474.65700000001</v>
      </c>
      <c r="C448" s="96">
        <v>4786353.7690000003</v>
      </c>
      <c r="D448" s="96">
        <v>56.322000000000003</v>
      </c>
      <c r="E448" s="96" t="s">
        <v>80</v>
      </c>
    </row>
    <row r="449" spans="1:5" x14ac:dyDescent="0.25">
      <c r="A449" s="84">
        <v>45796</v>
      </c>
      <c r="B449" s="96">
        <v>513495.20199999999</v>
      </c>
      <c r="C449" s="96">
        <v>4786386.5449999999</v>
      </c>
      <c r="D449" s="96">
        <v>61.192</v>
      </c>
      <c r="E449" s="96" t="s">
        <v>62</v>
      </c>
    </row>
    <row r="450" spans="1:5" x14ac:dyDescent="0.25">
      <c r="A450" s="84">
        <v>45796</v>
      </c>
      <c r="B450" s="96">
        <v>513495.14799999999</v>
      </c>
      <c r="C450" s="96">
        <v>4786386.38</v>
      </c>
      <c r="D450" s="96">
        <v>59.661999999999999</v>
      </c>
      <c r="E450" s="96" t="s">
        <v>63</v>
      </c>
    </row>
    <row r="451" spans="1:5" x14ac:dyDescent="0.25">
      <c r="A451" s="84">
        <v>45796</v>
      </c>
      <c r="B451" s="96">
        <v>513495.77799999999</v>
      </c>
      <c r="C451" s="96">
        <v>4786386.2019999996</v>
      </c>
      <c r="D451" s="96">
        <v>56.584000000000003</v>
      </c>
      <c r="E451" s="96" t="s">
        <v>64</v>
      </c>
    </row>
    <row r="452" spans="1:5" x14ac:dyDescent="0.25">
      <c r="A452" s="84">
        <v>45796</v>
      </c>
      <c r="B452" s="96">
        <v>513491.95199999999</v>
      </c>
      <c r="C452" s="96">
        <v>4786383.7079999996</v>
      </c>
      <c r="D452" s="96">
        <v>61.484999999999999</v>
      </c>
      <c r="E452" s="96" t="s">
        <v>66</v>
      </c>
    </row>
    <row r="453" spans="1:5" x14ac:dyDescent="0.25">
      <c r="A453" s="84">
        <v>45796</v>
      </c>
      <c r="B453" s="96">
        <v>513492.022</v>
      </c>
      <c r="C453" s="96">
        <v>4786383.6849999996</v>
      </c>
      <c r="D453" s="96">
        <v>59.487000000000002</v>
      </c>
      <c r="E453" s="96" t="s">
        <v>67</v>
      </c>
    </row>
    <row r="454" spans="1:5" x14ac:dyDescent="0.25">
      <c r="A454" s="84">
        <v>45796</v>
      </c>
      <c r="B454" s="96">
        <v>513492.28499999997</v>
      </c>
      <c r="C454" s="96">
        <v>4786384.1239999998</v>
      </c>
      <c r="D454" s="96">
        <v>56.496000000000002</v>
      </c>
      <c r="E454" s="96" t="s">
        <v>68</v>
      </c>
    </row>
    <row r="455" spans="1:5" x14ac:dyDescent="0.25">
      <c r="A455" s="84">
        <v>45796</v>
      </c>
      <c r="B455" s="96">
        <v>513487.80099999998</v>
      </c>
      <c r="C455" s="96">
        <v>4786375.6519999998</v>
      </c>
      <c r="D455" s="96">
        <v>60.914000000000001</v>
      </c>
      <c r="E455" s="96" t="s">
        <v>70</v>
      </c>
    </row>
    <row r="456" spans="1:5" x14ac:dyDescent="0.25">
      <c r="A456" s="84">
        <v>45796</v>
      </c>
      <c r="B456" s="96">
        <v>513488.16800000001</v>
      </c>
      <c r="C456" s="96">
        <v>4786375.6239999998</v>
      </c>
      <c r="D456" s="96">
        <v>59.331000000000003</v>
      </c>
      <c r="E456" s="96" t="s">
        <v>71</v>
      </c>
    </row>
    <row r="457" spans="1:5" x14ac:dyDescent="0.25">
      <c r="A457" s="84">
        <v>45796</v>
      </c>
      <c r="B457" s="96">
        <v>513484.61599999998</v>
      </c>
      <c r="C457" s="96">
        <v>4786368.818</v>
      </c>
      <c r="D457" s="96">
        <v>60.356000000000002</v>
      </c>
      <c r="E457" s="96" t="s">
        <v>72</v>
      </c>
    </row>
    <row r="458" spans="1:5" x14ac:dyDescent="0.25">
      <c r="A458" s="84">
        <v>45796</v>
      </c>
      <c r="B458" s="96">
        <v>513484.72899999999</v>
      </c>
      <c r="C458" s="96">
        <v>4786368.7369999997</v>
      </c>
      <c r="D458" s="96">
        <v>59.375999999999998</v>
      </c>
      <c r="E458" s="96" t="s">
        <v>73</v>
      </c>
    </row>
    <row r="459" spans="1:5" x14ac:dyDescent="0.25">
      <c r="A459" s="84">
        <v>45796</v>
      </c>
      <c r="B459" s="96">
        <v>513484.75400000002</v>
      </c>
      <c r="C459" s="96">
        <v>4786368.7419999996</v>
      </c>
      <c r="D459" s="96">
        <v>56.356999999999999</v>
      </c>
      <c r="E459" s="96" t="s">
        <v>74</v>
      </c>
    </row>
    <row r="460" spans="1:5" x14ac:dyDescent="0.25">
      <c r="A460" s="84">
        <v>45796</v>
      </c>
      <c r="B460" s="96">
        <v>513484.82400000002</v>
      </c>
      <c r="C460" s="96">
        <v>4786368.9400000004</v>
      </c>
      <c r="D460" s="96">
        <v>53.371000000000002</v>
      </c>
      <c r="E460" s="96" t="s">
        <v>75</v>
      </c>
    </row>
    <row r="461" spans="1:5" x14ac:dyDescent="0.25">
      <c r="A461" s="84">
        <v>45796</v>
      </c>
      <c r="B461" s="96">
        <v>513480.114</v>
      </c>
      <c r="C461" s="96">
        <v>4786359.8150000004</v>
      </c>
      <c r="D461" s="96">
        <v>59.853999999999999</v>
      </c>
      <c r="E461" s="96" t="s">
        <v>76</v>
      </c>
    </row>
    <row r="462" spans="1:5" x14ac:dyDescent="0.25">
      <c r="A462" s="84">
        <v>45796</v>
      </c>
      <c r="B462" s="96">
        <v>513480.48700000002</v>
      </c>
      <c r="C462" s="96">
        <v>4786360.1339999996</v>
      </c>
      <c r="D462" s="96">
        <v>56.341000000000001</v>
      </c>
      <c r="E462" s="96" t="s">
        <v>77</v>
      </c>
    </row>
    <row r="463" spans="1:5" x14ac:dyDescent="0.25">
      <c r="A463" s="84">
        <v>45796</v>
      </c>
      <c r="B463" s="96">
        <v>513474.54100000003</v>
      </c>
      <c r="C463" s="96">
        <v>4786353.87</v>
      </c>
      <c r="D463" s="96">
        <v>59.295999999999999</v>
      </c>
      <c r="E463" s="96" t="s">
        <v>79</v>
      </c>
    </row>
    <row r="464" spans="1:5" x14ac:dyDescent="0.25">
      <c r="A464" s="84">
        <v>45796</v>
      </c>
      <c r="B464" s="96">
        <v>513474.65700000001</v>
      </c>
      <c r="C464" s="96">
        <v>4786353.7680000002</v>
      </c>
      <c r="D464" s="96">
        <v>56.323</v>
      </c>
      <c r="E464" s="96" t="s">
        <v>80</v>
      </c>
    </row>
    <row r="465" spans="1:5" x14ac:dyDescent="0.25">
      <c r="A465" s="84">
        <v>45799</v>
      </c>
      <c r="B465" s="96">
        <v>513495.20199999999</v>
      </c>
      <c r="C465" s="96">
        <v>4786386.5449999999</v>
      </c>
      <c r="D465" s="96">
        <v>61.19</v>
      </c>
      <c r="E465" s="96" t="s">
        <v>62</v>
      </c>
    </row>
    <row r="466" spans="1:5" x14ac:dyDescent="0.25">
      <c r="A466" s="84">
        <v>45799</v>
      </c>
      <c r="B466" s="96">
        <v>513495.14799999999</v>
      </c>
      <c r="C466" s="96">
        <v>4786386.3789999997</v>
      </c>
      <c r="D466" s="96">
        <v>59.661000000000001</v>
      </c>
      <c r="E466" s="96" t="s">
        <v>63</v>
      </c>
    </row>
    <row r="467" spans="1:5" x14ac:dyDescent="0.25">
      <c r="A467" s="84">
        <v>45799</v>
      </c>
      <c r="B467" s="96">
        <v>513495.77799999999</v>
      </c>
      <c r="C467" s="96">
        <v>4786386.2019999996</v>
      </c>
      <c r="D467" s="96">
        <v>56.582999999999998</v>
      </c>
      <c r="E467" s="96" t="s">
        <v>64</v>
      </c>
    </row>
    <row r="468" spans="1:5" x14ac:dyDescent="0.25">
      <c r="A468" s="84">
        <v>45799</v>
      </c>
      <c r="B468" s="96">
        <v>513491.95299999998</v>
      </c>
      <c r="C468" s="96">
        <v>4786383.7079999996</v>
      </c>
      <c r="D468" s="96">
        <v>61.484000000000002</v>
      </c>
      <c r="E468" s="96" t="s">
        <v>66</v>
      </c>
    </row>
    <row r="469" spans="1:5" x14ac:dyDescent="0.25">
      <c r="A469" s="84">
        <v>45799</v>
      </c>
      <c r="B469" s="96">
        <v>513492.02100000001</v>
      </c>
      <c r="C469" s="96">
        <v>4786383.6849999996</v>
      </c>
      <c r="D469" s="96">
        <v>59.485999999999997</v>
      </c>
      <c r="E469" s="96" t="s">
        <v>67</v>
      </c>
    </row>
    <row r="470" spans="1:5" x14ac:dyDescent="0.25">
      <c r="A470" s="84">
        <v>45799</v>
      </c>
      <c r="B470" s="96">
        <v>513492.28499999997</v>
      </c>
      <c r="C470" s="96">
        <v>4786384.1229999997</v>
      </c>
      <c r="D470" s="96">
        <v>56.494999999999997</v>
      </c>
      <c r="E470" s="96" t="s">
        <v>68</v>
      </c>
    </row>
    <row r="471" spans="1:5" x14ac:dyDescent="0.25">
      <c r="A471" s="84">
        <v>45799</v>
      </c>
      <c r="B471" s="96">
        <v>513487.80099999998</v>
      </c>
      <c r="C471" s="96">
        <v>4786375.6519999998</v>
      </c>
      <c r="D471" s="96">
        <v>60.912999999999997</v>
      </c>
      <c r="E471" s="96" t="s">
        <v>70</v>
      </c>
    </row>
    <row r="472" spans="1:5" x14ac:dyDescent="0.25">
      <c r="A472" s="84">
        <v>45799</v>
      </c>
      <c r="B472" s="96">
        <v>513488.16899999999</v>
      </c>
      <c r="C472" s="96">
        <v>4786375.625</v>
      </c>
      <c r="D472" s="96">
        <v>59.33</v>
      </c>
      <c r="E472" s="96" t="s">
        <v>71</v>
      </c>
    </row>
    <row r="473" spans="1:5" x14ac:dyDescent="0.25">
      <c r="A473" s="84">
        <v>45799</v>
      </c>
      <c r="B473" s="96">
        <v>513484.61499999999</v>
      </c>
      <c r="C473" s="96">
        <v>4786368.818</v>
      </c>
      <c r="D473" s="96">
        <v>60.354999999999997</v>
      </c>
      <c r="E473" s="96" t="s">
        <v>72</v>
      </c>
    </row>
    <row r="474" spans="1:5" x14ac:dyDescent="0.25">
      <c r="A474" s="84">
        <v>45799</v>
      </c>
      <c r="B474" s="96">
        <v>513484.72899999999</v>
      </c>
      <c r="C474" s="96">
        <v>4786368.7369999997</v>
      </c>
      <c r="D474" s="96">
        <v>59.375</v>
      </c>
      <c r="E474" s="96" t="s">
        <v>73</v>
      </c>
    </row>
    <row r="475" spans="1:5" x14ac:dyDescent="0.25">
      <c r="A475" s="84">
        <v>45799</v>
      </c>
      <c r="B475" s="96">
        <v>513484.75300000003</v>
      </c>
      <c r="C475" s="96">
        <v>4786368.7429999998</v>
      </c>
      <c r="D475" s="96">
        <v>56.356999999999999</v>
      </c>
      <c r="E475" s="96" t="s">
        <v>74</v>
      </c>
    </row>
    <row r="476" spans="1:5" x14ac:dyDescent="0.25">
      <c r="A476" s="84">
        <v>45799</v>
      </c>
      <c r="B476" s="96">
        <v>513484.82500000001</v>
      </c>
      <c r="C476" s="96">
        <v>4786368.9400000004</v>
      </c>
      <c r="D476" s="96">
        <v>53.37</v>
      </c>
      <c r="E476" s="96" t="s">
        <v>75</v>
      </c>
    </row>
    <row r="477" spans="1:5" x14ac:dyDescent="0.25">
      <c r="A477" s="84">
        <v>45799</v>
      </c>
      <c r="B477" s="96">
        <v>513480.114</v>
      </c>
      <c r="C477" s="96">
        <v>4786359.8150000004</v>
      </c>
      <c r="D477" s="96">
        <v>59.853000000000002</v>
      </c>
      <c r="E477" s="96" t="s">
        <v>76</v>
      </c>
    </row>
    <row r="478" spans="1:5" x14ac:dyDescent="0.25">
      <c r="A478" s="84">
        <v>45799</v>
      </c>
      <c r="B478" s="96">
        <v>513480.48700000002</v>
      </c>
      <c r="C478" s="96">
        <v>4786360.1349999998</v>
      </c>
      <c r="D478" s="96">
        <v>56.34</v>
      </c>
      <c r="E478" s="96" t="s">
        <v>77</v>
      </c>
    </row>
    <row r="479" spans="1:5" x14ac:dyDescent="0.25">
      <c r="A479" s="84">
        <v>45799</v>
      </c>
      <c r="B479" s="96">
        <v>513474.54200000002</v>
      </c>
      <c r="C479" s="96">
        <v>4786353.87</v>
      </c>
      <c r="D479" s="96">
        <v>59.295000000000002</v>
      </c>
      <c r="E479" s="96" t="s">
        <v>79</v>
      </c>
    </row>
    <row r="480" spans="1:5" x14ac:dyDescent="0.25">
      <c r="A480" s="84">
        <v>45799</v>
      </c>
      <c r="B480" s="96">
        <v>513474.658</v>
      </c>
      <c r="C480" s="96">
        <v>4786353.7680000002</v>
      </c>
      <c r="D480" s="96">
        <v>56.322000000000003</v>
      </c>
      <c r="E480" s="96" t="s">
        <v>80</v>
      </c>
    </row>
    <row r="481" spans="1:5" x14ac:dyDescent="0.25">
      <c r="A481" s="84">
        <v>45804</v>
      </c>
      <c r="B481" s="96">
        <v>513495.201</v>
      </c>
      <c r="C481" s="96">
        <v>4786386.5449999999</v>
      </c>
      <c r="D481" s="96">
        <v>61.189</v>
      </c>
      <c r="E481" s="96" t="s">
        <v>62</v>
      </c>
    </row>
    <row r="482" spans="1:5" x14ac:dyDescent="0.25">
      <c r="A482" s="84">
        <v>45804</v>
      </c>
      <c r="B482" s="96">
        <v>513495.14799999999</v>
      </c>
      <c r="C482" s="96">
        <v>4786386.38</v>
      </c>
      <c r="D482" s="96">
        <v>59.66</v>
      </c>
      <c r="E482" s="96" t="s">
        <v>63</v>
      </c>
    </row>
    <row r="483" spans="1:5" x14ac:dyDescent="0.25">
      <c r="A483" s="84">
        <v>45804</v>
      </c>
      <c r="B483" s="96">
        <v>513495.77799999999</v>
      </c>
      <c r="C483" s="96">
        <v>4786386.2019999996</v>
      </c>
      <c r="D483" s="96">
        <v>56.581000000000003</v>
      </c>
      <c r="E483" s="96" t="s">
        <v>64</v>
      </c>
    </row>
    <row r="484" spans="1:5" x14ac:dyDescent="0.25">
      <c r="A484" s="84">
        <v>45804</v>
      </c>
      <c r="B484" s="96">
        <v>513491.95199999999</v>
      </c>
      <c r="C484" s="96">
        <v>4786383.7079999996</v>
      </c>
      <c r="D484" s="96">
        <v>61.482999999999997</v>
      </c>
      <c r="E484" s="96" t="s">
        <v>66</v>
      </c>
    </row>
    <row r="485" spans="1:5" x14ac:dyDescent="0.25">
      <c r="A485" s="84">
        <v>45804</v>
      </c>
      <c r="B485" s="96">
        <v>513492.02100000001</v>
      </c>
      <c r="C485" s="96">
        <v>4786383.6849999996</v>
      </c>
      <c r="D485" s="96">
        <v>59.484000000000002</v>
      </c>
      <c r="E485" s="96" t="s">
        <v>67</v>
      </c>
    </row>
    <row r="486" spans="1:5" x14ac:dyDescent="0.25">
      <c r="A486" s="84">
        <v>45804</v>
      </c>
      <c r="B486" s="96">
        <v>513492.28499999997</v>
      </c>
      <c r="C486" s="96">
        <v>4786384.1239999998</v>
      </c>
      <c r="D486" s="96">
        <v>56.494</v>
      </c>
      <c r="E486" s="96" t="s">
        <v>68</v>
      </c>
    </row>
    <row r="487" spans="1:5" x14ac:dyDescent="0.25">
      <c r="A487" s="84">
        <v>45804</v>
      </c>
      <c r="B487" s="96">
        <v>513487.8</v>
      </c>
      <c r="C487" s="96">
        <v>4786375.6509999996</v>
      </c>
      <c r="D487" s="96">
        <v>60.911999999999999</v>
      </c>
      <c r="E487" s="96" t="s">
        <v>70</v>
      </c>
    </row>
    <row r="488" spans="1:5" x14ac:dyDescent="0.25">
      <c r="A488" s="84">
        <v>45804</v>
      </c>
      <c r="B488" s="96">
        <v>513488.16800000001</v>
      </c>
      <c r="C488" s="96">
        <v>4786375.6239999998</v>
      </c>
      <c r="D488" s="96">
        <v>59.328000000000003</v>
      </c>
      <c r="E488" s="96" t="s">
        <v>71</v>
      </c>
    </row>
    <row r="489" spans="1:5" x14ac:dyDescent="0.25">
      <c r="A489" s="84">
        <v>45804</v>
      </c>
      <c r="B489" s="96">
        <v>513484.61499999999</v>
      </c>
      <c r="C489" s="96">
        <v>4786368.818</v>
      </c>
      <c r="D489" s="96">
        <v>60.353000000000002</v>
      </c>
      <c r="E489" s="96" t="s">
        <v>72</v>
      </c>
    </row>
    <row r="490" spans="1:5" x14ac:dyDescent="0.25">
      <c r="A490" s="84">
        <v>45804</v>
      </c>
      <c r="B490" s="96">
        <v>513484.72899999999</v>
      </c>
      <c r="C490" s="96">
        <v>4786368.7359999996</v>
      </c>
      <c r="D490" s="96">
        <v>59.374000000000002</v>
      </c>
      <c r="E490" s="96" t="s">
        <v>73</v>
      </c>
    </row>
    <row r="491" spans="1:5" x14ac:dyDescent="0.25">
      <c r="A491" s="84">
        <v>45804</v>
      </c>
      <c r="B491" s="96">
        <v>513484.75400000002</v>
      </c>
      <c r="C491" s="96">
        <v>4786368.7419999996</v>
      </c>
      <c r="D491" s="96">
        <v>56.354999999999997</v>
      </c>
      <c r="E491" s="96" t="s">
        <v>74</v>
      </c>
    </row>
    <row r="492" spans="1:5" x14ac:dyDescent="0.25">
      <c r="A492" s="84">
        <v>45804</v>
      </c>
      <c r="B492" s="96">
        <v>513484.82500000001</v>
      </c>
      <c r="C492" s="96">
        <v>4786368.9400000004</v>
      </c>
      <c r="D492" s="96">
        <v>53.368000000000002</v>
      </c>
      <c r="E492" s="96" t="s">
        <v>75</v>
      </c>
    </row>
    <row r="493" spans="1:5" x14ac:dyDescent="0.25">
      <c r="A493" s="84">
        <v>45804</v>
      </c>
      <c r="B493" s="96">
        <v>513480.114</v>
      </c>
      <c r="C493" s="96">
        <v>4786359.8150000004</v>
      </c>
      <c r="D493" s="96">
        <v>59.851999999999997</v>
      </c>
      <c r="E493" s="96" t="s">
        <v>76</v>
      </c>
    </row>
    <row r="494" spans="1:5" x14ac:dyDescent="0.25">
      <c r="A494" s="84">
        <v>45804</v>
      </c>
      <c r="B494" s="96">
        <v>513474.54100000003</v>
      </c>
      <c r="C494" s="96">
        <v>4786353.87</v>
      </c>
      <c r="D494" s="96">
        <v>59.295000000000002</v>
      </c>
      <c r="E494" s="96" t="s">
        <v>79</v>
      </c>
    </row>
    <row r="495" spans="1:5" x14ac:dyDescent="0.25">
      <c r="A495" s="84">
        <v>45806</v>
      </c>
      <c r="B495" s="96">
        <v>513495.201</v>
      </c>
      <c r="C495" s="96">
        <v>4786386.5449999999</v>
      </c>
      <c r="D495" s="96">
        <v>61.189</v>
      </c>
      <c r="E495" s="96" t="s">
        <v>62</v>
      </c>
    </row>
    <row r="496" spans="1:5" x14ac:dyDescent="0.25">
      <c r="A496" s="84">
        <v>45806</v>
      </c>
      <c r="B496" s="96">
        <v>513495.147</v>
      </c>
      <c r="C496" s="96">
        <v>4786386.38</v>
      </c>
      <c r="D496" s="96">
        <v>59.661000000000001</v>
      </c>
      <c r="E496" s="96" t="s">
        <v>63</v>
      </c>
    </row>
    <row r="497" spans="1:5" x14ac:dyDescent="0.25">
      <c r="A497" s="84">
        <v>45806</v>
      </c>
      <c r="B497" s="96">
        <v>513495.777</v>
      </c>
      <c r="C497" s="96">
        <v>4786386.2019999996</v>
      </c>
      <c r="D497" s="96">
        <v>56.582000000000001</v>
      </c>
      <c r="E497" s="96" t="s">
        <v>64</v>
      </c>
    </row>
    <row r="498" spans="1:5" x14ac:dyDescent="0.25">
      <c r="A498" s="84">
        <v>45806</v>
      </c>
      <c r="B498" s="96">
        <v>513491.95199999999</v>
      </c>
      <c r="C498" s="96">
        <v>4786383.7079999996</v>
      </c>
      <c r="D498" s="96">
        <v>61.482999999999997</v>
      </c>
      <c r="E498" s="96" t="s">
        <v>66</v>
      </c>
    </row>
    <row r="499" spans="1:5" x14ac:dyDescent="0.25">
      <c r="A499" s="84">
        <v>45806</v>
      </c>
      <c r="B499" s="96">
        <v>513492.02100000001</v>
      </c>
      <c r="C499" s="96">
        <v>4786383.6849999996</v>
      </c>
      <c r="D499" s="96">
        <v>59.485999999999997</v>
      </c>
      <c r="E499" s="96" t="s">
        <v>67</v>
      </c>
    </row>
    <row r="500" spans="1:5" x14ac:dyDescent="0.25">
      <c r="A500" s="84">
        <v>45806</v>
      </c>
      <c r="B500" s="96">
        <v>513492.28499999997</v>
      </c>
      <c r="C500" s="96">
        <v>4786384.1229999997</v>
      </c>
      <c r="D500" s="96">
        <v>56.494999999999997</v>
      </c>
      <c r="E500" s="96" t="s">
        <v>68</v>
      </c>
    </row>
    <row r="501" spans="1:5" x14ac:dyDescent="0.25">
      <c r="A501" s="84">
        <v>45806</v>
      </c>
      <c r="B501" s="96">
        <v>513487.80099999998</v>
      </c>
      <c r="C501" s="96">
        <v>4786375.6509999996</v>
      </c>
      <c r="D501" s="96">
        <v>60.912999999999997</v>
      </c>
      <c r="E501" s="96" t="s">
        <v>70</v>
      </c>
    </row>
    <row r="502" spans="1:5" x14ac:dyDescent="0.25">
      <c r="A502" s="84">
        <v>45806</v>
      </c>
      <c r="B502" s="96">
        <v>513488.16800000001</v>
      </c>
      <c r="C502" s="96">
        <v>4786375.6239999998</v>
      </c>
      <c r="D502" s="96">
        <v>59.329000000000001</v>
      </c>
      <c r="E502" s="96" t="s">
        <v>71</v>
      </c>
    </row>
    <row r="503" spans="1:5" x14ac:dyDescent="0.25">
      <c r="A503" s="84">
        <v>45806</v>
      </c>
      <c r="B503" s="96">
        <v>513484.61499999999</v>
      </c>
      <c r="C503" s="96">
        <v>4786368.818</v>
      </c>
      <c r="D503" s="96">
        <v>60.353999999999999</v>
      </c>
      <c r="E503" s="96" t="s">
        <v>72</v>
      </c>
    </row>
    <row r="504" spans="1:5" x14ac:dyDescent="0.25">
      <c r="A504" s="84">
        <v>45806</v>
      </c>
      <c r="B504" s="96">
        <v>513484.72899999999</v>
      </c>
      <c r="C504" s="96">
        <v>4786368.7359999996</v>
      </c>
      <c r="D504" s="96">
        <v>59.375</v>
      </c>
      <c r="E504" s="96" t="s">
        <v>73</v>
      </c>
    </row>
    <row r="505" spans="1:5" x14ac:dyDescent="0.25">
      <c r="A505" s="84">
        <v>45806</v>
      </c>
      <c r="B505" s="96">
        <v>513484.75400000002</v>
      </c>
      <c r="C505" s="96">
        <v>4786368.7419999996</v>
      </c>
      <c r="D505" s="96">
        <v>56.356000000000002</v>
      </c>
      <c r="E505" s="96" t="s">
        <v>74</v>
      </c>
    </row>
    <row r="506" spans="1:5" x14ac:dyDescent="0.25">
      <c r="A506" s="84">
        <v>45806</v>
      </c>
      <c r="B506" s="96">
        <v>513484.82400000002</v>
      </c>
      <c r="C506" s="96">
        <v>4786368.9400000004</v>
      </c>
      <c r="D506" s="96">
        <v>53.369</v>
      </c>
      <c r="E506" s="96" t="s">
        <v>75</v>
      </c>
    </row>
    <row r="507" spans="1:5" x14ac:dyDescent="0.25">
      <c r="A507" s="84">
        <v>45806</v>
      </c>
      <c r="B507" s="96">
        <v>513480.114</v>
      </c>
      <c r="C507" s="96">
        <v>4786359.8150000004</v>
      </c>
      <c r="D507" s="96">
        <v>59.853000000000002</v>
      </c>
      <c r="E507" s="96" t="s">
        <v>76</v>
      </c>
    </row>
    <row r="508" spans="1:5" x14ac:dyDescent="0.25">
      <c r="A508" s="84">
        <v>45806</v>
      </c>
      <c r="B508" s="96">
        <v>513474.54100000003</v>
      </c>
      <c r="C508" s="96">
        <v>4786353.87</v>
      </c>
      <c r="D508" s="96">
        <v>59.295999999999999</v>
      </c>
      <c r="E508" s="96" t="s">
        <v>79</v>
      </c>
    </row>
    <row r="509" spans="1:5" x14ac:dyDescent="0.25">
      <c r="A509" s="84">
        <v>45810</v>
      </c>
      <c r="B509" s="96">
        <v>513495.20199999999</v>
      </c>
      <c r="C509" s="96">
        <v>4786386.5449999999</v>
      </c>
      <c r="D509" s="96">
        <v>61.189</v>
      </c>
      <c r="E509" s="96" t="s">
        <v>62</v>
      </c>
    </row>
    <row r="510" spans="1:5" x14ac:dyDescent="0.25">
      <c r="A510" s="84">
        <v>45810</v>
      </c>
      <c r="B510" s="96">
        <v>513495.147</v>
      </c>
      <c r="C510" s="96">
        <v>4786386.38</v>
      </c>
      <c r="D510" s="96">
        <v>59.661000000000001</v>
      </c>
      <c r="E510" s="96" t="s">
        <v>63</v>
      </c>
    </row>
    <row r="511" spans="1:5" x14ac:dyDescent="0.25">
      <c r="A511" s="84">
        <v>45810</v>
      </c>
      <c r="B511" s="96">
        <v>513495.777</v>
      </c>
      <c r="C511" s="96">
        <v>4786386.2019999996</v>
      </c>
      <c r="D511" s="96">
        <v>56.582999999999998</v>
      </c>
      <c r="E511" s="96" t="s">
        <v>64</v>
      </c>
    </row>
    <row r="512" spans="1:5" x14ac:dyDescent="0.25">
      <c r="A512" s="84">
        <v>45810</v>
      </c>
      <c r="B512" s="96">
        <v>513491.95199999999</v>
      </c>
      <c r="C512" s="96">
        <v>4786383.7079999996</v>
      </c>
      <c r="D512" s="96">
        <v>61.484000000000002</v>
      </c>
      <c r="E512" s="96" t="s">
        <v>66</v>
      </c>
    </row>
    <row r="513" spans="1:5" x14ac:dyDescent="0.25">
      <c r="A513" s="84">
        <v>45810</v>
      </c>
      <c r="B513" s="96">
        <v>513492.02100000001</v>
      </c>
      <c r="C513" s="96">
        <v>4786383.6849999996</v>
      </c>
      <c r="D513" s="96">
        <v>59.485999999999997</v>
      </c>
      <c r="E513" s="96" t="s">
        <v>67</v>
      </c>
    </row>
    <row r="514" spans="1:5" x14ac:dyDescent="0.25">
      <c r="A514" s="84">
        <v>45810</v>
      </c>
      <c r="B514" s="96">
        <v>513492.28499999997</v>
      </c>
      <c r="C514" s="96">
        <v>4786384.1239999998</v>
      </c>
      <c r="D514" s="96">
        <v>56.494999999999997</v>
      </c>
      <c r="E514" s="96" t="s">
        <v>68</v>
      </c>
    </row>
    <row r="515" spans="1:5" x14ac:dyDescent="0.25">
      <c r="A515" s="84">
        <v>45810</v>
      </c>
      <c r="B515" s="96">
        <v>513490.91499999998</v>
      </c>
      <c r="C515" s="96">
        <v>4786381.6339999996</v>
      </c>
      <c r="D515" s="96">
        <v>53.673999999999999</v>
      </c>
      <c r="E515" s="96" t="s">
        <v>82</v>
      </c>
    </row>
    <row r="516" spans="1:5" x14ac:dyDescent="0.25">
      <c r="A516" s="84">
        <v>45810</v>
      </c>
      <c r="B516" s="96">
        <v>513487.80099999998</v>
      </c>
      <c r="C516" s="96">
        <v>4786375.6509999996</v>
      </c>
      <c r="D516" s="96">
        <v>60.912999999999997</v>
      </c>
      <c r="E516" s="96" t="s">
        <v>70</v>
      </c>
    </row>
    <row r="517" spans="1:5" x14ac:dyDescent="0.25">
      <c r="A517" s="84">
        <v>45810</v>
      </c>
      <c r="B517" s="96">
        <v>513488.16899999999</v>
      </c>
      <c r="C517" s="96">
        <v>4786375.625</v>
      </c>
      <c r="D517" s="96">
        <v>59.33</v>
      </c>
      <c r="E517" s="96" t="s">
        <v>71</v>
      </c>
    </row>
    <row r="518" spans="1:5" x14ac:dyDescent="0.25">
      <c r="A518" s="84">
        <v>45810</v>
      </c>
      <c r="B518" s="96">
        <v>513484.61499999999</v>
      </c>
      <c r="C518" s="96">
        <v>4786368.818</v>
      </c>
      <c r="D518" s="96">
        <v>60.354999999999997</v>
      </c>
      <c r="E518" s="96" t="s">
        <v>72</v>
      </c>
    </row>
    <row r="519" spans="1:5" x14ac:dyDescent="0.25">
      <c r="A519" s="84">
        <v>45810</v>
      </c>
      <c r="B519" s="96">
        <v>513484.72899999999</v>
      </c>
      <c r="C519" s="96">
        <v>4786368.7369999997</v>
      </c>
      <c r="D519" s="96">
        <v>59.375</v>
      </c>
      <c r="E519" s="96" t="s">
        <v>73</v>
      </c>
    </row>
    <row r="520" spans="1:5" x14ac:dyDescent="0.25">
      <c r="A520" s="84">
        <v>45810</v>
      </c>
      <c r="B520" s="96">
        <v>513484.75300000003</v>
      </c>
      <c r="C520" s="96">
        <v>4786368.7429999998</v>
      </c>
      <c r="D520" s="96">
        <v>56.356000000000002</v>
      </c>
      <c r="E520" s="96" t="s">
        <v>74</v>
      </c>
    </row>
    <row r="521" spans="1:5" x14ac:dyDescent="0.25">
      <c r="A521" s="84">
        <v>45810</v>
      </c>
      <c r="B521" s="96">
        <v>513484.82500000001</v>
      </c>
      <c r="C521" s="96">
        <v>4786368.9409999996</v>
      </c>
      <c r="D521" s="96">
        <v>53.371000000000002</v>
      </c>
      <c r="E521" s="96" t="s">
        <v>75</v>
      </c>
    </row>
    <row r="522" spans="1:5" x14ac:dyDescent="0.25">
      <c r="A522" s="84">
        <v>45810</v>
      </c>
      <c r="B522" s="96">
        <v>513480.114</v>
      </c>
      <c r="C522" s="96">
        <v>4786359.8150000004</v>
      </c>
      <c r="D522" s="96">
        <v>59.853000000000002</v>
      </c>
      <c r="E522" s="96" t="s">
        <v>76</v>
      </c>
    </row>
    <row r="523" spans="1:5" x14ac:dyDescent="0.25">
      <c r="A523" s="84">
        <v>45810</v>
      </c>
      <c r="B523" s="96">
        <v>513474.54100000003</v>
      </c>
      <c r="C523" s="96">
        <v>4786353.87</v>
      </c>
      <c r="D523" s="96">
        <v>59.295999999999999</v>
      </c>
      <c r="E523" s="96" t="s">
        <v>79</v>
      </c>
    </row>
    <row r="524" spans="1:5" x14ac:dyDescent="0.25">
      <c r="A524" s="84">
        <v>45813</v>
      </c>
      <c r="B524" s="96">
        <v>513495.20199999999</v>
      </c>
      <c r="C524" s="96">
        <v>4786386.5429999996</v>
      </c>
      <c r="D524" s="96">
        <v>61.19</v>
      </c>
      <c r="E524" s="96" t="s">
        <v>62</v>
      </c>
    </row>
    <row r="525" spans="1:5" x14ac:dyDescent="0.25">
      <c r="A525" s="84">
        <v>45813</v>
      </c>
      <c r="B525" s="96">
        <v>513495.14799999999</v>
      </c>
      <c r="C525" s="96">
        <v>4786386.3789999997</v>
      </c>
      <c r="D525" s="96">
        <v>59.661000000000001</v>
      </c>
      <c r="E525" s="96" t="s">
        <v>63</v>
      </c>
    </row>
    <row r="526" spans="1:5" x14ac:dyDescent="0.25">
      <c r="A526" s="84">
        <v>45813</v>
      </c>
      <c r="B526" s="96">
        <v>513495.777</v>
      </c>
      <c r="C526" s="96">
        <v>4786386.2019999996</v>
      </c>
      <c r="D526" s="96">
        <v>56.581000000000003</v>
      </c>
      <c r="E526" s="96" t="s">
        <v>64</v>
      </c>
    </row>
    <row r="527" spans="1:5" x14ac:dyDescent="0.25">
      <c r="A527" s="84">
        <v>45813</v>
      </c>
      <c r="B527" s="96">
        <v>513491.95199999999</v>
      </c>
      <c r="C527" s="96">
        <v>4786383.7079999996</v>
      </c>
      <c r="D527" s="96">
        <v>61.482999999999997</v>
      </c>
      <c r="E527" s="96" t="s">
        <v>66</v>
      </c>
    </row>
    <row r="528" spans="1:5" x14ac:dyDescent="0.25">
      <c r="A528" s="84">
        <v>45813</v>
      </c>
      <c r="B528" s="96">
        <v>513492.02</v>
      </c>
      <c r="C528" s="96">
        <v>4786383.6849999996</v>
      </c>
      <c r="D528" s="96">
        <v>59.484999999999999</v>
      </c>
      <c r="E528" s="96" t="s">
        <v>67</v>
      </c>
    </row>
    <row r="529" spans="1:5" x14ac:dyDescent="0.25">
      <c r="A529" s="84">
        <v>45813</v>
      </c>
      <c r="B529" s="96">
        <v>513492.28499999997</v>
      </c>
      <c r="C529" s="96">
        <v>4786384.1239999998</v>
      </c>
      <c r="D529" s="96">
        <v>56.494</v>
      </c>
      <c r="E529" s="96" t="s">
        <v>68</v>
      </c>
    </row>
    <row r="530" spans="1:5" x14ac:dyDescent="0.25">
      <c r="A530" s="84">
        <v>45813</v>
      </c>
      <c r="B530" s="96">
        <v>513490.91399999999</v>
      </c>
      <c r="C530" s="96">
        <v>4786381.6330000004</v>
      </c>
      <c r="D530" s="96">
        <v>53.673000000000002</v>
      </c>
      <c r="E530" s="96" t="s">
        <v>82</v>
      </c>
    </row>
    <row r="531" spans="1:5" x14ac:dyDescent="0.25">
      <c r="A531" s="84">
        <v>45813</v>
      </c>
      <c r="B531" s="96">
        <v>513487.8</v>
      </c>
      <c r="C531" s="96">
        <v>4786375.6509999996</v>
      </c>
      <c r="D531" s="96">
        <v>60.911999999999999</v>
      </c>
      <c r="E531" s="96" t="s">
        <v>70</v>
      </c>
    </row>
    <row r="532" spans="1:5" x14ac:dyDescent="0.25">
      <c r="A532" s="84">
        <v>45813</v>
      </c>
      <c r="B532" s="96">
        <v>513488.16800000001</v>
      </c>
      <c r="C532" s="96">
        <v>4786375.6239999998</v>
      </c>
      <c r="D532" s="96">
        <v>59.328000000000003</v>
      </c>
      <c r="E532" s="96" t="s">
        <v>71</v>
      </c>
    </row>
    <row r="533" spans="1:5" x14ac:dyDescent="0.25">
      <c r="A533" s="84">
        <v>45813</v>
      </c>
      <c r="B533" s="96">
        <v>513484.61499999999</v>
      </c>
      <c r="C533" s="96">
        <v>4786368.818</v>
      </c>
      <c r="D533" s="96">
        <v>60.353000000000002</v>
      </c>
      <c r="E533" s="96" t="s">
        <v>72</v>
      </c>
    </row>
    <row r="534" spans="1:5" x14ac:dyDescent="0.25">
      <c r="A534" s="84">
        <v>45813</v>
      </c>
      <c r="B534" s="96">
        <v>513484.72899999999</v>
      </c>
      <c r="C534" s="96">
        <v>4786368.7359999996</v>
      </c>
      <c r="D534" s="96">
        <v>59.374000000000002</v>
      </c>
      <c r="E534" s="96" t="s">
        <v>73</v>
      </c>
    </row>
    <row r="535" spans="1:5" x14ac:dyDescent="0.25">
      <c r="A535" s="84">
        <v>45813</v>
      </c>
      <c r="B535" s="96">
        <v>513484.75400000002</v>
      </c>
      <c r="C535" s="96">
        <v>4786368.7419999996</v>
      </c>
      <c r="D535" s="96">
        <v>56.354999999999997</v>
      </c>
      <c r="E535" s="96" t="s">
        <v>74</v>
      </c>
    </row>
    <row r="536" spans="1:5" x14ac:dyDescent="0.25">
      <c r="A536" s="84">
        <v>45813</v>
      </c>
      <c r="B536" s="96">
        <v>513484.82500000001</v>
      </c>
      <c r="C536" s="96">
        <v>4786368.9400000004</v>
      </c>
      <c r="D536" s="96">
        <v>53.369</v>
      </c>
      <c r="E536" s="96" t="s">
        <v>75</v>
      </c>
    </row>
    <row r="537" spans="1:5" x14ac:dyDescent="0.25">
      <c r="A537" s="84">
        <v>45813</v>
      </c>
      <c r="B537" s="96">
        <v>513480.114</v>
      </c>
      <c r="C537" s="96">
        <v>4786359.8150000004</v>
      </c>
      <c r="D537" s="96">
        <v>59.851999999999997</v>
      </c>
      <c r="E537" s="96" t="s">
        <v>76</v>
      </c>
    </row>
    <row r="538" spans="1:5" x14ac:dyDescent="0.25">
      <c r="A538" s="84">
        <v>45813</v>
      </c>
      <c r="B538" s="96">
        <v>513480.46100000001</v>
      </c>
      <c r="C538" s="96">
        <v>4786360.3260000004</v>
      </c>
      <c r="D538" s="96">
        <v>56.533999999999999</v>
      </c>
      <c r="E538" s="96" t="s">
        <v>83</v>
      </c>
    </row>
    <row r="539" spans="1:5" x14ac:dyDescent="0.25">
      <c r="A539" s="84">
        <v>45813</v>
      </c>
      <c r="B539" s="96">
        <v>513474.54100000003</v>
      </c>
      <c r="C539" s="96">
        <v>4786353.87</v>
      </c>
      <c r="D539" s="96">
        <v>59.295000000000002</v>
      </c>
      <c r="E539" s="96" t="s">
        <v>79</v>
      </c>
    </row>
    <row r="540" spans="1:5" x14ac:dyDescent="0.25">
      <c r="A540" s="84">
        <v>45813</v>
      </c>
      <c r="B540" s="96">
        <v>513473.76199999999</v>
      </c>
      <c r="C540" s="96">
        <v>4786353.0539999995</v>
      </c>
      <c r="D540" s="96">
        <v>56.279000000000003</v>
      </c>
      <c r="E540" s="96" t="s">
        <v>84</v>
      </c>
    </row>
    <row r="541" spans="1:5" x14ac:dyDescent="0.25">
      <c r="A541" s="84">
        <v>45817</v>
      </c>
      <c r="B541" s="96">
        <v>513495.20199999999</v>
      </c>
      <c r="C541" s="96">
        <v>4786386.5439999998</v>
      </c>
      <c r="D541" s="96">
        <v>61.19</v>
      </c>
      <c r="E541" s="96" t="s">
        <v>62</v>
      </c>
    </row>
    <row r="542" spans="1:5" x14ac:dyDescent="0.25">
      <c r="A542" s="84">
        <v>45817</v>
      </c>
      <c r="B542" s="96">
        <v>513495.14799999999</v>
      </c>
      <c r="C542" s="96">
        <v>4786386.38</v>
      </c>
      <c r="D542" s="96">
        <v>59.66</v>
      </c>
      <c r="E542" s="96" t="s">
        <v>63</v>
      </c>
    </row>
    <row r="543" spans="1:5" x14ac:dyDescent="0.25">
      <c r="A543" s="84">
        <v>45817</v>
      </c>
      <c r="B543" s="96">
        <v>513495.77799999999</v>
      </c>
      <c r="C543" s="96">
        <v>4786386.2019999996</v>
      </c>
      <c r="D543" s="96">
        <v>56.582000000000001</v>
      </c>
      <c r="E543" s="96" t="s">
        <v>64</v>
      </c>
    </row>
    <row r="544" spans="1:5" x14ac:dyDescent="0.25">
      <c r="A544" s="84">
        <v>45817</v>
      </c>
      <c r="B544" s="96">
        <v>513491.95199999999</v>
      </c>
      <c r="C544" s="96">
        <v>4786383.7079999996</v>
      </c>
      <c r="D544" s="96">
        <v>61.482999999999997</v>
      </c>
      <c r="E544" s="96" t="s">
        <v>66</v>
      </c>
    </row>
    <row r="545" spans="1:5" x14ac:dyDescent="0.25">
      <c r="A545" s="84">
        <v>45817</v>
      </c>
      <c r="B545" s="96">
        <v>513492.02100000001</v>
      </c>
      <c r="C545" s="96">
        <v>4786383.6849999996</v>
      </c>
      <c r="D545" s="96">
        <v>59.484999999999999</v>
      </c>
      <c r="E545" s="96" t="s">
        <v>67</v>
      </c>
    </row>
    <row r="546" spans="1:5" x14ac:dyDescent="0.25">
      <c r="A546" s="84">
        <v>45817</v>
      </c>
      <c r="B546" s="96">
        <v>513492.28499999997</v>
      </c>
      <c r="C546" s="96">
        <v>4786384.1239999998</v>
      </c>
      <c r="D546" s="96">
        <v>56.494999999999997</v>
      </c>
      <c r="E546" s="96" t="s">
        <v>68</v>
      </c>
    </row>
    <row r="547" spans="1:5" x14ac:dyDescent="0.25">
      <c r="A547" s="84">
        <v>45817</v>
      </c>
      <c r="B547" s="96">
        <v>513490.91600000003</v>
      </c>
      <c r="C547" s="96">
        <v>4786381.6330000004</v>
      </c>
      <c r="D547" s="96">
        <v>53.673999999999999</v>
      </c>
      <c r="E547" s="96" t="s">
        <v>82</v>
      </c>
    </row>
    <row r="548" spans="1:5" x14ac:dyDescent="0.25">
      <c r="A548" s="84">
        <v>45817</v>
      </c>
      <c r="B548" s="96">
        <v>513487.80099999998</v>
      </c>
      <c r="C548" s="96">
        <v>4786375.6509999996</v>
      </c>
      <c r="D548" s="96">
        <v>60.912999999999997</v>
      </c>
      <c r="E548" s="96" t="s">
        <v>70</v>
      </c>
    </row>
    <row r="549" spans="1:5" x14ac:dyDescent="0.25">
      <c r="A549" s="84">
        <v>45817</v>
      </c>
      <c r="B549" s="96">
        <v>513484.61499999999</v>
      </c>
      <c r="C549" s="96">
        <v>4786368.818</v>
      </c>
      <c r="D549" s="96">
        <v>60.353999999999999</v>
      </c>
      <c r="E549" s="96" t="s">
        <v>72</v>
      </c>
    </row>
    <row r="550" spans="1:5" x14ac:dyDescent="0.25">
      <c r="A550" s="84">
        <v>45817</v>
      </c>
      <c r="B550" s="96">
        <v>513484.72899999999</v>
      </c>
      <c r="C550" s="96">
        <v>4786368.7359999996</v>
      </c>
      <c r="D550" s="96">
        <v>59.375</v>
      </c>
      <c r="E550" s="96" t="s">
        <v>73</v>
      </c>
    </row>
    <row r="551" spans="1:5" x14ac:dyDescent="0.25">
      <c r="A551" s="84">
        <v>45817</v>
      </c>
      <c r="B551" s="96">
        <v>513484.75400000002</v>
      </c>
      <c r="C551" s="96">
        <v>4786368.7419999996</v>
      </c>
      <c r="D551" s="96">
        <v>56.356000000000002</v>
      </c>
      <c r="E551" s="96" t="s">
        <v>74</v>
      </c>
    </row>
    <row r="552" spans="1:5" x14ac:dyDescent="0.25">
      <c r="A552" s="84">
        <v>45817</v>
      </c>
      <c r="B552" s="96">
        <v>513484.82500000001</v>
      </c>
      <c r="C552" s="96">
        <v>4786368.9400000004</v>
      </c>
      <c r="D552" s="96">
        <v>53.37</v>
      </c>
      <c r="E552" s="96" t="s">
        <v>75</v>
      </c>
    </row>
    <row r="553" spans="1:5" x14ac:dyDescent="0.25">
      <c r="A553" s="84">
        <v>45817</v>
      </c>
      <c r="B553" s="96">
        <v>513480.114</v>
      </c>
      <c r="C553" s="96">
        <v>4786359.8150000004</v>
      </c>
      <c r="D553" s="96">
        <v>59.853000000000002</v>
      </c>
      <c r="E553" s="96" t="s">
        <v>76</v>
      </c>
    </row>
    <row r="554" spans="1:5" x14ac:dyDescent="0.25">
      <c r="A554" s="84">
        <v>45817</v>
      </c>
      <c r="B554" s="96">
        <v>513480.462</v>
      </c>
      <c r="C554" s="96">
        <v>4786360.3269999996</v>
      </c>
      <c r="D554" s="96">
        <v>56.534999999999997</v>
      </c>
      <c r="E554" s="96" t="s">
        <v>83</v>
      </c>
    </row>
    <row r="555" spans="1:5" x14ac:dyDescent="0.25">
      <c r="A555" s="84">
        <v>45817</v>
      </c>
      <c r="B555" s="96">
        <v>513474.54100000003</v>
      </c>
      <c r="C555" s="96">
        <v>4786353.87</v>
      </c>
      <c r="D555" s="96">
        <v>59.293999999999997</v>
      </c>
      <c r="E555" s="96" t="s">
        <v>79</v>
      </c>
    </row>
    <row r="556" spans="1:5" x14ac:dyDescent="0.25">
      <c r="A556" s="84">
        <v>45817</v>
      </c>
      <c r="B556" s="96">
        <v>513473.76199999999</v>
      </c>
      <c r="C556" s="96">
        <v>4786353.0539999995</v>
      </c>
      <c r="D556" s="96">
        <v>56.279000000000003</v>
      </c>
      <c r="E556" s="96" t="s">
        <v>84</v>
      </c>
    </row>
    <row r="557" spans="1:5" x14ac:dyDescent="0.25">
      <c r="A557" s="84">
        <v>45820</v>
      </c>
      <c r="B557" s="96">
        <v>513495.2</v>
      </c>
      <c r="C557" s="96">
        <v>4786386.5449999999</v>
      </c>
      <c r="D557" s="96">
        <v>61.191000000000003</v>
      </c>
      <c r="E557" s="96" t="s">
        <v>62</v>
      </c>
    </row>
    <row r="558" spans="1:5" x14ac:dyDescent="0.25">
      <c r="A558" s="84">
        <v>45820</v>
      </c>
      <c r="B558" s="96">
        <v>513495.14600000001</v>
      </c>
      <c r="C558" s="96">
        <v>4786386.38</v>
      </c>
      <c r="D558" s="96">
        <v>59.661999999999999</v>
      </c>
      <c r="E558" s="96" t="s">
        <v>63</v>
      </c>
    </row>
    <row r="559" spans="1:5" x14ac:dyDescent="0.25">
      <c r="A559" s="84">
        <v>45820</v>
      </c>
      <c r="B559" s="96">
        <v>513495.777</v>
      </c>
      <c r="C559" s="96">
        <v>4786386.2019999996</v>
      </c>
      <c r="D559" s="96">
        <v>56.582999999999998</v>
      </c>
      <c r="E559" s="96" t="s">
        <v>64</v>
      </c>
    </row>
    <row r="560" spans="1:5" x14ac:dyDescent="0.25">
      <c r="A560" s="84">
        <v>45820</v>
      </c>
      <c r="B560" s="96">
        <v>513491.951</v>
      </c>
      <c r="C560" s="96">
        <v>4786383.7079999996</v>
      </c>
      <c r="D560" s="96">
        <v>61.484000000000002</v>
      </c>
      <c r="E560" s="96" t="s">
        <v>66</v>
      </c>
    </row>
    <row r="561" spans="1:5" x14ac:dyDescent="0.25">
      <c r="A561" s="84">
        <v>45820</v>
      </c>
      <c r="B561" s="96">
        <v>513492.02</v>
      </c>
      <c r="C561" s="96">
        <v>4786383.6849999996</v>
      </c>
      <c r="D561" s="96">
        <v>59.485999999999997</v>
      </c>
      <c r="E561" s="96" t="s">
        <v>67</v>
      </c>
    </row>
    <row r="562" spans="1:5" x14ac:dyDescent="0.25">
      <c r="A562" s="84">
        <v>45820</v>
      </c>
      <c r="B562" s="96">
        <v>513492.28399999999</v>
      </c>
      <c r="C562" s="96">
        <v>4786384.1229999997</v>
      </c>
      <c r="D562" s="96">
        <v>56.496000000000002</v>
      </c>
      <c r="E562" s="96" t="s">
        <v>68</v>
      </c>
    </row>
    <row r="563" spans="1:5" x14ac:dyDescent="0.25">
      <c r="A563" s="84">
        <v>45820</v>
      </c>
      <c r="B563" s="96">
        <v>513484.614</v>
      </c>
      <c r="C563" s="96">
        <v>4786368.818</v>
      </c>
      <c r="D563" s="96">
        <v>60.354999999999997</v>
      </c>
      <c r="E563" s="96" t="s">
        <v>72</v>
      </c>
    </row>
    <row r="564" spans="1:5" x14ac:dyDescent="0.25">
      <c r="A564" s="84">
        <v>45820</v>
      </c>
      <c r="B564" s="96">
        <v>513484.728</v>
      </c>
      <c r="C564" s="96">
        <v>4786368.7359999996</v>
      </c>
      <c r="D564" s="96">
        <v>59.375999999999998</v>
      </c>
      <c r="E564" s="96" t="s">
        <v>73</v>
      </c>
    </row>
    <row r="565" spans="1:5" x14ac:dyDescent="0.25">
      <c r="A565" s="84">
        <v>45820</v>
      </c>
      <c r="B565" s="96">
        <v>513484.75400000002</v>
      </c>
      <c r="C565" s="96">
        <v>4786368.7410000004</v>
      </c>
      <c r="D565" s="96">
        <v>56.356999999999999</v>
      </c>
      <c r="E565" s="96" t="s">
        <v>74</v>
      </c>
    </row>
    <row r="566" spans="1:5" x14ac:dyDescent="0.25">
      <c r="A566" s="84">
        <v>45820</v>
      </c>
      <c r="B566" s="96">
        <v>513484.82500000001</v>
      </c>
      <c r="C566" s="96">
        <v>4786368.9400000004</v>
      </c>
      <c r="D566" s="96">
        <v>53.371000000000002</v>
      </c>
      <c r="E566" s="96" t="s">
        <v>75</v>
      </c>
    </row>
    <row r="567" spans="1:5" x14ac:dyDescent="0.25">
      <c r="A567" s="84">
        <v>45820</v>
      </c>
      <c r="B567" s="96">
        <v>513480.114</v>
      </c>
      <c r="C567" s="96">
        <v>4786359.8130000001</v>
      </c>
      <c r="D567" s="96">
        <v>59.853999999999999</v>
      </c>
      <c r="E567" s="96" t="s">
        <v>76</v>
      </c>
    </row>
    <row r="568" spans="1:5" x14ac:dyDescent="0.25">
      <c r="A568" s="84">
        <v>45820</v>
      </c>
      <c r="B568" s="96">
        <v>513480.46100000001</v>
      </c>
      <c r="C568" s="96">
        <v>4786360.3260000004</v>
      </c>
      <c r="D568" s="96">
        <v>56.536000000000001</v>
      </c>
      <c r="E568" s="96" t="s">
        <v>83</v>
      </c>
    </row>
    <row r="569" spans="1:5" x14ac:dyDescent="0.25">
      <c r="A569" s="84">
        <v>45820</v>
      </c>
      <c r="B569" s="96">
        <v>513474.54100000003</v>
      </c>
      <c r="C569" s="96">
        <v>4786353.8689999999</v>
      </c>
      <c r="D569" s="96">
        <v>59.295000000000002</v>
      </c>
      <c r="E569" s="96" t="s">
        <v>79</v>
      </c>
    </row>
    <row r="570" spans="1:5" x14ac:dyDescent="0.25">
      <c r="A570" s="84">
        <v>45820</v>
      </c>
      <c r="B570" s="96">
        <v>513473.76199999999</v>
      </c>
      <c r="C570" s="96">
        <v>4786353.0530000003</v>
      </c>
      <c r="D570" s="96">
        <v>56.28</v>
      </c>
      <c r="E570" s="96" t="s">
        <v>84</v>
      </c>
    </row>
    <row r="571" spans="1:5" x14ac:dyDescent="0.25">
      <c r="A571" s="84">
        <v>45821</v>
      </c>
      <c r="B571" s="96">
        <v>513495.2</v>
      </c>
      <c r="C571" s="96">
        <v>4786386.5449999999</v>
      </c>
      <c r="D571" s="96">
        <v>61.19</v>
      </c>
      <c r="E571" s="96" t="s">
        <v>62</v>
      </c>
    </row>
    <row r="572" spans="1:5" x14ac:dyDescent="0.25">
      <c r="A572" s="84">
        <v>45821</v>
      </c>
      <c r="B572" s="96">
        <v>513495.14600000001</v>
      </c>
      <c r="C572" s="96">
        <v>4786386.38</v>
      </c>
      <c r="D572" s="96">
        <v>59.661000000000001</v>
      </c>
      <c r="E572" s="96" t="s">
        <v>63</v>
      </c>
    </row>
    <row r="573" spans="1:5" x14ac:dyDescent="0.25">
      <c r="A573" s="84">
        <v>45821</v>
      </c>
      <c r="B573" s="96">
        <v>513495.777</v>
      </c>
      <c r="C573" s="96">
        <v>4786386.2019999996</v>
      </c>
      <c r="D573" s="96">
        <v>56.582000000000001</v>
      </c>
      <c r="E573" s="96" t="s">
        <v>64</v>
      </c>
    </row>
    <row r="574" spans="1:5" x14ac:dyDescent="0.25">
      <c r="A574" s="84">
        <v>45821</v>
      </c>
      <c r="B574" s="96">
        <v>513491.951</v>
      </c>
      <c r="C574" s="96">
        <v>4786383.7079999996</v>
      </c>
      <c r="D574" s="96">
        <v>61.482999999999997</v>
      </c>
      <c r="E574" s="96" t="s">
        <v>66</v>
      </c>
    </row>
    <row r="575" spans="1:5" x14ac:dyDescent="0.25">
      <c r="A575" s="84">
        <v>45821</v>
      </c>
      <c r="B575" s="96">
        <v>513492.02</v>
      </c>
      <c r="C575" s="96">
        <v>4786383.6849999996</v>
      </c>
      <c r="D575" s="96">
        <v>59.484999999999999</v>
      </c>
      <c r="E575" s="96" t="s">
        <v>67</v>
      </c>
    </row>
    <row r="576" spans="1:5" x14ac:dyDescent="0.25">
      <c r="A576" s="84">
        <v>45821</v>
      </c>
      <c r="B576" s="96">
        <v>513492.28399999999</v>
      </c>
      <c r="C576" s="96">
        <v>4786384.1239999998</v>
      </c>
      <c r="D576" s="96">
        <v>56.493000000000002</v>
      </c>
      <c r="E576" s="96" t="s">
        <v>68</v>
      </c>
    </row>
    <row r="577" spans="1:5" x14ac:dyDescent="0.25">
      <c r="A577" s="84">
        <v>45821</v>
      </c>
      <c r="B577" s="96">
        <v>513484.61499999999</v>
      </c>
      <c r="C577" s="96">
        <v>4786368.818</v>
      </c>
      <c r="D577" s="96">
        <v>60.353999999999999</v>
      </c>
      <c r="E577" s="96" t="s">
        <v>72</v>
      </c>
    </row>
    <row r="578" spans="1:5" x14ac:dyDescent="0.25">
      <c r="A578" s="84">
        <v>45821</v>
      </c>
      <c r="B578" s="96">
        <v>513484.72899999999</v>
      </c>
      <c r="C578" s="96">
        <v>4786368.7359999996</v>
      </c>
      <c r="D578" s="96">
        <v>59.375</v>
      </c>
      <c r="E578" s="96" t="s">
        <v>73</v>
      </c>
    </row>
    <row r="579" spans="1:5" x14ac:dyDescent="0.25">
      <c r="A579" s="84">
        <v>45821</v>
      </c>
      <c r="B579" s="96">
        <v>513484.75400000002</v>
      </c>
      <c r="C579" s="96">
        <v>4786368.7419999996</v>
      </c>
      <c r="D579" s="96">
        <v>56.354999999999997</v>
      </c>
      <c r="E579" s="96" t="s">
        <v>74</v>
      </c>
    </row>
    <row r="580" spans="1:5" x14ac:dyDescent="0.25">
      <c r="A580" s="84">
        <v>45821</v>
      </c>
      <c r="B580" s="96">
        <v>513484.82500000001</v>
      </c>
      <c r="C580" s="96">
        <v>4786368.9400000004</v>
      </c>
      <c r="D580" s="96">
        <v>53.369</v>
      </c>
      <c r="E580" s="96" t="s">
        <v>75</v>
      </c>
    </row>
    <row r="581" spans="1:5" x14ac:dyDescent="0.25">
      <c r="A581" s="84">
        <v>45821</v>
      </c>
      <c r="B581" s="96">
        <v>513480.114</v>
      </c>
      <c r="C581" s="96">
        <v>4786359.8140000002</v>
      </c>
      <c r="D581" s="96">
        <v>59.853000000000002</v>
      </c>
      <c r="E581" s="96" t="s">
        <v>76</v>
      </c>
    </row>
    <row r="582" spans="1:5" x14ac:dyDescent="0.25">
      <c r="A582" s="84">
        <v>45821</v>
      </c>
      <c r="B582" s="96">
        <v>513480.46100000001</v>
      </c>
      <c r="C582" s="96">
        <v>4786360.3260000004</v>
      </c>
      <c r="D582" s="96">
        <v>56.533999999999999</v>
      </c>
      <c r="E582" s="96" t="s">
        <v>83</v>
      </c>
    </row>
    <row r="583" spans="1:5" x14ac:dyDescent="0.25">
      <c r="A583" s="84">
        <v>45821</v>
      </c>
      <c r="B583" s="96">
        <v>513474.54100000003</v>
      </c>
      <c r="C583" s="96">
        <v>4786353.87</v>
      </c>
      <c r="D583" s="96">
        <v>59.295000000000002</v>
      </c>
      <c r="E583" s="96" t="s">
        <v>79</v>
      </c>
    </row>
    <row r="584" spans="1:5" x14ac:dyDescent="0.25">
      <c r="A584" s="84">
        <v>45821</v>
      </c>
      <c r="B584" s="96">
        <v>513473.76199999999</v>
      </c>
      <c r="C584" s="96">
        <v>4786353.0530000003</v>
      </c>
      <c r="D584" s="96">
        <v>56.277999999999999</v>
      </c>
      <c r="E584" s="96" t="s">
        <v>84</v>
      </c>
    </row>
    <row r="585" spans="1:5" x14ac:dyDescent="0.25">
      <c r="A585" s="84">
        <v>45824</v>
      </c>
      <c r="B585" s="96">
        <v>513495.20199999999</v>
      </c>
      <c r="C585" s="96">
        <v>4786386.5439999998</v>
      </c>
      <c r="D585" s="96">
        <v>61.192</v>
      </c>
      <c r="E585" s="96" t="s">
        <v>62</v>
      </c>
    </row>
    <row r="586" spans="1:5" x14ac:dyDescent="0.25">
      <c r="A586" s="84">
        <v>45824</v>
      </c>
      <c r="B586" s="96">
        <v>513495.147</v>
      </c>
      <c r="C586" s="96">
        <v>4786386.38</v>
      </c>
      <c r="D586" s="96">
        <v>59.661999999999999</v>
      </c>
      <c r="E586" s="96" t="s">
        <v>63</v>
      </c>
    </row>
    <row r="587" spans="1:5" x14ac:dyDescent="0.25">
      <c r="A587" s="84">
        <v>45824</v>
      </c>
      <c r="B587" s="96">
        <v>513495.777</v>
      </c>
      <c r="C587" s="96">
        <v>4786386.2019999996</v>
      </c>
      <c r="D587" s="96">
        <v>56.582999999999998</v>
      </c>
      <c r="E587" s="96" t="s">
        <v>64</v>
      </c>
    </row>
    <row r="588" spans="1:5" x14ac:dyDescent="0.25">
      <c r="A588" s="84">
        <v>45824</v>
      </c>
      <c r="B588" s="96">
        <v>513491.95199999999</v>
      </c>
      <c r="C588" s="96">
        <v>4786383.7089999998</v>
      </c>
      <c r="D588" s="96">
        <v>61.484000000000002</v>
      </c>
      <c r="E588" s="96" t="s">
        <v>66</v>
      </c>
    </row>
    <row r="589" spans="1:5" x14ac:dyDescent="0.25">
      <c r="A589" s="84">
        <v>45824</v>
      </c>
      <c r="B589" s="96">
        <v>513492.02100000001</v>
      </c>
      <c r="C589" s="96">
        <v>4786383.6849999996</v>
      </c>
      <c r="D589" s="96">
        <v>59.485999999999997</v>
      </c>
      <c r="E589" s="96" t="s">
        <v>67</v>
      </c>
    </row>
    <row r="590" spans="1:5" x14ac:dyDescent="0.25">
      <c r="A590" s="84">
        <v>45824</v>
      </c>
      <c r="B590" s="96">
        <v>513492.28499999997</v>
      </c>
      <c r="C590" s="96">
        <v>4786384.1229999997</v>
      </c>
      <c r="D590" s="96">
        <v>56.496000000000002</v>
      </c>
      <c r="E590" s="96" t="s">
        <v>68</v>
      </c>
    </row>
    <row r="591" spans="1:5" x14ac:dyDescent="0.25">
      <c r="A591" s="84">
        <v>45824</v>
      </c>
      <c r="B591" s="96">
        <v>513484.61499999999</v>
      </c>
      <c r="C591" s="96">
        <v>4786368.818</v>
      </c>
      <c r="D591" s="96">
        <v>60.354999999999997</v>
      </c>
      <c r="E591" s="96" t="s">
        <v>72</v>
      </c>
    </row>
    <row r="592" spans="1:5" x14ac:dyDescent="0.25">
      <c r="A592" s="84">
        <v>45824</v>
      </c>
      <c r="B592" s="96">
        <v>513484.72899999999</v>
      </c>
      <c r="C592" s="96">
        <v>4786368.7359999996</v>
      </c>
      <c r="D592" s="96">
        <v>59.375999999999998</v>
      </c>
      <c r="E592" s="96" t="s">
        <v>73</v>
      </c>
    </row>
    <row r="593" spans="1:5" x14ac:dyDescent="0.25">
      <c r="A593" s="84">
        <v>45824</v>
      </c>
      <c r="B593" s="96">
        <v>513484.75400000002</v>
      </c>
      <c r="C593" s="96">
        <v>4786368.7419999996</v>
      </c>
      <c r="D593" s="96">
        <v>56.356000000000002</v>
      </c>
      <c r="E593" s="96" t="s">
        <v>74</v>
      </c>
    </row>
    <row r="594" spans="1:5" x14ac:dyDescent="0.25">
      <c r="A594" s="84">
        <v>45824</v>
      </c>
      <c r="B594" s="96">
        <v>513480.114</v>
      </c>
      <c r="C594" s="96">
        <v>4786359.8150000004</v>
      </c>
      <c r="D594" s="96">
        <v>59.853999999999999</v>
      </c>
      <c r="E594" s="96" t="s">
        <v>76</v>
      </c>
    </row>
    <row r="595" spans="1:5" x14ac:dyDescent="0.25">
      <c r="A595" s="84">
        <v>45824</v>
      </c>
      <c r="B595" s="96">
        <v>513480.46100000001</v>
      </c>
      <c r="C595" s="96">
        <v>4786360.3260000004</v>
      </c>
      <c r="D595" s="96">
        <v>56.536000000000001</v>
      </c>
      <c r="E595" s="96" t="s">
        <v>83</v>
      </c>
    </row>
    <row r="596" spans="1:5" x14ac:dyDescent="0.25">
      <c r="A596" s="84">
        <v>45824</v>
      </c>
      <c r="B596" s="96">
        <v>513474.54200000002</v>
      </c>
      <c r="C596" s="96">
        <v>4786353.87</v>
      </c>
      <c r="D596" s="96">
        <v>59.295999999999999</v>
      </c>
      <c r="E596" s="96" t="s">
        <v>79</v>
      </c>
    </row>
    <row r="597" spans="1:5" x14ac:dyDescent="0.25">
      <c r="A597" s="84">
        <v>45824</v>
      </c>
      <c r="B597" s="96">
        <v>513473.76199999999</v>
      </c>
      <c r="C597" s="96">
        <v>4786353.0539999995</v>
      </c>
      <c r="D597" s="96">
        <v>56.28</v>
      </c>
      <c r="E597" s="96" t="s">
        <v>84</v>
      </c>
    </row>
    <row r="598" spans="1:5" x14ac:dyDescent="0.25">
      <c r="A598" s="84">
        <v>45825</v>
      </c>
      <c r="B598" s="96">
        <v>513495.20299999998</v>
      </c>
      <c r="C598" s="96">
        <v>4786386.5449999999</v>
      </c>
      <c r="D598" s="96">
        <v>61.189</v>
      </c>
      <c r="E598" s="96" t="s">
        <v>62</v>
      </c>
    </row>
    <row r="599" spans="1:5" x14ac:dyDescent="0.25">
      <c r="A599" s="84">
        <v>45825</v>
      </c>
      <c r="B599" s="96">
        <v>513495.14799999999</v>
      </c>
      <c r="C599" s="96">
        <v>4786386.38</v>
      </c>
      <c r="D599" s="96">
        <v>59.662999999999997</v>
      </c>
      <c r="E599" s="96" t="s">
        <v>63</v>
      </c>
    </row>
    <row r="600" spans="1:5" x14ac:dyDescent="0.25">
      <c r="A600" s="84">
        <v>45825</v>
      </c>
      <c r="B600" s="96">
        <v>513495.77799999999</v>
      </c>
      <c r="C600" s="96">
        <v>4786386.2029999997</v>
      </c>
      <c r="D600" s="96">
        <v>56.582000000000001</v>
      </c>
      <c r="E600" s="96" t="s">
        <v>64</v>
      </c>
    </row>
    <row r="601" spans="1:5" x14ac:dyDescent="0.25">
      <c r="A601" s="84">
        <v>45825</v>
      </c>
      <c r="B601" s="96">
        <v>513491.95299999998</v>
      </c>
      <c r="C601" s="96">
        <v>4786383.7089999998</v>
      </c>
      <c r="D601" s="96">
        <v>61.484000000000002</v>
      </c>
      <c r="E601" s="96" t="s">
        <v>66</v>
      </c>
    </row>
    <row r="602" spans="1:5" x14ac:dyDescent="0.25">
      <c r="A602" s="84">
        <v>45825</v>
      </c>
      <c r="B602" s="96">
        <v>513492.02100000001</v>
      </c>
      <c r="C602" s="96">
        <v>4786383.6859999998</v>
      </c>
      <c r="D602" s="96">
        <v>59.485999999999997</v>
      </c>
      <c r="E602" s="96" t="s">
        <v>67</v>
      </c>
    </row>
    <row r="603" spans="1:5" x14ac:dyDescent="0.25">
      <c r="A603" s="84">
        <v>45825</v>
      </c>
      <c r="B603" s="96">
        <v>513492.28600000002</v>
      </c>
      <c r="C603" s="96">
        <v>4786384.1239999998</v>
      </c>
      <c r="D603" s="96">
        <v>56.494</v>
      </c>
      <c r="E603" s="96" t="s">
        <v>68</v>
      </c>
    </row>
    <row r="604" spans="1:5" x14ac:dyDescent="0.25">
      <c r="A604" s="84">
        <v>45825</v>
      </c>
      <c r="B604" s="96">
        <v>513484.61499999999</v>
      </c>
      <c r="C604" s="96">
        <v>4786368.8190000001</v>
      </c>
      <c r="D604" s="96">
        <v>60.353999999999999</v>
      </c>
      <c r="E604" s="96" t="s">
        <v>72</v>
      </c>
    </row>
    <row r="605" spans="1:5" x14ac:dyDescent="0.25">
      <c r="A605" s="84">
        <v>45825</v>
      </c>
      <c r="B605" s="96">
        <v>513484.72899999999</v>
      </c>
      <c r="C605" s="96">
        <v>4786368.7369999997</v>
      </c>
      <c r="D605" s="96">
        <v>59.374000000000002</v>
      </c>
      <c r="E605" s="96" t="s">
        <v>73</v>
      </c>
    </row>
    <row r="606" spans="1:5" x14ac:dyDescent="0.25">
      <c r="A606" s="84">
        <v>45825</v>
      </c>
      <c r="B606" s="96">
        <v>513484.75400000002</v>
      </c>
      <c r="C606" s="96">
        <v>4786368.7419999996</v>
      </c>
      <c r="D606" s="96">
        <v>56.356000000000002</v>
      </c>
      <c r="E606" s="96" t="s">
        <v>74</v>
      </c>
    </row>
    <row r="607" spans="1:5" x14ac:dyDescent="0.25">
      <c r="A607" s="84">
        <v>45825</v>
      </c>
      <c r="B607" s="96">
        <v>513484.82500000001</v>
      </c>
      <c r="C607" s="96">
        <v>4786368.9400000004</v>
      </c>
      <c r="D607" s="96">
        <v>53.37</v>
      </c>
      <c r="E607" s="96" t="s">
        <v>75</v>
      </c>
    </row>
    <row r="608" spans="1:5" x14ac:dyDescent="0.25">
      <c r="A608" s="84">
        <v>45825</v>
      </c>
      <c r="B608" s="96">
        <v>513480.114</v>
      </c>
      <c r="C608" s="96">
        <v>4786359.8150000004</v>
      </c>
      <c r="D608" s="96">
        <v>59.851999999999997</v>
      </c>
      <c r="E608" s="96" t="s">
        <v>76</v>
      </c>
    </row>
    <row r="609" spans="1:5" x14ac:dyDescent="0.25">
      <c r="A609" s="84">
        <v>45825</v>
      </c>
      <c r="B609" s="96">
        <v>513480.462</v>
      </c>
      <c r="C609" s="96">
        <v>4786360.3260000004</v>
      </c>
      <c r="D609" s="96">
        <v>56.534999999999997</v>
      </c>
      <c r="E609" s="96" t="s">
        <v>83</v>
      </c>
    </row>
    <row r="610" spans="1:5" x14ac:dyDescent="0.25">
      <c r="A610" s="84">
        <v>45825</v>
      </c>
      <c r="B610" s="96">
        <v>513474.54200000002</v>
      </c>
      <c r="C610" s="96">
        <v>4786353.8710000003</v>
      </c>
      <c r="D610" s="96">
        <v>59.295000000000002</v>
      </c>
      <c r="E610" s="96" t="s">
        <v>79</v>
      </c>
    </row>
    <row r="611" spans="1:5" x14ac:dyDescent="0.25">
      <c r="A611" s="84">
        <v>45825</v>
      </c>
      <c r="B611" s="96">
        <v>513473.76199999999</v>
      </c>
      <c r="C611" s="96">
        <v>4786353.0539999995</v>
      </c>
      <c r="D611" s="96">
        <v>56.279000000000003</v>
      </c>
      <c r="E611" s="96" t="s">
        <v>84</v>
      </c>
    </row>
    <row r="612" spans="1:5" x14ac:dyDescent="0.25">
      <c r="A612" s="84">
        <v>45826</v>
      </c>
      <c r="B612" s="96">
        <v>513495.20199999999</v>
      </c>
      <c r="C612" s="96">
        <v>4786386.5449999999</v>
      </c>
      <c r="D612" s="96">
        <v>61.191000000000003</v>
      </c>
      <c r="E612" s="96" t="s">
        <v>62</v>
      </c>
    </row>
    <row r="613" spans="1:5" x14ac:dyDescent="0.25">
      <c r="A613" s="84">
        <v>45826</v>
      </c>
      <c r="B613" s="96">
        <v>513495.147</v>
      </c>
      <c r="C613" s="96">
        <v>4786386.38</v>
      </c>
      <c r="D613" s="96">
        <v>59.661999999999999</v>
      </c>
      <c r="E613" s="96" t="s">
        <v>63</v>
      </c>
    </row>
    <row r="614" spans="1:5" x14ac:dyDescent="0.25">
      <c r="A614" s="84">
        <v>45826</v>
      </c>
      <c r="B614" s="96">
        <v>513495.777</v>
      </c>
      <c r="C614" s="96">
        <v>4786386.2019999996</v>
      </c>
      <c r="D614" s="96">
        <v>56.582000000000001</v>
      </c>
      <c r="E614" s="96" t="s">
        <v>64</v>
      </c>
    </row>
    <row r="615" spans="1:5" x14ac:dyDescent="0.25">
      <c r="A615" s="84">
        <v>45826</v>
      </c>
      <c r="B615" s="96">
        <v>513491.95299999998</v>
      </c>
      <c r="C615" s="96">
        <v>4786383.7079999996</v>
      </c>
      <c r="D615" s="96">
        <v>61.484000000000002</v>
      </c>
      <c r="E615" s="96" t="s">
        <v>66</v>
      </c>
    </row>
    <row r="616" spans="1:5" x14ac:dyDescent="0.25">
      <c r="A616" s="84">
        <v>45826</v>
      </c>
      <c r="B616" s="96">
        <v>513492.022</v>
      </c>
      <c r="C616" s="96">
        <v>4786383.6859999998</v>
      </c>
      <c r="D616" s="96">
        <v>59.484999999999999</v>
      </c>
      <c r="E616" s="96" t="s">
        <v>67</v>
      </c>
    </row>
    <row r="617" spans="1:5" x14ac:dyDescent="0.25">
      <c r="A617" s="84">
        <v>45826</v>
      </c>
      <c r="B617" s="96">
        <v>513492.28499999997</v>
      </c>
      <c r="C617" s="96">
        <v>4786384.1229999997</v>
      </c>
      <c r="D617" s="96">
        <v>56.494999999999997</v>
      </c>
      <c r="E617" s="96" t="s">
        <v>68</v>
      </c>
    </row>
    <row r="618" spans="1:5" x14ac:dyDescent="0.25">
      <c r="A618" s="84">
        <v>45826</v>
      </c>
      <c r="B618" s="96">
        <v>513484.61499999999</v>
      </c>
      <c r="C618" s="96">
        <v>4786368.818</v>
      </c>
      <c r="D618" s="96">
        <v>60.353999999999999</v>
      </c>
      <c r="E618" s="96" t="s">
        <v>72</v>
      </c>
    </row>
    <row r="619" spans="1:5" x14ac:dyDescent="0.25">
      <c r="A619" s="84">
        <v>45826</v>
      </c>
      <c r="B619" s="96">
        <v>513484.72899999999</v>
      </c>
      <c r="C619" s="96">
        <v>4786368.7369999997</v>
      </c>
      <c r="D619" s="96">
        <v>59.375</v>
      </c>
      <c r="E619" s="96" t="s">
        <v>73</v>
      </c>
    </row>
    <row r="620" spans="1:5" x14ac:dyDescent="0.25">
      <c r="A620" s="84">
        <v>45826</v>
      </c>
      <c r="B620" s="96">
        <v>513484.75400000002</v>
      </c>
      <c r="C620" s="96">
        <v>4786368.7419999996</v>
      </c>
      <c r="D620" s="96">
        <v>56.356000000000002</v>
      </c>
      <c r="E620" s="96" t="s">
        <v>74</v>
      </c>
    </row>
    <row r="621" spans="1:5" x14ac:dyDescent="0.25">
      <c r="A621" s="84">
        <v>45826</v>
      </c>
      <c r="B621" s="96">
        <v>513484.82400000002</v>
      </c>
      <c r="C621" s="96">
        <v>4786368.9400000004</v>
      </c>
      <c r="D621" s="96">
        <v>53.37</v>
      </c>
      <c r="E621" s="96" t="s">
        <v>75</v>
      </c>
    </row>
    <row r="622" spans="1:5" x14ac:dyDescent="0.25">
      <c r="A622" s="84">
        <v>45826</v>
      </c>
      <c r="B622" s="96">
        <v>513480.114</v>
      </c>
      <c r="C622" s="96">
        <v>4786359.8150000004</v>
      </c>
      <c r="D622" s="96">
        <v>59.853000000000002</v>
      </c>
      <c r="E622" s="96" t="s">
        <v>76</v>
      </c>
    </row>
    <row r="623" spans="1:5" x14ac:dyDescent="0.25">
      <c r="A623" s="84">
        <v>45826</v>
      </c>
      <c r="B623" s="96">
        <v>513480.462</v>
      </c>
      <c r="C623" s="96">
        <v>4786360.3260000004</v>
      </c>
      <c r="D623" s="96">
        <v>56.534999999999997</v>
      </c>
      <c r="E623" s="96" t="s">
        <v>83</v>
      </c>
    </row>
    <row r="624" spans="1:5" x14ac:dyDescent="0.25">
      <c r="A624" s="84">
        <v>45826</v>
      </c>
      <c r="B624" s="96">
        <v>513474.54100000003</v>
      </c>
      <c r="C624" s="96">
        <v>4786353.87</v>
      </c>
      <c r="D624" s="96">
        <v>59.295000000000002</v>
      </c>
      <c r="E624" s="96" t="s">
        <v>79</v>
      </c>
    </row>
    <row r="625" spans="1:5" x14ac:dyDescent="0.25">
      <c r="A625" s="84">
        <v>45826</v>
      </c>
      <c r="B625" s="96">
        <v>513473.76199999999</v>
      </c>
      <c r="C625" s="96">
        <v>4786353.0539999995</v>
      </c>
      <c r="D625" s="96">
        <v>56.279000000000003</v>
      </c>
      <c r="E625" s="96" t="s">
        <v>84</v>
      </c>
    </row>
    <row r="626" spans="1:5" x14ac:dyDescent="0.25">
      <c r="A626" s="84">
        <v>45827</v>
      </c>
      <c r="B626" s="96">
        <v>513495.201</v>
      </c>
      <c r="C626" s="96">
        <v>4786386.5460000001</v>
      </c>
      <c r="D626" s="96">
        <v>61.191000000000003</v>
      </c>
      <c r="E626" s="96" t="s">
        <v>62</v>
      </c>
    </row>
    <row r="627" spans="1:5" x14ac:dyDescent="0.25">
      <c r="A627" s="84">
        <v>45827</v>
      </c>
      <c r="B627" s="96">
        <v>513495.147</v>
      </c>
      <c r="C627" s="96">
        <v>4786386.38</v>
      </c>
      <c r="D627" s="96">
        <v>59.661999999999999</v>
      </c>
      <c r="E627" s="96" t="s">
        <v>63</v>
      </c>
    </row>
    <row r="628" spans="1:5" x14ac:dyDescent="0.25">
      <c r="A628" s="84">
        <v>45827</v>
      </c>
      <c r="B628" s="96">
        <v>513495.777</v>
      </c>
      <c r="C628" s="96">
        <v>4786386.2019999996</v>
      </c>
      <c r="D628" s="96">
        <v>56.582000000000001</v>
      </c>
      <c r="E628" s="96" t="s">
        <v>64</v>
      </c>
    </row>
    <row r="629" spans="1:5" x14ac:dyDescent="0.25">
      <c r="A629" s="84">
        <v>45827</v>
      </c>
      <c r="B629" s="96">
        <v>513491.95199999999</v>
      </c>
      <c r="C629" s="96">
        <v>4786383.7089999998</v>
      </c>
      <c r="D629" s="96">
        <v>61.482999999999997</v>
      </c>
      <c r="E629" s="96" t="s">
        <v>66</v>
      </c>
    </row>
    <row r="630" spans="1:5" x14ac:dyDescent="0.25">
      <c r="A630" s="84">
        <v>45827</v>
      </c>
      <c r="B630" s="96">
        <v>513492.02100000001</v>
      </c>
      <c r="C630" s="96">
        <v>4786383.6849999996</v>
      </c>
      <c r="D630" s="96">
        <v>59.484999999999999</v>
      </c>
      <c r="E630" s="96" t="s">
        <v>67</v>
      </c>
    </row>
    <row r="631" spans="1:5" x14ac:dyDescent="0.25">
      <c r="A631" s="84">
        <v>45827</v>
      </c>
      <c r="B631" s="96">
        <v>513492.28499999997</v>
      </c>
      <c r="C631" s="96">
        <v>4786384.1239999998</v>
      </c>
      <c r="D631" s="96">
        <v>56.496000000000002</v>
      </c>
      <c r="E631" s="96" t="s">
        <v>68</v>
      </c>
    </row>
    <row r="632" spans="1:5" x14ac:dyDescent="0.25">
      <c r="A632" s="84">
        <v>45827</v>
      </c>
      <c r="B632" s="96">
        <v>513484.61499999999</v>
      </c>
      <c r="C632" s="96">
        <v>4786368.8169999998</v>
      </c>
      <c r="D632" s="96">
        <v>60.353999999999999</v>
      </c>
      <c r="E632" s="96" t="s">
        <v>72</v>
      </c>
    </row>
    <row r="633" spans="1:5" x14ac:dyDescent="0.25">
      <c r="A633" s="84">
        <v>45827</v>
      </c>
      <c r="B633" s="96">
        <v>513484.72899999999</v>
      </c>
      <c r="C633" s="96">
        <v>4786368.7359999996</v>
      </c>
      <c r="D633" s="96">
        <v>59.375</v>
      </c>
      <c r="E633" s="96" t="s">
        <v>73</v>
      </c>
    </row>
    <row r="634" spans="1:5" x14ac:dyDescent="0.25">
      <c r="A634" s="84">
        <v>45827</v>
      </c>
      <c r="B634" s="96">
        <v>513484.75400000002</v>
      </c>
      <c r="C634" s="96">
        <v>4786368.7419999996</v>
      </c>
      <c r="D634" s="96">
        <v>56.356000000000002</v>
      </c>
      <c r="E634" s="96" t="s">
        <v>74</v>
      </c>
    </row>
    <row r="635" spans="1:5" x14ac:dyDescent="0.25">
      <c r="A635" s="84">
        <v>45827</v>
      </c>
      <c r="B635" s="96">
        <v>513484.82500000001</v>
      </c>
      <c r="C635" s="96">
        <v>4786368.9400000004</v>
      </c>
      <c r="D635" s="96">
        <v>53.369</v>
      </c>
      <c r="E635" s="96" t="s">
        <v>75</v>
      </c>
    </row>
    <row r="636" spans="1:5" x14ac:dyDescent="0.25">
      <c r="A636" s="84">
        <v>45827</v>
      </c>
      <c r="B636" s="96">
        <v>513480.114</v>
      </c>
      <c r="C636" s="96">
        <v>4786359.8140000002</v>
      </c>
      <c r="D636" s="96">
        <v>59.853000000000002</v>
      </c>
      <c r="E636" s="96" t="s">
        <v>76</v>
      </c>
    </row>
    <row r="637" spans="1:5" x14ac:dyDescent="0.25">
      <c r="A637" s="84">
        <v>45827</v>
      </c>
      <c r="B637" s="96">
        <v>513480.462</v>
      </c>
      <c r="C637" s="96">
        <v>4786360.3260000004</v>
      </c>
      <c r="D637" s="96">
        <v>56.534999999999997</v>
      </c>
      <c r="E637" s="96" t="s">
        <v>83</v>
      </c>
    </row>
    <row r="638" spans="1:5" x14ac:dyDescent="0.25">
      <c r="A638" s="84">
        <v>45827</v>
      </c>
      <c r="B638" s="96">
        <v>513474.54100000003</v>
      </c>
      <c r="C638" s="96">
        <v>4786353.87</v>
      </c>
      <c r="D638" s="96">
        <v>59.295000000000002</v>
      </c>
      <c r="E638" s="96" t="s">
        <v>79</v>
      </c>
    </row>
    <row r="639" spans="1:5" x14ac:dyDescent="0.25">
      <c r="A639" s="84">
        <v>45827</v>
      </c>
      <c r="B639" s="96">
        <v>513473.76199999999</v>
      </c>
      <c r="C639" s="96">
        <v>4786353.0539999995</v>
      </c>
      <c r="D639" s="96">
        <v>56.277999999999999</v>
      </c>
      <c r="E639" s="96" t="s">
        <v>84</v>
      </c>
    </row>
    <row r="640" spans="1:5" x14ac:dyDescent="0.25">
      <c r="A640" s="84">
        <v>45828</v>
      </c>
      <c r="B640" s="96">
        <v>513495.201</v>
      </c>
      <c r="C640" s="96">
        <v>4786386.5460000001</v>
      </c>
      <c r="D640" s="96">
        <v>61.19</v>
      </c>
      <c r="E640" s="96" t="s">
        <v>62</v>
      </c>
    </row>
    <row r="641" spans="1:5" x14ac:dyDescent="0.25">
      <c r="A641" s="84">
        <v>45828</v>
      </c>
      <c r="B641" s="96">
        <v>513495.147</v>
      </c>
      <c r="C641" s="96">
        <v>4786386.38</v>
      </c>
      <c r="D641" s="96">
        <v>59.662999999999997</v>
      </c>
      <c r="E641" s="96" t="s">
        <v>63</v>
      </c>
    </row>
    <row r="642" spans="1:5" x14ac:dyDescent="0.25">
      <c r="A642" s="84">
        <v>45828</v>
      </c>
      <c r="B642" s="96">
        <v>513495.777</v>
      </c>
      <c r="C642" s="96">
        <v>4786386.2019999996</v>
      </c>
      <c r="D642" s="96">
        <v>56.584000000000003</v>
      </c>
      <c r="E642" s="96" t="s">
        <v>64</v>
      </c>
    </row>
    <row r="643" spans="1:5" x14ac:dyDescent="0.25">
      <c r="A643" s="84">
        <v>45828</v>
      </c>
      <c r="B643" s="96">
        <v>513491.951</v>
      </c>
      <c r="C643" s="96">
        <v>4786383.7089999998</v>
      </c>
      <c r="D643" s="96">
        <v>61.484000000000002</v>
      </c>
      <c r="E643" s="96" t="s">
        <v>66</v>
      </c>
    </row>
    <row r="644" spans="1:5" x14ac:dyDescent="0.25">
      <c r="A644" s="84">
        <v>45828</v>
      </c>
      <c r="B644" s="96">
        <v>513492.02100000001</v>
      </c>
      <c r="C644" s="96">
        <v>4786383.6859999998</v>
      </c>
      <c r="D644" s="96">
        <v>59.485999999999997</v>
      </c>
      <c r="E644" s="96" t="s">
        <v>67</v>
      </c>
    </row>
    <row r="645" spans="1:5" x14ac:dyDescent="0.25">
      <c r="A645" s="84">
        <v>45828</v>
      </c>
      <c r="B645" s="96">
        <v>513492.28700000001</v>
      </c>
      <c r="C645" s="96">
        <v>4786384.125</v>
      </c>
      <c r="D645" s="96">
        <v>56.494999999999997</v>
      </c>
      <c r="E645" s="96" t="s">
        <v>68</v>
      </c>
    </row>
    <row r="646" spans="1:5" x14ac:dyDescent="0.25">
      <c r="A646" s="84">
        <v>45828</v>
      </c>
      <c r="B646" s="96">
        <v>513484.614</v>
      </c>
      <c r="C646" s="96">
        <v>4786368.8190000001</v>
      </c>
      <c r="D646" s="96">
        <v>60.353999999999999</v>
      </c>
      <c r="E646" s="96" t="s">
        <v>72</v>
      </c>
    </row>
    <row r="647" spans="1:5" x14ac:dyDescent="0.25">
      <c r="A647" s="84">
        <v>45828</v>
      </c>
      <c r="B647" s="96">
        <v>513484.728</v>
      </c>
      <c r="C647" s="96">
        <v>4786368.7369999997</v>
      </c>
      <c r="D647" s="96">
        <v>59.375</v>
      </c>
      <c r="E647" s="96" t="s">
        <v>73</v>
      </c>
    </row>
    <row r="648" spans="1:5" x14ac:dyDescent="0.25">
      <c r="A648" s="84">
        <v>45828</v>
      </c>
      <c r="B648" s="96">
        <v>513484.75400000002</v>
      </c>
      <c r="C648" s="96">
        <v>4786368.7419999996</v>
      </c>
      <c r="D648" s="96">
        <v>56.356000000000002</v>
      </c>
      <c r="E648" s="96" t="s">
        <v>74</v>
      </c>
    </row>
    <row r="649" spans="1:5" x14ac:dyDescent="0.25">
      <c r="A649" s="84">
        <v>45828</v>
      </c>
      <c r="B649" s="96">
        <v>513484.82500000001</v>
      </c>
      <c r="C649" s="96">
        <v>4786368.9400000004</v>
      </c>
      <c r="D649" s="96">
        <v>53.369</v>
      </c>
      <c r="E649" s="96" t="s">
        <v>75</v>
      </c>
    </row>
    <row r="650" spans="1:5" x14ac:dyDescent="0.25">
      <c r="A650" s="84">
        <v>45828</v>
      </c>
      <c r="B650" s="96">
        <v>513480.114</v>
      </c>
      <c r="C650" s="96">
        <v>4786359.8140000002</v>
      </c>
      <c r="D650" s="96">
        <v>59.853000000000002</v>
      </c>
      <c r="E650" s="96" t="s">
        <v>76</v>
      </c>
    </row>
    <row r="651" spans="1:5" x14ac:dyDescent="0.25">
      <c r="A651" s="84">
        <v>45828</v>
      </c>
      <c r="B651" s="96">
        <v>513480.462</v>
      </c>
      <c r="C651" s="96">
        <v>4786360.3269999996</v>
      </c>
      <c r="D651" s="96">
        <v>56.533999999999999</v>
      </c>
      <c r="E651" s="96" t="s">
        <v>83</v>
      </c>
    </row>
    <row r="652" spans="1:5" x14ac:dyDescent="0.25">
      <c r="A652" s="84">
        <v>45828</v>
      </c>
      <c r="B652" s="96">
        <v>513474.54100000003</v>
      </c>
      <c r="C652" s="96">
        <v>4786353.87</v>
      </c>
      <c r="D652" s="96">
        <v>59.293999999999997</v>
      </c>
      <c r="E652" s="96" t="s">
        <v>79</v>
      </c>
    </row>
    <row r="653" spans="1:5" x14ac:dyDescent="0.25">
      <c r="A653" s="84">
        <v>45828</v>
      </c>
      <c r="B653" s="96">
        <v>513473.76199999999</v>
      </c>
      <c r="C653" s="96">
        <v>4786353.0539999995</v>
      </c>
      <c r="D653" s="96">
        <v>56.279000000000003</v>
      </c>
      <c r="E653" s="96" t="s">
        <v>84</v>
      </c>
    </row>
    <row r="654" spans="1:5" x14ac:dyDescent="0.25">
      <c r="A654" s="84">
        <v>45831</v>
      </c>
      <c r="B654" s="96">
        <v>513495.20199999999</v>
      </c>
      <c r="C654" s="96">
        <v>4786386.5449999999</v>
      </c>
      <c r="D654" s="96">
        <v>61.189</v>
      </c>
      <c r="E654" s="96" t="s">
        <v>62</v>
      </c>
    </row>
    <row r="655" spans="1:5" x14ac:dyDescent="0.25">
      <c r="A655" s="84">
        <v>45831</v>
      </c>
      <c r="B655" s="96">
        <v>513495.147</v>
      </c>
      <c r="C655" s="96">
        <v>4786386.38</v>
      </c>
      <c r="D655" s="96">
        <v>59.66</v>
      </c>
      <c r="E655" s="96" t="s">
        <v>63</v>
      </c>
    </row>
    <row r="656" spans="1:5" x14ac:dyDescent="0.25">
      <c r="A656" s="84">
        <v>45831</v>
      </c>
      <c r="B656" s="96">
        <v>513495.777</v>
      </c>
      <c r="C656" s="96">
        <v>4786386.2019999996</v>
      </c>
      <c r="D656" s="96">
        <v>56.581000000000003</v>
      </c>
      <c r="E656" s="96" t="s">
        <v>64</v>
      </c>
    </row>
    <row r="657" spans="1:5" x14ac:dyDescent="0.25">
      <c r="A657" s="84">
        <v>45831</v>
      </c>
      <c r="B657" s="96">
        <v>513491.951</v>
      </c>
      <c r="C657" s="96">
        <v>4786383.7089999998</v>
      </c>
      <c r="D657" s="96">
        <v>61.481999999999999</v>
      </c>
      <c r="E657" s="96" t="s">
        <v>66</v>
      </c>
    </row>
    <row r="658" spans="1:5" x14ac:dyDescent="0.25">
      <c r="A658" s="84">
        <v>45831</v>
      </c>
      <c r="B658" s="96">
        <v>513492.02</v>
      </c>
      <c r="C658" s="96">
        <v>4786383.6849999996</v>
      </c>
      <c r="D658" s="96">
        <v>59.484000000000002</v>
      </c>
      <c r="E658" s="96" t="s">
        <v>67</v>
      </c>
    </row>
    <row r="659" spans="1:5" x14ac:dyDescent="0.25">
      <c r="A659" s="84">
        <v>45831</v>
      </c>
      <c r="B659" s="96">
        <v>513492.288</v>
      </c>
      <c r="C659" s="96">
        <v>4786384.1260000002</v>
      </c>
      <c r="D659" s="96">
        <v>56.494</v>
      </c>
      <c r="E659" s="96" t="s">
        <v>68</v>
      </c>
    </row>
    <row r="660" spans="1:5" x14ac:dyDescent="0.25">
      <c r="A660" s="84">
        <v>45831</v>
      </c>
      <c r="B660" s="96">
        <v>513484.614</v>
      </c>
      <c r="C660" s="96">
        <v>4786368.8190000001</v>
      </c>
      <c r="D660" s="96">
        <v>60.353999999999999</v>
      </c>
      <c r="E660" s="96" t="s">
        <v>72</v>
      </c>
    </row>
    <row r="661" spans="1:5" x14ac:dyDescent="0.25">
      <c r="A661" s="84">
        <v>45831</v>
      </c>
      <c r="B661" s="96">
        <v>513484.728</v>
      </c>
      <c r="C661" s="96">
        <v>4786368.7369999997</v>
      </c>
      <c r="D661" s="96">
        <v>59.374000000000002</v>
      </c>
      <c r="E661" s="96" t="s">
        <v>73</v>
      </c>
    </row>
    <row r="662" spans="1:5" x14ac:dyDescent="0.25">
      <c r="A662" s="84">
        <v>45831</v>
      </c>
      <c r="B662" s="96">
        <v>513484.755</v>
      </c>
      <c r="C662" s="96">
        <v>4786368.7419999996</v>
      </c>
      <c r="D662" s="96">
        <v>56.354999999999997</v>
      </c>
      <c r="E662" s="96" t="s">
        <v>74</v>
      </c>
    </row>
    <row r="663" spans="1:5" x14ac:dyDescent="0.25">
      <c r="A663" s="84">
        <v>45831</v>
      </c>
      <c r="B663" s="96">
        <v>513484.826</v>
      </c>
      <c r="C663" s="96">
        <v>4786368.9390000002</v>
      </c>
      <c r="D663" s="96">
        <v>53.369</v>
      </c>
      <c r="E663" s="96" t="s">
        <v>75</v>
      </c>
    </row>
    <row r="664" spans="1:5" x14ac:dyDescent="0.25">
      <c r="A664" s="84">
        <v>45831</v>
      </c>
      <c r="B664" s="96">
        <v>513480.114</v>
      </c>
      <c r="C664" s="96">
        <v>4786359.8150000004</v>
      </c>
      <c r="D664" s="96">
        <v>59.851999999999997</v>
      </c>
      <c r="E664" s="96" t="s">
        <v>76</v>
      </c>
    </row>
    <row r="665" spans="1:5" x14ac:dyDescent="0.25">
      <c r="A665" s="84">
        <v>45831</v>
      </c>
      <c r="B665" s="96">
        <v>513480.462</v>
      </c>
      <c r="C665" s="96">
        <v>4786360.3260000004</v>
      </c>
      <c r="D665" s="96">
        <v>56.533999999999999</v>
      </c>
      <c r="E665" s="96" t="s">
        <v>83</v>
      </c>
    </row>
    <row r="666" spans="1:5" x14ac:dyDescent="0.25">
      <c r="A666" s="84">
        <v>45831</v>
      </c>
      <c r="B666" s="96">
        <v>513474.54100000003</v>
      </c>
      <c r="C666" s="96">
        <v>4786353.87</v>
      </c>
      <c r="D666" s="96">
        <v>59.292999999999999</v>
      </c>
      <c r="E666" s="96" t="s">
        <v>79</v>
      </c>
    </row>
    <row r="667" spans="1:5" x14ac:dyDescent="0.25">
      <c r="A667" s="84">
        <v>45831</v>
      </c>
      <c r="B667" s="96">
        <v>513473.76199999999</v>
      </c>
      <c r="C667" s="96">
        <v>4786353.0539999995</v>
      </c>
      <c r="D667" s="96">
        <v>56.277000000000001</v>
      </c>
      <c r="E667" s="96" t="s">
        <v>84</v>
      </c>
    </row>
    <row r="668" spans="1:5" x14ac:dyDescent="0.25">
      <c r="A668" s="84">
        <v>45832</v>
      </c>
      <c r="B668" s="96">
        <v>513495.201</v>
      </c>
      <c r="C668" s="96">
        <v>4786386.5449999999</v>
      </c>
      <c r="D668" s="96">
        <v>61.189</v>
      </c>
      <c r="E668" s="96" t="s">
        <v>62</v>
      </c>
    </row>
    <row r="669" spans="1:5" x14ac:dyDescent="0.25">
      <c r="A669" s="84">
        <v>45832</v>
      </c>
      <c r="B669" s="96">
        <v>513495.147</v>
      </c>
      <c r="C669" s="96">
        <v>4786386.38</v>
      </c>
      <c r="D669" s="96">
        <v>59.66</v>
      </c>
      <c r="E669" s="96" t="s">
        <v>63</v>
      </c>
    </row>
    <row r="670" spans="1:5" x14ac:dyDescent="0.25">
      <c r="A670" s="84">
        <v>45832</v>
      </c>
      <c r="B670" s="96">
        <v>513495.777</v>
      </c>
      <c r="C670" s="96">
        <v>4786386.2019999996</v>
      </c>
      <c r="D670" s="96">
        <v>56.581000000000003</v>
      </c>
      <c r="E670" s="96" t="s">
        <v>64</v>
      </c>
    </row>
    <row r="671" spans="1:5" x14ac:dyDescent="0.25">
      <c r="A671" s="84">
        <v>45832</v>
      </c>
      <c r="B671" s="96">
        <v>513491.95</v>
      </c>
      <c r="C671" s="96">
        <v>4786383.7089999998</v>
      </c>
      <c r="D671" s="96">
        <v>61.481999999999999</v>
      </c>
      <c r="E671" s="96" t="s">
        <v>66</v>
      </c>
    </row>
    <row r="672" spans="1:5" x14ac:dyDescent="0.25">
      <c r="A672" s="84">
        <v>45832</v>
      </c>
      <c r="B672" s="96">
        <v>513492.01799999998</v>
      </c>
      <c r="C672" s="96">
        <v>4786383.6880000001</v>
      </c>
      <c r="D672" s="96">
        <v>59.484999999999999</v>
      </c>
      <c r="E672" s="96" t="s">
        <v>67</v>
      </c>
    </row>
    <row r="673" spans="1:5" x14ac:dyDescent="0.25">
      <c r="A673" s="84">
        <v>45832</v>
      </c>
      <c r="B673" s="96">
        <v>513492.28700000001</v>
      </c>
      <c r="C673" s="96">
        <v>4786384.1239999998</v>
      </c>
      <c r="D673" s="96">
        <v>56.494</v>
      </c>
      <c r="E673" s="96" t="s">
        <v>68</v>
      </c>
    </row>
    <row r="674" spans="1:5" x14ac:dyDescent="0.25">
      <c r="A674" s="84">
        <v>45832</v>
      </c>
      <c r="B674" s="96">
        <v>513484.61300000001</v>
      </c>
      <c r="C674" s="96">
        <v>4786368.8190000001</v>
      </c>
      <c r="D674" s="96">
        <v>60.353999999999999</v>
      </c>
      <c r="E674" s="96" t="s">
        <v>72</v>
      </c>
    </row>
    <row r="675" spans="1:5" x14ac:dyDescent="0.25">
      <c r="A675" s="84">
        <v>45832</v>
      </c>
      <c r="B675" s="96">
        <v>513484.728</v>
      </c>
      <c r="C675" s="96">
        <v>4786368.7369999997</v>
      </c>
      <c r="D675" s="96">
        <v>59.374000000000002</v>
      </c>
      <c r="E675" s="96" t="s">
        <v>73</v>
      </c>
    </row>
    <row r="676" spans="1:5" x14ac:dyDescent="0.25">
      <c r="A676" s="84">
        <v>45832</v>
      </c>
      <c r="B676" s="96">
        <v>513484.75400000002</v>
      </c>
      <c r="C676" s="96">
        <v>4786368.7419999996</v>
      </c>
      <c r="D676" s="96">
        <v>56.354999999999997</v>
      </c>
      <c r="E676" s="96" t="s">
        <v>74</v>
      </c>
    </row>
    <row r="677" spans="1:5" x14ac:dyDescent="0.25">
      <c r="A677" s="84">
        <v>45832</v>
      </c>
      <c r="B677" s="96">
        <v>513480.114</v>
      </c>
      <c r="C677" s="96">
        <v>4786359.8140000002</v>
      </c>
      <c r="D677" s="96">
        <v>59.851999999999997</v>
      </c>
      <c r="E677" s="96" t="s">
        <v>76</v>
      </c>
    </row>
    <row r="678" spans="1:5" x14ac:dyDescent="0.25">
      <c r="A678" s="84">
        <v>45832</v>
      </c>
      <c r="B678" s="96">
        <v>513480.462</v>
      </c>
      <c r="C678" s="96">
        <v>4786360.3260000004</v>
      </c>
      <c r="D678" s="96">
        <v>56.533999999999999</v>
      </c>
      <c r="E678" s="96" t="s">
        <v>83</v>
      </c>
    </row>
    <row r="679" spans="1:5" x14ac:dyDescent="0.25">
      <c r="A679" s="84">
        <v>45832</v>
      </c>
      <c r="B679" s="96">
        <v>513474.54100000003</v>
      </c>
      <c r="C679" s="96">
        <v>4786353.87</v>
      </c>
      <c r="D679" s="96">
        <v>59.293999999999997</v>
      </c>
      <c r="E679" s="96" t="s">
        <v>79</v>
      </c>
    </row>
    <row r="680" spans="1:5" x14ac:dyDescent="0.25">
      <c r="A680" s="84">
        <v>45832</v>
      </c>
      <c r="B680" s="96">
        <v>513473.76199999999</v>
      </c>
      <c r="C680" s="96">
        <v>4786353.0539999995</v>
      </c>
      <c r="D680" s="96">
        <v>56.277000000000001</v>
      </c>
      <c r="E680" s="96" t="s">
        <v>84</v>
      </c>
    </row>
    <row r="681" spans="1:5" x14ac:dyDescent="0.25">
      <c r="A681" s="84">
        <v>45833</v>
      </c>
      <c r="B681" s="96">
        <v>513495.201</v>
      </c>
      <c r="C681" s="96">
        <v>4786386.5460000001</v>
      </c>
      <c r="D681" s="96">
        <v>61.19</v>
      </c>
      <c r="E681" s="96" t="s">
        <v>62</v>
      </c>
    </row>
    <row r="682" spans="1:5" x14ac:dyDescent="0.25">
      <c r="A682" s="84">
        <v>45833</v>
      </c>
      <c r="B682" s="96">
        <v>513495.147</v>
      </c>
      <c r="C682" s="96">
        <v>4786386.3789999997</v>
      </c>
      <c r="D682" s="96">
        <v>59.66</v>
      </c>
      <c r="E682" s="96" t="s">
        <v>63</v>
      </c>
    </row>
    <row r="683" spans="1:5" x14ac:dyDescent="0.25">
      <c r="A683" s="84">
        <v>45833</v>
      </c>
      <c r="B683" s="96">
        <v>513495.777</v>
      </c>
      <c r="C683" s="96">
        <v>4786386.2029999997</v>
      </c>
      <c r="D683" s="96">
        <v>56.582000000000001</v>
      </c>
      <c r="E683" s="96" t="s">
        <v>64</v>
      </c>
    </row>
    <row r="684" spans="1:5" x14ac:dyDescent="0.25">
      <c r="A684" s="84">
        <v>45833</v>
      </c>
      <c r="B684" s="96">
        <v>513491.95</v>
      </c>
      <c r="C684" s="96">
        <v>4786383.71</v>
      </c>
      <c r="D684" s="96">
        <v>61.482999999999997</v>
      </c>
      <c r="E684" s="96" t="s">
        <v>66</v>
      </c>
    </row>
    <row r="685" spans="1:5" x14ac:dyDescent="0.25">
      <c r="A685" s="84">
        <v>45833</v>
      </c>
      <c r="B685" s="96">
        <v>513492.02</v>
      </c>
      <c r="C685" s="96">
        <v>4786383.6849999996</v>
      </c>
      <c r="D685" s="96">
        <v>59.485999999999997</v>
      </c>
      <c r="E685" s="96" t="s">
        <v>67</v>
      </c>
    </row>
    <row r="686" spans="1:5" x14ac:dyDescent="0.25">
      <c r="A686" s="84">
        <v>45833</v>
      </c>
      <c r="B686" s="96">
        <v>513492.28600000002</v>
      </c>
      <c r="C686" s="96">
        <v>4786384.1239999998</v>
      </c>
      <c r="D686" s="96">
        <v>56.494</v>
      </c>
      <c r="E686" s="96" t="s">
        <v>68</v>
      </c>
    </row>
    <row r="687" spans="1:5" x14ac:dyDescent="0.25">
      <c r="A687" s="84">
        <v>45833</v>
      </c>
      <c r="B687" s="96">
        <v>513484.61300000001</v>
      </c>
      <c r="C687" s="96">
        <v>4786368.8190000001</v>
      </c>
      <c r="D687" s="96">
        <v>60.353999999999999</v>
      </c>
      <c r="E687" s="96" t="s">
        <v>72</v>
      </c>
    </row>
    <row r="688" spans="1:5" x14ac:dyDescent="0.25">
      <c r="A688" s="84">
        <v>45833</v>
      </c>
      <c r="B688" s="96">
        <v>513484.728</v>
      </c>
      <c r="C688" s="96">
        <v>4786368.7369999997</v>
      </c>
      <c r="D688" s="96">
        <v>59.375</v>
      </c>
      <c r="E688" s="96" t="s">
        <v>73</v>
      </c>
    </row>
    <row r="689" spans="1:5" x14ac:dyDescent="0.25">
      <c r="A689" s="84">
        <v>45833</v>
      </c>
      <c r="B689" s="96">
        <v>513484.755</v>
      </c>
      <c r="C689" s="96">
        <v>4786368.7410000004</v>
      </c>
      <c r="D689" s="96">
        <v>56.356000000000002</v>
      </c>
      <c r="E689" s="96" t="s">
        <v>74</v>
      </c>
    </row>
    <row r="690" spans="1:5" x14ac:dyDescent="0.25">
      <c r="A690" s="84">
        <v>45833</v>
      </c>
      <c r="B690" s="96">
        <v>513484.826</v>
      </c>
      <c r="C690" s="96">
        <v>4786368.9390000002</v>
      </c>
      <c r="D690" s="96">
        <v>53.368000000000002</v>
      </c>
      <c r="E690" s="96" t="s">
        <v>75</v>
      </c>
    </row>
    <row r="691" spans="1:5" x14ac:dyDescent="0.25">
      <c r="A691" s="84">
        <v>45833</v>
      </c>
      <c r="B691" s="96">
        <v>513480.114</v>
      </c>
      <c r="C691" s="96">
        <v>4786359.8140000002</v>
      </c>
      <c r="D691" s="96">
        <v>59.853000000000002</v>
      </c>
      <c r="E691" s="96" t="s">
        <v>76</v>
      </c>
    </row>
    <row r="692" spans="1:5" x14ac:dyDescent="0.25">
      <c r="A692" s="84">
        <v>45833</v>
      </c>
      <c r="B692" s="96">
        <v>513480.462</v>
      </c>
      <c r="C692" s="96">
        <v>4786360.3260000004</v>
      </c>
      <c r="D692" s="96">
        <v>56.534999999999997</v>
      </c>
      <c r="E692" s="96" t="s">
        <v>83</v>
      </c>
    </row>
    <row r="693" spans="1:5" x14ac:dyDescent="0.25">
      <c r="A693" s="84">
        <v>45833</v>
      </c>
      <c r="B693" s="96">
        <v>513474.54100000003</v>
      </c>
      <c r="C693" s="96">
        <v>4786353.87</v>
      </c>
      <c r="D693" s="96">
        <v>59.295000000000002</v>
      </c>
      <c r="E693" s="96" t="s">
        <v>79</v>
      </c>
    </row>
    <row r="694" spans="1:5" x14ac:dyDescent="0.25">
      <c r="A694" s="84">
        <v>45833</v>
      </c>
      <c r="B694" s="96">
        <v>513473.76199999999</v>
      </c>
      <c r="C694" s="96">
        <v>4786353.0539999995</v>
      </c>
      <c r="D694" s="96">
        <v>56.279000000000003</v>
      </c>
      <c r="E694" s="96" t="s">
        <v>84</v>
      </c>
    </row>
    <row r="695" spans="1:5" x14ac:dyDescent="0.25">
      <c r="A695" s="84">
        <v>45834</v>
      </c>
      <c r="B695" s="96">
        <v>513495.20199999999</v>
      </c>
      <c r="C695" s="96">
        <v>4786386.5439999998</v>
      </c>
      <c r="D695" s="96">
        <v>61.189</v>
      </c>
      <c r="E695" s="96" t="s">
        <v>62</v>
      </c>
    </row>
    <row r="696" spans="1:5" x14ac:dyDescent="0.25">
      <c r="A696" s="84">
        <v>45834</v>
      </c>
      <c r="B696" s="96">
        <v>513495.147</v>
      </c>
      <c r="C696" s="96">
        <v>4786386.38</v>
      </c>
      <c r="D696" s="96">
        <v>59.661000000000001</v>
      </c>
      <c r="E696" s="96" t="s">
        <v>63</v>
      </c>
    </row>
    <row r="697" spans="1:5" x14ac:dyDescent="0.25">
      <c r="A697" s="84">
        <v>45834</v>
      </c>
      <c r="B697" s="96">
        <v>513495.777</v>
      </c>
      <c r="C697" s="96">
        <v>4786386.2019999996</v>
      </c>
      <c r="D697" s="96">
        <v>56.582000000000001</v>
      </c>
      <c r="E697" s="96" t="s">
        <v>64</v>
      </c>
    </row>
    <row r="698" spans="1:5" x14ac:dyDescent="0.25">
      <c r="A698" s="84">
        <v>45834</v>
      </c>
      <c r="B698" s="96">
        <v>513491.94799999997</v>
      </c>
      <c r="C698" s="96">
        <v>4786383.71</v>
      </c>
      <c r="D698" s="96">
        <v>61.482999999999997</v>
      </c>
      <c r="E698" s="96" t="s">
        <v>66</v>
      </c>
    </row>
    <row r="699" spans="1:5" x14ac:dyDescent="0.25">
      <c r="A699" s="84">
        <v>45834</v>
      </c>
      <c r="B699" s="96">
        <v>513492.01899999997</v>
      </c>
      <c r="C699" s="96">
        <v>4786383.6859999998</v>
      </c>
      <c r="D699" s="96">
        <v>59.485999999999997</v>
      </c>
      <c r="E699" s="96" t="s">
        <v>67</v>
      </c>
    </row>
    <row r="700" spans="1:5" x14ac:dyDescent="0.25">
      <c r="A700" s="84">
        <v>45834</v>
      </c>
      <c r="B700" s="96">
        <v>513492.28700000001</v>
      </c>
      <c r="C700" s="96">
        <v>4786384.125</v>
      </c>
      <c r="D700" s="96">
        <v>56.494999999999997</v>
      </c>
      <c r="E700" s="96" t="s">
        <v>68</v>
      </c>
    </row>
    <row r="701" spans="1:5" x14ac:dyDescent="0.25">
      <c r="A701" s="84">
        <v>45834</v>
      </c>
      <c r="B701" s="96">
        <v>513484.61300000001</v>
      </c>
      <c r="C701" s="96">
        <v>4786368.82</v>
      </c>
      <c r="D701" s="96">
        <v>60.354999999999997</v>
      </c>
      <c r="E701" s="96" t="s">
        <v>72</v>
      </c>
    </row>
    <row r="702" spans="1:5" x14ac:dyDescent="0.25">
      <c r="A702" s="84">
        <v>45834</v>
      </c>
      <c r="B702" s="96">
        <v>513484.728</v>
      </c>
      <c r="C702" s="96">
        <v>4786368.7369999997</v>
      </c>
      <c r="D702" s="96">
        <v>59.375</v>
      </c>
      <c r="E702" s="96" t="s">
        <v>73</v>
      </c>
    </row>
    <row r="703" spans="1:5" x14ac:dyDescent="0.25">
      <c r="A703" s="84">
        <v>45834</v>
      </c>
      <c r="B703" s="96">
        <v>513484.755</v>
      </c>
      <c r="C703" s="96">
        <v>4786368.7419999996</v>
      </c>
      <c r="D703" s="96">
        <v>56.356000000000002</v>
      </c>
      <c r="E703" s="96" t="s">
        <v>74</v>
      </c>
    </row>
    <row r="704" spans="1:5" x14ac:dyDescent="0.25">
      <c r="A704" s="84">
        <v>45834</v>
      </c>
      <c r="B704" s="96">
        <v>513484.826</v>
      </c>
      <c r="C704" s="96">
        <v>4786368.9400000004</v>
      </c>
      <c r="D704" s="96">
        <v>53.369</v>
      </c>
      <c r="E704" s="96" t="s">
        <v>75</v>
      </c>
    </row>
    <row r="705" spans="1:5" x14ac:dyDescent="0.25">
      <c r="A705" s="84">
        <v>45834</v>
      </c>
      <c r="B705" s="96">
        <v>513480.114</v>
      </c>
      <c r="C705" s="96">
        <v>4786359.8150000004</v>
      </c>
      <c r="D705" s="96">
        <v>59.853000000000002</v>
      </c>
      <c r="E705" s="96" t="s">
        <v>76</v>
      </c>
    </row>
    <row r="706" spans="1:5" x14ac:dyDescent="0.25">
      <c r="A706" s="84">
        <v>45834</v>
      </c>
      <c r="B706" s="96">
        <v>513480.46100000001</v>
      </c>
      <c r="C706" s="96">
        <v>4786360.3250000002</v>
      </c>
      <c r="D706" s="96">
        <v>56.534999999999997</v>
      </c>
      <c r="E706" s="96" t="s">
        <v>83</v>
      </c>
    </row>
    <row r="707" spans="1:5" x14ac:dyDescent="0.25">
      <c r="A707" s="84">
        <v>45834</v>
      </c>
      <c r="B707" s="96">
        <v>513474.54200000002</v>
      </c>
      <c r="C707" s="96">
        <v>4786353.87</v>
      </c>
      <c r="D707" s="96">
        <v>59.295000000000002</v>
      </c>
      <c r="E707" s="96" t="s">
        <v>79</v>
      </c>
    </row>
    <row r="708" spans="1:5" x14ac:dyDescent="0.25">
      <c r="A708" s="84">
        <v>45834</v>
      </c>
      <c r="B708" s="96">
        <v>513473.76199999999</v>
      </c>
      <c r="C708" s="96">
        <v>4786353.0549999997</v>
      </c>
      <c r="D708" s="96">
        <v>56.277999999999999</v>
      </c>
      <c r="E708" s="96" t="s">
        <v>84</v>
      </c>
    </row>
    <row r="709" spans="1:5" x14ac:dyDescent="0.25">
      <c r="A709" s="84">
        <v>45835</v>
      </c>
      <c r="B709" s="96">
        <v>513495.20199999999</v>
      </c>
      <c r="C709" s="96">
        <v>4786386.5439999998</v>
      </c>
      <c r="D709" s="96">
        <v>61.191000000000003</v>
      </c>
      <c r="E709" s="96" t="s">
        <v>62</v>
      </c>
    </row>
    <row r="710" spans="1:5" x14ac:dyDescent="0.25">
      <c r="A710" s="84">
        <v>45835</v>
      </c>
      <c r="B710" s="96">
        <v>513495.147</v>
      </c>
      <c r="C710" s="96">
        <v>4786386.3789999997</v>
      </c>
      <c r="D710" s="96">
        <v>59.661999999999999</v>
      </c>
      <c r="E710" s="96" t="s">
        <v>63</v>
      </c>
    </row>
    <row r="711" spans="1:5" x14ac:dyDescent="0.25">
      <c r="A711" s="84">
        <v>45835</v>
      </c>
      <c r="B711" s="96">
        <v>513495.77799999999</v>
      </c>
      <c r="C711" s="96">
        <v>4786386.2029999997</v>
      </c>
      <c r="D711" s="96">
        <v>56.582999999999998</v>
      </c>
      <c r="E711" s="96" t="s">
        <v>64</v>
      </c>
    </row>
    <row r="712" spans="1:5" x14ac:dyDescent="0.25">
      <c r="A712" s="84">
        <v>45835</v>
      </c>
      <c r="B712" s="96">
        <v>513491.94900000002</v>
      </c>
      <c r="C712" s="96">
        <v>4786383.71</v>
      </c>
      <c r="D712" s="96">
        <v>61.484000000000002</v>
      </c>
      <c r="E712" s="96" t="s">
        <v>66</v>
      </c>
    </row>
    <row r="713" spans="1:5" x14ac:dyDescent="0.25">
      <c r="A713" s="84">
        <v>45835</v>
      </c>
      <c r="B713" s="96">
        <v>513492.01899999997</v>
      </c>
      <c r="C713" s="96">
        <v>4786383.6859999998</v>
      </c>
      <c r="D713" s="96">
        <v>59.487000000000002</v>
      </c>
      <c r="E713" s="96" t="s">
        <v>67</v>
      </c>
    </row>
    <row r="714" spans="1:5" x14ac:dyDescent="0.25">
      <c r="A714" s="84">
        <v>45835</v>
      </c>
      <c r="B714" s="96">
        <v>513492.28200000001</v>
      </c>
      <c r="C714" s="96">
        <v>4786384.1220000004</v>
      </c>
      <c r="D714" s="96">
        <v>56.494999999999997</v>
      </c>
      <c r="E714" s="96" t="s">
        <v>68</v>
      </c>
    </row>
    <row r="715" spans="1:5" x14ac:dyDescent="0.25">
      <c r="A715" s="84">
        <v>45835</v>
      </c>
      <c r="B715" s="96">
        <v>513484.614</v>
      </c>
      <c r="C715" s="96">
        <v>4786368.82</v>
      </c>
      <c r="D715" s="96">
        <v>60.354999999999997</v>
      </c>
      <c r="E715" s="96" t="s">
        <v>72</v>
      </c>
    </row>
    <row r="716" spans="1:5" x14ac:dyDescent="0.25">
      <c r="A716" s="84">
        <v>45835</v>
      </c>
      <c r="B716" s="96">
        <v>513484.728</v>
      </c>
      <c r="C716" s="96">
        <v>4786368.7369999997</v>
      </c>
      <c r="D716" s="96">
        <v>59.375999999999998</v>
      </c>
      <c r="E716" s="96" t="s">
        <v>73</v>
      </c>
    </row>
    <row r="717" spans="1:5" x14ac:dyDescent="0.25">
      <c r="A717" s="84">
        <v>45835</v>
      </c>
      <c r="B717" s="96">
        <v>513484.755</v>
      </c>
      <c r="C717" s="96">
        <v>4786368.7419999996</v>
      </c>
      <c r="D717" s="96">
        <v>56.356000000000002</v>
      </c>
      <c r="E717" s="96" t="s">
        <v>74</v>
      </c>
    </row>
    <row r="718" spans="1:5" x14ac:dyDescent="0.25">
      <c r="A718" s="84">
        <v>45835</v>
      </c>
      <c r="B718" s="96">
        <v>513484.826</v>
      </c>
      <c r="C718" s="96">
        <v>4786368.9390000002</v>
      </c>
      <c r="D718" s="96">
        <v>53.37</v>
      </c>
      <c r="E718" s="96" t="s">
        <v>75</v>
      </c>
    </row>
    <row r="719" spans="1:5" x14ac:dyDescent="0.25">
      <c r="A719" s="84">
        <v>45835</v>
      </c>
      <c r="B719" s="96">
        <v>513480.114</v>
      </c>
      <c r="C719" s="96">
        <v>4786359.8140000002</v>
      </c>
      <c r="D719" s="96">
        <v>59.853000000000002</v>
      </c>
      <c r="E719" s="96" t="s">
        <v>76</v>
      </c>
    </row>
    <row r="720" spans="1:5" x14ac:dyDescent="0.25">
      <c r="A720" s="84">
        <v>45835</v>
      </c>
      <c r="B720" s="96">
        <v>513480.462</v>
      </c>
      <c r="C720" s="96">
        <v>4786360.3260000004</v>
      </c>
      <c r="D720" s="96">
        <v>56.536000000000001</v>
      </c>
      <c r="E720" s="96" t="s">
        <v>83</v>
      </c>
    </row>
    <row r="721" spans="1:5" x14ac:dyDescent="0.25">
      <c r="A721" s="84">
        <v>45835</v>
      </c>
      <c r="B721" s="96">
        <v>513474.54200000002</v>
      </c>
      <c r="C721" s="96">
        <v>4786353.8710000003</v>
      </c>
      <c r="D721" s="96">
        <v>59.295999999999999</v>
      </c>
      <c r="E721" s="96" t="s">
        <v>79</v>
      </c>
    </row>
    <row r="722" spans="1:5" x14ac:dyDescent="0.25">
      <c r="A722" s="84">
        <v>45835</v>
      </c>
      <c r="B722" s="96">
        <v>513473.76199999999</v>
      </c>
      <c r="C722" s="96">
        <v>4786353.0539999995</v>
      </c>
      <c r="D722" s="96">
        <v>56.28</v>
      </c>
      <c r="E722" s="96" t="s">
        <v>84</v>
      </c>
    </row>
    <row r="723" spans="1:5" x14ac:dyDescent="0.25">
      <c r="A723" s="84">
        <v>45838</v>
      </c>
      <c r="B723" s="96">
        <v>513495.20199999999</v>
      </c>
      <c r="C723" s="96">
        <v>4786386.5439999998</v>
      </c>
      <c r="D723" s="96">
        <v>61.189</v>
      </c>
      <c r="E723" s="96" t="s">
        <v>62</v>
      </c>
    </row>
    <row r="724" spans="1:5" x14ac:dyDescent="0.25">
      <c r="A724" s="84">
        <v>45838</v>
      </c>
      <c r="B724" s="96">
        <v>513495.147</v>
      </c>
      <c r="C724" s="96">
        <v>4786386.38</v>
      </c>
      <c r="D724" s="96">
        <v>59.66</v>
      </c>
      <c r="E724" s="96" t="s">
        <v>63</v>
      </c>
    </row>
    <row r="725" spans="1:5" x14ac:dyDescent="0.25">
      <c r="A725" s="84">
        <v>45838</v>
      </c>
      <c r="B725" s="96">
        <v>513495.77799999999</v>
      </c>
      <c r="C725" s="96">
        <v>4786386.2019999996</v>
      </c>
      <c r="D725" s="96">
        <v>56.582000000000001</v>
      </c>
      <c r="E725" s="96" t="s">
        <v>64</v>
      </c>
    </row>
    <row r="726" spans="1:5" x14ac:dyDescent="0.25">
      <c r="A726" s="84">
        <v>45838</v>
      </c>
      <c r="B726" s="96">
        <v>513491.94900000002</v>
      </c>
      <c r="C726" s="96">
        <v>4786383.71</v>
      </c>
      <c r="D726" s="96">
        <v>61.482999999999997</v>
      </c>
      <c r="E726" s="96" t="s">
        <v>66</v>
      </c>
    </row>
    <row r="727" spans="1:5" x14ac:dyDescent="0.25">
      <c r="A727" s="84">
        <v>45838</v>
      </c>
      <c r="B727" s="96">
        <v>513492.01899999997</v>
      </c>
      <c r="C727" s="96">
        <v>4786383.6859999998</v>
      </c>
      <c r="D727" s="96">
        <v>59.485999999999997</v>
      </c>
      <c r="E727" s="96" t="s">
        <v>67</v>
      </c>
    </row>
    <row r="728" spans="1:5" x14ac:dyDescent="0.25">
      <c r="A728" s="84">
        <v>45838</v>
      </c>
      <c r="B728" s="96">
        <v>513492.28600000002</v>
      </c>
      <c r="C728" s="96">
        <v>4786384.1239999998</v>
      </c>
      <c r="D728" s="96">
        <v>56.494</v>
      </c>
      <c r="E728" s="96" t="s">
        <v>68</v>
      </c>
    </row>
    <row r="729" spans="1:5" x14ac:dyDescent="0.25">
      <c r="A729" s="84">
        <v>45838</v>
      </c>
      <c r="B729" s="96">
        <v>513484.61300000001</v>
      </c>
      <c r="C729" s="96">
        <v>4786368.82</v>
      </c>
      <c r="D729" s="96">
        <v>60.354999999999997</v>
      </c>
      <c r="E729" s="96" t="s">
        <v>72</v>
      </c>
    </row>
    <row r="730" spans="1:5" x14ac:dyDescent="0.25">
      <c r="A730" s="84">
        <v>45838</v>
      </c>
      <c r="B730" s="96">
        <v>513484.72899999999</v>
      </c>
      <c r="C730" s="96">
        <v>4786368.7369999997</v>
      </c>
      <c r="D730" s="96">
        <v>59.375999999999998</v>
      </c>
      <c r="E730" s="96" t="s">
        <v>73</v>
      </c>
    </row>
    <row r="731" spans="1:5" x14ac:dyDescent="0.25">
      <c r="A731" s="84">
        <v>45838</v>
      </c>
      <c r="B731" s="96">
        <v>513484.755</v>
      </c>
      <c r="C731" s="96">
        <v>4786368.7419999996</v>
      </c>
      <c r="D731" s="96">
        <v>56.356000000000002</v>
      </c>
      <c r="E731" s="96" t="s">
        <v>74</v>
      </c>
    </row>
    <row r="732" spans="1:5" x14ac:dyDescent="0.25">
      <c r="A732" s="84">
        <v>45838</v>
      </c>
      <c r="B732" s="96">
        <v>513484.826</v>
      </c>
      <c r="C732" s="96">
        <v>4786368.9400000004</v>
      </c>
      <c r="D732" s="96">
        <v>53.369</v>
      </c>
      <c r="E732" s="96" t="s">
        <v>75</v>
      </c>
    </row>
    <row r="733" spans="1:5" x14ac:dyDescent="0.25">
      <c r="A733" s="84">
        <v>45838</v>
      </c>
      <c r="B733" s="96">
        <v>513480.11499999999</v>
      </c>
      <c r="C733" s="96">
        <v>4786359.8140000002</v>
      </c>
      <c r="D733" s="96">
        <v>59.853000000000002</v>
      </c>
      <c r="E733" s="96" t="s">
        <v>76</v>
      </c>
    </row>
    <row r="734" spans="1:5" x14ac:dyDescent="0.25">
      <c r="A734" s="84">
        <v>45838</v>
      </c>
      <c r="B734" s="96">
        <v>513480.462</v>
      </c>
      <c r="C734" s="96">
        <v>4786360.3260000004</v>
      </c>
      <c r="D734" s="96">
        <v>56.534999999999997</v>
      </c>
      <c r="E734" s="96" t="s">
        <v>83</v>
      </c>
    </row>
    <row r="735" spans="1:5" x14ac:dyDescent="0.25">
      <c r="A735" s="84">
        <v>45838</v>
      </c>
      <c r="B735" s="96">
        <v>513474.54200000002</v>
      </c>
      <c r="C735" s="96">
        <v>4786353.8710000003</v>
      </c>
      <c r="D735" s="96">
        <v>59.295999999999999</v>
      </c>
      <c r="E735" s="96" t="s">
        <v>79</v>
      </c>
    </row>
    <row r="736" spans="1:5" x14ac:dyDescent="0.25">
      <c r="A736" s="84">
        <v>45838</v>
      </c>
      <c r="B736" s="96">
        <v>513473.76199999999</v>
      </c>
      <c r="C736" s="96">
        <v>4786353.0539999995</v>
      </c>
      <c r="D736" s="96">
        <v>56.279000000000003</v>
      </c>
      <c r="E736" s="96" t="s">
        <v>84</v>
      </c>
    </row>
    <row r="737" spans="1:5" x14ac:dyDescent="0.25">
      <c r="A737" s="84">
        <v>45839</v>
      </c>
      <c r="B737" s="96">
        <v>513495.201</v>
      </c>
      <c r="C737" s="96">
        <v>4786386.5460000001</v>
      </c>
      <c r="D737" s="96">
        <v>61.19</v>
      </c>
      <c r="E737" s="96" t="s">
        <v>62</v>
      </c>
    </row>
    <row r="738" spans="1:5" x14ac:dyDescent="0.25">
      <c r="A738" s="84">
        <v>45839</v>
      </c>
      <c r="B738" s="96">
        <v>513495.147</v>
      </c>
      <c r="C738" s="96">
        <v>4786386.38</v>
      </c>
      <c r="D738" s="96">
        <v>59.661000000000001</v>
      </c>
      <c r="E738" s="96" t="s">
        <v>63</v>
      </c>
    </row>
    <row r="739" spans="1:5" x14ac:dyDescent="0.25">
      <c r="A739" s="84">
        <v>45839</v>
      </c>
      <c r="B739" s="96">
        <v>513495.777</v>
      </c>
      <c r="C739" s="96">
        <v>4786386.2029999997</v>
      </c>
      <c r="D739" s="96">
        <v>56.582999999999998</v>
      </c>
      <c r="E739" s="96" t="s">
        <v>64</v>
      </c>
    </row>
    <row r="740" spans="1:5" x14ac:dyDescent="0.25">
      <c r="A740" s="84">
        <v>45839</v>
      </c>
      <c r="B740" s="96">
        <v>513491.94799999997</v>
      </c>
      <c r="C740" s="96">
        <v>4786383.7110000001</v>
      </c>
      <c r="D740" s="96">
        <v>61.484000000000002</v>
      </c>
      <c r="E740" s="96" t="s">
        <v>66</v>
      </c>
    </row>
    <row r="741" spans="1:5" x14ac:dyDescent="0.25">
      <c r="A741" s="84">
        <v>45839</v>
      </c>
      <c r="B741" s="96">
        <v>513492.01899999997</v>
      </c>
      <c r="C741" s="96">
        <v>4786383.6869999999</v>
      </c>
      <c r="D741" s="96">
        <v>59.487000000000002</v>
      </c>
      <c r="E741" s="96" t="s">
        <v>67</v>
      </c>
    </row>
    <row r="742" spans="1:5" x14ac:dyDescent="0.25">
      <c r="A742" s="84">
        <v>45839</v>
      </c>
      <c r="B742" s="96">
        <v>513492.28700000001</v>
      </c>
      <c r="C742" s="96">
        <v>4786384.125</v>
      </c>
      <c r="D742" s="96">
        <v>56.496000000000002</v>
      </c>
      <c r="E742" s="96" t="s">
        <v>68</v>
      </c>
    </row>
    <row r="743" spans="1:5" x14ac:dyDescent="0.25">
      <c r="A743" s="84">
        <v>45839</v>
      </c>
      <c r="B743" s="96">
        <v>513484.61300000001</v>
      </c>
      <c r="C743" s="96">
        <v>4786368.82</v>
      </c>
      <c r="D743" s="96">
        <v>60.356000000000002</v>
      </c>
      <c r="E743" s="96" t="s">
        <v>72</v>
      </c>
    </row>
    <row r="744" spans="1:5" x14ac:dyDescent="0.25">
      <c r="A744" s="84">
        <v>45839</v>
      </c>
      <c r="B744" s="96">
        <v>513484.728</v>
      </c>
      <c r="C744" s="96">
        <v>4786368.7369999997</v>
      </c>
      <c r="D744" s="96">
        <v>59.377000000000002</v>
      </c>
      <c r="E744" s="96" t="s">
        <v>73</v>
      </c>
    </row>
    <row r="745" spans="1:5" x14ac:dyDescent="0.25">
      <c r="A745" s="84">
        <v>45839</v>
      </c>
      <c r="B745" s="96">
        <v>513484.75400000002</v>
      </c>
      <c r="C745" s="96">
        <v>4786368.7419999996</v>
      </c>
      <c r="D745" s="96">
        <v>56.356999999999999</v>
      </c>
      <c r="E745" s="96" t="s">
        <v>74</v>
      </c>
    </row>
    <row r="746" spans="1:5" x14ac:dyDescent="0.25">
      <c r="A746" s="84">
        <v>45839</v>
      </c>
      <c r="B746" s="96">
        <v>513484.826</v>
      </c>
      <c r="C746" s="96">
        <v>4786368.9400000004</v>
      </c>
      <c r="D746" s="96">
        <v>53.37</v>
      </c>
      <c r="E746" s="96" t="s">
        <v>75</v>
      </c>
    </row>
    <row r="747" spans="1:5" x14ac:dyDescent="0.25">
      <c r="A747" s="84">
        <v>45839</v>
      </c>
      <c r="B747" s="96">
        <v>513480.114</v>
      </c>
      <c r="C747" s="96">
        <v>4786359.8150000004</v>
      </c>
      <c r="D747" s="96">
        <v>59.853999999999999</v>
      </c>
      <c r="E747" s="96" t="s">
        <v>76</v>
      </c>
    </row>
    <row r="748" spans="1:5" x14ac:dyDescent="0.25">
      <c r="A748" s="84">
        <v>45839</v>
      </c>
      <c r="B748" s="96">
        <v>513480.462</v>
      </c>
      <c r="C748" s="96">
        <v>4786360.3269999996</v>
      </c>
      <c r="D748" s="96">
        <v>56.534999999999997</v>
      </c>
      <c r="E748" s="96" t="s">
        <v>83</v>
      </c>
    </row>
    <row r="749" spans="1:5" x14ac:dyDescent="0.25">
      <c r="A749" s="84">
        <v>45839</v>
      </c>
      <c r="B749" s="96">
        <v>513474.54100000003</v>
      </c>
      <c r="C749" s="96">
        <v>4786353.87</v>
      </c>
      <c r="D749" s="96">
        <v>59.295999999999999</v>
      </c>
      <c r="E749" s="96" t="s">
        <v>79</v>
      </c>
    </row>
    <row r="750" spans="1:5" x14ac:dyDescent="0.25">
      <c r="A750" s="84">
        <v>45839</v>
      </c>
      <c r="B750" s="96">
        <v>513473.76199999999</v>
      </c>
      <c r="C750" s="96">
        <v>4786353.0549999997</v>
      </c>
      <c r="D750" s="96">
        <v>56.279000000000003</v>
      </c>
      <c r="E750" s="96" t="s">
        <v>84</v>
      </c>
    </row>
    <row r="751" spans="1:5" x14ac:dyDescent="0.25">
      <c r="A751" s="84">
        <v>45840</v>
      </c>
      <c r="B751" s="96">
        <v>513495.20199999999</v>
      </c>
      <c r="C751" s="96">
        <v>4786386.5439999998</v>
      </c>
      <c r="D751" s="96">
        <v>61.189</v>
      </c>
      <c r="E751" s="96" t="s">
        <v>62</v>
      </c>
    </row>
    <row r="752" spans="1:5" x14ac:dyDescent="0.25">
      <c r="A752" s="84">
        <v>45840</v>
      </c>
      <c r="B752" s="96">
        <v>513495.147</v>
      </c>
      <c r="C752" s="96">
        <v>4786386.38</v>
      </c>
      <c r="D752" s="96">
        <v>59.661000000000001</v>
      </c>
      <c r="E752" s="96" t="s">
        <v>63</v>
      </c>
    </row>
    <row r="753" spans="1:5" x14ac:dyDescent="0.25">
      <c r="A753" s="84">
        <v>45840</v>
      </c>
      <c r="B753" s="96">
        <v>513495.77799999999</v>
      </c>
      <c r="C753" s="96">
        <v>4786386.2029999997</v>
      </c>
      <c r="D753" s="96">
        <v>56.582000000000001</v>
      </c>
      <c r="E753" s="96" t="s">
        <v>64</v>
      </c>
    </row>
    <row r="754" spans="1:5" x14ac:dyDescent="0.25">
      <c r="A754" s="84">
        <v>45840</v>
      </c>
      <c r="B754" s="96">
        <v>513491.94799999997</v>
      </c>
      <c r="C754" s="96">
        <v>4786383.71</v>
      </c>
      <c r="D754" s="96">
        <v>61.482999999999997</v>
      </c>
      <c r="E754" s="96" t="s">
        <v>66</v>
      </c>
    </row>
    <row r="755" spans="1:5" x14ac:dyDescent="0.25">
      <c r="A755" s="84">
        <v>45840</v>
      </c>
      <c r="B755" s="96">
        <v>513492.01899999997</v>
      </c>
      <c r="C755" s="96">
        <v>4786383.6859999998</v>
      </c>
      <c r="D755" s="96">
        <v>59.485999999999997</v>
      </c>
      <c r="E755" s="96" t="s">
        <v>67</v>
      </c>
    </row>
    <row r="756" spans="1:5" x14ac:dyDescent="0.25">
      <c r="A756" s="84">
        <v>45840</v>
      </c>
      <c r="B756" s="96">
        <v>513492.28600000002</v>
      </c>
      <c r="C756" s="96">
        <v>4786384.1239999998</v>
      </c>
      <c r="D756" s="96">
        <v>56.494</v>
      </c>
      <c r="E756" s="96" t="s">
        <v>68</v>
      </c>
    </row>
    <row r="757" spans="1:5" x14ac:dyDescent="0.25">
      <c r="A757" s="84">
        <v>45840</v>
      </c>
      <c r="B757" s="96">
        <v>513484.61300000001</v>
      </c>
      <c r="C757" s="96">
        <v>4786368.8190000001</v>
      </c>
      <c r="D757" s="96">
        <v>60.354999999999997</v>
      </c>
      <c r="E757" s="96" t="s">
        <v>72</v>
      </c>
    </row>
    <row r="758" spans="1:5" x14ac:dyDescent="0.25">
      <c r="A758" s="84">
        <v>45840</v>
      </c>
      <c r="B758" s="96">
        <v>513484.728</v>
      </c>
      <c r="C758" s="96">
        <v>4786368.7369999997</v>
      </c>
      <c r="D758" s="96">
        <v>59.375</v>
      </c>
      <c r="E758" s="96" t="s">
        <v>73</v>
      </c>
    </row>
    <row r="759" spans="1:5" x14ac:dyDescent="0.25">
      <c r="A759" s="84">
        <v>45840</v>
      </c>
      <c r="B759" s="96">
        <v>513484.755</v>
      </c>
      <c r="C759" s="96">
        <v>4786368.7419999996</v>
      </c>
      <c r="D759" s="96">
        <v>56.356000000000002</v>
      </c>
      <c r="E759" s="96" t="s">
        <v>74</v>
      </c>
    </row>
    <row r="760" spans="1:5" x14ac:dyDescent="0.25">
      <c r="A760" s="84">
        <v>45840</v>
      </c>
      <c r="B760" s="96">
        <v>513484.826</v>
      </c>
      <c r="C760" s="96">
        <v>4786368.9400000004</v>
      </c>
      <c r="D760" s="96">
        <v>53.369</v>
      </c>
      <c r="E760" s="96" t="s">
        <v>75</v>
      </c>
    </row>
    <row r="761" spans="1:5" x14ac:dyDescent="0.25">
      <c r="A761" s="84">
        <v>45840</v>
      </c>
      <c r="B761" s="96">
        <v>513480.114</v>
      </c>
      <c r="C761" s="96">
        <v>4786359.8140000002</v>
      </c>
      <c r="D761" s="96">
        <v>59.853000000000002</v>
      </c>
      <c r="E761" s="96" t="s">
        <v>76</v>
      </c>
    </row>
    <row r="762" spans="1:5" x14ac:dyDescent="0.25">
      <c r="A762" s="84">
        <v>45840</v>
      </c>
      <c r="B762" s="96">
        <v>513480.462</v>
      </c>
      <c r="C762" s="96">
        <v>4786360.3269999996</v>
      </c>
      <c r="D762" s="96">
        <v>56.534999999999997</v>
      </c>
      <c r="E762" s="96" t="s">
        <v>83</v>
      </c>
    </row>
    <row r="763" spans="1:5" x14ac:dyDescent="0.25">
      <c r="A763" s="84">
        <v>45840</v>
      </c>
      <c r="B763" s="96">
        <v>513474.54200000002</v>
      </c>
      <c r="C763" s="96">
        <v>4786353.87</v>
      </c>
      <c r="D763" s="96">
        <v>59.295999999999999</v>
      </c>
      <c r="E763" s="96" t="s">
        <v>79</v>
      </c>
    </row>
    <row r="764" spans="1:5" x14ac:dyDescent="0.25">
      <c r="A764" s="84">
        <v>45840</v>
      </c>
      <c r="B764" s="96">
        <v>513473.76199999999</v>
      </c>
      <c r="C764" s="96">
        <v>4786353.0539999995</v>
      </c>
      <c r="D764" s="96">
        <v>56.277999999999999</v>
      </c>
      <c r="E764" s="96" t="s">
        <v>84</v>
      </c>
    </row>
    <row r="765" spans="1:5" x14ac:dyDescent="0.25">
      <c r="A765" s="84">
        <v>45841</v>
      </c>
      <c r="B765" s="96">
        <v>513495.20199999999</v>
      </c>
      <c r="C765" s="96">
        <v>4786386.5439999998</v>
      </c>
      <c r="D765" s="96">
        <v>61.189</v>
      </c>
      <c r="E765" s="96" t="s">
        <v>62</v>
      </c>
    </row>
    <row r="766" spans="1:5" x14ac:dyDescent="0.25">
      <c r="A766" s="84">
        <v>45841</v>
      </c>
      <c r="B766" s="96">
        <v>513495.147</v>
      </c>
      <c r="C766" s="96">
        <v>4786386.38</v>
      </c>
      <c r="D766" s="96">
        <v>59.66</v>
      </c>
      <c r="E766" s="96" t="s">
        <v>63</v>
      </c>
    </row>
    <row r="767" spans="1:5" x14ac:dyDescent="0.25">
      <c r="A767" s="84">
        <v>45841</v>
      </c>
      <c r="B767" s="96">
        <v>513495.777</v>
      </c>
      <c r="C767" s="96">
        <v>4786386.2029999997</v>
      </c>
      <c r="D767" s="96">
        <v>56.582000000000001</v>
      </c>
      <c r="E767" s="96" t="s">
        <v>64</v>
      </c>
    </row>
    <row r="768" spans="1:5" x14ac:dyDescent="0.25">
      <c r="A768" s="84">
        <v>45841</v>
      </c>
      <c r="B768" s="96">
        <v>513491.94799999997</v>
      </c>
      <c r="C768" s="96">
        <v>4786383.71</v>
      </c>
      <c r="D768" s="96">
        <v>61.482999999999997</v>
      </c>
      <c r="E768" s="96" t="s">
        <v>66</v>
      </c>
    </row>
    <row r="769" spans="1:5" x14ac:dyDescent="0.25">
      <c r="A769" s="84">
        <v>45841</v>
      </c>
      <c r="B769" s="96">
        <v>513492.01799999998</v>
      </c>
      <c r="C769" s="96">
        <v>4786383.6859999998</v>
      </c>
      <c r="D769" s="96">
        <v>59.484999999999999</v>
      </c>
      <c r="E769" s="96" t="s">
        <v>67</v>
      </c>
    </row>
    <row r="770" spans="1:5" x14ac:dyDescent="0.25">
      <c r="A770" s="84">
        <v>45841</v>
      </c>
      <c r="B770" s="96">
        <v>513492.28700000001</v>
      </c>
      <c r="C770" s="96">
        <v>4786384.1260000002</v>
      </c>
      <c r="D770" s="96">
        <v>56.494999999999997</v>
      </c>
      <c r="E770" s="96" t="s">
        <v>68</v>
      </c>
    </row>
    <row r="771" spans="1:5" x14ac:dyDescent="0.25">
      <c r="A771" s="84">
        <v>45841</v>
      </c>
      <c r="B771" s="96">
        <v>513484.61300000001</v>
      </c>
      <c r="C771" s="96">
        <v>4786368.8190000001</v>
      </c>
      <c r="D771" s="96">
        <v>60.354999999999997</v>
      </c>
      <c r="E771" s="96" t="s">
        <v>72</v>
      </c>
    </row>
    <row r="772" spans="1:5" x14ac:dyDescent="0.25">
      <c r="A772" s="84">
        <v>45841</v>
      </c>
      <c r="B772" s="96">
        <v>513484.728</v>
      </c>
      <c r="C772" s="96">
        <v>4786368.7369999997</v>
      </c>
      <c r="D772" s="96">
        <v>59.375</v>
      </c>
      <c r="E772" s="96" t="s">
        <v>73</v>
      </c>
    </row>
    <row r="773" spans="1:5" x14ac:dyDescent="0.25">
      <c r="A773" s="84">
        <v>45841</v>
      </c>
      <c r="B773" s="96">
        <v>513484.755</v>
      </c>
      <c r="C773" s="96">
        <v>4786368.7419999996</v>
      </c>
      <c r="D773" s="96">
        <v>56.354999999999997</v>
      </c>
      <c r="E773" s="96" t="s">
        <v>74</v>
      </c>
    </row>
    <row r="774" spans="1:5" x14ac:dyDescent="0.25">
      <c r="A774" s="84">
        <v>45841</v>
      </c>
      <c r="B774" s="96">
        <v>513484.826</v>
      </c>
      <c r="C774" s="96">
        <v>4786368.9400000004</v>
      </c>
      <c r="D774" s="96">
        <v>53.369</v>
      </c>
      <c r="E774" s="96" t="s">
        <v>75</v>
      </c>
    </row>
    <row r="775" spans="1:5" x14ac:dyDescent="0.25">
      <c r="A775" s="84">
        <v>45841</v>
      </c>
      <c r="B775" s="96">
        <v>513480.114</v>
      </c>
      <c r="C775" s="96">
        <v>4786359.8150000004</v>
      </c>
      <c r="D775" s="96">
        <v>59.851999999999997</v>
      </c>
      <c r="E775" s="96" t="s">
        <v>76</v>
      </c>
    </row>
    <row r="776" spans="1:5" x14ac:dyDescent="0.25">
      <c r="A776" s="84">
        <v>45841</v>
      </c>
      <c r="B776" s="96">
        <v>513480.462</v>
      </c>
      <c r="C776" s="96">
        <v>4786360.3269999996</v>
      </c>
      <c r="D776" s="96">
        <v>56.533999999999999</v>
      </c>
      <c r="E776" s="96" t="s">
        <v>83</v>
      </c>
    </row>
    <row r="777" spans="1:5" x14ac:dyDescent="0.25">
      <c r="A777" s="84">
        <v>45841</v>
      </c>
      <c r="B777" s="96">
        <v>513474.54200000002</v>
      </c>
      <c r="C777" s="96">
        <v>4786353.87</v>
      </c>
      <c r="D777" s="96">
        <v>59.295000000000002</v>
      </c>
      <c r="E777" s="96" t="s">
        <v>79</v>
      </c>
    </row>
    <row r="778" spans="1:5" x14ac:dyDescent="0.25">
      <c r="A778" s="84">
        <v>45841</v>
      </c>
      <c r="B778" s="96">
        <v>513473.76199999999</v>
      </c>
      <c r="C778" s="96">
        <v>4786353.0539999995</v>
      </c>
      <c r="D778" s="96">
        <v>56.279000000000003</v>
      </c>
      <c r="E778" s="96" t="s">
        <v>84</v>
      </c>
    </row>
    <row r="779" spans="1:5" x14ac:dyDescent="0.25">
      <c r="A779" s="84">
        <v>45842</v>
      </c>
      <c r="B779" s="96">
        <v>513495.201</v>
      </c>
      <c r="C779" s="96">
        <v>4786386.5449999999</v>
      </c>
      <c r="D779" s="96">
        <v>61.189</v>
      </c>
      <c r="E779" s="96" t="s">
        <v>62</v>
      </c>
    </row>
    <row r="780" spans="1:5" x14ac:dyDescent="0.25">
      <c r="A780" s="84">
        <v>45842</v>
      </c>
      <c r="B780" s="96">
        <v>513495.147</v>
      </c>
      <c r="C780" s="96">
        <v>4786386.3789999997</v>
      </c>
      <c r="D780" s="96">
        <v>59.66</v>
      </c>
      <c r="E780" s="96" t="s">
        <v>63</v>
      </c>
    </row>
    <row r="781" spans="1:5" x14ac:dyDescent="0.25">
      <c r="A781" s="84">
        <v>45842</v>
      </c>
      <c r="B781" s="96">
        <v>513495.77799999999</v>
      </c>
      <c r="C781" s="96">
        <v>4786386.2019999996</v>
      </c>
      <c r="D781" s="96">
        <v>56.581000000000003</v>
      </c>
      <c r="E781" s="96" t="s">
        <v>64</v>
      </c>
    </row>
    <row r="782" spans="1:5" x14ac:dyDescent="0.25">
      <c r="A782" s="84">
        <v>45842</v>
      </c>
      <c r="B782" s="96">
        <v>513491.94699999999</v>
      </c>
      <c r="C782" s="96">
        <v>4786383.7110000001</v>
      </c>
      <c r="D782" s="96">
        <v>61.481999999999999</v>
      </c>
      <c r="E782" s="96" t="s">
        <v>66</v>
      </c>
    </row>
    <row r="783" spans="1:5" x14ac:dyDescent="0.25">
      <c r="A783" s="84">
        <v>45842</v>
      </c>
      <c r="B783" s="96">
        <v>513492.01799999998</v>
      </c>
      <c r="C783" s="96">
        <v>4786383.6859999998</v>
      </c>
      <c r="D783" s="96">
        <v>59.484999999999999</v>
      </c>
      <c r="E783" s="96" t="s">
        <v>67</v>
      </c>
    </row>
    <row r="784" spans="1:5" x14ac:dyDescent="0.25">
      <c r="A784" s="84">
        <v>45842</v>
      </c>
      <c r="B784" s="96">
        <v>513492.28600000002</v>
      </c>
      <c r="C784" s="96">
        <v>4786384.1239999998</v>
      </c>
      <c r="D784" s="96">
        <v>56.493000000000002</v>
      </c>
      <c r="E784" s="96" t="s">
        <v>68</v>
      </c>
    </row>
    <row r="785" spans="1:5" x14ac:dyDescent="0.25">
      <c r="A785" s="84">
        <v>45842</v>
      </c>
      <c r="B785" s="96">
        <v>513484.61300000001</v>
      </c>
      <c r="C785" s="96">
        <v>4786368.8190000001</v>
      </c>
      <c r="D785" s="96">
        <v>60.353999999999999</v>
      </c>
      <c r="E785" s="96" t="s">
        <v>72</v>
      </c>
    </row>
    <row r="786" spans="1:5" x14ac:dyDescent="0.25">
      <c r="A786" s="84">
        <v>45842</v>
      </c>
      <c r="B786" s="96">
        <v>513484.728</v>
      </c>
      <c r="C786" s="96">
        <v>4786368.7369999997</v>
      </c>
      <c r="D786" s="96">
        <v>59.375</v>
      </c>
      <c r="E786" s="96" t="s">
        <v>73</v>
      </c>
    </row>
    <row r="787" spans="1:5" x14ac:dyDescent="0.25">
      <c r="A787" s="84">
        <v>45842</v>
      </c>
      <c r="B787" s="96">
        <v>513484.755</v>
      </c>
      <c r="C787" s="96">
        <v>4786368.7419999996</v>
      </c>
      <c r="D787" s="96">
        <v>56.354999999999997</v>
      </c>
      <c r="E787" s="96" t="s">
        <v>74</v>
      </c>
    </row>
    <row r="788" spans="1:5" x14ac:dyDescent="0.25">
      <c r="A788" s="84">
        <v>45842</v>
      </c>
      <c r="B788" s="96">
        <v>513484.82500000001</v>
      </c>
      <c r="C788" s="96">
        <v>4786368.9400000004</v>
      </c>
      <c r="D788" s="96">
        <v>53.368000000000002</v>
      </c>
      <c r="E788" s="96" t="s">
        <v>75</v>
      </c>
    </row>
    <row r="789" spans="1:5" x14ac:dyDescent="0.25">
      <c r="A789" s="84">
        <v>45842</v>
      </c>
      <c r="B789" s="96">
        <v>513480.114</v>
      </c>
      <c r="C789" s="96">
        <v>4786359.8140000002</v>
      </c>
      <c r="D789" s="96">
        <v>59.851999999999997</v>
      </c>
      <c r="E789" s="96" t="s">
        <v>76</v>
      </c>
    </row>
    <row r="790" spans="1:5" x14ac:dyDescent="0.25">
      <c r="A790" s="84">
        <v>45842</v>
      </c>
      <c r="B790" s="96">
        <v>513480.462</v>
      </c>
      <c r="C790" s="96">
        <v>4786360.3269999996</v>
      </c>
      <c r="D790" s="96">
        <v>56.533999999999999</v>
      </c>
      <c r="E790" s="96" t="s">
        <v>83</v>
      </c>
    </row>
    <row r="791" spans="1:5" x14ac:dyDescent="0.25">
      <c r="A791" s="84">
        <v>45842</v>
      </c>
      <c r="B791" s="96">
        <v>513474.54200000002</v>
      </c>
      <c r="C791" s="96">
        <v>4786353.87</v>
      </c>
      <c r="D791" s="96">
        <v>59.295000000000002</v>
      </c>
      <c r="E791" s="96" t="s">
        <v>79</v>
      </c>
    </row>
    <row r="792" spans="1:5" x14ac:dyDescent="0.25">
      <c r="A792" s="84">
        <v>45845</v>
      </c>
      <c r="B792" s="96">
        <v>513495.201</v>
      </c>
      <c r="C792" s="96">
        <v>4786386.5429999996</v>
      </c>
      <c r="D792" s="96">
        <v>61.188000000000002</v>
      </c>
      <c r="E792" s="96" t="s">
        <v>62</v>
      </c>
    </row>
    <row r="793" spans="1:5" x14ac:dyDescent="0.25">
      <c r="A793" s="84">
        <v>45845</v>
      </c>
      <c r="B793" s="96">
        <v>513495.14600000001</v>
      </c>
      <c r="C793" s="96">
        <v>4786386.38</v>
      </c>
      <c r="D793" s="96">
        <v>59.66</v>
      </c>
      <c r="E793" s="96" t="s">
        <v>63</v>
      </c>
    </row>
    <row r="794" spans="1:5" x14ac:dyDescent="0.25">
      <c r="A794" s="84">
        <v>45845</v>
      </c>
      <c r="B794" s="96">
        <v>513495.777</v>
      </c>
      <c r="C794" s="96">
        <v>4786386.2029999997</v>
      </c>
      <c r="D794" s="96">
        <v>56.581000000000003</v>
      </c>
      <c r="E794" s="96" t="s">
        <v>64</v>
      </c>
    </row>
    <row r="795" spans="1:5" x14ac:dyDescent="0.25">
      <c r="A795" s="84">
        <v>45845</v>
      </c>
      <c r="B795" s="96">
        <v>513491.94699999999</v>
      </c>
      <c r="C795" s="96">
        <v>4786383.71</v>
      </c>
      <c r="D795" s="96">
        <v>61.481999999999999</v>
      </c>
      <c r="E795" s="96" t="s">
        <v>66</v>
      </c>
    </row>
    <row r="796" spans="1:5" x14ac:dyDescent="0.25">
      <c r="A796" s="84">
        <v>45845</v>
      </c>
      <c r="B796" s="96">
        <v>513492.01799999998</v>
      </c>
      <c r="C796" s="96">
        <v>4786383.6859999998</v>
      </c>
      <c r="D796" s="96">
        <v>59.484999999999999</v>
      </c>
      <c r="E796" s="96" t="s">
        <v>67</v>
      </c>
    </row>
    <row r="797" spans="1:5" x14ac:dyDescent="0.25">
      <c r="A797" s="84">
        <v>45845</v>
      </c>
      <c r="B797" s="96">
        <v>513492.288</v>
      </c>
      <c r="C797" s="96">
        <v>4786384.1260000002</v>
      </c>
      <c r="D797" s="96">
        <v>56.494</v>
      </c>
      <c r="E797" s="96" t="s">
        <v>68</v>
      </c>
    </row>
    <row r="798" spans="1:5" x14ac:dyDescent="0.25">
      <c r="A798" s="84">
        <v>45845</v>
      </c>
      <c r="B798" s="96">
        <v>513484.61300000001</v>
      </c>
      <c r="C798" s="96">
        <v>4786368.8190000001</v>
      </c>
      <c r="D798" s="96">
        <v>60.353999999999999</v>
      </c>
      <c r="E798" s="96" t="s">
        <v>72</v>
      </c>
    </row>
    <row r="799" spans="1:5" x14ac:dyDescent="0.25">
      <c r="A799" s="84">
        <v>45845</v>
      </c>
      <c r="B799" s="96">
        <v>513484.72700000001</v>
      </c>
      <c r="C799" s="96">
        <v>4786368.7369999997</v>
      </c>
      <c r="D799" s="96">
        <v>59.375</v>
      </c>
      <c r="E799" s="96" t="s">
        <v>73</v>
      </c>
    </row>
    <row r="800" spans="1:5" x14ac:dyDescent="0.25">
      <c r="A800" s="84">
        <v>45845</v>
      </c>
      <c r="B800" s="96">
        <v>513484.75400000002</v>
      </c>
      <c r="C800" s="96">
        <v>4786368.7419999996</v>
      </c>
      <c r="D800" s="96">
        <v>56.354999999999997</v>
      </c>
      <c r="E800" s="96" t="s">
        <v>74</v>
      </c>
    </row>
    <row r="801" spans="1:5" x14ac:dyDescent="0.25">
      <c r="A801" s="84">
        <v>45845</v>
      </c>
      <c r="B801" s="96">
        <v>513484.82500000001</v>
      </c>
      <c r="C801" s="96">
        <v>4786368.9400000004</v>
      </c>
      <c r="D801" s="96">
        <v>53.368000000000002</v>
      </c>
      <c r="E801" s="96" t="s">
        <v>75</v>
      </c>
    </row>
    <row r="802" spans="1:5" x14ac:dyDescent="0.25">
      <c r="A802" s="84">
        <v>45845</v>
      </c>
      <c r="B802" s="96">
        <v>513480.114</v>
      </c>
      <c r="C802" s="96">
        <v>4786359.8140000002</v>
      </c>
      <c r="D802" s="96">
        <v>59.851999999999997</v>
      </c>
      <c r="E802" s="96" t="s">
        <v>76</v>
      </c>
    </row>
    <row r="803" spans="1:5" x14ac:dyDescent="0.25">
      <c r="A803" s="84">
        <v>45845</v>
      </c>
      <c r="B803" s="96">
        <v>513480.462</v>
      </c>
      <c r="C803" s="96">
        <v>4786360.3260000004</v>
      </c>
      <c r="D803" s="96">
        <v>56.533000000000001</v>
      </c>
      <c r="E803" s="96" t="s">
        <v>83</v>
      </c>
    </row>
    <row r="804" spans="1:5" x14ac:dyDescent="0.25">
      <c r="A804" s="84">
        <v>45845</v>
      </c>
      <c r="B804" s="96">
        <v>513474.54200000002</v>
      </c>
      <c r="C804" s="96">
        <v>4786353.8689999999</v>
      </c>
      <c r="D804" s="96">
        <v>59.293999999999997</v>
      </c>
      <c r="E804" s="96" t="s">
        <v>79</v>
      </c>
    </row>
    <row r="805" spans="1:5" x14ac:dyDescent="0.25">
      <c r="A805" s="84">
        <v>45846</v>
      </c>
      <c r="B805" s="96">
        <v>513495.20199999999</v>
      </c>
      <c r="C805" s="96">
        <v>4786386.5439999998</v>
      </c>
      <c r="D805" s="96">
        <v>61.19</v>
      </c>
      <c r="E805" s="96" t="s">
        <v>62</v>
      </c>
    </row>
    <row r="806" spans="1:5" x14ac:dyDescent="0.25">
      <c r="A806" s="84">
        <v>45846</v>
      </c>
      <c r="B806" s="96">
        <v>513495.147</v>
      </c>
      <c r="C806" s="96">
        <v>4786386.3789999997</v>
      </c>
      <c r="D806" s="96">
        <v>59.661000000000001</v>
      </c>
      <c r="E806" s="96" t="s">
        <v>63</v>
      </c>
    </row>
    <row r="807" spans="1:5" x14ac:dyDescent="0.25">
      <c r="A807" s="84">
        <v>45846</v>
      </c>
      <c r="B807" s="96">
        <v>513495.777</v>
      </c>
      <c r="C807" s="96">
        <v>4786386.2029999997</v>
      </c>
      <c r="D807" s="96">
        <v>56.582999999999998</v>
      </c>
      <c r="E807" s="96" t="s">
        <v>64</v>
      </c>
    </row>
    <row r="808" spans="1:5" x14ac:dyDescent="0.25">
      <c r="A808" s="84">
        <v>45846</v>
      </c>
      <c r="B808" s="96">
        <v>513491.94699999999</v>
      </c>
      <c r="C808" s="96">
        <v>4786383.71</v>
      </c>
      <c r="D808" s="96">
        <v>61.484000000000002</v>
      </c>
      <c r="E808" s="96" t="s">
        <v>66</v>
      </c>
    </row>
    <row r="809" spans="1:5" x14ac:dyDescent="0.25">
      <c r="A809" s="84">
        <v>45846</v>
      </c>
      <c r="B809" s="96">
        <v>513492.01799999998</v>
      </c>
      <c r="C809" s="96">
        <v>4786383.6859999998</v>
      </c>
      <c r="D809" s="96">
        <v>59.487000000000002</v>
      </c>
      <c r="E809" s="96" t="s">
        <v>67</v>
      </c>
    </row>
    <row r="810" spans="1:5" x14ac:dyDescent="0.25">
      <c r="A810" s="84">
        <v>45846</v>
      </c>
      <c r="B810" s="96">
        <v>513492.28899999999</v>
      </c>
      <c r="C810" s="96">
        <v>4786384.1270000003</v>
      </c>
      <c r="D810" s="96">
        <v>56.496000000000002</v>
      </c>
      <c r="E810" s="96" t="s">
        <v>68</v>
      </c>
    </row>
    <row r="811" spans="1:5" x14ac:dyDescent="0.25">
      <c r="A811" s="84">
        <v>45846</v>
      </c>
      <c r="B811" s="96">
        <v>513484.61200000002</v>
      </c>
      <c r="C811" s="96">
        <v>4786368.82</v>
      </c>
      <c r="D811" s="96">
        <v>60.356000000000002</v>
      </c>
      <c r="E811" s="96" t="s">
        <v>72</v>
      </c>
    </row>
    <row r="812" spans="1:5" x14ac:dyDescent="0.25">
      <c r="A812" s="84">
        <v>45846</v>
      </c>
      <c r="B812" s="96">
        <v>513484.728</v>
      </c>
      <c r="C812" s="96">
        <v>4786368.7369999997</v>
      </c>
      <c r="D812" s="96">
        <v>59.375999999999998</v>
      </c>
      <c r="E812" s="96" t="s">
        <v>73</v>
      </c>
    </row>
    <row r="813" spans="1:5" x14ac:dyDescent="0.25">
      <c r="A813" s="84">
        <v>45846</v>
      </c>
      <c r="B813" s="96">
        <v>513484.75400000002</v>
      </c>
      <c r="C813" s="96">
        <v>4786368.7419999996</v>
      </c>
      <c r="D813" s="96">
        <v>56.356000000000002</v>
      </c>
      <c r="E813" s="96" t="s">
        <v>74</v>
      </c>
    </row>
    <row r="814" spans="1:5" x14ac:dyDescent="0.25">
      <c r="A814" s="84">
        <v>45846</v>
      </c>
      <c r="B814" s="96">
        <v>513484.82500000001</v>
      </c>
      <c r="C814" s="96">
        <v>4786368.9400000004</v>
      </c>
      <c r="D814" s="96">
        <v>53.369</v>
      </c>
      <c r="E814" s="96" t="s">
        <v>75</v>
      </c>
    </row>
    <row r="815" spans="1:5" x14ac:dyDescent="0.25">
      <c r="A815" s="84">
        <v>45846</v>
      </c>
      <c r="B815" s="96">
        <v>513480.114</v>
      </c>
      <c r="C815" s="96">
        <v>4786359.8150000004</v>
      </c>
      <c r="D815" s="96">
        <v>59.853999999999999</v>
      </c>
      <c r="E815" s="96" t="s">
        <v>76</v>
      </c>
    </row>
    <row r="816" spans="1:5" x14ac:dyDescent="0.25">
      <c r="A816" s="84">
        <v>45846</v>
      </c>
      <c r="B816" s="96">
        <v>513480.462</v>
      </c>
      <c r="C816" s="96">
        <v>4786360.3269999996</v>
      </c>
      <c r="D816" s="96">
        <v>56.534999999999997</v>
      </c>
      <c r="E816" s="96" t="s">
        <v>83</v>
      </c>
    </row>
    <row r="817" spans="1:5" x14ac:dyDescent="0.25">
      <c r="A817" s="84">
        <v>45846</v>
      </c>
      <c r="B817" s="96">
        <v>513474.54100000003</v>
      </c>
      <c r="C817" s="96">
        <v>4786353.87</v>
      </c>
      <c r="D817" s="96">
        <v>59.295999999999999</v>
      </c>
      <c r="E817" s="96" t="s">
        <v>79</v>
      </c>
    </row>
    <row r="818" spans="1:5" x14ac:dyDescent="0.25">
      <c r="A818" s="84">
        <v>45847</v>
      </c>
      <c r="B818" s="96">
        <v>513495.201</v>
      </c>
      <c r="C818" s="96">
        <v>4786386.5460000001</v>
      </c>
      <c r="D818" s="96">
        <v>61.189</v>
      </c>
      <c r="E818" s="96" t="s">
        <v>62</v>
      </c>
    </row>
    <row r="819" spans="1:5" x14ac:dyDescent="0.25">
      <c r="A819" s="84">
        <v>45847</v>
      </c>
      <c r="B819" s="96">
        <v>513495.147</v>
      </c>
      <c r="C819" s="96">
        <v>4786386.38</v>
      </c>
      <c r="D819" s="96">
        <v>59.661000000000001</v>
      </c>
      <c r="E819" s="96" t="s">
        <v>63</v>
      </c>
    </row>
    <row r="820" spans="1:5" x14ac:dyDescent="0.25">
      <c r="A820" s="84">
        <v>45847</v>
      </c>
      <c r="B820" s="96">
        <v>513495.777</v>
      </c>
      <c r="C820" s="96">
        <v>4786386.2019999996</v>
      </c>
      <c r="D820" s="96">
        <v>56.582000000000001</v>
      </c>
      <c r="E820" s="96" t="s">
        <v>64</v>
      </c>
    </row>
    <row r="821" spans="1:5" x14ac:dyDescent="0.25">
      <c r="A821" s="84">
        <v>45847</v>
      </c>
      <c r="B821" s="96">
        <v>513491.94699999999</v>
      </c>
      <c r="C821" s="96">
        <v>4786383.7110000001</v>
      </c>
      <c r="D821" s="96">
        <v>61.482999999999997</v>
      </c>
      <c r="E821" s="96" t="s">
        <v>66</v>
      </c>
    </row>
    <row r="822" spans="1:5" x14ac:dyDescent="0.25">
      <c r="A822" s="84">
        <v>45847</v>
      </c>
      <c r="B822" s="96">
        <v>513492.01799999998</v>
      </c>
      <c r="C822" s="96">
        <v>4786383.6869999999</v>
      </c>
      <c r="D822" s="96">
        <v>59.485999999999997</v>
      </c>
      <c r="E822" s="96" t="s">
        <v>67</v>
      </c>
    </row>
    <row r="823" spans="1:5" x14ac:dyDescent="0.25">
      <c r="A823" s="84">
        <v>45847</v>
      </c>
      <c r="B823" s="96">
        <v>513492.28499999997</v>
      </c>
      <c r="C823" s="96">
        <v>4786384.1239999998</v>
      </c>
      <c r="D823" s="96">
        <v>56.494</v>
      </c>
      <c r="E823" s="96" t="s">
        <v>68</v>
      </c>
    </row>
    <row r="824" spans="1:5" x14ac:dyDescent="0.25">
      <c r="A824" s="84">
        <v>45847</v>
      </c>
      <c r="B824" s="96">
        <v>513484.61300000001</v>
      </c>
      <c r="C824" s="96">
        <v>4786368.8190000001</v>
      </c>
      <c r="D824" s="96">
        <v>60.353999999999999</v>
      </c>
      <c r="E824" s="96" t="s">
        <v>72</v>
      </c>
    </row>
    <row r="825" spans="1:5" x14ac:dyDescent="0.25">
      <c r="A825" s="84">
        <v>45847</v>
      </c>
      <c r="B825" s="96">
        <v>513484.72700000001</v>
      </c>
      <c r="C825" s="96">
        <v>4786368.7379999999</v>
      </c>
      <c r="D825" s="96">
        <v>59.375999999999998</v>
      </c>
      <c r="E825" s="96" t="s">
        <v>73</v>
      </c>
    </row>
    <row r="826" spans="1:5" x14ac:dyDescent="0.25">
      <c r="A826" s="84">
        <v>45847</v>
      </c>
      <c r="B826" s="96">
        <v>513484.755</v>
      </c>
      <c r="C826" s="96">
        <v>4786368.7419999996</v>
      </c>
      <c r="D826" s="96">
        <v>56.356000000000002</v>
      </c>
      <c r="E826" s="96" t="s">
        <v>74</v>
      </c>
    </row>
    <row r="827" spans="1:5" x14ac:dyDescent="0.25">
      <c r="A827" s="84">
        <v>45847</v>
      </c>
      <c r="B827" s="96">
        <v>513484.826</v>
      </c>
      <c r="C827" s="96">
        <v>4786368.9400000004</v>
      </c>
      <c r="D827" s="96">
        <v>53.369</v>
      </c>
      <c r="E827" s="96" t="s">
        <v>75</v>
      </c>
    </row>
    <row r="828" spans="1:5" x14ac:dyDescent="0.25">
      <c r="A828" s="84">
        <v>45847</v>
      </c>
      <c r="B828" s="96">
        <v>513480.114</v>
      </c>
      <c r="C828" s="96">
        <v>4786359.8150000004</v>
      </c>
      <c r="D828" s="96">
        <v>59.853000000000002</v>
      </c>
      <c r="E828" s="96" t="s">
        <v>76</v>
      </c>
    </row>
    <row r="829" spans="1:5" x14ac:dyDescent="0.25">
      <c r="A829" s="84">
        <v>45847</v>
      </c>
      <c r="B829" s="96">
        <v>513480.462</v>
      </c>
      <c r="C829" s="96">
        <v>4786360.3260000004</v>
      </c>
      <c r="D829" s="96">
        <v>56.534999999999997</v>
      </c>
      <c r="E829" s="96" t="s">
        <v>83</v>
      </c>
    </row>
    <row r="830" spans="1:5" x14ac:dyDescent="0.25">
      <c r="A830" s="84">
        <v>45847</v>
      </c>
      <c r="B830" s="96">
        <v>513474.54200000002</v>
      </c>
      <c r="C830" s="96">
        <v>4786353.87</v>
      </c>
      <c r="D830" s="96">
        <v>59.295000000000002</v>
      </c>
      <c r="E830" s="96" t="s">
        <v>79</v>
      </c>
    </row>
    <row r="831" spans="1:5" x14ac:dyDescent="0.25">
      <c r="A831" s="84">
        <v>45848</v>
      </c>
      <c r="B831" s="96">
        <v>513495.2</v>
      </c>
      <c r="C831" s="96">
        <v>4786386.5449999999</v>
      </c>
      <c r="D831" s="96">
        <v>61.189</v>
      </c>
      <c r="E831" s="96" t="s">
        <v>62</v>
      </c>
    </row>
    <row r="832" spans="1:5" x14ac:dyDescent="0.25">
      <c r="A832" s="84">
        <v>45848</v>
      </c>
      <c r="B832" s="96">
        <v>513495.14600000001</v>
      </c>
      <c r="C832" s="96">
        <v>4786386.38</v>
      </c>
      <c r="D832" s="96">
        <v>59.66</v>
      </c>
      <c r="E832" s="96" t="s">
        <v>63</v>
      </c>
    </row>
    <row r="833" spans="1:5" x14ac:dyDescent="0.25">
      <c r="A833" s="84">
        <v>45848</v>
      </c>
      <c r="B833" s="96">
        <v>513495.777</v>
      </c>
      <c r="C833" s="96">
        <v>4786386.2019999996</v>
      </c>
      <c r="D833" s="96">
        <v>56.582000000000001</v>
      </c>
      <c r="E833" s="96" t="s">
        <v>64</v>
      </c>
    </row>
    <row r="834" spans="1:5" x14ac:dyDescent="0.25">
      <c r="A834" s="84">
        <v>45848</v>
      </c>
      <c r="B834" s="96">
        <v>513491.94699999999</v>
      </c>
      <c r="C834" s="96">
        <v>4786383.71</v>
      </c>
      <c r="D834" s="96">
        <v>61.482999999999997</v>
      </c>
      <c r="E834" s="96" t="s">
        <v>66</v>
      </c>
    </row>
    <row r="835" spans="1:5" x14ac:dyDescent="0.25">
      <c r="A835" s="84">
        <v>45848</v>
      </c>
      <c r="B835" s="96">
        <v>513492.01799999998</v>
      </c>
      <c r="C835" s="96">
        <v>4786383.6859999998</v>
      </c>
      <c r="D835" s="96">
        <v>59.484999999999999</v>
      </c>
      <c r="E835" s="96" t="s">
        <v>67</v>
      </c>
    </row>
    <row r="836" spans="1:5" x14ac:dyDescent="0.25">
      <c r="A836" s="84">
        <v>45848</v>
      </c>
      <c r="B836" s="96">
        <v>513492.28600000002</v>
      </c>
      <c r="C836" s="96">
        <v>4786384.1239999998</v>
      </c>
      <c r="D836" s="96">
        <v>56.494</v>
      </c>
      <c r="E836" s="96" t="s">
        <v>68</v>
      </c>
    </row>
    <row r="837" spans="1:5" x14ac:dyDescent="0.25">
      <c r="A837" s="84">
        <v>45848</v>
      </c>
      <c r="B837" s="96">
        <v>513484.61300000001</v>
      </c>
      <c r="C837" s="96">
        <v>4786368.8190000001</v>
      </c>
      <c r="D837" s="96">
        <v>60.353999999999999</v>
      </c>
      <c r="E837" s="96" t="s">
        <v>72</v>
      </c>
    </row>
    <row r="838" spans="1:5" x14ac:dyDescent="0.25">
      <c r="A838" s="84">
        <v>45848</v>
      </c>
      <c r="B838" s="96">
        <v>513484.72700000001</v>
      </c>
      <c r="C838" s="96">
        <v>4786368.7369999997</v>
      </c>
      <c r="D838" s="96">
        <v>59.375</v>
      </c>
      <c r="E838" s="96" t="s">
        <v>73</v>
      </c>
    </row>
    <row r="839" spans="1:5" x14ac:dyDescent="0.25">
      <c r="A839" s="84">
        <v>45848</v>
      </c>
      <c r="B839" s="96">
        <v>513484.75400000002</v>
      </c>
      <c r="C839" s="96">
        <v>4786368.7419999996</v>
      </c>
      <c r="D839" s="96">
        <v>56.354999999999997</v>
      </c>
      <c r="E839" s="96" t="s">
        <v>74</v>
      </c>
    </row>
    <row r="840" spans="1:5" x14ac:dyDescent="0.25">
      <c r="A840" s="84">
        <v>45848</v>
      </c>
      <c r="B840" s="96">
        <v>513484.826</v>
      </c>
      <c r="C840" s="96">
        <v>4786368.9400000004</v>
      </c>
      <c r="D840" s="96">
        <v>53.368000000000002</v>
      </c>
      <c r="E840" s="96" t="s">
        <v>75</v>
      </c>
    </row>
    <row r="841" spans="1:5" x14ac:dyDescent="0.25">
      <c r="A841" s="84">
        <v>45848</v>
      </c>
      <c r="B841" s="96">
        <v>513480.114</v>
      </c>
      <c r="C841" s="96">
        <v>4786359.8140000002</v>
      </c>
      <c r="D841" s="96">
        <v>59.851999999999997</v>
      </c>
      <c r="E841" s="96" t="s">
        <v>76</v>
      </c>
    </row>
    <row r="842" spans="1:5" x14ac:dyDescent="0.25">
      <c r="A842" s="84">
        <v>45848</v>
      </c>
      <c r="B842" s="96">
        <v>513480.462</v>
      </c>
      <c r="C842" s="96">
        <v>4786360.3260000004</v>
      </c>
      <c r="D842" s="96">
        <v>56.533000000000001</v>
      </c>
      <c r="E842" s="96" t="s">
        <v>83</v>
      </c>
    </row>
    <row r="843" spans="1:5" x14ac:dyDescent="0.25">
      <c r="A843" s="84">
        <v>45848</v>
      </c>
      <c r="B843" s="96">
        <v>513474.54200000002</v>
      </c>
      <c r="C843" s="96">
        <v>4786353.87</v>
      </c>
      <c r="D843" s="96">
        <v>59.295000000000002</v>
      </c>
      <c r="E843" s="96" t="s">
        <v>79</v>
      </c>
    </row>
    <row r="844" spans="1:5" x14ac:dyDescent="0.25">
      <c r="A844" s="84">
        <v>45849</v>
      </c>
      <c r="B844" s="96">
        <v>513495.201</v>
      </c>
      <c r="C844" s="96">
        <v>4786386.5449999999</v>
      </c>
      <c r="D844" s="96">
        <v>61.191000000000003</v>
      </c>
      <c r="E844" s="96" t="s">
        <v>62</v>
      </c>
    </row>
    <row r="845" spans="1:5" x14ac:dyDescent="0.25">
      <c r="A845" s="84">
        <v>45849</v>
      </c>
      <c r="B845" s="96">
        <v>513495.147</v>
      </c>
      <c r="C845" s="96">
        <v>4786386.38</v>
      </c>
      <c r="D845" s="96">
        <v>59.66</v>
      </c>
      <c r="E845" s="96" t="s">
        <v>63</v>
      </c>
    </row>
    <row r="846" spans="1:5" x14ac:dyDescent="0.25">
      <c r="A846" s="84">
        <v>45849</v>
      </c>
      <c r="B846" s="96">
        <v>513495.777</v>
      </c>
      <c r="C846" s="96">
        <v>4786386.2029999997</v>
      </c>
      <c r="D846" s="96">
        <v>56.582000000000001</v>
      </c>
      <c r="E846" s="96" t="s">
        <v>64</v>
      </c>
    </row>
    <row r="847" spans="1:5" x14ac:dyDescent="0.25">
      <c r="A847" s="84">
        <v>45849</v>
      </c>
      <c r="B847" s="96">
        <v>513491.94699999999</v>
      </c>
      <c r="C847" s="96">
        <v>4786383.7110000001</v>
      </c>
      <c r="D847" s="96">
        <v>61.482999999999997</v>
      </c>
      <c r="E847" s="96" t="s">
        <v>66</v>
      </c>
    </row>
    <row r="848" spans="1:5" x14ac:dyDescent="0.25">
      <c r="A848" s="84">
        <v>45849</v>
      </c>
      <c r="B848" s="96">
        <v>513492.01799999998</v>
      </c>
      <c r="C848" s="96">
        <v>4786383.6859999998</v>
      </c>
      <c r="D848" s="96">
        <v>59.485999999999997</v>
      </c>
      <c r="E848" s="96" t="s">
        <v>67</v>
      </c>
    </row>
    <row r="849" spans="1:5" x14ac:dyDescent="0.25">
      <c r="A849" s="84">
        <v>45849</v>
      </c>
      <c r="B849" s="96">
        <v>513492.288</v>
      </c>
      <c r="C849" s="96">
        <v>4786384.1260000002</v>
      </c>
      <c r="D849" s="96">
        <v>56.494999999999997</v>
      </c>
      <c r="E849" s="96" t="s">
        <v>68</v>
      </c>
    </row>
    <row r="850" spans="1:5" x14ac:dyDescent="0.25">
      <c r="A850" s="84">
        <v>45849</v>
      </c>
      <c r="B850" s="96">
        <v>513487.79</v>
      </c>
      <c r="C850" s="96">
        <v>4786375.6560000004</v>
      </c>
      <c r="D850" s="96">
        <v>60.911999999999999</v>
      </c>
      <c r="E850" s="96" t="s">
        <v>85</v>
      </c>
    </row>
    <row r="851" spans="1:5" x14ac:dyDescent="0.25">
      <c r="A851" s="84">
        <v>45849</v>
      </c>
      <c r="B851" s="96">
        <v>513488.01699999999</v>
      </c>
      <c r="C851" s="96">
        <v>4786375.693</v>
      </c>
      <c r="D851" s="96">
        <v>59.570999999999998</v>
      </c>
      <c r="E851" s="96" t="s">
        <v>86</v>
      </c>
    </row>
    <row r="852" spans="1:5" x14ac:dyDescent="0.25">
      <c r="A852" s="84">
        <v>45849</v>
      </c>
      <c r="B852" s="96">
        <v>513484.61300000001</v>
      </c>
      <c r="C852" s="96">
        <v>4786368.82</v>
      </c>
      <c r="D852" s="96">
        <v>60.354999999999997</v>
      </c>
      <c r="E852" s="96" t="s">
        <v>72</v>
      </c>
    </row>
    <row r="853" spans="1:5" x14ac:dyDescent="0.25">
      <c r="A853" s="84">
        <v>45849</v>
      </c>
      <c r="B853" s="96">
        <v>513484.728</v>
      </c>
      <c r="C853" s="96">
        <v>4786368.7369999997</v>
      </c>
      <c r="D853" s="96">
        <v>59.375999999999998</v>
      </c>
      <c r="E853" s="96" t="s">
        <v>73</v>
      </c>
    </row>
    <row r="854" spans="1:5" x14ac:dyDescent="0.25">
      <c r="A854" s="84">
        <v>45849</v>
      </c>
      <c r="B854" s="96">
        <v>513484.755</v>
      </c>
      <c r="C854" s="96">
        <v>4786368.7419999996</v>
      </c>
      <c r="D854" s="96">
        <v>56.356000000000002</v>
      </c>
      <c r="E854" s="96" t="s">
        <v>74</v>
      </c>
    </row>
    <row r="855" spans="1:5" x14ac:dyDescent="0.25">
      <c r="A855" s="84">
        <v>45849</v>
      </c>
      <c r="B855" s="96">
        <v>513484.826</v>
      </c>
      <c r="C855" s="96">
        <v>4786368.9400000004</v>
      </c>
      <c r="D855" s="96">
        <v>53.369</v>
      </c>
      <c r="E855" s="96" t="s">
        <v>75</v>
      </c>
    </row>
    <row r="856" spans="1:5" x14ac:dyDescent="0.25">
      <c r="A856" s="84">
        <v>45849</v>
      </c>
      <c r="B856" s="96">
        <v>513480.114</v>
      </c>
      <c r="C856" s="96">
        <v>4786359.8140000002</v>
      </c>
      <c r="D856" s="96">
        <v>59.853000000000002</v>
      </c>
      <c r="E856" s="96" t="s">
        <v>76</v>
      </c>
    </row>
    <row r="857" spans="1:5" x14ac:dyDescent="0.25">
      <c r="A857" s="84">
        <v>45849</v>
      </c>
      <c r="B857" s="96">
        <v>513480.462</v>
      </c>
      <c r="C857" s="96">
        <v>4786360.3269999996</v>
      </c>
      <c r="D857" s="96">
        <v>56.533999999999999</v>
      </c>
      <c r="E857" s="96" t="s">
        <v>83</v>
      </c>
    </row>
    <row r="858" spans="1:5" x14ac:dyDescent="0.25">
      <c r="A858" s="84">
        <v>45849</v>
      </c>
      <c r="B858" s="96">
        <v>513474.54200000002</v>
      </c>
      <c r="C858" s="96">
        <v>4786353.87</v>
      </c>
      <c r="D858" s="96">
        <v>59.295000000000002</v>
      </c>
      <c r="E858" s="96" t="s">
        <v>79</v>
      </c>
    </row>
    <row r="859" spans="1:5" x14ac:dyDescent="0.25">
      <c r="A859" s="84">
        <v>45852</v>
      </c>
      <c r="B859" s="96">
        <v>513495.2</v>
      </c>
      <c r="C859" s="96">
        <v>4786386.5439999998</v>
      </c>
      <c r="D859" s="96">
        <v>61.189</v>
      </c>
      <c r="E859" s="96" t="s">
        <v>62</v>
      </c>
    </row>
    <row r="860" spans="1:5" x14ac:dyDescent="0.25">
      <c r="A860" s="84">
        <v>45852</v>
      </c>
      <c r="B860" s="96">
        <v>513495.14600000001</v>
      </c>
      <c r="C860" s="96">
        <v>4786386.38</v>
      </c>
      <c r="D860" s="96">
        <v>59.66</v>
      </c>
      <c r="E860" s="96" t="s">
        <v>63</v>
      </c>
    </row>
    <row r="861" spans="1:5" x14ac:dyDescent="0.25">
      <c r="A861" s="84">
        <v>45852</v>
      </c>
      <c r="B861" s="96">
        <v>513495.777</v>
      </c>
      <c r="C861" s="96">
        <v>4786386.2019999996</v>
      </c>
      <c r="D861" s="96">
        <v>56.582000000000001</v>
      </c>
      <c r="E861" s="96" t="s">
        <v>64</v>
      </c>
    </row>
    <row r="862" spans="1:5" x14ac:dyDescent="0.25">
      <c r="A862" s="84">
        <v>45852</v>
      </c>
      <c r="B862" s="96">
        <v>513491.94699999999</v>
      </c>
      <c r="C862" s="96">
        <v>4786383.71</v>
      </c>
      <c r="D862" s="96">
        <v>61.482999999999997</v>
      </c>
      <c r="E862" s="96" t="s">
        <v>66</v>
      </c>
    </row>
    <row r="863" spans="1:5" x14ac:dyDescent="0.25">
      <c r="A863" s="84">
        <v>45852</v>
      </c>
      <c r="B863" s="96">
        <v>513492.01799999998</v>
      </c>
      <c r="C863" s="96">
        <v>4786383.6859999998</v>
      </c>
      <c r="D863" s="96">
        <v>59.485999999999997</v>
      </c>
      <c r="E863" s="96" t="s">
        <v>67</v>
      </c>
    </row>
    <row r="864" spans="1:5" x14ac:dyDescent="0.25">
      <c r="A864" s="84">
        <v>45852</v>
      </c>
      <c r="B864" s="96">
        <v>513492.28600000002</v>
      </c>
      <c r="C864" s="96">
        <v>4786384.1229999997</v>
      </c>
      <c r="D864" s="96">
        <v>56.494</v>
      </c>
      <c r="E864" s="96" t="s">
        <v>68</v>
      </c>
    </row>
    <row r="865" spans="1:5" x14ac:dyDescent="0.25">
      <c r="A865" s="84">
        <v>45852</v>
      </c>
      <c r="B865" s="96">
        <v>513487.78899999999</v>
      </c>
      <c r="C865" s="96">
        <v>4786375.6560000004</v>
      </c>
      <c r="D865" s="96">
        <v>60.911000000000001</v>
      </c>
      <c r="E865" s="96" t="s">
        <v>85</v>
      </c>
    </row>
    <row r="866" spans="1:5" x14ac:dyDescent="0.25">
      <c r="A866" s="84">
        <v>45852</v>
      </c>
      <c r="B866" s="96">
        <v>513488.01699999999</v>
      </c>
      <c r="C866" s="96">
        <v>4786375.693</v>
      </c>
      <c r="D866" s="96">
        <v>59.570999999999998</v>
      </c>
      <c r="E866" s="96" t="s">
        <v>86</v>
      </c>
    </row>
    <row r="867" spans="1:5" x14ac:dyDescent="0.25">
      <c r="A867" s="84">
        <v>45852</v>
      </c>
      <c r="B867" s="96">
        <v>513484.61200000002</v>
      </c>
      <c r="C867" s="96">
        <v>4786368.8190000001</v>
      </c>
      <c r="D867" s="96">
        <v>60.354999999999997</v>
      </c>
      <c r="E867" s="96" t="s">
        <v>72</v>
      </c>
    </row>
    <row r="868" spans="1:5" x14ac:dyDescent="0.25">
      <c r="A868" s="84">
        <v>45852</v>
      </c>
      <c r="B868" s="96">
        <v>513484.72700000001</v>
      </c>
      <c r="C868" s="96">
        <v>4786368.7369999997</v>
      </c>
      <c r="D868" s="96">
        <v>59.375999999999998</v>
      </c>
      <c r="E868" s="96" t="s">
        <v>73</v>
      </c>
    </row>
    <row r="869" spans="1:5" x14ac:dyDescent="0.25">
      <c r="A869" s="84">
        <v>45852</v>
      </c>
      <c r="B869" s="96">
        <v>513484.75400000002</v>
      </c>
      <c r="C869" s="96">
        <v>4786368.7419999996</v>
      </c>
      <c r="D869" s="96">
        <v>56.356000000000002</v>
      </c>
      <c r="E869" s="96" t="s">
        <v>74</v>
      </c>
    </row>
    <row r="870" spans="1:5" x14ac:dyDescent="0.25">
      <c r="A870" s="84">
        <v>45852</v>
      </c>
      <c r="B870" s="96">
        <v>513484.82500000001</v>
      </c>
      <c r="C870" s="96">
        <v>4786368.9390000002</v>
      </c>
      <c r="D870" s="96">
        <v>53.369</v>
      </c>
      <c r="E870" s="96" t="s">
        <v>75</v>
      </c>
    </row>
    <row r="871" spans="1:5" x14ac:dyDescent="0.25">
      <c r="A871" s="84">
        <v>45852</v>
      </c>
      <c r="B871" s="96">
        <v>513480.114</v>
      </c>
      <c r="C871" s="96">
        <v>4786359.8140000002</v>
      </c>
      <c r="D871" s="96">
        <v>59.851999999999997</v>
      </c>
      <c r="E871" s="96" t="s">
        <v>76</v>
      </c>
    </row>
    <row r="872" spans="1:5" x14ac:dyDescent="0.25">
      <c r="A872" s="84">
        <v>45852</v>
      </c>
      <c r="B872" s="96">
        <v>513480.462</v>
      </c>
      <c r="C872" s="96">
        <v>4786360.3260000004</v>
      </c>
      <c r="D872" s="96">
        <v>56.533999999999999</v>
      </c>
      <c r="E872" s="96" t="s">
        <v>83</v>
      </c>
    </row>
    <row r="873" spans="1:5" x14ac:dyDescent="0.25">
      <c r="A873" s="84">
        <v>45852</v>
      </c>
      <c r="B873" s="96">
        <v>513474.54200000002</v>
      </c>
      <c r="C873" s="96">
        <v>4786353.87</v>
      </c>
      <c r="D873" s="96">
        <v>59.295000000000002</v>
      </c>
      <c r="E873" s="96" t="s">
        <v>79</v>
      </c>
    </row>
    <row r="874" spans="1:5" x14ac:dyDescent="0.25">
      <c r="A874" s="84">
        <v>45853</v>
      </c>
      <c r="B874" s="96">
        <v>513495.20199999999</v>
      </c>
      <c r="C874" s="96">
        <v>4786386.5439999998</v>
      </c>
      <c r="D874" s="96">
        <v>61.188000000000002</v>
      </c>
      <c r="E874" s="96" t="s">
        <v>62</v>
      </c>
    </row>
    <row r="875" spans="1:5" x14ac:dyDescent="0.25">
      <c r="A875" s="84">
        <v>45853</v>
      </c>
      <c r="B875" s="96">
        <v>513495.147</v>
      </c>
      <c r="C875" s="96">
        <v>4786386.3789999997</v>
      </c>
      <c r="D875" s="96">
        <v>59.66</v>
      </c>
      <c r="E875" s="96" t="s">
        <v>63</v>
      </c>
    </row>
    <row r="876" spans="1:5" x14ac:dyDescent="0.25">
      <c r="A876" s="84">
        <v>45853</v>
      </c>
      <c r="B876" s="96">
        <v>513495.777</v>
      </c>
      <c r="C876" s="96">
        <v>4786386.2019999996</v>
      </c>
      <c r="D876" s="96">
        <v>56.581000000000003</v>
      </c>
      <c r="E876" s="96" t="s">
        <v>64</v>
      </c>
    </row>
    <row r="877" spans="1:5" x14ac:dyDescent="0.25">
      <c r="A877" s="84">
        <v>45853</v>
      </c>
      <c r="B877" s="96">
        <v>513491.94699999999</v>
      </c>
      <c r="C877" s="96">
        <v>4786383.71</v>
      </c>
      <c r="D877" s="96">
        <v>61.481999999999999</v>
      </c>
      <c r="E877" s="96" t="s">
        <v>66</v>
      </c>
    </row>
    <row r="878" spans="1:5" x14ac:dyDescent="0.25">
      <c r="A878" s="84">
        <v>45853</v>
      </c>
      <c r="B878" s="96">
        <v>513492.01699999999</v>
      </c>
      <c r="C878" s="96">
        <v>4786383.6849999996</v>
      </c>
      <c r="D878" s="96">
        <v>59.484999999999999</v>
      </c>
      <c r="E878" s="96" t="s">
        <v>67</v>
      </c>
    </row>
    <row r="879" spans="1:5" x14ac:dyDescent="0.25">
      <c r="A879" s="84">
        <v>45853</v>
      </c>
      <c r="B879" s="96">
        <v>513492.28499999997</v>
      </c>
      <c r="C879" s="96">
        <v>4786384.1229999997</v>
      </c>
      <c r="D879" s="96">
        <v>56.494</v>
      </c>
      <c r="E879" s="96" t="s">
        <v>68</v>
      </c>
    </row>
    <row r="880" spans="1:5" x14ac:dyDescent="0.25">
      <c r="A880" s="84">
        <v>45853</v>
      </c>
      <c r="B880" s="96">
        <v>513487.79</v>
      </c>
      <c r="C880" s="96">
        <v>4786375.6560000004</v>
      </c>
      <c r="D880" s="96">
        <v>60.911000000000001</v>
      </c>
      <c r="E880" s="96" t="s">
        <v>85</v>
      </c>
    </row>
    <row r="881" spans="1:5" x14ac:dyDescent="0.25">
      <c r="A881" s="84">
        <v>45853</v>
      </c>
      <c r="B881" s="96">
        <v>513488.01699999999</v>
      </c>
      <c r="C881" s="96">
        <v>4786375.6919999998</v>
      </c>
      <c r="D881" s="96">
        <v>59.57</v>
      </c>
      <c r="E881" s="96" t="s">
        <v>86</v>
      </c>
    </row>
    <row r="882" spans="1:5" x14ac:dyDescent="0.25">
      <c r="A882" s="84">
        <v>45853</v>
      </c>
      <c r="B882" s="96">
        <v>513484.61200000002</v>
      </c>
      <c r="C882" s="96">
        <v>4786368.8190000001</v>
      </c>
      <c r="D882" s="96">
        <v>60.353999999999999</v>
      </c>
      <c r="E882" s="96" t="s">
        <v>72</v>
      </c>
    </row>
    <row r="883" spans="1:5" x14ac:dyDescent="0.25">
      <c r="A883" s="84">
        <v>45853</v>
      </c>
      <c r="B883" s="96">
        <v>513484.728</v>
      </c>
      <c r="C883" s="96">
        <v>4786368.7369999997</v>
      </c>
      <c r="D883" s="96">
        <v>59.375</v>
      </c>
      <c r="E883" s="96" t="s">
        <v>73</v>
      </c>
    </row>
    <row r="884" spans="1:5" x14ac:dyDescent="0.25">
      <c r="A884" s="84">
        <v>45853</v>
      </c>
      <c r="B884" s="96">
        <v>513484.75400000002</v>
      </c>
      <c r="C884" s="96">
        <v>4786368.7410000004</v>
      </c>
      <c r="D884" s="96">
        <v>56.354999999999997</v>
      </c>
      <c r="E884" s="96" t="s">
        <v>74</v>
      </c>
    </row>
    <row r="885" spans="1:5" x14ac:dyDescent="0.25">
      <c r="A885" s="84">
        <v>45853</v>
      </c>
      <c r="B885" s="96">
        <v>513484.826</v>
      </c>
      <c r="C885" s="96">
        <v>4786368.9390000002</v>
      </c>
      <c r="D885" s="96">
        <v>53.368000000000002</v>
      </c>
      <c r="E885" s="96" t="s">
        <v>75</v>
      </c>
    </row>
    <row r="886" spans="1:5" x14ac:dyDescent="0.25">
      <c r="A886" s="84">
        <v>45853</v>
      </c>
      <c r="B886" s="96">
        <v>513480.114</v>
      </c>
      <c r="C886" s="96">
        <v>4786359.8140000002</v>
      </c>
      <c r="D886" s="96">
        <v>59.851999999999997</v>
      </c>
      <c r="E886" s="96" t="s">
        <v>76</v>
      </c>
    </row>
    <row r="887" spans="1:5" x14ac:dyDescent="0.25">
      <c r="A887" s="84">
        <v>45853</v>
      </c>
      <c r="B887" s="96">
        <v>513480.462</v>
      </c>
      <c r="C887" s="96">
        <v>4786360.3260000004</v>
      </c>
      <c r="D887" s="96">
        <v>56.533000000000001</v>
      </c>
      <c r="E887" s="96" t="s">
        <v>83</v>
      </c>
    </row>
    <row r="888" spans="1:5" x14ac:dyDescent="0.25">
      <c r="A888" s="84">
        <v>45853</v>
      </c>
      <c r="B888" s="96">
        <v>513474.54200000002</v>
      </c>
      <c r="C888" s="96">
        <v>4786353.8689999999</v>
      </c>
      <c r="D888" s="96">
        <v>59.293999999999997</v>
      </c>
      <c r="E888" s="96" t="s">
        <v>79</v>
      </c>
    </row>
    <row r="889" spans="1:5" x14ac:dyDescent="0.25">
      <c r="A889" s="84">
        <v>45854</v>
      </c>
      <c r="B889" s="96">
        <v>513495.201</v>
      </c>
      <c r="C889" s="96">
        <v>4786386.5439999998</v>
      </c>
      <c r="D889" s="96">
        <v>61.19</v>
      </c>
      <c r="E889" s="96" t="s">
        <v>62</v>
      </c>
    </row>
    <row r="890" spans="1:5" x14ac:dyDescent="0.25">
      <c r="A890" s="84">
        <v>45854</v>
      </c>
      <c r="B890" s="96">
        <v>513495.14600000001</v>
      </c>
      <c r="C890" s="96">
        <v>4786386.38</v>
      </c>
      <c r="D890" s="96">
        <v>59.661000000000001</v>
      </c>
      <c r="E890" s="96" t="s">
        <v>63</v>
      </c>
    </row>
    <row r="891" spans="1:5" x14ac:dyDescent="0.25">
      <c r="A891" s="84">
        <v>45854</v>
      </c>
      <c r="B891" s="96">
        <v>513495.777</v>
      </c>
      <c r="C891" s="96">
        <v>4786386.2010000004</v>
      </c>
      <c r="D891" s="96">
        <v>56.582000000000001</v>
      </c>
      <c r="E891" s="96" t="s">
        <v>64</v>
      </c>
    </row>
    <row r="892" spans="1:5" x14ac:dyDescent="0.25">
      <c r="A892" s="84">
        <v>45854</v>
      </c>
      <c r="B892" s="96">
        <v>513491.946</v>
      </c>
      <c r="C892" s="96">
        <v>4786383.71</v>
      </c>
      <c r="D892" s="96">
        <v>61.484000000000002</v>
      </c>
      <c r="E892" s="96" t="s">
        <v>66</v>
      </c>
    </row>
    <row r="893" spans="1:5" x14ac:dyDescent="0.25">
      <c r="A893" s="84">
        <v>45854</v>
      </c>
      <c r="B893" s="96">
        <v>513492.01699999999</v>
      </c>
      <c r="C893" s="96">
        <v>4786383.6859999998</v>
      </c>
      <c r="D893" s="96">
        <v>59.487000000000002</v>
      </c>
      <c r="E893" s="96" t="s">
        <v>67</v>
      </c>
    </row>
    <row r="894" spans="1:5" x14ac:dyDescent="0.25">
      <c r="A894" s="84">
        <v>45854</v>
      </c>
      <c r="B894" s="96">
        <v>513492.28600000002</v>
      </c>
      <c r="C894" s="96">
        <v>4786384.1239999998</v>
      </c>
      <c r="D894" s="96">
        <v>56.494999999999997</v>
      </c>
      <c r="E894" s="96" t="s">
        <v>68</v>
      </c>
    </row>
    <row r="895" spans="1:5" x14ac:dyDescent="0.25">
      <c r="A895" s="84">
        <v>45854</v>
      </c>
      <c r="B895" s="96">
        <v>513487.78899999999</v>
      </c>
      <c r="C895" s="96">
        <v>4786375.6560000004</v>
      </c>
      <c r="D895" s="96">
        <v>60.912999999999997</v>
      </c>
      <c r="E895" s="96" t="s">
        <v>85</v>
      </c>
    </row>
    <row r="896" spans="1:5" x14ac:dyDescent="0.25">
      <c r="A896" s="84">
        <v>45854</v>
      </c>
      <c r="B896" s="96">
        <v>513488.01699999999</v>
      </c>
      <c r="C896" s="96">
        <v>4786375.6919999998</v>
      </c>
      <c r="D896" s="96">
        <v>59.572000000000003</v>
      </c>
      <c r="E896" s="96" t="s">
        <v>86</v>
      </c>
    </row>
    <row r="897" spans="1:5" x14ac:dyDescent="0.25">
      <c r="A897" s="84">
        <v>45854</v>
      </c>
      <c r="B897" s="96">
        <v>513484.61200000002</v>
      </c>
      <c r="C897" s="96">
        <v>4786368.8190000001</v>
      </c>
      <c r="D897" s="96">
        <v>60.354999999999997</v>
      </c>
      <c r="E897" s="96" t="s">
        <v>72</v>
      </c>
    </row>
    <row r="898" spans="1:5" x14ac:dyDescent="0.25">
      <c r="A898" s="84">
        <v>45854</v>
      </c>
      <c r="B898" s="96">
        <v>513484.72700000001</v>
      </c>
      <c r="C898" s="96">
        <v>4786368.7369999997</v>
      </c>
      <c r="D898" s="96">
        <v>59.377000000000002</v>
      </c>
      <c r="E898" s="96" t="s">
        <v>73</v>
      </c>
    </row>
    <row r="899" spans="1:5" x14ac:dyDescent="0.25">
      <c r="A899" s="84">
        <v>45854</v>
      </c>
      <c r="B899" s="96">
        <v>513484.75400000002</v>
      </c>
      <c r="C899" s="96">
        <v>4786368.7419999996</v>
      </c>
      <c r="D899" s="96">
        <v>56.356000000000002</v>
      </c>
      <c r="E899" s="96" t="s">
        <v>74</v>
      </c>
    </row>
    <row r="900" spans="1:5" x14ac:dyDescent="0.25">
      <c r="A900" s="84">
        <v>45854</v>
      </c>
      <c r="B900" s="96">
        <v>513484.82500000001</v>
      </c>
      <c r="C900" s="96">
        <v>4786368.9390000002</v>
      </c>
      <c r="D900" s="96">
        <v>53.37</v>
      </c>
      <c r="E900" s="96" t="s">
        <v>75</v>
      </c>
    </row>
    <row r="901" spans="1:5" x14ac:dyDescent="0.25">
      <c r="A901" s="84">
        <v>45854</v>
      </c>
      <c r="B901" s="96">
        <v>513480.114</v>
      </c>
      <c r="C901" s="96">
        <v>4786359.8140000002</v>
      </c>
      <c r="D901" s="96">
        <v>59.853000000000002</v>
      </c>
      <c r="E901" s="96" t="s">
        <v>76</v>
      </c>
    </row>
    <row r="902" spans="1:5" x14ac:dyDescent="0.25">
      <c r="A902" s="84">
        <v>45854</v>
      </c>
      <c r="B902" s="96">
        <v>513480.462</v>
      </c>
      <c r="C902" s="96">
        <v>4786360.3260000004</v>
      </c>
      <c r="D902" s="96">
        <v>56.534999999999997</v>
      </c>
      <c r="E902" s="96" t="s">
        <v>83</v>
      </c>
    </row>
    <row r="903" spans="1:5" x14ac:dyDescent="0.25">
      <c r="A903" s="84">
        <v>45854</v>
      </c>
      <c r="B903" s="96">
        <v>513474.54200000002</v>
      </c>
      <c r="C903" s="96">
        <v>4786353.8689999999</v>
      </c>
      <c r="D903" s="96">
        <v>59.295999999999999</v>
      </c>
      <c r="E903" s="96" t="s">
        <v>79</v>
      </c>
    </row>
    <row r="904" spans="1:5" x14ac:dyDescent="0.25">
      <c r="A904" s="84">
        <v>45855</v>
      </c>
      <c r="B904" s="96">
        <v>513495.201</v>
      </c>
      <c r="C904" s="96">
        <v>4786386.5429999996</v>
      </c>
      <c r="D904" s="96">
        <v>61.189</v>
      </c>
      <c r="E904" s="96" t="s">
        <v>62</v>
      </c>
    </row>
    <row r="905" spans="1:5" x14ac:dyDescent="0.25">
      <c r="A905" s="84">
        <v>45855</v>
      </c>
      <c r="B905" s="96">
        <v>513495.14600000001</v>
      </c>
      <c r="C905" s="96">
        <v>4786386.3789999997</v>
      </c>
      <c r="D905" s="96">
        <v>59.66</v>
      </c>
      <c r="E905" s="96" t="s">
        <v>63</v>
      </c>
    </row>
    <row r="906" spans="1:5" x14ac:dyDescent="0.25">
      <c r="A906" s="84">
        <v>45855</v>
      </c>
      <c r="B906" s="96">
        <v>513495.777</v>
      </c>
      <c r="C906" s="96">
        <v>4786386.2019999996</v>
      </c>
      <c r="D906" s="96">
        <v>56.582000000000001</v>
      </c>
      <c r="E906" s="96" t="s">
        <v>64</v>
      </c>
    </row>
    <row r="907" spans="1:5" x14ac:dyDescent="0.25">
      <c r="A907" s="84">
        <v>45855</v>
      </c>
      <c r="B907" s="96">
        <v>513491.946</v>
      </c>
      <c r="C907" s="96">
        <v>4786383.71</v>
      </c>
      <c r="D907" s="96">
        <v>61.482999999999997</v>
      </c>
      <c r="E907" s="96" t="s">
        <v>66</v>
      </c>
    </row>
    <row r="908" spans="1:5" x14ac:dyDescent="0.25">
      <c r="A908" s="84">
        <v>45855</v>
      </c>
      <c r="B908" s="96">
        <v>513492.01799999998</v>
      </c>
      <c r="C908" s="96">
        <v>4786383.6859999998</v>
      </c>
      <c r="D908" s="96">
        <v>59.485999999999997</v>
      </c>
      <c r="E908" s="96" t="s">
        <v>67</v>
      </c>
    </row>
    <row r="909" spans="1:5" x14ac:dyDescent="0.25">
      <c r="A909" s="84">
        <v>45855</v>
      </c>
      <c r="B909" s="96">
        <v>513492.28499999997</v>
      </c>
      <c r="C909" s="96">
        <v>4786384.1229999997</v>
      </c>
      <c r="D909" s="96">
        <v>56.494</v>
      </c>
      <c r="E909" s="96" t="s">
        <v>68</v>
      </c>
    </row>
    <row r="910" spans="1:5" x14ac:dyDescent="0.25">
      <c r="A910" s="84">
        <v>45855</v>
      </c>
      <c r="B910" s="96">
        <v>513487.78899999999</v>
      </c>
      <c r="C910" s="96">
        <v>4786375.6560000004</v>
      </c>
      <c r="D910" s="96">
        <v>60.911999999999999</v>
      </c>
      <c r="E910" s="96" t="s">
        <v>85</v>
      </c>
    </row>
    <row r="911" spans="1:5" x14ac:dyDescent="0.25">
      <c r="A911" s="84">
        <v>45855</v>
      </c>
      <c r="B911" s="96">
        <v>513488.01699999999</v>
      </c>
      <c r="C911" s="96">
        <v>4786375.6919999998</v>
      </c>
      <c r="D911" s="96">
        <v>59.570999999999998</v>
      </c>
      <c r="E911" s="96" t="s">
        <v>86</v>
      </c>
    </row>
    <row r="912" spans="1:5" x14ac:dyDescent="0.25">
      <c r="A912" s="84">
        <v>45855</v>
      </c>
      <c r="B912" s="96">
        <v>513484.61200000002</v>
      </c>
      <c r="C912" s="96">
        <v>4786368.8190000001</v>
      </c>
      <c r="D912" s="96">
        <v>60.353999999999999</v>
      </c>
      <c r="E912" s="96" t="s">
        <v>72</v>
      </c>
    </row>
    <row r="913" spans="1:5" x14ac:dyDescent="0.25">
      <c r="A913" s="84">
        <v>45855</v>
      </c>
      <c r="B913" s="96">
        <v>513484.728</v>
      </c>
      <c r="C913" s="96">
        <v>4786368.7369999997</v>
      </c>
      <c r="D913" s="96">
        <v>59.375</v>
      </c>
      <c r="E913" s="96" t="s">
        <v>73</v>
      </c>
    </row>
    <row r="914" spans="1:5" x14ac:dyDescent="0.25">
      <c r="A914" s="84">
        <v>45855</v>
      </c>
      <c r="B914" s="96">
        <v>513484.75400000002</v>
      </c>
      <c r="C914" s="96">
        <v>4786368.7419999996</v>
      </c>
      <c r="D914" s="96">
        <v>56.356000000000002</v>
      </c>
      <c r="E914" s="96" t="s">
        <v>74</v>
      </c>
    </row>
    <row r="915" spans="1:5" x14ac:dyDescent="0.25">
      <c r="A915" s="84">
        <v>45855</v>
      </c>
      <c r="B915" s="96">
        <v>513484.82500000001</v>
      </c>
      <c r="C915" s="96">
        <v>4786368.9400000004</v>
      </c>
      <c r="D915" s="96">
        <v>53.369</v>
      </c>
      <c r="E915" s="96" t="s">
        <v>75</v>
      </c>
    </row>
    <row r="916" spans="1:5" x14ac:dyDescent="0.25">
      <c r="A916" s="84">
        <v>45855</v>
      </c>
      <c r="B916" s="96">
        <v>513480.114</v>
      </c>
      <c r="C916" s="96">
        <v>4786359.8140000002</v>
      </c>
      <c r="D916" s="96">
        <v>59.853000000000002</v>
      </c>
      <c r="E916" s="96" t="s">
        <v>76</v>
      </c>
    </row>
    <row r="917" spans="1:5" x14ac:dyDescent="0.25">
      <c r="A917" s="84">
        <v>45855</v>
      </c>
      <c r="B917" s="96">
        <v>513474.54200000002</v>
      </c>
      <c r="C917" s="96">
        <v>4786353.87</v>
      </c>
      <c r="D917" s="96">
        <v>59.295000000000002</v>
      </c>
      <c r="E917" s="96" t="s">
        <v>79</v>
      </c>
    </row>
    <row r="918" spans="1:5" x14ac:dyDescent="0.25">
      <c r="A918" s="84">
        <v>45856</v>
      </c>
      <c r="B918" s="96">
        <v>513495.2</v>
      </c>
      <c r="C918" s="96">
        <v>4786386.5449999999</v>
      </c>
      <c r="D918" s="96">
        <v>61.19</v>
      </c>
      <c r="E918" s="96" t="s">
        <v>62</v>
      </c>
    </row>
    <row r="919" spans="1:5" x14ac:dyDescent="0.25">
      <c r="A919" s="84">
        <v>45856</v>
      </c>
      <c r="B919" s="96">
        <v>513495.147</v>
      </c>
      <c r="C919" s="96">
        <v>4786386.3789999997</v>
      </c>
      <c r="D919" s="96">
        <v>59.66</v>
      </c>
      <c r="E919" s="96" t="s">
        <v>63</v>
      </c>
    </row>
    <row r="920" spans="1:5" x14ac:dyDescent="0.25">
      <c r="A920" s="84">
        <v>45856</v>
      </c>
      <c r="B920" s="96">
        <v>513495.777</v>
      </c>
      <c r="C920" s="96">
        <v>4786386.2019999996</v>
      </c>
      <c r="D920" s="96">
        <v>56.581000000000003</v>
      </c>
      <c r="E920" s="96" t="s">
        <v>64</v>
      </c>
    </row>
    <row r="921" spans="1:5" x14ac:dyDescent="0.25">
      <c r="A921" s="84">
        <v>45856</v>
      </c>
      <c r="B921" s="96">
        <v>513491.94400000002</v>
      </c>
      <c r="C921" s="96">
        <v>4786383.7079999996</v>
      </c>
      <c r="D921" s="96">
        <v>61.484000000000002</v>
      </c>
      <c r="E921" s="96" t="s">
        <v>66</v>
      </c>
    </row>
    <row r="922" spans="1:5" x14ac:dyDescent="0.25">
      <c r="A922" s="84">
        <v>45856</v>
      </c>
      <c r="B922" s="96">
        <v>513492.01799999998</v>
      </c>
      <c r="C922" s="96">
        <v>4786383.6859999998</v>
      </c>
      <c r="D922" s="96">
        <v>59.484999999999999</v>
      </c>
      <c r="E922" s="96" t="s">
        <v>67</v>
      </c>
    </row>
    <row r="923" spans="1:5" x14ac:dyDescent="0.25">
      <c r="A923" s="84">
        <v>45856</v>
      </c>
      <c r="B923" s="96">
        <v>513487.78899999999</v>
      </c>
      <c r="C923" s="96">
        <v>4786375.6560000004</v>
      </c>
      <c r="D923" s="96">
        <v>60.911000000000001</v>
      </c>
      <c r="E923" s="96" t="s">
        <v>85</v>
      </c>
    </row>
    <row r="924" spans="1:5" x14ac:dyDescent="0.25">
      <c r="A924" s="84">
        <v>45856</v>
      </c>
      <c r="B924" s="96">
        <v>513488.01699999999</v>
      </c>
      <c r="C924" s="96">
        <v>4786375.693</v>
      </c>
      <c r="D924" s="96">
        <v>59.57</v>
      </c>
      <c r="E924" s="96" t="s">
        <v>86</v>
      </c>
    </row>
    <row r="925" spans="1:5" x14ac:dyDescent="0.25">
      <c r="A925" s="84">
        <v>45856</v>
      </c>
      <c r="B925" s="96">
        <v>513484.61300000001</v>
      </c>
      <c r="C925" s="96">
        <v>4786368.8190000001</v>
      </c>
      <c r="D925" s="96">
        <v>60.353999999999999</v>
      </c>
      <c r="E925" s="96" t="s">
        <v>72</v>
      </c>
    </row>
    <row r="926" spans="1:5" x14ac:dyDescent="0.25">
      <c r="A926" s="84">
        <v>45856</v>
      </c>
      <c r="B926" s="96">
        <v>513484.72700000001</v>
      </c>
      <c r="C926" s="96">
        <v>4786368.7369999997</v>
      </c>
      <c r="D926" s="96">
        <v>59.375</v>
      </c>
      <c r="E926" s="96" t="s">
        <v>73</v>
      </c>
    </row>
    <row r="927" spans="1:5" x14ac:dyDescent="0.25">
      <c r="A927" s="84">
        <v>45856</v>
      </c>
      <c r="B927" s="96">
        <v>513484.75400000002</v>
      </c>
      <c r="C927" s="96">
        <v>4786368.7419999996</v>
      </c>
      <c r="D927" s="96">
        <v>56.354999999999997</v>
      </c>
      <c r="E927" s="96" t="s">
        <v>74</v>
      </c>
    </row>
    <row r="928" spans="1:5" x14ac:dyDescent="0.25">
      <c r="A928" s="84">
        <v>45856</v>
      </c>
      <c r="B928" s="96">
        <v>513484.826</v>
      </c>
      <c r="C928" s="96">
        <v>4786368.9390000002</v>
      </c>
      <c r="D928" s="96">
        <v>53.369</v>
      </c>
      <c r="E928" s="96" t="s">
        <v>75</v>
      </c>
    </row>
    <row r="929" spans="1:5" x14ac:dyDescent="0.25">
      <c r="A929" s="84">
        <v>45856</v>
      </c>
      <c r="B929" s="96">
        <v>513480.114</v>
      </c>
      <c r="C929" s="96">
        <v>4786359.8140000002</v>
      </c>
      <c r="D929" s="96">
        <v>59.851999999999997</v>
      </c>
      <c r="E929" s="96" t="s">
        <v>76</v>
      </c>
    </row>
    <row r="930" spans="1:5" x14ac:dyDescent="0.25">
      <c r="A930" s="84">
        <v>45856</v>
      </c>
      <c r="B930" s="96">
        <v>513480.462</v>
      </c>
      <c r="C930" s="96">
        <v>4786360.3260000004</v>
      </c>
      <c r="D930" s="96">
        <v>56.533000000000001</v>
      </c>
      <c r="E930" s="96" t="s">
        <v>83</v>
      </c>
    </row>
    <row r="931" spans="1:5" x14ac:dyDescent="0.25">
      <c r="A931" s="84">
        <v>45859</v>
      </c>
      <c r="B931" s="96">
        <v>513495.20199999999</v>
      </c>
      <c r="C931" s="96">
        <v>4786386.5429999996</v>
      </c>
      <c r="D931" s="96">
        <v>61.189</v>
      </c>
      <c r="E931" s="96" t="s">
        <v>62</v>
      </c>
    </row>
    <row r="932" spans="1:5" x14ac:dyDescent="0.25">
      <c r="A932" s="84">
        <v>45859</v>
      </c>
      <c r="B932" s="96">
        <v>513495.14600000001</v>
      </c>
      <c r="C932" s="96">
        <v>4786386.3789999997</v>
      </c>
      <c r="D932" s="96">
        <v>59.66</v>
      </c>
      <c r="E932" s="96" t="s">
        <v>63</v>
      </c>
    </row>
    <row r="933" spans="1:5" x14ac:dyDescent="0.25">
      <c r="A933" s="84">
        <v>45859</v>
      </c>
      <c r="B933" s="96">
        <v>513491.946</v>
      </c>
      <c r="C933" s="96">
        <v>4786383.71</v>
      </c>
      <c r="D933" s="96">
        <v>61.482999999999997</v>
      </c>
      <c r="E933" s="96" t="s">
        <v>66</v>
      </c>
    </row>
    <row r="934" spans="1:5" x14ac:dyDescent="0.25">
      <c r="A934" s="84">
        <v>45859</v>
      </c>
      <c r="B934" s="96">
        <v>513492.01699999999</v>
      </c>
      <c r="C934" s="96">
        <v>4786383.6849999996</v>
      </c>
      <c r="D934" s="96">
        <v>59.485999999999997</v>
      </c>
      <c r="E934" s="96" t="s">
        <v>67</v>
      </c>
    </row>
    <row r="935" spans="1:5" x14ac:dyDescent="0.25">
      <c r="A935" s="84">
        <v>45859</v>
      </c>
      <c r="B935" s="96">
        <v>513487.78899999999</v>
      </c>
      <c r="C935" s="96">
        <v>4786375.6560000004</v>
      </c>
      <c r="D935" s="96">
        <v>60.911000000000001</v>
      </c>
      <c r="E935" s="96" t="s">
        <v>85</v>
      </c>
    </row>
    <row r="936" spans="1:5" x14ac:dyDescent="0.25">
      <c r="A936" s="84">
        <v>45859</v>
      </c>
      <c r="B936" s="96">
        <v>513488.01699999999</v>
      </c>
      <c r="C936" s="96">
        <v>4786375.693</v>
      </c>
      <c r="D936" s="96">
        <v>59.570999999999998</v>
      </c>
      <c r="E936" s="96" t="s">
        <v>86</v>
      </c>
    </row>
    <row r="937" spans="1:5" x14ac:dyDescent="0.25">
      <c r="A937" s="84">
        <v>45859</v>
      </c>
      <c r="B937" s="96">
        <v>513484.61200000002</v>
      </c>
      <c r="C937" s="96">
        <v>4786368.8190000001</v>
      </c>
      <c r="D937" s="96">
        <v>60.353999999999999</v>
      </c>
      <c r="E937" s="96" t="s">
        <v>72</v>
      </c>
    </row>
    <row r="938" spans="1:5" x14ac:dyDescent="0.25">
      <c r="A938" s="84">
        <v>45859</v>
      </c>
      <c r="B938" s="96">
        <v>513484.72700000001</v>
      </c>
      <c r="C938" s="96">
        <v>4786368.7369999997</v>
      </c>
      <c r="D938" s="96">
        <v>59.375999999999998</v>
      </c>
      <c r="E938" s="96" t="s">
        <v>73</v>
      </c>
    </row>
    <row r="939" spans="1:5" x14ac:dyDescent="0.25">
      <c r="A939" s="84">
        <v>45859</v>
      </c>
      <c r="B939" s="96">
        <v>513484.75400000002</v>
      </c>
      <c r="C939" s="96">
        <v>4786368.7419999996</v>
      </c>
      <c r="D939" s="96">
        <v>56.356000000000002</v>
      </c>
      <c r="E939" s="96" t="s">
        <v>74</v>
      </c>
    </row>
    <row r="940" spans="1:5" x14ac:dyDescent="0.25">
      <c r="A940" s="84">
        <v>45859</v>
      </c>
      <c r="B940" s="96">
        <v>513484.82500000001</v>
      </c>
      <c r="C940" s="96">
        <v>4786368.9400000004</v>
      </c>
      <c r="D940" s="96">
        <v>53.369</v>
      </c>
      <c r="E940" s="96" t="s">
        <v>75</v>
      </c>
    </row>
    <row r="941" spans="1:5" x14ac:dyDescent="0.25">
      <c r="A941" s="84">
        <v>45859</v>
      </c>
      <c r="B941" s="96">
        <v>513480.114</v>
      </c>
      <c r="C941" s="96">
        <v>4786359.8140000002</v>
      </c>
      <c r="D941" s="96">
        <v>59.853000000000002</v>
      </c>
      <c r="E941" s="96" t="s">
        <v>76</v>
      </c>
    </row>
    <row r="942" spans="1:5" x14ac:dyDescent="0.25">
      <c r="A942" s="84">
        <v>45859</v>
      </c>
      <c r="B942" s="96">
        <v>513480.462</v>
      </c>
      <c r="C942" s="96">
        <v>4786360.3260000004</v>
      </c>
      <c r="D942" s="96">
        <v>56.533999999999999</v>
      </c>
      <c r="E942" s="96" t="s">
        <v>83</v>
      </c>
    </row>
    <row r="943" spans="1:5" x14ac:dyDescent="0.25">
      <c r="A943" s="84">
        <v>45859</v>
      </c>
      <c r="B943" s="96">
        <v>513474.54200000002</v>
      </c>
      <c r="C943" s="96">
        <v>4786353.8689999999</v>
      </c>
      <c r="D943" s="96">
        <v>59.295000000000002</v>
      </c>
      <c r="E943" s="96" t="s">
        <v>79</v>
      </c>
    </row>
    <row r="944" spans="1:5" x14ac:dyDescent="0.25">
      <c r="A944" s="84">
        <v>45860</v>
      </c>
      <c r="B944" s="96">
        <v>513495.2</v>
      </c>
      <c r="C944" s="96">
        <v>4786386.5439999998</v>
      </c>
      <c r="D944" s="96">
        <v>61.189</v>
      </c>
      <c r="E944" s="96" t="s">
        <v>62</v>
      </c>
    </row>
    <row r="945" spans="1:5" x14ac:dyDescent="0.25">
      <c r="A945" s="84">
        <v>45860</v>
      </c>
      <c r="B945" s="96">
        <v>513495.14600000001</v>
      </c>
      <c r="C945" s="96">
        <v>4786386.3789999997</v>
      </c>
      <c r="D945" s="96">
        <v>59.66</v>
      </c>
      <c r="E945" s="96" t="s">
        <v>63</v>
      </c>
    </row>
    <row r="946" spans="1:5" x14ac:dyDescent="0.25">
      <c r="A946" s="84">
        <v>45860</v>
      </c>
      <c r="B946" s="96">
        <v>513491.946</v>
      </c>
      <c r="C946" s="96">
        <v>4786383.71</v>
      </c>
      <c r="D946" s="96">
        <v>61.482999999999997</v>
      </c>
      <c r="E946" s="96" t="s">
        <v>66</v>
      </c>
    </row>
    <row r="947" spans="1:5" x14ac:dyDescent="0.25">
      <c r="A947" s="84">
        <v>45860</v>
      </c>
      <c r="B947" s="96">
        <v>513492.01699999999</v>
      </c>
      <c r="C947" s="96">
        <v>4786383.6859999998</v>
      </c>
      <c r="D947" s="96">
        <v>59.484999999999999</v>
      </c>
      <c r="E947" s="96" t="s">
        <v>67</v>
      </c>
    </row>
    <row r="948" spans="1:5" x14ac:dyDescent="0.25">
      <c r="A948" s="84">
        <v>45860</v>
      </c>
      <c r="B948" s="96">
        <v>513487.78899999999</v>
      </c>
      <c r="C948" s="96">
        <v>4786375.6560000004</v>
      </c>
      <c r="D948" s="96">
        <v>60.911000000000001</v>
      </c>
      <c r="E948" s="96" t="s">
        <v>85</v>
      </c>
    </row>
    <row r="949" spans="1:5" x14ac:dyDescent="0.25">
      <c r="A949" s="84">
        <v>45860</v>
      </c>
      <c r="B949" s="96">
        <v>513488.016</v>
      </c>
      <c r="C949" s="96">
        <v>4786375.693</v>
      </c>
      <c r="D949" s="96">
        <v>59.57</v>
      </c>
      <c r="E949" s="96" t="s">
        <v>86</v>
      </c>
    </row>
    <row r="950" spans="1:5" x14ac:dyDescent="0.25">
      <c r="A950" s="84">
        <v>45860</v>
      </c>
      <c r="B950" s="96">
        <v>513484.61200000002</v>
      </c>
      <c r="C950" s="96">
        <v>4786368.8190000001</v>
      </c>
      <c r="D950" s="96">
        <v>60.353999999999999</v>
      </c>
      <c r="E950" s="96" t="s">
        <v>72</v>
      </c>
    </row>
    <row r="951" spans="1:5" x14ac:dyDescent="0.25">
      <c r="A951" s="84">
        <v>45860</v>
      </c>
      <c r="B951" s="96">
        <v>513484.72700000001</v>
      </c>
      <c r="C951" s="96">
        <v>4786368.7369999997</v>
      </c>
      <c r="D951" s="96">
        <v>59.375</v>
      </c>
      <c r="E951" s="96" t="s">
        <v>73</v>
      </c>
    </row>
    <row r="952" spans="1:5" x14ac:dyDescent="0.25">
      <c r="A952" s="84">
        <v>45860</v>
      </c>
      <c r="B952" s="96">
        <v>513484.75400000002</v>
      </c>
      <c r="C952" s="96">
        <v>4786368.7419999996</v>
      </c>
      <c r="D952" s="96">
        <v>56.354999999999997</v>
      </c>
      <c r="E952" s="96" t="s">
        <v>74</v>
      </c>
    </row>
    <row r="953" spans="1:5" x14ac:dyDescent="0.25">
      <c r="A953" s="84">
        <v>45860</v>
      </c>
      <c r="B953" s="96">
        <v>513484.82500000001</v>
      </c>
      <c r="C953" s="96">
        <v>4786368.9390000002</v>
      </c>
      <c r="D953" s="96">
        <v>53.369</v>
      </c>
      <c r="E953" s="96" t="s">
        <v>75</v>
      </c>
    </row>
    <row r="954" spans="1:5" x14ac:dyDescent="0.25">
      <c r="A954" s="84">
        <v>45860</v>
      </c>
      <c r="B954" s="96">
        <v>513480.114</v>
      </c>
      <c r="C954" s="96">
        <v>4786359.8140000002</v>
      </c>
      <c r="D954" s="96">
        <v>59.851999999999997</v>
      </c>
      <c r="E954" s="96" t="s">
        <v>76</v>
      </c>
    </row>
    <row r="955" spans="1:5" x14ac:dyDescent="0.25">
      <c r="A955" s="84">
        <v>45860</v>
      </c>
      <c r="B955" s="96">
        <v>513480.462</v>
      </c>
      <c r="C955" s="96">
        <v>4786360.3260000004</v>
      </c>
      <c r="D955" s="96">
        <v>56.533000000000001</v>
      </c>
      <c r="E955" s="96" t="s">
        <v>83</v>
      </c>
    </row>
    <row r="956" spans="1:5" x14ac:dyDescent="0.25">
      <c r="A956" s="84">
        <v>45860</v>
      </c>
      <c r="B956" s="96">
        <v>513474.54200000002</v>
      </c>
      <c r="C956" s="96">
        <v>4786353.8689999999</v>
      </c>
      <c r="D956" s="96">
        <v>59.293999999999997</v>
      </c>
      <c r="E956" s="96" t="s">
        <v>79</v>
      </c>
    </row>
    <row r="957" spans="1:5" x14ac:dyDescent="0.25">
      <c r="A957" s="84">
        <v>45861</v>
      </c>
      <c r="B957" s="96">
        <v>513495.20199999999</v>
      </c>
      <c r="C957" s="96">
        <v>4786386.5429999996</v>
      </c>
      <c r="D957" s="96">
        <v>61.188000000000002</v>
      </c>
      <c r="E957" s="96" t="s">
        <v>62</v>
      </c>
    </row>
    <row r="958" spans="1:5" x14ac:dyDescent="0.25">
      <c r="A958" s="84">
        <v>45861</v>
      </c>
      <c r="B958" s="96">
        <v>513495.14600000001</v>
      </c>
      <c r="C958" s="96">
        <v>4786386.3789999997</v>
      </c>
      <c r="D958" s="96">
        <v>59.658999999999999</v>
      </c>
      <c r="E958" s="96" t="s">
        <v>63</v>
      </c>
    </row>
    <row r="959" spans="1:5" x14ac:dyDescent="0.25">
      <c r="A959" s="84">
        <v>45861</v>
      </c>
      <c r="B959" s="96">
        <v>513491.94699999999</v>
      </c>
      <c r="C959" s="96">
        <v>4786383.71</v>
      </c>
      <c r="D959" s="96">
        <v>61.481999999999999</v>
      </c>
      <c r="E959" s="96" t="s">
        <v>66</v>
      </c>
    </row>
    <row r="960" spans="1:5" x14ac:dyDescent="0.25">
      <c r="A960" s="84">
        <v>45861</v>
      </c>
      <c r="B960" s="96">
        <v>513492.01799999998</v>
      </c>
      <c r="C960" s="96">
        <v>4786383.6859999998</v>
      </c>
      <c r="D960" s="96">
        <v>59.484999999999999</v>
      </c>
      <c r="E960" s="96" t="s">
        <v>67</v>
      </c>
    </row>
    <row r="961" spans="1:5" x14ac:dyDescent="0.25">
      <c r="A961" s="84">
        <v>45861</v>
      </c>
      <c r="B961" s="96">
        <v>513487.78899999999</v>
      </c>
      <c r="C961" s="96">
        <v>4786375.6560000004</v>
      </c>
      <c r="D961" s="96">
        <v>60.911000000000001</v>
      </c>
      <c r="E961" s="96" t="s">
        <v>85</v>
      </c>
    </row>
    <row r="962" spans="1:5" x14ac:dyDescent="0.25">
      <c r="A962" s="84">
        <v>45861</v>
      </c>
      <c r="B962" s="96">
        <v>513488.01699999999</v>
      </c>
      <c r="C962" s="96">
        <v>4786375.693</v>
      </c>
      <c r="D962" s="96">
        <v>59.57</v>
      </c>
      <c r="E962" s="96" t="s">
        <v>86</v>
      </c>
    </row>
    <row r="963" spans="1:5" x14ac:dyDescent="0.25">
      <c r="A963" s="84">
        <v>45861</v>
      </c>
      <c r="B963" s="96">
        <v>513484.61200000002</v>
      </c>
      <c r="C963" s="96">
        <v>4786368.8190000001</v>
      </c>
      <c r="D963" s="96">
        <v>60.353999999999999</v>
      </c>
      <c r="E963" s="96" t="s">
        <v>72</v>
      </c>
    </row>
    <row r="964" spans="1:5" x14ac:dyDescent="0.25">
      <c r="A964" s="84">
        <v>45861</v>
      </c>
      <c r="B964" s="96">
        <v>513484.72700000001</v>
      </c>
      <c r="C964" s="96">
        <v>4786368.7369999997</v>
      </c>
      <c r="D964" s="96">
        <v>59.375</v>
      </c>
      <c r="E964" s="96" t="s">
        <v>73</v>
      </c>
    </row>
    <row r="965" spans="1:5" x14ac:dyDescent="0.25">
      <c r="A965" s="84">
        <v>45861</v>
      </c>
      <c r="B965" s="96">
        <v>513484.75400000002</v>
      </c>
      <c r="C965" s="96">
        <v>4786368.7419999996</v>
      </c>
      <c r="D965" s="96">
        <v>56.354999999999997</v>
      </c>
      <c r="E965" s="96" t="s">
        <v>74</v>
      </c>
    </row>
    <row r="966" spans="1:5" x14ac:dyDescent="0.25">
      <c r="A966" s="84">
        <v>45861</v>
      </c>
      <c r="B966" s="96">
        <v>513484.82500000001</v>
      </c>
      <c r="C966" s="96">
        <v>4786368.9390000002</v>
      </c>
      <c r="D966" s="96">
        <v>53.368000000000002</v>
      </c>
      <c r="E966" s="96" t="s">
        <v>75</v>
      </c>
    </row>
    <row r="967" spans="1:5" x14ac:dyDescent="0.25">
      <c r="A967" s="84">
        <v>45861</v>
      </c>
      <c r="B967" s="96">
        <v>513480.11499999999</v>
      </c>
      <c r="C967" s="96">
        <v>4786359.8140000002</v>
      </c>
      <c r="D967" s="96">
        <v>59.851999999999997</v>
      </c>
      <c r="E967" s="96" t="s">
        <v>76</v>
      </c>
    </row>
    <row r="968" spans="1:5" x14ac:dyDescent="0.25">
      <c r="A968" s="84">
        <v>45861</v>
      </c>
      <c r="B968" s="96">
        <v>513480.462</v>
      </c>
      <c r="C968" s="96">
        <v>4786360.3260000004</v>
      </c>
      <c r="D968" s="96">
        <v>56.533000000000001</v>
      </c>
      <c r="E968" s="96" t="s">
        <v>83</v>
      </c>
    </row>
    <row r="969" spans="1:5" x14ac:dyDescent="0.25">
      <c r="A969" s="84">
        <v>45861</v>
      </c>
      <c r="B969" s="96">
        <v>513474.54200000002</v>
      </c>
      <c r="C969" s="96">
        <v>4786353.8689999999</v>
      </c>
      <c r="D969" s="96">
        <v>59.293999999999997</v>
      </c>
      <c r="E969" s="96" t="s">
        <v>79</v>
      </c>
    </row>
    <row r="970" spans="1:5" x14ac:dyDescent="0.25">
      <c r="A970" s="84">
        <v>45862</v>
      </c>
      <c r="B970" s="96">
        <v>513495.20199999999</v>
      </c>
      <c r="C970" s="96">
        <v>4786386.5439999998</v>
      </c>
      <c r="D970" s="96">
        <v>61.19</v>
      </c>
      <c r="E970" s="96" t="s">
        <v>62</v>
      </c>
    </row>
    <row r="971" spans="1:5" x14ac:dyDescent="0.25">
      <c r="A971" s="84">
        <v>45862</v>
      </c>
      <c r="B971" s="96">
        <v>513495.147</v>
      </c>
      <c r="C971" s="96">
        <v>4786386.38</v>
      </c>
      <c r="D971" s="96">
        <v>59.66</v>
      </c>
      <c r="E971" s="96" t="s">
        <v>63</v>
      </c>
    </row>
    <row r="972" spans="1:5" x14ac:dyDescent="0.25">
      <c r="A972" s="84">
        <v>45862</v>
      </c>
      <c r="B972" s="96">
        <v>513491.94699999999</v>
      </c>
      <c r="C972" s="96">
        <v>4786383.7110000001</v>
      </c>
      <c r="D972" s="96">
        <v>61.481999999999999</v>
      </c>
      <c r="E972" s="96" t="s">
        <v>66</v>
      </c>
    </row>
    <row r="973" spans="1:5" x14ac:dyDescent="0.25">
      <c r="A973" s="84">
        <v>45862</v>
      </c>
      <c r="B973" s="96">
        <v>513492.01799999998</v>
      </c>
      <c r="C973" s="96">
        <v>4786383.6859999998</v>
      </c>
      <c r="D973" s="96">
        <v>59.484999999999999</v>
      </c>
      <c r="E973" s="96" t="s">
        <v>67</v>
      </c>
    </row>
    <row r="974" spans="1:5" x14ac:dyDescent="0.25">
      <c r="A974" s="84">
        <v>45862</v>
      </c>
      <c r="B974" s="96">
        <v>513487.78899999999</v>
      </c>
      <c r="C974" s="96">
        <v>4786375.6569999997</v>
      </c>
      <c r="D974" s="96">
        <v>60.911000000000001</v>
      </c>
      <c r="E974" s="96" t="s">
        <v>85</v>
      </c>
    </row>
    <row r="975" spans="1:5" x14ac:dyDescent="0.25">
      <c r="A975" s="84">
        <v>45862</v>
      </c>
      <c r="B975" s="96">
        <v>513488.01699999999</v>
      </c>
      <c r="C975" s="96">
        <v>4786375.693</v>
      </c>
      <c r="D975" s="96">
        <v>59.57</v>
      </c>
      <c r="E975" s="96" t="s">
        <v>86</v>
      </c>
    </row>
    <row r="976" spans="1:5" x14ac:dyDescent="0.25">
      <c r="A976" s="84">
        <v>45862</v>
      </c>
      <c r="B976" s="96">
        <v>513484.61300000001</v>
      </c>
      <c r="C976" s="96">
        <v>4786368.82</v>
      </c>
      <c r="D976" s="96">
        <v>60.353999999999999</v>
      </c>
      <c r="E976" s="96" t="s">
        <v>72</v>
      </c>
    </row>
    <row r="977" spans="1:5" x14ac:dyDescent="0.25">
      <c r="A977" s="84">
        <v>45862</v>
      </c>
      <c r="B977" s="96">
        <v>513484.72700000001</v>
      </c>
      <c r="C977" s="96">
        <v>4786368.7379999999</v>
      </c>
      <c r="D977" s="96">
        <v>59.375</v>
      </c>
      <c r="E977" s="96" t="s">
        <v>73</v>
      </c>
    </row>
    <row r="978" spans="1:5" x14ac:dyDescent="0.25">
      <c r="A978" s="84">
        <v>45862</v>
      </c>
      <c r="B978" s="96">
        <v>513484.755</v>
      </c>
      <c r="C978" s="96">
        <v>4786368.7429999998</v>
      </c>
      <c r="D978" s="96">
        <v>56.354999999999997</v>
      </c>
      <c r="E978" s="96" t="s">
        <v>74</v>
      </c>
    </row>
    <row r="979" spans="1:5" x14ac:dyDescent="0.25">
      <c r="A979" s="84">
        <v>45862</v>
      </c>
      <c r="B979" s="96">
        <v>513484.826</v>
      </c>
      <c r="C979" s="96">
        <v>4786368.9409999996</v>
      </c>
      <c r="D979" s="96">
        <v>53.369</v>
      </c>
      <c r="E979" s="96" t="s">
        <v>75</v>
      </c>
    </row>
    <row r="980" spans="1:5" x14ac:dyDescent="0.25">
      <c r="A980" s="84">
        <v>45862</v>
      </c>
      <c r="B980" s="96">
        <v>513480.11499999999</v>
      </c>
      <c r="C980" s="96">
        <v>4786359.8150000004</v>
      </c>
      <c r="D980" s="96">
        <v>59.851999999999997</v>
      </c>
      <c r="E980" s="96" t="s">
        <v>76</v>
      </c>
    </row>
    <row r="981" spans="1:5" x14ac:dyDescent="0.25">
      <c r="A981" s="84">
        <v>45862</v>
      </c>
      <c r="B981" s="96">
        <v>513480.462</v>
      </c>
      <c r="C981" s="96">
        <v>4786360.3269999996</v>
      </c>
      <c r="D981" s="96">
        <v>56.533999999999999</v>
      </c>
      <c r="E981" s="96" t="s">
        <v>83</v>
      </c>
    </row>
    <row r="982" spans="1:5" x14ac:dyDescent="0.25">
      <c r="A982" s="84">
        <v>45862</v>
      </c>
      <c r="B982" s="96">
        <v>513474.54200000002</v>
      </c>
      <c r="C982" s="96">
        <v>4786353.87</v>
      </c>
      <c r="D982" s="96">
        <v>59.293999999999997</v>
      </c>
      <c r="E982" s="96" t="s">
        <v>79</v>
      </c>
    </row>
    <row r="983" spans="1:5" x14ac:dyDescent="0.25">
      <c r="A983" s="84">
        <v>45866</v>
      </c>
      <c r="B983" s="96">
        <v>513495.20199999999</v>
      </c>
      <c r="C983" s="96">
        <v>4786386.5429999996</v>
      </c>
      <c r="D983" s="96">
        <v>61.189</v>
      </c>
      <c r="E983" s="96" t="s">
        <v>62</v>
      </c>
    </row>
    <row r="984" spans="1:5" x14ac:dyDescent="0.25">
      <c r="A984" s="84">
        <v>45866</v>
      </c>
      <c r="B984" s="96">
        <v>513495.147</v>
      </c>
      <c r="C984" s="96">
        <v>4786386.3789999997</v>
      </c>
      <c r="D984" s="96">
        <v>59.661000000000001</v>
      </c>
      <c r="E984" s="96" t="s">
        <v>63</v>
      </c>
    </row>
    <row r="985" spans="1:5" x14ac:dyDescent="0.25">
      <c r="A985" s="84">
        <v>45866</v>
      </c>
      <c r="B985" s="96">
        <v>513491.946</v>
      </c>
      <c r="C985" s="96">
        <v>4786383.71</v>
      </c>
      <c r="D985" s="96">
        <v>61.482999999999997</v>
      </c>
      <c r="E985" s="96" t="s">
        <v>66</v>
      </c>
    </row>
    <row r="986" spans="1:5" x14ac:dyDescent="0.25">
      <c r="A986" s="84">
        <v>45866</v>
      </c>
      <c r="B986" s="96">
        <v>513492.01699999999</v>
      </c>
      <c r="C986" s="96">
        <v>4786383.6859999998</v>
      </c>
      <c r="D986" s="96">
        <v>59.485999999999997</v>
      </c>
      <c r="E986" s="96" t="s">
        <v>67</v>
      </c>
    </row>
    <row r="987" spans="1:5" x14ac:dyDescent="0.25">
      <c r="A987" s="84">
        <v>45866</v>
      </c>
      <c r="B987" s="96">
        <v>513487.78899999999</v>
      </c>
      <c r="C987" s="96">
        <v>4786375.6569999997</v>
      </c>
      <c r="D987" s="96">
        <v>60.911000000000001</v>
      </c>
      <c r="E987" s="96" t="s">
        <v>85</v>
      </c>
    </row>
    <row r="988" spans="1:5" x14ac:dyDescent="0.25">
      <c r="A988" s="84">
        <v>45866</v>
      </c>
      <c r="B988" s="96">
        <v>513488.01699999999</v>
      </c>
      <c r="C988" s="96">
        <v>4786375.693</v>
      </c>
      <c r="D988" s="96">
        <v>59.570999999999998</v>
      </c>
      <c r="E988" s="96" t="s">
        <v>86</v>
      </c>
    </row>
    <row r="989" spans="1:5" x14ac:dyDescent="0.25">
      <c r="A989" s="84">
        <v>45866</v>
      </c>
      <c r="B989" s="96">
        <v>513484.61300000001</v>
      </c>
      <c r="C989" s="96">
        <v>4786368.8190000001</v>
      </c>
      <c r="D989" s="96">
        <v>60.354999999999997</v>
      </c>
      <c r="E989" s="96" t="s">
        <v>72</v>
      </c>
    </row>
    <row r="990" spans="1:5" x14ac:dyDescent="0.25">
      <c r="A990" s="84">
        <v>45866</v>
      </c>
      <c r="B990" s="96">
        <v>513484.72700000001</v>
      </c>
      <c r="C990" s="96">
        <v>4786368.7369999997</v>
      </c>
      <c r="D990" s="96">
        <v>59.375999999999998</v>
      </c>
      <c r="E990" s="96" t="s">
        <v>73</v>
      </c>
    </row>
    <row r="991" spans="1:5" x14ac:dyDescent="0.25">
      <c r="A991" s="84">
        <v>45866</v>
      </c>
      <c r="B991" s="96">
        <v>513484.75400000002</v>
      </c>
      <c r="C991" s="96">
        <v>4786368.7419999996</v>
      </c>
      <c r="D991" s="96">
        <v>56.356000000000002</v>
      </c>
      <c r="E991" s="96" t="s">
        <v>74</v>
      </c>
    </row>
    <row r="992" spans="1:5" x14ac:dyDescent="0.25">
      <c r="A992" s="84">
        <v>45866</v>
      </c>
      <c r="B992" s="96">
        <v>513484.82500000001</v>
      </c>
      <c r="C992" s="96">
        <v>4786368.9400000004</v>
      </c>
      <c r="D992" s="96">
        <v>53.369</v>
      </c>
      <c r="E992" s="96" t="s">
        <v>75</v>
      </c>
    </row>
    <row r="993" spans="1:5" x14ac:dyDescent="0.25">
      <c r="A993" s="84">
        <v>45866</v>
      </c>
      <c r="B993" s="96">
        <v>513480.114</v>
      </c>
      <c r="C993" s="96">
        <v>4786359.8150000004</v>
      </c>
      <c r="D993" s="96">
        <v>59.851999999999997</v>
      </c>
      <c r="E993" s="96" t="s">
        <v>76</v>
      </c>
    </row>
    <row r="994" spans="1:5" x14ac:dyDescent="0.25">
      <c r="A994" s="84">
        <v>45866</v>
      </c>
      <c r="B994" s="96">
        <v>513480.462</v>
      </c>
      <c r="C994" s="96">
        <v>4786360.3269999996</v>
      </c>
      <c r="D994" s="96">
        <v>56.533999999999999</v>
      </c>
      <c r="E994" s="96" t="s">
        <v>83</v>
      </c>
    </row>
    <row r="995" spans="1:5" x14ac:dyDescent="0.25">
      <c r="A995" s="84">
        <v>45866</v>
      </c>
      <c r="B995" s="96">
        <v>513474.54200000002</v>
      </c>
      <c r="C995" s="96">
        <v>4786353.8689999999</v>
      </c>
      <c r="D995" s="96">
        <v>59.293999999999997</v>
      </c>
      <c r="E995" s="96" t="s">
        <v>79</v>
      </c>
    </row>
    <row r="996" spans="1:5" x14ac:dyDescent="0.25">
      <c r="A996" s="84">
        <v>45867</v>
      </c>
      <c r="B996" s="96">
        <v>513495.20199999999</v>
      </c>
      <c r="C996" s="96">
        <v>4786386.5449999999</v>
      </c>
      <c r="D996" s="96">
        <v>61.191000000000003</v>
      </c>
      <c r="E996" s="96" t="s">
        <v>62</v>
      </c>
    </row>
    <row r="997" spans="1:5" x14ac:dyDescent="0.25">
      <c r="A997" s="84">
        <v>45867</v>
      </c>
      <c r="B997" s="96">
        <v>513495.147</v>
      </c>
      <c r="C997" s="96">
        <v>4786386.38</v>
      </c>
      <c r="D997" s="96">
        <v>59.661999999999999</v>
      </c>
      <c r="E997" s="96" t="s">
        <v>63</v>
      </c>
    </row>
    <row r="998" spans="1:5" x14ac:dyDescent="0.25">
      <c r="A998" s="84">
        <v>45867</v>
      </c>
      <c r="B998" s="96">
        <v>513491.94699999999</v>
      </c>
      <c r="C998" s="96">
        <v>4786383.7110000001</v>
      </c>
      <c r="D998" s="96">
        <v>61.484000000000002</v>
      </c>
      <c r="E998" s="96" t="s">
        <v>66</v>
      </c>
    </row>
    <row r="999" spans="1:5" x14ac:dyDescent="0.25">
      <c r="A999" s="84">
        <v>45867</v>
      </c>
      <c r="B999" s="96">
        <v>513492.01799999998</v>
      </c>
      <c r="C999" s="96">
        <v>4786383.6859999998</v>
      </c>
      <c r="D999" s="96">
        <v>59.487000000000002</v>
      </c>
      <c r="E999" s="96" t="s">
        <v>67</v>
      </c>
    </row>
    <row r="1000" spans="1:5" x14ac:dyDescent="0.25">
      <c r="A1000" s="84">
        <v>45867</v>
      </c>
      <c r="B1000" s="96">
        <v>513487.78899999999</v>
      </c>
      <c r="C1000" s="96">
        <v>4786375.6569999997</v>
      </c>
      <c r="D1000" s="96">
        <v>60.911999999999999</v>
      </c>
      <c r="E1000" s="96" t="s">
        <v>85</v>
      </c>
    </row>
    <row r="1001" spans="1:5" x14ac:dyDescent="0.25">
      <c r="A1001" s="84">
        <v>45867</v>
      </c>
      <c r="B1001" s="96">
        <v>513488.01699999999</v>
      </c>
      <c r="C1001" s="96">
        <v>4786375.693</v>
      </c>
      <c r="D1001" s="96">
        <v>59.572000000000003</v>
      </c>
      <c r="E1001" s="96" t="s">
        <v>86</v>
      </c>
    </row>
    <row r="1002" spans="1:5" x14ac:dyDescent="0.25">
      <c r="A1002" s="84">
        <v>45867</v>
      </c>
      <c r="B1002" s="96">
        <v>513484.61300000001</v>
      </c>
      <c r="C1002" s="96">
        <v>4786368.82</v>
      </c>
      <c r="D1002" s="96">
        <v>60.354999999999997</v>
      </c>
      <c r="E1002" s="96" t="s">
        <v>72</v>
      </c>
    </row>
    <row r="1003" spans="1:5" x14ac:dyDescent="0.25">
      <c r="A1003" s="84">
        <v>45867</v>
      </c>
      <c r="B1003" s="96">
        <v>513484.72700000001</v>
      </c>
      <c r="C1003" s="96">
        <v>4786368.7379999999</v>
      </c>
      <c r="D1003" s="96">
        <v>59.377000000000002</v>
      </c>
      <c r="E1003" s="96" t="s">
        <v>73</v>
      </c>
    </row>
    <row r="1004" spans="1:5" x14ac:dyDescent="0.25">
      <c r="A1004" s="84">
        <v>45867</v>
      </c>
      <c r="B1004" s="96">
        <v>513484.755</v>
      </c>
      <c r="C1004" s="96">
        <v>4786368.7419999996</v>
      </c>
      <c r="D1004" s="96">
        <v>56.356999999999999</v>
      </c>
      <c r="E1004" s="96" t="s">
        <v>74</v>
      </c>
    </row>
    <row r="1005" spans="1:5" x14ac:dyDescent="0.25">
      <c r="A1005" s="84">
        <v>45867</v>
      </c>
      <c r="B1005" s="96">
        <v>513484.82500000001</v>
      </c>
      <c r="C1005" s="96">
        <v>4786368.9400000004</v>
      </c>
      <c r="D1005" s="96">
        <v>53.37</v>
      </c>
      <c r="E1005" s="96" t="s">
        <v>75</v>
      </c>
    </row>
    <row r="1006" spans="1:5" x14ac:dyDescent="0.25">
      <c r="A1006" s="84">
        <v>45867</v>
      </c>
      <c r="B1006" s="96">
        <v>513480.114</v>
      </c>
      <c r="C1006" s="96">
        <v>4786359.8150000004</v>
      </c>
      <c r="D1006" s="96">
        <v>59.853999999999999</v>
      </c>
      <c r="E1006" s="96" t="s">
        <v>76</v>
      </c>
    </row>
    <row r="1007" spans="1:5" x14ac:dyDescent="0.25">
      <c r="A1007" s="84">
        <v>45867</v>
      </c>
      <c r="B1007" s="96">
        <v>513480.462</v>
      </c>
      <c r="C1007" s="96">
        <v>4786360.3269999996</v>
      </c>
      <c r="D1007" s="96">
        <v>56.534999999999997</v>
      </c>
      <c r="E1007" s="96" t="s">
        <v>83</v>
      </c>
    </row>
    <row r="1008" spans="1:5" x14ac:dyDescent="0.25">
      <c r="A1008" s="84">
        <v>45867</v>
      </c>
      <c r="B1008" s="96">
        <v>513474.54200000002</v>
      </c>
      <c r="C1008" s="96">
        <v>4786353.87</v>
      </c>
      <c r="D1008" s="96">
        <v>59.295000000000002</v>
      </c>
      <c r="E1008" s="96" t="s">
        <v>79</v>
      </c>
    </row>
    <row r="1009" spans="1:5" x14ac:dyDescent="0.25">
      <c r="A1009" s="84">
        <v>45868</v>
      </c>
      <c r="B1009" s="96">
        <v>513495.201</v>
      </c>
      <c r="C1009" s="96">
        <v>4786386.5429999996</v>
      </c>
      <c r="D1009" s="96">
        <v>61.189</v>
      </c>
      <c r="E1009" s="96" t="s">
        <v>62</v>
      </c>
    </row>
    <row r="1010" spans="1:5" x14ac:dyDescent="0.25">
      <c r="A1010" s="84">
        <v>45868</v>
      </c>
      <c r="B1010" s="96">
        <v>513495.14600000001</v>
      </c>
      <c r="C1010" s="96">
        <v>4786386.3789999997</v>
      </c>
      <c r="D1010" s="96">
        <v>59.661000000000001</v>
      </c>
      <c r="E1010" s="96" t="s">
        <v>63</v>
      </c>
    </row>
    <row r="1011" spans="1:5" x14ac:dyDescent="0.25">
      <c r="A1011" s="84">
        <v>45868</v>
      </c>
      <c r="B1011" s="96">
        <v>513492.01699999999</v>
      </c>
      <c r="C1011" s="96">
        <v>4786383.6859999998</v>
      </c>
      <c r="D1011" s="96">
        <v>59.485999999999997</v>
      </c>
      <c r="E1011" s="96" t="s">
        <v>67</v>
      </c>
    </row>
    <row r="1012" spans="1:5" x14ac:dyDescent="0.25">
      <c r="A1012" s="84">
        <v>45868</v>
      </c>
      <c r="B1012" s="96">
        <v>513487.788</v>
      </c>
      <c r="C1012" s="96">
        <v>4786375.6560000004</v>
      </c>
      <c r="D1012" s="96">
        <v>60.911999999999999</v>
      </c>
      <c r="E1012" s="96" t="s">
        <v>85</v>
      </c>
    </row>
    <row r="1013" spans="1:5" x14ac:dyDescent="0.25">
      <c r="A1013" s="84">
        <v>45868</v>
      </c>
      <c r="B1013" s="96">
        <v>513488.016</v>
      </c>
      <c r="C1013" s="96">
        <v>4786375.693</v>
      </c>
      <c r="D1013" s="96">
        <v>59.570999999999998</v>
      </c>
      <c r="E1013" s="96" t="s">
        <v>86</v>
      </c>
    </row>
    <row r="1014" spans="1:5" x14ac:dyDescent="0.25">
      <c r="A1014" s="84">
        <v>45868</v>
      </c>
      <c r="B1014" s="96">
        <v>513484.61200000002</v>
      </c>
      <c r="C1014" s="96">
        <v>4786368.8190000001</v>
      </c>
      <c r="D1014" s="96">
        <v>60.354999999999997</v>
      </c>
      <c r="E1014" s="96" t="s">
        <v>72</v>
      </c>
    </row>
    <row r="1015" spans="1:5" x14ac:dyDescent="0.25">
      <c r="A1015" s="84">
        <v>45868</v>
      </c>
      <c r="B1015" s="96">
        <v>513484.72700000001</v>
      </c>
      <c r="C1015" s="96">
        <v>4786368.7369999997</v>
      </c>
      <c r="D1015" s="96">
        <v>59.375999999999998</v>
      </c>
      <c r="E1015" s="96" t="s">
        <v>73</v>
      </c>
    </row>
    <row r="1016" spans="1:5" x14ac:dyDescent="0.25">
      <c r="A1016" s="84">
        <v>45868</v>
      </c>
      <c r="B1016" s="96">
        <v>513484.75400000002</v>
      </c>
      <c r="C1016" s="96">
        <v>4786368.7410000004</v>
      </c>
      <c r="D1016" s="96">
        <v>56.359000000000002</v>
      </c>
      <c r="E1016" s="96" t="s">
        <v>74</v>
      </c>
    </row>
    <row r="1017" spans="1:5" x14ac:dyDescent="0.25">
      <c r="A1017" s="84">
        <v>45868</v>
      </c>
      <c r="B1017" s="96">
        <v>513480.114</v>
      </c>
      <c r="C1017" s="96">
        <v>4786359.8140000002</v>
      </c>
      <c r="D1017" s="96">
        <v>59.853000000000002</v>
      </c>
      <c r="E1017" s="96" t="s">
        <v>76</v>
      </c>
    </row>
    <row r="1018" spans="1:5" x14ac:dyDescent="0.25">
      <c r="A1018" s="84">
        <v>45868</v>
      </c>
      <c r="B1018" s="96">
        <v>513480.462</v>
      </c>
      <c r="C1018" s="96">
        <v>4786360.3260000004</v>
      </c>
      <c r="D1018" s="96">
        <v>56.533999999999999</v>
      </c>
      <c r="E1018" s="96" t="s">
        <v>83</v>
      </c>
    </row>
    <row r="1019" spans="1:5" x14ac:dyDescent="0.25">
      <c r="A1019" s="84">
        <v>45868</v>
      </c>
      <c r="B1019" s="96">
        <v>513474.54200000002</v>
      </c>
      <c r="C1019" s="96">
        <v>4786353.8689999999</v>
      </c>
      <c r="D1019" s="96">
        <v>59.295000000000002</v>
      </c>
      <c r="E1019" s="96" t="s">
        <v>79</v>
      </c>
    </row>
    <row r="1020" spans="1:5" x14ac:dyDescent="0.25">
      <c r="A1020" s="84">
        <v>45873</v>
      </c>
      <c r="B1020" s="96">
        <v>513495.2</v>
      </c>
      <c r="C1020" s="96">
        <v>4786386.5449999999</v>
      </c>
      <c r="D1020" s="96">
        <v>61.189</v>
      </c>
      <c r="E1020" s="96" t="s">
        <v>62</v>
      </c>
    </row>
    <row r="1021" spans="1:5" x14ac:dyDescent="0.25">
      <c r="A1021" s="84">
        <v>45873</v>
      </c>
      <c r="B1021" s="96">
        <v>513495.14600000001</v>
      </c>
      <c r="C1021" s="96">
        <v>4786386.3789999997</v>
      </c>
      <c r="D1021" s="96">
        <v>59.661000000000001</v>
      </c>
      <c r="E1021" s="96" t="s">
        <v>63</v>
      </c>
    </row>
    <row r="1022" spans="1:5" x14ac:dyDescent="0.25">
      <c r="A1022" s="84">
        <v>45873</v>
      </c>
      <c r="B1022" s="96">
        <v>513491.946</v>
      </c>
      <c r="C1022" s="96">
        <v>4786383.71</v>
      </c>
      <c r="D1022" s="96">
        <v>61.482999999999997</v>
      </c>
      <c r="E1022" s="96" t="s">
        <v>66</v>
      </c>
    </row>
    <row r="1023" spans="1:5" x14ac:dyDescent="0.25">
      <c r="A1023" s="84">
        <v>45873</v>
      </c>
      <c r="B1023" s="96">
        <v>513492.01799999998</v>
      </c>
      <c r="C1023" s="96">
        <v>4786383.6859999998</v>
      </c>
      <c r="D1023" s="96">
        <v>59.485999999999997</v>
      </c>
      <c r="E1023" s="96" t="s">
        <v>67</v>
      </c>
    </row>
    <row r="1024" spans="1:5" x14ac:dyDescent="0.25">
      <c r="A1024" s="84">
        <v>45873</v>
      </c>
      <c r="B1024" s="96">
        <v>513487.78899999999</v>
      </c>
      <c r="C1024" s="96">
        <v>4786375.6560000004</v>
      </c>
      <c r="D1024" s="96">
        <v>60.911999999999999</v>
      </c>
      <c r="E1024" s="96" t="s">
        <v>85</v>
      </c>
    </row>
    <row r="1025" spans="1:5" x14ac:dyDescent="0.25">
      <c r="A1025" s="84">
        <v>45873</v>
      </c>
      <c r="B1025" s="96">
        <v>513488.016</v>
      </c>
      <c r="C1025" s="96">
        <v>4786375.693</v>
      </c>
      <c r="D1025" s="96">
        <v>59.570999999999998</v>
      </c>
      <c r="E1025" s="96" t="s">
        <v>86</v>
      </c>
    </row>
    <row r="1026" spans="1:5" x14ac:dyDescent="0.25">
      <c r="A1026" s="84">
        <v>45873</v>
      </c>
      <c r="B1026" s="96">
        <v>513484.61200000002</v>
      </c>
      <c r="C1026" s="96">
        <v>4786368.8190000001</v>
      </c>
      <c r="D1026" s="96">
        <v>60.353999999999999</v>
      </c>
      <c r="E1026" s="96" t="s">
        <v>72</v>
      </c>
    </row>
    <row r="1027" spans="1:5" x14ac:dyDescent="0.25">
      <c r="A1027" s="84">
        <v>45873</v>
      </c>
      <c r="B1027" s="96">
        <v>513484.72700000001</v>
      </c>
      <c r="C1027" s="96">
        <v>4786368.7369999997</v>
      </c>
      <c r="D1027" s="96">
        <v>59.375999999999998</v>
      </c>
      <c r="E1027" s="96" t="s">
        <v>73</v>
      </c>
    </row>
    <row r="1028" spans="1:5" x14ac:dyDescent="0.25">
      <c r="A1028" s="84">
        <v>45873</v>
      </c>
      <c r="B1028" s="96">
        <v>513484.75400000002</v>
      </c>
      <c r="C1028" s="96">
        <v>4786368.7419999996</v>
      </c>
      <c r="D1028" s="96">
        <v>56.354999999999997</v>
      </c>
      <c r="E1028" s="96" t="s">
        <v>74</v>
      </c>
    </row>
    <row r="1029" spans="1:5" x14ac:dyDescent="0.25">
      <c r="A1029" s="84">
        <v>45873</v>
      </c>
      <c r="B1029" s="96">
        <v>513484.82500000001</v>
      </c>
      <c r="C1029" s="96">
        <v>4786368.9390000002</v>
      </c>
      <c r="D1029" s="96">
        <v>53.369</v>
      </c>
      <c r="E1029" s="96" t="s">
        <v>75</v>
      </c>
    </row>
    <row r="1030" spans="1:5" x14ac:dyDescent="0.25">
      <c r="A1030" s="84">
        <v>45873</v>
      </c>
      <c r="B1030" s="96">
        <v>513480.114</v>
      </c>
      <c r="C1030" s="96">
        <v>4786359.8140000002</v>
      </c>
      <c r="D1030" s="96">
        <v>59.851999999999997</v>
      </c>
      <c r="E1030" s="96" t="s">
        <v>76</v>
      </c>
    </row>
    <row r="1031" spans="1:5" x14ac:dyDescent="0.25">
      <c r="A1031" s="84">
        <v>45873</v>
      </c>
      <c r="B1031" s="96">
        <v>513480.462</v>
      </c>
      <c r="C1031" s="96">
        <v>4786360.3260000004</v>
      </c>
      <c r="D1031" s="96">
        <v>56.533999999999999</v>
      </c>
      <c r="E1031" s="96" t="s">
        <v>83</v>
      </c>
    </row>
    <row r="1032" spans="1:5" x14ac:dyDescent="0.25">
      <c r="A1032" s="84">
        <v>45873</v>
      </c>
      <c r="B1032" s="96">
        <v>513474.54200000002</v>
      </c>
      <c r="C1032" s="96">
        <v>4786353.87</v>
      </c>
      <c r="D1032" s="96">
        <v>59.293999999999997</v>
      </c>
      <c r="E1032" s="96" t="s">
        <v>79</v>
      </c>
    </row>
    <row r="1033" spans="1:5" x14ac:dyDescent="0.25">
      <c r="A1033" s="84">
        <v>45874</v>
      </c>
      <c r="B1033" s="96">
        <v>513495.201</v>
      </c>
      <c r="C1033" s="96">
        <v>4786386.5439999998</v>
      </c>
      <c r="D1033" s="96">
        <v>61.19</v>
      </c>
      <c r="E1033" s="96" t="s">
        <v>62</v>
      </c>
    </row>
    <row r="1034" spans="1:5" x14ac:dyDescent="0.25">
      <c r="A1034" s="84">
        <v>45874</v>
      </c>
      <c r="B1034" s="96">
        <v>513495.14600000001</v>
      </c>
      <c r="C1034" s="96">
        <v>4786386.3789999997</v>
      </c>
      <c r="D1034" s="96">
        <v>59.661000000000001</v>
      </c>
      <c r="E1034" s="96" t="s">
        <v>63</v>
      </c>
    </row>
    <row r="1035" spans="1:5" x14ac:dyDescent="0.25">
      <c r="A1035" s="84">
        <v>45874</v>
      </c>
      <c r="B1035" s="96">
        <v>513491.946</v>
      </c>
      <c r="C1035" s="96">
        <v>4786383.71</v>
      </c>
      <c r="D1035" s="96">
        <v>61.484000000000002</v>
      </c>
      <c r="E1035" s="96" t="s">
        <v>66</v>
      </c>
    </row>
    <row r="1036" spans="1:5" x14ac:dyDescent="0.25">
      <c r="A1036" s="84">
        <v>45874</v>
      </c>
      <c r="B1036" s="96">
        <v>513492.01799999998</v>
      </c>
      <c r="C1036" s="96">
        <v>4786383.6859999998</v>
      </c>
      <c r="D1036" s="96">
        <v>59.487000000000002</v>
      </c>
      <c r="E1036" s="96" t="s">
        <v>67</v>
      </c>
    </row>
    <row r="1037" spans="1:5" x14ac:dyDescent="0.25">
      <c r="A1037" s="84">
        <v>45874</v>
      </c>
      <c r="B1037" s="96">
        <v>513487.78899999999</v>
      </c>
      <c r="C1037" s="96">
        <v>4786375.6560000004</v>
      </c>
      <c r="D1037" s="96">
        <v>60.912999999999997</v>
      </c>
      <c r="E1037" s="96" t="s">
        <v>85</v>
      </c>
    </row>
    <row r="1038" spans="1:5" x14ac:dyDescent="0.25">
      <c r="A1038" s="84">
        <v>45874</v>
      </c>
      <c r="B1038" s="96">
        <v>513488.016</v>
      </c>
      <c r="C1038" s="96">
        <v>4786375.693</v>
      </c>
      <c r="D1038" s="96">
        <v>59.572000000000003</v>
      </c>
      <c r="E1038" s="96" t="s">
        <v>86</v>
      </c>
    </row>
    <row r="1039" spans="1:5" x14ac:dyDescent="0.25">
      <c r="A1039" s="84">
        <v>45874</v>
      </c>
      <c r="B1039" s="96">
        <v>513484.61200000002</v>
      </c>
      <c r="C1039" s="96">
        <v>4786368.8190000001</v>
      </c>
      <c r="D1039" s="96">
        <v>60.356000000000002</v>
      </c>
      <c r="E1039" s="96" t="s">
        <v>72</v>
      </c>
    </row>
    <row r="1040" spans="1:5" x14ac:dyDescent="0.25">
      <c r="A1040" s="84">
        <v>45874</v>
      </c>
      <c r="B1040" s="96">
        <v>513484.72700000001</v>
      </c>
      <c r="C1040" s="96">
        <v>4786368.7369999997</v>
      </c>
      <c r="D1040" s="96">
        <v>59.377000000000002</v>
      </c>
      <c r="E1040" s="96" t="s">
        <v>73</v>
      </c>
    </row>
    <row r="1041" spans="1:5" x14ac:dyDescent="0.25">
      <c r="A1041" s="84">
        <v>45874</v>
      </c>
      <c r="B1041" s="96">
        <v>513484.75400000002</v>
      </c>
      <c r="C1041" s="96">
        <v>4786368.7419999996</v>
      </c>
      <c r="D1041" s="96">
        <v>56.356999999999999</v>
      </c>
      <c r="E1041" s="96" t="s">
        <v>74</v>
      </c>
    </row>
    <row r="1042" spans="1:5" x14ac:dyDescent="0.25">
      <c r="A1042" s="84">
        <v>45874</v>
      </c>
      <c r="B1042" s="96">
        <v>513484.82500000001</v>
      </c>
      <c r="C1042" s="96">
        <v>4786368.9400000004</v>
      </c>
      <c r="D1042" s="96">
        <v>53.371000000000002</v>
      </c>
      <c r="E1042" s="96" t="s">
        <v>75</v>
      </c>
    </row>
    <row r="1043" spans="1:5" x14ac:dyDescent="0.25">
      <c r="A1043" s="84">
        <v>45874</v>
      </c>
      <c r="B1043" s="96">
        <v>513480.114</v>
      </c>
      <c r="C1043" s="96">
        <v>4786359.8140000002</v>
      </c>
      <c r="D1043" s="96">
        <v>59.853999999999999</v>
      </c>
      <c r="E1043" s="96" t="s">
        <v>76</v>
      </c>
    </row>
    <row r="1044" spans="1:5" x14ac:dyDescent="0.25">
      <c r="A1044" s="84">
        <v>45874</v>
      </c>
      <c r="B1044" s="96">
        <v>513474.54200000002</v>
      </c>
      <c r="C1044" s="96">
        <v>4786353.8689999999</v>
      </c>
      <c r="D1044" s="96">
        <v>59.295999999999999</v>
      </c>
      <c r="E1044" s="96" t="s">
        <v>79</v>
      </c>
    </row>
    <row r="1045" spans="1:5" x14ac:dyDescent="0.25">
      <c r="A1045" s="84">
        <v>45875</v>
      </c>
      <c r="B1045" s="96">
        <v>513495.201</v>
      </c>
      <c r="C1045" s="96">
        <v>4786386.5429999996</v>
      </c>
      <c r="D1045" s="96">
        <v>61.189</v>
      </c>
      <c r="E1045" s="96" t="s">
        <v>62</v>
      </c>
    </row>
    <row r="1046" spans="1:5" x14ac:dyDescent="0.25">
      <c r="A1046" s="84">
        <v>45875</v>
      </c>
      <c r="B1046" s="96">
        <v>513495.14600000001</v>
      </c>
      <c r="C1046" s="96">
        <v>4786386.3789999997</v>
      </c>
      <c r="D1046" s="96">
        <v>59.661000000000001</v>
      </c>
      <c r="E1046" s="96" t="s">
        <v>63</v>
      </c>
    </row>
    <row r="1047" spans="1:5" x14ac:dyDescent="0.25">
      <c r="A1047" s="84">
        <v>45875</v>
      </c>
      <c r="B1047" s="96">
        <v>513491.946</v>
      </c>
      <c r="C1047" s="96">
        <v>4786383.71</v>
      </c>
      <c r="D1047" s="96">
        <v>61.482999999999997</v>
      </c>
      <c r="E1047" s="96" t="s">
        <v>66</v>
      </c>
    </row>
    <row r="1048" spans="1:5" x14ac:dyDescent="0.25">
      <c r="A1048" s="84">
        <v>45875</v>
      </c>
      <c r="B1048" s="96">
        <v>513492.01799999998</v>
      </c>
      <c r="C1048" s="96">
        <v>4786383.6859999998</v>
      </c>
      <c r="D1048" s="96">
        <v>59.485999999999997</v>
      </c>
      <c r="E1048" s="96" t="s">
        <v>67</v>
      </c>
    </row>
    <row r="1049" spans="1:5" x14ac:dyDescent="0.25">
      <c r="A1049" s="84">
        <v>45875</v>
      </c>
      <c r="B1049" s="96">
        <v>513487.788</v>
      </c>
      <c r="C1049" s="96">
        <v>4786375.6560000004</v>
      </c>
      <c r="D1049" s="96">
        <v>60.911999999999999</v>
      </c>
      <c r="E1049" s="96" t="s">
        <v>85</v>
      </c>
    </row>
    <row r="1050" spans="1:5" x14ac:dyDescent="0.25">
      <c r="A1050" s="84">
        <v>45875</v>
      </c>
      <c r="B1050" s="96">
        <v>513488.016</v>
      </c>
      <c r="C1050" s="96">
        <v>4786375.6919999998</v>
      </c>
      <c r="D1050" s="96">
        <v>59.570999999999998</v>
      </c>
      <c r="E1050" s="96" t="s">
        <v>86</v>
      </c>
    </row>
    <row r="1051" spans="1:5" x14ac:dyDescent="0.25">
      <c r="A1051" s="84">
        <v>45875</v>
      </c>
      <c r="B1051" s="96">
        <v>513484.61200000002</v>
      </c>
      <c r="C1051" s="96">
        <v>4786368.8190000001</v>
      </c>
      <c r="D1051" s="96">
        <v>60.354999999999997</v>
      </c>
      <c r="E1051" s="96" t="s">
        <v>72</v>
      </c>
    </row>
    <row r="1052" spans="1:5" x14ac:dyDescent="0.25">
      <c r="A1052" s="84">
        <v>45875</v>
      </c>
      <c r="B1052" s="96">
        <v>513484.72700000001</v>
      </c>
      <c r="C1052" s="96">
        <v>4786368.7369999997</v>
      </c>
      <c r="D1052" s="96">
        <v>59.375999999999998</v>
      </c>
      <c r="E1052" s="96" t="s">
        <v>73</v>
      </c>
    </row>
    <row r="1053" spans="1:5" x14ac:dyDescent="0.25">
      <c r="A1053" s="84">
        <v>45875</v>
      </c>
      <c r="B1053" s="96">
        <v>513484.75400000002</v>
      </c>
      <c r="C1053" s="96">
        <v>4786368.7419999996</v>
      </c>
      <c r="D1053" s="96">
        <v>56.356000000000002</v>
      </c>
      <c r="E1053" s="96" t="s">
        <v>74</v>
      </c>
    </row>
    <row r="1054" spans="1:5" x14ac:dyDescent="0.25">
      <c r="A1054" s="84">
        <v>45875</v>
      </c>
      <c r="B1054" s="96">
        <v>513484.82500000001</v>
      </c>
      <c r="C1054" s="96">
        <v>4786368.9400000004</v>
      </c>
      <c r="D1054" s="96">
        <v>53.37</v>
      </c>
      <c r="E1054" s="96" t="s">
        <v>75</v>
      </c>
    </row>
    <row r="1055" spans="1:5" x14ac:dyDescent="0.25">
      <c r="A1055" s="84">
        <v>45875</v>
      </c>
      <c r="B1055" s="96">
        <v>513480.114</v>
      </c>
      <c r="C1055" s="96">
        <v>4786359.8140000002</v>
      </c>
      <c r="D1055" s="96">
        <v>59.853000000000002</v>
      </c>
      <c r="E1055" s="96" t="s">
        <v>76</v>
      </c>
    </row>
    <row r="1056" spans="1:5" x14ac:dyDescent="0.25">
      <c r="A1056" s="84">
        <v>45875</v>
      </c>
      <c r="B1056" s="96">
        <v>513480.462</v>
      </c>
      <c r="C1056" s="96">
        <v>4786360.3260000004</v>
      </c>
      <c r="D1056" s="96">
        <v>56.534999999999997</v>
      </c>
      <c r="E1056" s="96" t="s">
        <v>83</v>
      </c>
    </row>
    <row r="1057" spans="1:5" x14ac:dyDescent="0.25">
      <c r="A1057" s="84">
        <v>45875</v>
      </c>
      <c r="B1057" s="96">
        <v>513474.54200000002</v>
      </c>
      <c r="C1057" s="96">
        <v>4786353.8689999999</v>
      </c>
      <c r="D1057" s="96">
        <v>59.295000000000002</v>
      </c>
      <c r="E1057" s="96" t="s">
        <v>79</v>
      </c>
    </row>
    <row r="1058" spans="1:5" x14ac:dyDescent="0.25">
      <c r="A1058" s="84">
        <v>45876</v>
      </c>
      <c r="B1058" s="96">
        <v>513495.2</v>
      </c>
      <c r="C1058" s="96">
        <v>4786386.5449999999</v>
      </c>
      <c r="D1058" s="96">
        <v>61.188000000000002</v>
      </c>
      <c r="E1058" s="96" t="s">
        <v>62</v>
      </c>
    </row>
    <row r="1059" spans="1:5" x14ac:dyDescent="0.25">
      <c r="A1059" s="84">
        <v>45876</v>
      </c>
      <c r="B1059" s="96">
        <v>513495.147</v>
      </c>
      <c r="C1059" s="96">
        <v>4786386.38</v>
      </c>
      <c r="D1059" s="96">
        <v>59.658999999999999</v>
      </c>
      <c r="E1059" s="96" t="s">
        <v>63</v>
      </c>
    </row>
    <row r="1060" spans="1:5" x14ac:dyDescent="0.25">
      <c r="A1060" s="84">
        <v>45876</v>
      </c>
      <c r="B1060" s="96">
        <v>513491.94500000001</v>
      </c>
      <c r="C1060" s="96">
        <v>4786383.71</v>
      </c>
      <c r="D1060" s="96">
        <v>61.481999999999999</v>
      </c>
      <c r="E1060" s="96" t="s">
        <v>66</v>
      </c>
    </row>
    <row r="1061" spans="1:5" x14ac:dyDescent="0.25">
      <c r="A1061" s="84">
        <v>45876</v>
      </c>
      <c r="B1061" s="96">
        <v>513492.01699999999</v>
      </c>
      <c r="C1061" s="96">
        <v>4786383.6859999998</v>
      </c>
      <c r="D1061" s="96">
        <v>59.484000000000002</v>
      </c>
      <c r="E1061" s="96" t="s">
        <v>67</v>
      </c>
    </row>
    <row r="1062" spans="1:5" x14ac:dyDescent="0.25">
      <c r="A1062" s="84">
        <v>45876</v>
      </c>
      <c r="B1062" s="96">
        <v>513487.788</v>
      </c>
      <c r="C1062" s="96">
        <v>4786375.6560000004</v>
      </c>
      <c r="D1062" s="96">
        <v>60.911000000000001</v>
      </c>
      <c r="E1062" s="96" t="s">
        <v>85</v>
      </c>
    </row>
    <row r="1063" spans="1:5" x14ac:dyDescent="0.25">
      <c r="A1063" s="84">
        <v>45876</v>
      </c>
      <c r="B1063" s="96">
        <v>513488.016</v>
      </c>
      <c r="C1063" s="96">
        <v>4786375.693</v>
      </c>
      <c r="D1063" s="96">
        <v>59.57</v>
      </c>
      <c r="E1063" s="96" t="s">
        <v>86</v>
      </c>
    </row>
    <row r="1064" spans="1:5" x14ac:dyDescent="0.25">
      <c r="A1064" s="84">
        <v>45876</v>
      </c>
      <c r="B1064" s="96">
        <v>513484.61200000002</v>
      </c>
      <c r="C1064" s="96">
        <v>4786368.8190000001</v>
      </c>
      <c r="D1064" s="96">
        <v>60.353000000000002</v>
      </c>
      <c r="E1064" s="96" t="s">
        <v>72</v>
      </c>
    </row>
    <row r="1065" spans="1:5" x14ac:dyDescent="0.25">
      <c r="A1065" s="84">
        <v>45876</v>
      </c>
      <c r="B1065" s="96">
        <v>513484.72600000002</v>
      </c>
      <c r="C1065" s="96">
        <v>4786368.7369999997</v>
      </c>
      <c r="D1065" s="96">
        <v>59.375</v>
      </c>
      <c r="E1065" s="96" t="s">
        <v>73</v>
      </c>
    </row>
    <row r="1066" spans="1:5" x14ac:dyDescent="0.25">
      <c r="A1066" s="84">
        <v>45876</v>
      </c>
      <c r="B1066" s="96">
        <v>513484.75400000002</v>
      </c>
      <c r="C1066" s="96">
        <v>4786368.7419999996</v>
      </c>
      <c r="D1066" s="96">
        <v>56.353999999999999</v>
      </c>
      <c r="E1066" s="96" t="s">
        <v>74</v>
      </c>
    </row>
    <row r="1067" spans="1:5" x14ac:dyDescent="0.25">
      <c r="A1067" s="84">
        <v>45876</v>
      </c>
      <c r="B1067" s="96">
        <v>513484.82500000001</v>
      </c>
      <c r="C1067" s="96">
        <v>4786368.9390000002</v>
      </c>
      <c r="D1067" s="96">
        <v>53.368000000000002</v>
      </c>
      <c r="E1067" s="96" t="s">
        <v>75</v>
      </c>
    </row>
    <row r="1068" spans="1:5" x14ac:dyDescent="0.25">
      <c r="A1068" s="84">
        <v>45876</v>
      </c>
      <c r="B1068" s="96">
        <v>513480.114</v>
      </c>
      <c r="C1068" s="96">
        <v>4786359.8130000001</v>
      </c>
      <c r="D1068" s="96">
        <v>59.851999999999997</v>
      </c>
      <c r="E1068" s="96" t="s">
        <v>76</v>
      </c>
    </row>
    <row r="1069" spans="1:5" x14ac:dyDescent="0.25">
      <c r="A1069" s="84">
        <v>45876</v>
      </c>
      <c r="B1069" s="96">
        <v>513480.462</v>
      </c>
      <c r="C1069" s="96">
        <v>4786360.3260000004</v>
      </c>
      <c r="D1069" s="96">
        <v>56.533000000000001</v>
      </c>
      <c r="E1069" s="96" t="s">
        <v>83</v>
      </c>
    </row>
    <row r="1070" spans="1:5" x14ac:dyDescent="0.25">
      <c r="A1070" s="84">
        <v>45876</v>
      </c>
      <c r="B1070" s="96">
        <v>513474.54100000003</v>
      </c>
      <c r="C1070" s="96">
        <v>4786353.8689999999</v>
      </c>
      <c r="D1070" s="96">
        <v>59.292000000000002</v>
      </c>
      <c r="E1070" s="96" t="s">
        <v>79</v>
      </c>
    </row>
    <row r="1071" spans="1:5" x14ac:dyDescent="0.25">
      <c r="A1071" s="84">
        <v>45877</v>
      </c>
      <c r="B1071" s="96">
        <v>513495.2</v>
      </c>
      <c r="C1071" s="96">
        <v>4786386.5460000001</v>
      </c>
      <c r="D1071" s="96">
        <v>61.188000000000002</v>
      </c>
      <c r="E1071" s="96" t="s">
        <v>62</v>
      </c>
    </row>
    <row r="1072" spans="1:5" x14ac:dyDescent="0.25">
      <c r="A1072" s="84">
        <v>45877</v>
      </c>
      <c r="B1072" s="96">
        <v>513495.14600000001</v>
      </c>
      <c r="C1072" s="96">
        <v>4786386.3810000001</v>
      </c>
      <c r="D1072" s="96">
        <v>59.66</v>
      </c>
      <c r="E1072" s="96" t="s">
        <v>63</v>
      </c>
    </row>
    <row r="1073" spans="1:5" x14ac:dyDescent="0.25">
      <c r="A1073" s="84">
        <v>45877</v>
      </c>
      <c r="B1073" s="96">
        <v>513491.946</v>
      </c>
      <c r="C1073" s="96">
        <v>4786383.7120000003</v>
      </c>
      <c r="D1073" s="96">
        <v>61.481999999999999</v>
      </c>
      <c r="E1073" s="96" t="s">
        <v>66</v>
      </c>
    </row>
    <row r="1074" spans="1:5" x14ac:dyDescent="0.25">
      <c r="A1074" s="84">
        <v>45877</v>
      </c>
      <c r="B1074" s="96">
        <v>513492.01699999999</v>
      </c>
      <c r="C1074" s="96">
        <v>4786383.6859999998</v>
      </c>
      <c r="D1074" s="96">
        <v>59.484999999999999</v>
      </c>
      <c r="E1074" s="96" t="s">
        <v>67</v>
      </c>
    </row>
    <row r="1075" spans="1:5" x14ac:dyDescent="0.25">
      <c r="A1075" s="84">
        <v>45877</v>
      </c>
      <c r="B1075" s="96">
        <v>513487.78700000001</v>
      </c>
      <c r="C1075" s="96">
        <v>4786375.6579999998</v>
      </c>
      <c r="D1075" s="96">
        <v>60.911000000000001</v>
      </c>
      <c r="E1075" s="96" t="s">
        <v>85</v>
      </c>
    </row>
    <row r="1076" spans="1:5" x14ac:dyDescent="0.25">
      <c r="A1076" s="84">
        <v>45877</v>
      </c>
      <c r="B1076" s="96">
        <v>513488.01500000001</v>
      </c>
      <c r="C1076" s="96">
        <v>4786375.6950000003</v>
      </c>
      <c r="D1076" s="96">
        <v>59.57</v>
      </c>
      <c r="E1076" s="96" t="s">
        <v>86</v>
      </c>
    </row>
    <row r="1077" spans="1:5" x14ac:dyDescent="0.25">
      <c r="A1077" s="84">
        <v>45877</v>
      </c>
      <c r="B1077" s="96">
        <v>513484.61</v>
      </c>
      <c r="C1077" s="96">
        <v>4786368.8210000005</v>
      </c>
      <c r="D1077" s="96">
        <v>60.353999999999999</v>
      </c>
      <c r="E1077" s="96" t="s">
        <v>72</v>
      </c>
    </row>
    <row r="1078" spans="1:5" x14ac:dyDescent="0.25">
      <c r="A1078" s="84">
        <v>45877</v>
      </c>
      <c r="B1078" s="96">
        <v>513484.72499999998</v>
      </c>
      <c r="C1078" s="96">
        <v>4786368.7379999999</v>
      </c>
      <c r="D1078" s="96">
        <v>59.375</v>
      </c>
      <c r="E1078" s="96" t="s">
        <v>73</v>
      </c>
    </row>
    <row r="1079" spans="1:5" x14ac:dyDescent="0.25">
      <c r="A1079" s="84">
        <v>45877</v>
      </c>
      <c r="B1079" s="96">
        <v>513484.75300000003</v>
      </c>
      <c r="C1079" s="96">
        <v>4786368.7429999998</v>
      </c>
      <c r="D1079" s="96">
        <v>56.353999999999999</v>
      </c>
      <c r="E1079" s="96" t="s">
        <v>74</v>
      </c>
    </row>
    <row r="1080" spans="1:5" x14ac:dyDescent="0.25">
      <c r="A1080" s="84">
        <v>45877</v>
      </c>
      <c r="B1080" s="96">
        <v>513484.82400000002</v>
      </c>
      <c r="C1080" s="96">
        <v>4786368.9409999996</v>
      </c>
      <c r="D1080" s="96">
        <v>53.366999999999997</v>
      </c>
      <c r="E1080" s="96" t="s">
        <v>75</v>
      </c>
    </row>
    <row r="1081" spans="1:5" x14ac:dyDescent="0.25">
      <c r="A1081" s="84">
        <v>45877</v>
      </c>
      <c r="B1081" s="96">
        <v>513480.11300000001</v>
      </c>
      <c r="C1081" s="96">
        <v>4786359.8150000004</v>
      </c>
      <c r="D1081" s="96">
        <v>59.851999999999997</v>
      </c>
      <c r="E1081" s="96" t="s">
        <v>76</v>
      </c>
    </row>
    <row r="1082" spans="1:5" x14ac:dyDescent="0.25">
      <c r="A1082" s="84">
        <v>45877</v>
      </c>
      <c r="B1082" s="96">
        <v>513480.46</v>
      </c>
      <c r="C1082" s="96">
        <v>4786360.3269999996</v>
      </c>
      <c r="D1082" s="96">
        <v>56.533000000000001</v>
      </c>
      <c r="E1082" s="96" t="s">
        <v>83</v>
      </c>
    </row>
    <row r="1083" spans="1:5" x14ac:dyDescent="0.25">
      <c r="A1083" s="84">
        <v>45877</v>
      </c>
      <c r="B1083" s="96">
        <v>513474.54</v>
      </c>
      <c r="C1083" s="96">
        <v>4786353.87</v>
      </c>
      <c r="D1083" s="96">
        <v>59.293999999999997</v>
      </c>
      <c r="E1083" s="96" t="s">
        <v>79</v>
      </c>
    </row>
    <row r="1084" spans="1:5" x14ac:dyDescent="0.25">
      <c r="A1084" s="84">
        <v>45880</v>
      </c>
      <c r="B1084" s="96">
        <v>513495.2</v>
      </c>
      <c r="C1084" s="96">
        <v>4786386.5460000001</v>
      </c>
      <c r="D1084" s="96">
        <v>61.189</v>
      </c>
      <c r="E1084" s="96" t="s">
        <v>62</v>
      </c>
    </row>
    <row r="1085" spans="1:5" x14ac:dyDescent="0.25">
      <c r="A1085" s="84">
        <v>45880</v>
      </c>
      <c r="B1085" s="96">
        <v>513495.14600000001</v>
      </c>
      <c r="C1085" s="96">
        <v>4786386.3810000001</v>
      </c>
      <c r="D1085" s="96">
        <v>59.66</v>
      </c>
      <c r="E1085" s="96" t="s">
        <v>63</v>
      </c>
    </row>
    <row r="1086" spans="1:5" x14ac:dyDescent="0.25">
      <c r="A1086" s="84">
        <v>45880</v>
      </c>
      <c r="B1086" s="96">
        <v>513491.946</v>
      </c>
      <c r="C1086" s="96">
        <v>4786383.7130000005</v>
      </c>
      <c r="D1086" s="96">
        <v>61.481999999999999</v>
      </c>
      <c r="E1086" s="96" t="s">
        <v>66</v>
      </c>
    </row>
    <row r="1087" spans="1:5" x14ac:dyDescent="0.25">
      <c r="A1087" s="84">
        <v>45880</v>
      </c>
      <c r="B1087" s="96">
        <v>513492.01699999999</v>
      </c>
      <c r="C1087" s="96">
        <v>4786383.6890000002</v>
      </c>
      <c r="D1087" s="96">
        <v>59.484999999999999</v>
      </c>
      <c r="E1087" s="96" t="s">
        <v>67</v>
      </c>
    </row>
    <row r="1088" spans="1:5" x14ac:dyDescent="0.25">
      <c r="A1088" s="84">
        <v>45880</v>
      </c>
      <c r="B1088" s="96">
        <v>513487.78700000001</v>
      </c>
      <c r="C1088" s="96">
        <v>4786375.6579999998</v>
      </c>
      <c r="D1088" s="96">
        <v>60.911000000000001</v>
      </c>
      <c r="E1088" s="96" t="s">
        <v>85</v>
      </c>
    </row>
    <row r="1089" spans="1:5" x14ac:dyDescent="0.25">
      <c r="A1089" s="84">
        <v>45880</v>
      </c>
      <c r="B1089" s="96">
        <v>513488.01500000001</v>
      </c>
      <c r="C1089" s="96">
        <v>4786375.6950000003</v>
      </c>
      <c r="D1089" s="96">
        <v>59.570999999999998</v>
      </c>
      <c r="E1089" s="96" t="s">
        <v>86</v>
      </c>
    </row>
    <row r="1090" spans="1:5" x14ac:dyDescent="0.25">
      <c r="A1090" s="84">
        <v>45880</v>
      </c>
      <c r="B1090" s="96">
        <v>513484.61</v>
      </c>
      <c r="C1090" s="96">
        <v>4786368.8210000005</v>
      </c>
      <c r="D1090" s="96">
        <v>60.353999999999999</v>
      </c>
      <c r="E1090" s="96" t="s">
        <v>72</v>
      </c>
    </row>
    <row r="1091" spans="1:5" x14ac:dyDescent="0.25">
      <c r="A1091" s="84">
        <v>45880</v>
      </c>
      <c r="B1091" s="96">
        <v>513484.72499999998</v>
      </c>
      <c r="C1091" s="96">
        <v>4786368.7379999999</v>
      </c>
      <c r="D1091" s="96">
        <v>59.375</v>
      </c>
      <c r="E1091" s="96" t="s">
        <v>73</v>
      </c>
    </row>
    <row r="1092" spans="1:5" x14ac:dyDescent="0.25">
      <c r="A1092" s="84">
        <v>45880</v>
      </c>
      <c r="B1092" s="96">
        <v>513484.75300000003</v>
      </c>
      <c r="C1092" s="96">
        <v>4786368.7419999996</v>
      </c>
      <c r="D1092" s="96">
        <v>56.354999999999997</v>
      </c>
      <c r="E1092" s="96" t="s">
        <v>74</v>
      </c>
    </row>
    <row r="1093" spans="1:5" x14ac:dyDescent="0.25">
      <c r="A1093" s="84">
        <v>45880</v>
      </c>
      <c r="B1093" s="96">
        <v>513484.82400000002</v>
      </c>
      <c r="C1093" s="96">
        <v>4786368.9409999996</v>
      </c>
      <c r="D1093" s="96">
        <v>53.368000000000002</v>
      </c>
      <c r="E1093" s="96" t="s">
        <v>75</v>
      </c>
    </row>
    <row r="1094" spans="1:5" x14ac:dyDescent="0.25">
      <c r="A1094" s="84">
        <v>45880</v>
      </c>
      <c r="B1094" s="96">
        <v>513480.11200000002</v>
      </c>
      <c r="C1094" s="96">
        <v>4786359.8150000004</v>
      </c>
      <c r="D1094" s="96">
        <v>59.851999999999997</v>
      </c>
      <c r="E1094" s="96" t="s">
        <v>76</v>
      </c>
    </row>
    <row r="1095" spans="1:5" x14ac:dyDescent="0.25">
      <c r="A1095" s="84">
        <v>45880</v>
      </c>
      <c r="B1095" s="96">
        <v>513480.46</v>
      </c>
      <c r="C1095" s="96">
        <v>4786360.3269999996</v>
      </c>
      <c r="D1095" s="96">
        <v>56.533000000000001</v>
      </c>
      <c r="E1095" s="96" t="s">
        <v>83</v>
      </c>
    </row>
    <row r="1096" spans="1:5" x14ac:dyDescent="0.25">
      <c r="A1096" s="84">
        <v>45880</v>
      </c>
      <c r="B1096" s="96">
        <v>513474.54100000003</v>
      </c>
      <c r="C1096" s="96">
        <v>4786353.8710000003</v>
      </c>
      <c r="D1096" s="96">
        <v>59.293999999999997</v>
      </c>
      <c r="E1096" s="96" t="s">
        <v>79</v>
      </c>
    </row>
    <row r="1097" spans="1:5" x14ac:dyDescent="0.25">
      <c r="A1097" s="84">
        <v>45882</v>
      </c>
      <c r="B1097" s="96">
        <v>513495.2</v>
      </c>
      <c r="C1097" s="96">
        <v>4786386.5460000001</v>
      </c>
      <c r="D1097" s="96">
        <v>61.188000000000002</v>
      </c>
      <c r="E1097" s="96" t="s">
        <v>62</v>
      </c>
    </row>
    <row r="1098" spans="1:5" x14ac:dyDescent="0.25">
      <c r="A1098" s="84">
        <v>45882</v>
      </c>
      <c r="B1098" s="96">
        <v>513495.14600000001</v>
      </c>
      <c r="C1098" s="96">
        <v>4786386.3810000001</v>
      </c>
      <c r="D1098" s="96">
        <v>59.658999999999999</v>
      </c>
      <c r="E1098" s="96" t="s">
        <v>63</v>
      </c>
    </row>
    <row r="1099" spans="1:5" x14ac:dyDescent="0.25">
      <c r="A1099" s="84">
        <v>45882</v>
      </c>
      <c r="B1099" s="96">
        <v>513491.94500000001</v>
      </c>
      <c r="C1099" s="96">
        <v>4786383.7130000005</v>
      </c>
      <c r="D1099" s="96">
        <v>61.481999999999999</v>
      </c>
      <c r="E1099" s="96" t="s">
        <v>66</v>
      </c>
    </row>
    <row r="1100" spans="1:5" x14ac:dyDescent="0.25">
      <c r="A1100" s="84">
        <v>45882</v>
      </c>
      <c r="B1100" s="96">
        <v>513492.01699999999</v>
      </c>
      <c r="C1100" s="96">
        <v>4786383.6880000001</v>
      </c>
      <c r="D1100" s="96">
        <v>59.484999999999999</v>
      </c>
      <c r="E1100" s="96" t="s">
        <v>67</v>
      </c>
    </row>
    <row r="1101" spans="1:5" x14ac:dyDescent="0.25">
      <c r="A1101" s="84">
        <v>45882</v>
      </c>
      <c r="B1101" s="96">
        <v>513487.78700000001</v>
      </c>
      <c r="C1101" s="96">
        <v>4786375.6579999998</v>
      </c>
      <c r="D1101" s="96">
        <v>60.911000000000001</v>
      </c>
      <c r="E1101" s="96" t="s">
        <v>85</v>
      </c>
    </row>
    <row r="1102" spans="1:5" x14ac:dyDescent="0.25">
      <c r="A1102" s="84">
        <v>45882</v>
      </c>
      <c r="B1102" s="96">
        <v>513488.01500000001</v>
      </c>
      <c r="C1102" s="96">
        <v>4786375.6940000001</v>
      </c>
      <c r="D1102" s="96">
        <v>59.57</v>
      </c>
      <c r="E1102" s="96" t="s">
        <v>86</v>
      </c>
    </row>
    <row r="1103" spans="1:5" x14ac:dyDescent="0.25">
      <c r="A1103" s="84">
        <v>45882</v>
      </c>
      <c r="B1103" s="96">
        <v>513484.61</v>
      </c>
      <c r="C1103" s="96">
        <v>4786368.8210000005</v>
      </c>
      <c r="D1103" s="96">
        <v>60.353999999999999</v>
      </c>
      <c r="E1103" s="96" t="s">
        <v>72</v>
      </c>
    </row>
    <row r="1104" spans="1:5" x14ac:dyDescent="0.25">
      <c r="A1104" s="84">
        <v>45882</v>
      </c>
      <c r="B1104" s="96">
        <v>513484.72499999998</v>
      </c>
      <c r="C1104" s="96">
        <v>4786368.7379999999</v>
      </c>
      <c r="D1104" s="96">
        <v>59.375</v>
      </c>
      <c r="E1104" s="96" t="s">
        <v>73</v>
      </c>
    </row>
    <row r="1105" spans="1:5" x14ac:dyDescent="0.25">
      <c r="A1105" s="84">
        <v>45882</v>
      </c>
      <c r="B1105" s="96">
        <v>513484.75300000003</v>
      </c>
      <c r="C1105" s="96">
        <v>4786368.7429999998</v>
      </c>
      <c r="D1105" s="96">
        <v>56.354999999999997</v>
      </c>
      <c r="E1105" s="96" t="s">
        <v>74</v>
      </c>
    </row>
    <row r="1106" spans="1:5" x14ac:dyDescent="0.25">
      <c r="A1106" s="84">
        <v>45882</v>
      </c>
      <c r="B1106" s="96">
        <v>513484.82299999997</v>
      </c>
      <c r="C1106" s="96">
        <v>4786368.9409999996</v>
      </c>
      <c r="D1106" s="96">
        <v>53.368000000000002</v>
      </c>
      <c r="E1106" s="96" t="s">
        <v>75</v>
      </c>
    </row>
    <row r="1107" spans="1:5" x14ac:dyDescent="0.25">
      <c r="A1107" s="84">
        <v>45882</v>
      </c>
      <c r="B1107" s="96">
        <v>513480.11300000001</v>
      </c>
      <c r="C1107" s="96">
        <v>4786359.8150000004</v>
      </c>
      <c r="D1107" s="96">
        <v>59.851999999999997</v>
      </c>
      <c r="E1107" s="96" t="s">
        <v>76</v>
      </c>
    </row>
    <row r="1108" spans="1:5" x14ac:dyDescent="0.25">
      <c r="A1108" s="84">
        <v>45882</v>
      </c>
      <c r="B1108" s="96">
        <v>513480.46</v>
      </c>
      <c r="C1108" s="96">
        <v>4786360.3269999996</v>
      </c>
      <c r="D1108" s="96">
        <v>56.533000000000001</v>
      </c>
      <c r="E1108" s="96" t="s">
        <v>83</v>
      </c>
    </row>
    <row r="1109" spans="1:5" x14ac:dyDescent="0.25">
      <c r="A1109" s="84">
        <v>45882</v>
      </c>
      <c r="B1109" s="96">
        <v>513474.54</v>
      </c>
      <c r="C1109" s="96">
        <v>4786353.87</v>
      </c>
      <c r="D1109" s="96">
        <v>59.293999999999997</v>
      </c>
      <c r="E1109" s="96" t="s">
        <v>79</v>
      </c>
    </row>
    <row r="1110" spans="1:5" x14ac:dyDescent="0.25">
      <c r="A1110" s="84">
        <v>45888</v>
      </c>
      <c r="B1110" s="96">
        <v>513495.2</v>
      </c>
      <c r="C1110" s="96">
        <v>4786386.5460000001</v>
      </c>
      <c r="D1110" s="96">
        <v>61.188000000000002</v>
      </c>
      <c r="E1110" s="96" t="s">
        <v>62</v>
      </c>
    </row>
    <row r="1111" spans="1:5" x14ac:dyDescent="0.25">
      <c r="A1111" s="84">
        <v>45888</v>
      </c>
      <c r="B1111" s="96">
        <v>513495.14600000001</v>
      </c>
      <c r="C1111" s="96">
        <v>4786386.3810000001</v>
      </c>
      <c r="D1111" s="96">
        <v>59.658999999999999</v>
      </c>
      <c r="E1111" s="96" t="s">
        <v>63</v>
      </c>
    </row>
    <row r="1112" spans="1:5" x14ac:dyDescent="0.25">
      <c r="A1112" s="84">
        <v>45888</v>
      </c>
      <c r="B1112" s="96">
        <v>513491.94500000001</v>
      </c>
      <c r="C1112" s="96">
        <v>4786383.7120000003</v>
      </c>
      <c r="D1112" s="96">
        <v>61.481999999999999</v>
      </c>
      <c r="E1112" s="96" t="s">
        <v>66</v>
      </c>
    </row>
    <row r="1113" spans="1:5" x14ac:dyDescent="0.25">
      <c r="A1113" s="84">
        <v>45888</v>
      </c>
      <c r="B1113" s="96">
        <v>513492.01699999999</v>
      </c>
      <c r="C1113" s="96">
        <v>4786383.6890000002</v>
      </c>
      <c r="D1113" s="96">
        <v>59.484999999999999</v>
      </c>
      <c r="E1113" s="96" t="s">
        <v>67</v>
      </c>
    </row>
    <row r="1114" spans="1:5" x14ac:dyDescent="0.25">
      <c r="A1114" s="84">
        <v>45888</v>
      </c>
      <c r="B1114" s="96">
        <v>513487.78700000001</v>
      </c>
      <c r="C1114" s="96">
        <v>4786375.6569999997</v>
      </c>
      <c r="D1114" s="96">
        <v>60.911000000000001</v>
      </c>
      <c r="E1114" s="96" t="s">
        <v>87</v>
      </c>
    </row>
    <row r="1115" spans="1:5" x14ac:dyDescent="0.25">
      <c r="A1115" s="84">
        <v>45888</v>
      </c>
      <c r="B1115" s="96">
        <v>513488.01500000001</v>
      </c>
      <c r="C1115" s="96">
        <v>4786375.6940000001</v>
      </c>
      <c r="D1115" s="96">
        <v>59.57</v>
      </c>
      <c r="E1115" s="96" t="s">
        <v>86</v>
      </c>
    </row>
    <row r="1116" spans="1:5" x14ac:dyDescent="0.25">
      <c r="A1116" s="84">
        <v>45888</v>
      </c>
      <c r="B1116" s="96">
        <v>513484.61</v>
      </c>
      <c r="C1116" s="96">
        <v>4786368.8210000005</v>
      </c>
      <c r="D1116" s="96">
        <v>60.353999999999999</v>
      </c>
      <c r="E1116" s="96" t="s">
        <v>72</v>
      </c>
    </row>
    <row r="1117" spans="1:5" x14ac:dyDescent="0.25">
      <c r="A1117" s="84">
        <v>45888</v>
      </c>
      <c r="B1117" s="96">
        <v>513484.72499999998</v>
      </c>
      <c r="C1117" s="96">
        <v>4786368.7379999999</v>
      </c>
      <c r="D1117" s="96">
        <v>59.375</v>
      </c>
      <c r="E1117" s="96" t="s">
        <v>73</v>
      </c>
    </row>
    <row r="1118" spans="1:5" x14ac:dyDescent="0.25">
      <c r="A1118" s="84">
        <v>45888</v>
      </c>
      <c r="B1118" s="96">
        <v>513484.75300000003</v>
      </c>
      <c r="C1118" s="96">
        <v>4786368.7429999998</v>
      </c>
      <c r="D1118" s="96">
        <v>56.354999999999997</v>
      </c>
      <c r="E1118" s="96" t="s">
        <v>74</v>
      </c>
    </row>
    <row r="1119" spans="1:5" x14ac:dyDescent="0.25">
      <c r="A1119" s="84">
        <v>45888</v>
      </c>
      <c r="B1119" s="96">
        <v>513484.82400000002</v>
      </c>
      <c r="C1119" s="96">
        <v>4786368.9400000004</v>
      </c>
      <c r="D1119" s="96">
        <v>53.368000000000002</v>
      </c>
      <c r="E1119" s="96" t="s">
        <v>75</v>
      </c>
    </row>
    <row r="1120" spans="1:5" x14ac:dyDescent="0.25">
      <c r="A1120" s="84">
        <v>45888</v>
      </c>
      <c r="B1120" s="96">
        <v>513480.11300000001</v>
      </c>
      <c r="C1120" s="96">
        <v>4786359.8150000004</v>
      </c>
      <c r="D1120" s="96">
        <v>59.851999999999997</v>
      </c>
      <c r="E1120" s="96" t="s">
        <v>76</v>
      </c>
    </row>
    <row r="1121" spans="1:5" x14ac:dyDescent="0.25">
      <c r="A1121" s="84">
        <v>45888</v>
      </c>
      <c r="B1121" s="96">
        <v>513480.46</v>
      </c>
      <c r="C1121" s="96">
        <v>4786360.3260000004</v>
      </c>
      <c r="D1121" s="96">
        <v>56.533000000000001</v>
      </c>
      <c r="E1121" s="96" t="s">
        <v>83</v>
      </c>
    </row>
    <row r="1122" spans="1:5" x14ac:dyDescent="0.25">
      <c r="A1122" s="84">
        <v>45888</v>
      </c>
      <c r="B1122" s="96">
        <v>513474.54</v>
      </c>
      <c r="C1122" s="96">
        <v>4786353.87</v>
      </c>
      <c r="D1122" s="96">
        <v>59.293999999999997</v>
      </c>
      <c r="E1122" s="96" t="s">
        <v>79</v>
      </c>
    </row>
    <row r="1123" spans="1:5" x14ac:dyDescent="0.25">
      <c r="A1123" s="84">
        <v>45890</v>
      </c>
      <c r="B1123" s="96">
        <v>513495.2</v>
      </c>
      <c r="C1123" s="96">
        <v>4786386.5449999999</v>
      </c>
      <c r="D1123" s="96">
        <v>61.188000000000002</v>
      </c>
      <c r="E1123" s="96" t="s">
        <v>62</v>
      </c>
    </row>
    <row r="1124" spans="1:5" x14ac:dyDescent="0.25">
      <c r="A1124" s="84">
        <v>45890</v>
      </c>
      <c r="B1124" s="96">
        <v>513495.14600000001</v>
      </c>
      <c r="C1124" s="96">
        <v>4786386.3810000001</v>
      </c>
      <c r="D1124" s="96">
        <v>59.658999999999999</v>
      </c>
      <c r="E1124" s="96" t="s">
        <v>63</v>
      </c>
    </row>
    <row r="1125" spans="1:5" x14ac:dyDescent="0.25">
      <c r="A1125" s="84">
        <v>45890</v>
      </c>
      <c r="B1125" s="96">
        <v>513491.94500000001</v>
      </c>
      <c r="C1125" s="96">
        <v>4786383.7120000003</v>
      </c>
      <c r="D1125" s="96">
        <v>61.481000000000002</v>
      </c>
      <c r="E1125" s="96" t="s">
        <v>66</v>
      </c>
    </row>
    <row r="1126" spans="1:5" x14ac:dyDescent="0.25">
      <c r="A1126" s="84">
        <v>45890</v>
      </c>
      <c r="B1126" s="96">
        <v>513492.01699999999</v>
      </c>
      <c r="C1126" s="96">
        <v>4786383.6880000001</v>
      </c>
      <c r="D1126" s="96">
        <v>59.484000000000002</v>
      </c>
      <c r="E1126" s="96" t="s">
        <v>67</v>
      </c>
    </row>
    <row r="1127" spans="1:5" x14ac:dyDescent="0.25">
      <c r="A1127" s="84">
        <v>45890</v>
      </c>
      <c r="B1127" s="96">
        <v>513487.78700000001</v>
      </c>
      <c r="C1127" s="96">
        <v>4786375.6569999997</v>
      </c>
      <c r="D1127" s="96">
        <v>60.91</v>
      </c>
      <c r="E1127" s="96" t="s">
        <v>87</v>
      </c>
    </row>
    <row r="1128" spans="1:5" x14ac:dyDescent="0.25">
      <c r="A1128" s="84">
        <v>45890</v>
      </c>
      <c r="B1128" s="96">
        <v>513488.01400000002</v>
      </c>
      <c r="C1128" s="96">
        <v>4786375.6940000001</v>
      </c>
      <c r="D1128" s="96">
        <v>59.569000000000003</v>
      </c>
      <c r="E1128" s="96" t="s">
        <v>86</v>
      </c>
    </row>
    <row r="1129" spans="1:5" x14ac:dyDescent="0.25">
      <c r="A1129" s="84">
        <v>45890</v>
      </c>
      <c r="B1129" s="96">
        <v>513484.61</v>
      </c>
      <c r="C1129" s="96">
        <v>4786368.8210000005</v>
      </c>
      <c r="D1129" s="96">
        <v>60.353000000000002</v>
      </c>
      <c r="E1129" s="96" t="s">
        <v>72</v>
      </c>
    </row>
    <row r="1130" spans="1:5" x14ac:dyDescent="0.25">
      <c r="A1130" s="84">
        <v>45890</v>
      </c>
      <c r="B1130" s="96">
        <v>513484.72499999998</v>
      </c>
      <c r="C1130" s="96">
        <v>4786368.7379999999</v>
      </c>
      <c r="D1130" s="96">
        <v>59.374000000000002</v>
      </c>
      <c r="E1130" s="96" t="s">
        <v>73</v>
      </c>
    </row>
    <row r="1131" spans="1:5" x14ac:dyDescent="0.25">
      <c r="A1131" s="84">
        <v>45890</v>
      </c>
      <c r="B1131" s="96">
        <v>513484.75400000002</v>
      </c>
      <c r="C1131" s="96">
        <v>4786368.7429999998</v>
      </c>
      <c r="D1131" s="96">
        <v>56.356999999999999</v>
      </c>
      <c r="E1131" s="96" t="s">
        <v>74</v>
      </c>
    </row>
    <row r="1132" spans="1:5" x14ac:dyDescent="0.25">
      <c r="A1132" s="84">
        <v>45890</v>
      </c>
      <c r="B1132" s="96">
        <v>513480.11300000001</v>
      </c>
      <c r="C1132" s="96">
        <v>4786359.8150000004</v>
      </c>
      <c r="D1132" s="96">
        <v>59.850999999999999</v>
      </c>
      <c r="E1132" s="96" t="s">
        <v>76</v>
      </c>
    </row>
    <row r="1133" spans="1:5" x14ac:dyDescent="0.25">
      <c r="A1133" s="84">
        <v>45890</v>
      </c>
      <c r="B1133" s="96">
        <v>513480.46</v>
      </c>
      <c r="C1133" s="96">
        <v>4786360.3269999996</v>
      </c>
      <c r="D1133" s="96">
        <v>56.533000000000001</v>
      </c>
      <c r="E1133" s="96" t="s">
        <v>83</v>
      </c>
    </row>
    <row r="1134" spans="1:5" x14ac:dyDescent="0.25">
      <c r="A1134" s="84">
        <v>45890</v>
      </c>
      <c r="B1134" s="96">
        <v>513474.54100000003</v>
      </c>
      <c r="C1134" s="96">
        <v>4786353.87</v>
      </c>
      <c r="D1134" s="96">
        <v>59.292999999999999</v>
      </c>
      <c r="E1134" s="96" t="s">
        <v>79</v>
      </c>
    </row>
    <row r="1135" spans="1:5" x14ac:dyDescent="0.25">
      <c r="A1135" s="84">
        <v>45894</v>
      </c>
      <c r="B1135" s="96">
        <v>513495.2</v>
      </c>
      <c r="C1135" s="96">
        <v>4786386.5449999999</v>
      </c>
      <c r="D1135" s="96">
        <v>61.189</v>
      </c>
      <c r="E1135" s="96" t="s">
        <v>62</v>
      </c>
    </row>
    <row r="1136" spans="1:5" x14ac:dyDescent="0.25">
      <c r="A1136" s="84">
        <v>45894</v>
      </c>
      <c r="B1136" s="96">
        <v>513495.14600000001</v>
      </c>
      <c r="C1136" s="96">
        <v>4786386.38</v>
      </c>
      <c r="D1136" s="96">
        <v>59.658999999999999</v>
      </c>
      <c r="E1136" s="96" t="s">
        <v>63</v>
      </c>
    </row>
    <row r="1137" spans="1:5" x14ac:dyDescent="0.25">
      <c r="A1137" s="84">
        <v>45894</v>
      </c>
      <c r="B1137" s="96">
        <v>513491.94500000001</v>
      </c>
      <c r="C1137" s="96">
        <v>4786383.7120000003</v>
      </c>
      <c r="D1137" s="96">
        <v>61.481999999999999</v>
      </c>
      <c r="E1137" s="96" t="s">
        <v>66</v>
      </c>
    </row>
    <row r="1138" spans="1:5" x14ac:dyDescent="0.25">
      <c r="A1138" s="84">
        <v>45894</v>
      </c>
      <c r="B1138" s="96">
        <v>513492.01699999999</v>
      </c>
      <c r="C1138" s="96">
        <v>4786383.6880000001</v>
      </c>
      <c r="D1138" s="96">
        <v>59.484000000000002</v>
      </c>
      <c r="E1138" s="96" t="s">
        <v>67</v>
      </c>
    </row>
    <row r="1139" spans="1:5" x14ac:dyDescent="0.25">
      <c r="A1139" s="84">
        <v>45894</v>
      </c>
      <c r="B1139" s="96">
        <v>513487.78700000001</v>
      </c>
      <c r="C1139" s="96">
        <v>4786375.6579999998</v>
      </c>
      <c r="D1139" s="96">
        <v>60.91</v>
      </c>
      <c r="E1139" s="96" t="s">
        <v>87</v>
      </c>
    </row>
    <row r="1140" spans="1:5" x14ac:dyDescent="0.25">
      <c r="A1140" s="84">
        <v>45894</v>
      </c>
      <c r="B1140" s="96">
        <v>513488.01500000001</v>
      </c>
      <c r="C1140" s="96">
        <v>4786375.6940000001</v>
      </c>
      <c r="D1140" s="96">
        <v>59.57</v>
      </c>
      <c r="E1140" s="96" t="s">
        <v>86</v>
      </c>
    </row>
    <row r="1141" spans="1:5" x14ac:dyDescent="0.25">
      <c r="A1141" s="84">
        <v>45894</v>
      </c>
      <c r="B1141" s="96">
        <v>513484.61</v>
      </c>
      <c r="C1141" s="96">
        <v>4786368.82</v>
      </c>
      <c r="D1141" s="96">
        <v>60.353999999999999</v>
      </c>
      <c r="E1141" s="96" t="s">
        <v>72</v>
      </c>
    </row>
    <row r="1142" spans="1:5" x14ac:dyDescent="0.25">
      <c r="A1142" s="84">
        <v>45894</v>
      </c>
      <c r="B1142" s="96">
        <v>513484.72499999998</v>
      </c>
      <c r="C1142" s="96">
        <v>4786368.7379999999</v>
      </c>
      <c r="D1142" s="96">
        <v>59.375</v>
      </c>
      <c r="E1142" s="96" t="s">
        <v>73</v>
      </c>
    </row>
    <row r="1143" spans="1:5" x14ac:dyDescent="0.25">
      <c r="A1143" s="84">
        <v>45894</v>
      </c>
      <c r="B1143" s="96">
        <v>513484.75300000003</v>
      </c>
      <c r="C1143" s="96">
        <v>4786368.7419999996</v>
      </c>
      <c r="D1143" s="96">
        <v>56.353999999999999</v>
      </c>
      <c r="E1143" s="96" t="s">
        <v>74</v>
      </c>
    </row>
    <row r="1144" spans="1:5" x14ac:dyDescent="0.25">
      <c r="A1144" s="84">
        <v>45894</v>
      </c>
      <c r="B1144" s="96">
        <v>513480.11300000001</v>
      </c>
      <c r="C1144" s="96">
        <v>4786359.8150000004</v>
      </c>
      <c r="D1144" s="96">
        <v>59.851999999999997</v>
      </c>
      <c r="E1144" s="96" t="s">
        <v>76</v>
      </c>
    </row>
    <row r="1145" spans="1:5" x14ac:dyDescent="0.25">
      <c r="A1145" s="84">
        <v>45894</v>
      </c>
      <c r="B1145" s="96">
        <v>513480.46</v>
      </c>
      <c r="C1145" s="96">
        <v>4786360.3260000004</v>
      </c>
      <c r="D1145" s="96">
        <v>56.531999999999996</v>
      </c>
      <c r="E1145" s="96" t="s">
        <v>83</v>
      </c>
    </row>
    <row r="1146" spans="1:5" x14ac:dyDescent="0.25">
      <c r="A1146" s="84">
        <v>45894</v>
      </c>
      <c r="B1146" s="96">
        <v>513474.54100000003</v>
      </c>
      <c r="C1146" s="96">
        <v>4786353.87</v>
      </c>
      <c r="D1146" s="96">
        <v>59.293999999999997</v>
      </c>
      <c r="E1146" s="96" t="s">
        <v>79</v>
      </c>
    </row>
    <row r="1147" spans="1:5" x14ac:dyDescent="0.25">
      <c r="A1147" s="84">
        <v>45897</v>
      </c>
      <c r="B1147" s="96">
        <v>513495.19799999997</v>
      </c>
      <c r="C1147" s="96">
        <v>4786386.5439999998</v>
      </c>
      <c r="D1147" s="96">
        <v>61.188000000000002</v>
      </c>
      <c r="E1147" s="96" t="s">
        <v>62</v>
      </c>
    </row>
    <row r="1148" spans="1:5" x14ac:dyDescent="0.25">
      <c r="A1148" s="84">
        <v>45897</v>
      </c>
      <c r="B1148" s="96">
        <v>513495.14399999997</v>
      </c>
      <c r="C1148" s="96">
        <v>4786386.38</v>
      </c>
      <c r="D1148" s="96">
        <v>59.658999999999999</v>
      </c>
      <c r="E1148" s="96" t="s">
        <v>63</v>
      </c>
    </row>
    <row r="1149" spans="1:5" x14ac:dyDescent="0.25">
      <c r="A1149" s="84">
        <v>45897</v>
      </c>
      <c r="B1149" s="96">
        <v>513491.94300000003</v>
      </c>
      <c r="C1149" s="96">
        <v>4786383.7110000001</v>
      </c>
      <c r="D1149" s="96">
        <v>61.481999999999999</v>
      </c>
      <c r="E1149" s="96" t="s">
        <v>66</v>
      </c>
    </row>
    <row r="1150" spans="1:5" x14ac:dyDescent="0.25">
      <c r="A1150" s="84">
        <v>45897</v>
      </c>
      <c r="B1150" s="96">
        <v>513492.01500000001</v>
      </c>
      <c r="C1150" s="96">
        <v>4786383.6869999999</v>
      </c>
      <c r="D1150" s="96">
        <v>59.484999999999999</v>
      </c>
      <c r="E1150" s="96" t="s">
        <v>67</v>
      </c>
    </row>
    <row r="1151" spans="1:5" x14ac:dyDescent="0.25">
      <c r="A1151" s="84">
        <v>45897</v>
      </c>
      <c r="B1151" s="96">
        <v>513487.78499999997</v>
      </c>
      <c r="C1151" s="96">
        <v>4786375.6560000004</v>
      </c>
      <c r="D1151" s="96">
        <v>60.91</v>
      </c>
      <c r="E1151" s="96" t="s">
        <v>87</v>
      </c>
    </row>
    <row r="1152" spans="1:5" x14ac:dyDescent="0.25">
      <c r="A1152" s="84">
        <v>45897</v>
      </c>
      <c r="B1152" s="96">
        <v>513488.01299999998</v>
      </c>
      <c r="C1152" s="96">
        <v>4786375.6919999998</v>
      </c>
      <c r="D1152" s="96">
        <v>59.57</v>
      </c>
      <c r="E1152" s="96" t="s">
        <v>86</v>
      </c>
    </row>
    <row r="1153" spans="1:5" x14ac:dyDescent="0.25">
      <c r="A1153" s="84">
        <v>45897</v>
      </c>
      <c r="B1153" s="96">
        <v>513484.609</v>
      </c>
      <c r="C1153" s="96">
        <v>4786368.8190000001</v>
      </c>
      <c r="D1153" s="96">
        <v>60.353000000000002</v>
      </c>
      <c r="E1153" s="96" t="s">
        <v>72</v>
      </c>
    </row>
    <row r="1154" spans="1:5" x14ac:dyDescent="0.25">
      <c r="A1154" s="84">
        <v>45897</v>
      </c>
      <c r="B1154" s="96">
        <v>513484.72399999999</v>
      </c>
      <c r="C1154" s="96">
        <v>4786368.7359999996</v>
      </c>
      <c r="D1154" s="96">
        <v>59.375</v>
      </c>
      <c r="E1154" s="96" t="s">
        <v>73</v>
      </c>
    </row>
    <row r="1155" spans="1:5" x14ac:dyDescent="0.25">
      <c r="A1155" s="84">
        <v>45897</v>
      </c>
      <c r="B1155" s="96">
        <v>513484.75099999999</v>
      </c>
      <c r="C1155" s="96">
        <v>4786368.7410000004</v>
      </c>
      <c r="D1155" s="96">
        <v>56.354999999999997</v>
      </c>
      <c r="E1155" s="96" t="s">
        <v>74</v>
      </c>
    </row>
    <row r="1156" spans="1:5" x14ac:dyDescent="0.25">
      <c r="A1156" s="84">
        <v>45897</v>
      </c>
      <c r="B1156" s="96">
        <v>513484.82299999997</v>
      </c>
      <c r="C1156" s="96">
        <v>4786368.9390000002</v>
      </c>
      <c r="D1156" s="96">
        <v>53.368000000000002</v>
      </c>
      <c r="E1156" s="96" t="s">
        <v>75</v>
      </c>
    </row>
    <row r="1157" spans="1:5" x14ac:dyDescent="0.25">
      <c r="A1157" s="84">
        <v>45897</v>
      </c>
      <c r="B1157" s="96">
        <v>513480.11200000002</v>
      </c>
      <c r="C1157" s="96">
        <v>4786359.8130000001</v>
      </c>
      <c r="D1157" s="96">
        <v>59.851999999999997</v>
      </c>
      <c r="E1157" s="96" t="s">
        <v>76</v>
      </c>
    </row>
    <row r="1158" spans="1:5" x14ac:dyDescent="0.25">
      <c r="A1158" s="84">
        <v>45897</v>
      </c>
      <c r="B1158" s="96">
        <v>513480.46</v>
      </c>
      <c r="C1158" s="96">
        <v>4786360.3250000002</v>
      </c>
      <c r="D1158" s="96">
        <v>56.533000000000001</v>
      </c>
      <c r="E1158" s="96" t="s">
        <v>83</v>
      </c>
    </row>
    <row r="1159" spans="1:5" x14ac:dyDescent="0.25">
      <c r="A1159" s="84">
        <v>45897</v>
      </c>
      <c r="B1159" s="96">
        <v>513474.54</v>
      </c>
      <c r="C1159" s="96">
        <v>4786353.8669999996</v>
      </c>
      <c r="D1159" s="96">
        <v>59.293999999999997</v>
      </c>
      <c r="E1159" s="96" t="s">
        <v>79</v>
      </c>
    </row>
    <row r="1160" spans="1:5" x14ac:dyDescent="0.25">
      <c r="A1160" s="84">
        <v>45901</v>
      </c>
      <c r="B1160" s="96">
        <v>513495.2</v>
      </c>
      <c r="C1160" s="96">
        <v>4786386.5449999999</v>
      </c>
      <c r="D1160" s="96">
        <v>61.186999999999998</v>
      </c>
      <c r="E1160" s="96" t="s">
        <v>62</v>
      </c>
    </row>
    <row r="1161" spans="1:5" x14ac:dyDescent="0.25">
      <c r="A1161" s="84">
        <v>45901</v>
      </c>
      <c r="B1161" s="96">
        <v>513495.14600000001</v>
      </c>
      <c r="C1161" s="96">
        <v>4786386.38</v>
      </c>
      <c r="D1161" s="96">
        <v>59.658999999999999</v>
      </c>
      <c r="E1161" s="96" t="s">
        <v>63</v>
      </c>
    </row>
    <row r="1162" spans="1:5" x14ac:dyDescent="0.25">
      <c r="A1162" s="84">
        <v>45901</v>
      </c>
      <c r="B1162" s="96">
        <v>513491.94500000001</v>
      </c>
      <c r="C1162" s="96">
        <v>4786383.7120000003</v>
      </c>
      <c r="D1162" s="96">
        <v>61.481999999999999</v>
      </c>
      <c r="E1162" s="96" t="s">
        <v>66</v>
      </c>
    </row>
    <row r="1163" spans="1:5" x14ac:dyDescent="0.25">
      <c r="A1163" s="84">
        <v>45901</v>
      </c>
      <c r="B1163" s="96">
        <v>513492.016</v>
      </c>
      <c r="C1163" s="96">
        <v>4786383.6880000001</v>
      </c>
      <c r="D1163" s="96">
        <v>59.484999999999999</v>
      </c>
      <c r="E1163" s="96" t="s">
        <v>67</v>
      </c>
    </row>
    <row r="1164" spans="1:5" x14ac:dyDescent="0.25">
      <c r="A1164" s="84">
        <v>45901</v>
      </c>
      <c r="B1164" s="96">
        <v>513487.78700000001</v>
      </c>
      <c r="C1164" s="96">
        <v>4786375.6569999997</v>
      </c>
      <c r="D1164" s="96">
        <v>60.911000000000001</v>
      </c>
      <c r="E1164" s="96" t="s">
        <v>87</v>
      </c>
    </row>
    <row r="1165" spans="1:5" x14ac:dyDescent="0.25">
      <c r="A1165" s="84">
        <v>45901</v>
      </c>
      <c r="B1165" s="96">
        <v>513488.01400000002</v>
      </c>
      <c r="C1165" s="96">
        <v>4786375.6940000001</v>
      </c>
      <c r="D1165" s="96">
        <v>59.57</v>
      </c>
      <c r="E1165" s="96" t="s">
        <v>86</v>
      </c>
    </row>
    <row r="1166" spans="1:5" x14ac:dyDescent="0.25">
      <c r="A1166" s="84">
        <v>45901</v>
      </c>
      <c r="B1166" s="96">
        <v>513484.61</v>
      </c>
      <c r="C1166" s="96">
        <v>4786368.82</v>
      </c>
      <c r="D1166" s="96">
        <v>60.353999999999999</v>
      </c>
      <c r="E1166" s="96" t="s">
        <v>72</v>
      </c>
    </row>
    <row r="1167" spans="1:5" x14ac:dyDescent="0.25">
      <c r="A1167" s="84">
        <v>45901</v>
      </c>
      <c r="B1167" s="96">
        <v>513484.72499999998</v>
      </c>
      <c r="C1167" s="96">
        <v>4786368.7379999999</v>
      </c>
      <c r="D1167" s="96">
        <v>59.375</v>
      </c>
      <c r="E1167" s="96" t="s">
        <v>73</v>
      </c>
    </row>
    <row r="1168" spans="1:5" x14ac:dyDescent="0.25">
      <c r="A1168" s="84">
        <v>45901</v>
      </c>
      <c r="B1168" s="96">
        <v>513484.75300000003</v>
      </c>
      <c r="C1168" s="96">
        <v>4786368.7419999996</v>
      </c>
      <c r="D1168" s="96">
        <v>56.353999999999999</v>
      </c>
      <c r="E1168" s="96" t="s">
        <v>74</v>
      </c>
    </row>
    <row r="1169" spans="1:5" x14ac:dyDescent="0.25">
      <c r="A1169" s="84">
        <v>45901</v>
      </c>
      <c r="B1169" s="96">
        <v>513484.82400000002</v>
      </c>
      <c r="C1169" s="96">
        <v>4786368.9400000004</v>
      </c>
      <c r="D1169" s="96">
        <v>53.368000000000002</v>
      </c>
      <c r="E1169" s="96" t="s">
        <v>75</v>
      </c>
    </row>
    <row r="1170" spans="1:5" x14ac:dyDescent="0.25">
      <c r="A1170" s="84">
        <v>45901</v>
      </c>
      <c r="B1170" s="96">
        <v>513480.11300000001</v>
      </c>
      <c r="C1170" s="96">
        <v>4786359.8150000004</v>
      </c>
      <c r="D1170" s="96">
        <v>59.851999999999997</v>
      </c>
      <c r="E1170" s="96" t="s">
        <v>76</v>
      </c>
    </row>
    <row r="1171" spans="1:5" x14ac:dyDescent="0.25">
      <c r="A1171" s="84">
        <v>45901</v>
      </c>
      <c r="B1171" s="96">
        <v>513480.46</v>
      </c>
      <c r="C1171" s="96">
        <v>4786360.3260000004</v>
      </c>
      <c r="D1171" s="96">
        <v>56.533000000000001</v>
      </c>
      <c r="E1171" s="96" t="s">
        <v>83</v>
      </c>
    </row>
    <row r="1172" spans="1:5" x14ac:dyDescent="0.25">
      <c r="A1172" s="84">
        <v>45901</v>
      </c>
      <c r="B1172" s="96">
        <v>513474.54100000003</v>
      </c>
      <c r="C1172" s="96">
        <v>4786353.8689999999</v>
      </c>
      <c r="D1172" s="96">
        <v>59.293999999999997</v>
      </c>
      <c r="E1172" s="96" t="s">
        <v>79</v>
      </c>
    </row>
    <row r="1173" spans="1:5" x14ac:dyDescent="0.25">
      <c r="A1173" s="84">
        <v>45903</v>
      </c>
      <c r="B1173" s="96">
        <v>513495.2</v>
      </c>
      <c r="C1173" s="96">
        <v>4786386.5449999999</v>
      </c>
      <c r="D1173" s="96">
        <v>61.188000000000002</v>
      </c>
      <c r="E1173" s="96" t="s">
        <v>62</v>
      </c>
    </row>
    <row r="1174" spans="1:5" x14ac:dyDescent="0.25">
      <c r="A1174" s="84">
        <v>45903</v>
      </c>
      <c r="B1174" s="96">
        <v>513495.14600000001</v>
      </c>
      <c r="C1174" s="96">
        <v>4786386.38</v>
      </c>
      <c r="D1174" s="96">
        <v>59.658999999999999</v>
      </c>
      <c r="E1174" s="96" t="s">
        <v>63</v>
      </c>
    </row>
    <row r="1175" spans="1:5" x14ac:dyDescent="0.25">
      <c r="A1175" s="84">
        <v>45903</v>
      </c>
      <c r="B1175" s="96">
        <v>513491.94500000001</v>
      </c>
      <c r="C1175" s="96">
        <v>4786383.7120000003</v>
      </c>
      <c r="D1175" s="96">
        <v>61.481000000000002</v>
      </c>
      <c r="E1175" s="96" t="s">
        <v>66</v>
      </c>
    </row>
    <row r="1176" spans="1:5" x14ac:dyDescent="0.25">
      <c r="A1176" s="84">
        <v>45903</v>
      </c>
      <c r="B1176" s="96">
        <v>513492.016</v>
      </c>
      <c r="C1176" s="96">
        <v>4786383.6880000001</v>
      </c>
      <c r="D1176" s="96">
        <v>59.484000000000002</v>
      </c>
      <c r="E1176" s="96" t="s">
        <v>67</v>
      </c>
    </row>
    <row r="1177" spans="1:5" x14ac:dyDescent="0.25">
      <c r="A1177" s="84">
        <v>45903</v>
      </c>
      <c r="B1177" s="96">
        <v>513487.78700000001</v>
      </c>
      <c r="C1177" s="96">
        <v>4786375.6569999997</v>
      </c>
      <c r="D1177" s="96">
        <v>60.91</v>
      </c>
      <c r="E1177" s="96" t="s">
        <v>87</v>
      </c>
    </row>
    <row r="1178" spans="1:5" x14ac:dyDescent="0.25">
      <c r="A1178" s="84">
        <v>45903</v>
      </c>
      <c r="B1178" s="96">
        <v>513488.01400000002</v>
      </c>
      <c r="C1178" s="96">
        <v>4786375.6940000001</v>
      </c>
      <c r="D1178" s="96">
        <v>59.57</v>
      </c>
      <c r="E1178" s="96" t="s">
        <v>86</v>
      </c>
    </row>
    <row r="1179" spans="1:5" x14ac:dyDescent="0.25">
      <c r="A1179" s="84">
        <v>45903</v>
      </c>
      <c r="B1179" s="96">
        <v>513484.61</v>
      </c>
      <c r="C1179" s="96">
        <v>4786368.82</v>
      </c>
      <c r="D1179" s="96">
        <v>60.353999999999999</v>
      </c>
      <c r="E1179" s="96" t="s">
        <v>72</v>
      </c>
    </row>
    <row r="1180" spans="1:5" x14ac:dyDescent="0.25">
      <c r="A1180" s="84">
        <v>45903</v>
      </c>
      <c r="B1180" s="96">
        <v>513484.72499999998</v>
      </c>
      <c r="C1180" s="96">
        <v>4786368.7369999997</v>
      </c>
      <c r="D1180" s="96">
        <v>59.375</v>
      </c>
      <c r="E1180" s="96" t="s">
        <v>73</v>
      </c>
    </row>
    <row r="1181" spans="1:5" x14ac:dyDescent="0.25">
      <c r="A1181" s="84">
        <v>45903</v>
      </c>
      <c r="B1181" s="96">
        <v>513484.75300000003</v>
      </c>
      <c r="C1181" s="96">
        <v>4786368.7419999996</v>
      </c>
      <c r="D1181" s="96">
        <v>56.354999999999997</v>
      </c>
      <c r="E1181" s="96" t="s">
        <v>74</v>
      </c>
    </row>
    <row r="1182" spans="1:5" x14ac:dyDescent="0.25">
      <c r="A1182" s="84">
        <v>45903</v>
      </c>
      <c r="B1182" s="96">
        <v>513484.82400000002</v>
      </c>
      <c r="C1182" s="96">
        <v>4786368.9400000004</v>
      </c>
      <c r="D1182" s="96">
        <v>53.368000000000002</v>
      </c>
      <c r="E1182" s="96" t="s">
        <v>75</v>
      </c>
    </row>
    <row r="1183" spans="1:5" x14ac:dyDescent="0.25">
      <c r="A1183" s="84">
        <v>45903</v>
      </c>
      <c r="B1183" s="96">
        <v>513480.11300000001</v>
      </c>
      <c r="C1183" s="96">
        <v>4786359.8150000004</v>
      </c>
      <c r="D1183" s="96">
        <v>59.851999999999997</v>
      </c>
      <c r="E1183" s="96" t="s">
        <v>76</v>
      </c>
    </row>
    <row r="1184" spans="1:5" x14ac:dyDescent="0.25">
      <c r="A1184" s="84">
        <v>45903</v>
      </c>
      <c r="B1184" s="96">
        <v>513480.46100000001</v>
      </c>
      <c r="C1184" s="96">
        <v>4786360.3260000004</v>
      </c>
      <c r="D1184" s="96">
        <v>56.531999999999996</v>
      </c>
      <c r="E1184" s="96" t="s">
        <v>83</v>
      </c>
    </row>
    <row r="1185" spans="1:5" x14ac:dyDescent="0.25">
      <c r="A1185" s="84">
        <v>45903</v>
      </c>
      <c r="B1185" s="96">
        <v>513474.54100000003</v>
      </c>
      <c r="C1185" s="96">
        <v>4786353.8689999999</v>
      </c>
      <c r="D1185" s="96">
        <v>59.292999999999999</v>
      </c>
      <c r="E1185" s="96" t="s">
        <v>79</v>
      </c>
    </row>
    <row r="1186" spans="1:5" x14ac:dyDescent="0.25">
      <c r="A1186" s="84">
        <v>45908</v>
      </c>
      <c r="B1186" s="96">
        <v>513495.19900000002</v>
      </c>
      <c r="C1186" s="96">
        <v>4786386.5449999999</v>
      </c>
      <c r="D1186" s="96">
        <v>61.188000000000002</v>
      </c>
      <c r="E1186" s="96" t="s">
        <v>62</v>
      </c>
    </row>
    <row r="1187" spans="1:5" x14ac:dyDescent="0.25">
      <c r="A1187" s="84">
        <v>45908</v>
      </c>
      <c r="B1187" s="96">
        <v>513495.14399999997</v>
      </c>
      <c r="C1187" s="96">
        <v>4786386.38</v>
      </c>
      <c r="D1187" s="96">
        <v>59.658999999999999</v>
      </c>
      <c r="E1187" s="96" t="s">
        <v>63</v>
      </c>
    </row>
    <row r="1188" spans="1:5" x14ac:dyDescent="0.25">
      <c r="A1188" s="84">
        <v>45908</v>
      </c>
      <c r="B1188" s="96">
        <v>513491.94400000002</v>
      </c>
      <c r="C1188" s="96">
        <v>4786383.7110000001</v>
      </c>
      <c r="D1188" s="96">
        <v>61.481999999999999</v>
      </c>
      <c r="E1188" s="96" t="s">
        <v>66</v>
      </c>
    </row>
    <row r="1189" spans="1:5" x14ac:dyDescent="0.25">
      <c r="A1189" s="84">
        <v>45908</v>
      </c>
      <c r="B1189" s="96">
        <v>513492.01500000001</v>
      </c>
      <c r="C1189" s="96">
        <v>4786383.6869999999</v>
      </c>
      <c r="D1189" s="96">
        <v>59.484000000000002</v>
      </c>
      <c r="E1189" s="96" t="s">
        <v>67</v>
      </c>
    </row>
    <row r="1190" spans="1:5" x14ac:dyDescent="0.25">
      <c r="A1190" s="84">
        <v>45908</v>
      </c>
      <c r="B1190" s="96">
        <v>513487.78600000002</v>
      </c>
      <c r="C1190" s="96">
        <v>4786375.6569999997</v>
      </c>
      <c r="D1190" s="96">
        <v>60.91</v>
      </c>
      <c r="E1190" s="96" t="s">
        <v>87</v>
      </c>
    </row>
    <row r="1191" spans="1:5" x14ac:dyDescent="0.25">
      <c r="A1191" s="84">
        <v>45908</v>
      </c>
      <c r="B1191" s="96">
        <v>513488.01299999998</v>
      </c>
      <c r="C1191" s="96">
        <v>4786375.693</v>
      </c>
      <c r="D1191" s="96">
        <v>59.57</v>
      </c>
      <c r="E1191" s="96" t="s">
        <v>86</v>
      </c>
    </row>
    <row r="1192" spans="1:5" x14ac:dyDescent="0.25">
      <c r="A1192" s="84">
        <v>45908</v>
      </c>
      <c r="B1192" s="96">
        <v>513484.609</v>
      </c>
      <c r="C1192" s="96">
        <v>4786368.82</v>
      </c>
      <c r="D1192" s="96">
        <v>60.353999999999999</v>
      </c>
      <c r="E1192" s="96" t="s">
        <v>72</v>
      </c>
    </row>
    <row r="1193" spans="1:5" x14ac:dyDescent="0.25">
      <c r="A1193" s="84">
        <v>45908</v>
      </c>
      <c r="B1193" s="96">
        <v>513484.72399999999</v>
      </c>
      <c r="C1193" s="96">
        <v>4786368.7369999997</v>
      </c>
      <c r="D1193" s="96">
        <v>59.375</v>
      </c>
      <c r="E1193" s="96" t="s">
        <v>73</v>
      </c>
    </row>
    <row r="1194" spans="1:5" x14ac:dyDescent="0.25">
      <c r="A1194" s="84">
        <v>45908</v>
      </c>
      <c r="B1194" s="96">
        <v>513484.75199999998</v>
      </c>
      <c r="C1194" s="96">
        <v>4786368.7419999996</v>
      </c>
      <c r="D1194" s="96">
        <v>56.354999999999997</v>
      </c>
      <c r="E1194" s="96" t="s">
        <v>74</v>
      </c>
    </row>
    <row r="1195" spans="1:5" x14ac:dyDescent="0.25">
      <c r="A1195" s="84">
        <v>45908</v>
      </c>
      <c r="B1195" s="96">
        <v>513484.82299999997</v>
      </c>
      <c r="C1195" s="96">
        <v>4786368.9390000002</v>
      </c>
      <c r="D1195" s="96">
        <v>53.368000000000002</v>
      </c>
      <c r="E1195" s="96" t="s">
        <v>75</v>
      </c>
    </row>
    <row r="1196" spans="1:5" x14ac:dyDescent="0.25">
      <c r="A1196" s="84">
        <v>45908</v>
      </c>
      <c r="B1196" s="96">
        <v>513480.11300000001</v>
      </c>
      <c r="C1196" s="96">
        <v>4786359.8140000002</v>
      </c>
      <c r="D1196" s="96">
        <v>59.851999999999997</v>
      </c>
      <c r="E1196" s="96" t="s">
        <v>76</v>
      </c>
    </row>
    <row r="1197" spans="1:5" x14ac:dyDescent="0.25">
      <c r="A1197" s="84">
        <v>45908</v>
      </c>
      <c r="B1197" s="96">
        <v>513480.46</v>
      </c>
      <c r="C1197" s="96">
        <v>4786360.3250000002</v>
      </c>
      <c r="D1197" s="96">
        <v>56.533000000000001</v>
      </c>
      <c r="E1197" s="96" t="s">
        <v>83</v>
      </c>
    </row>
    <row r="1198" spans="1:5" x14ac:dyDescent="0.25">
      <c r="A1198" s="84">
        <v>45908</v>
      </c>
      <c r="B1198" s="96">
        <v>513474.54</v>
      </c>
      <c r="C1198" s="96">
        <v>4786353.8679999998</v>
      </c>
      <c r="D1198" s="96">
        <v>59.292999999999999</v>
      </c>
      <c r="E1198" s="96" t="s">
        <v>79</v>
      </c>
    </row>
    <row r="1199" spans="1:5" x14ac:dyDescent="0.25">
      <c r="A1199" s="84">
        <v>45910</v>
      </c>
      <c r="B1199" s="96">
        <v>513495.2</v>
      </c>
      <c r="C1199" s="96">
        <v>4786386.5449999999</v>
      </c>
      <c r="D1199" s="96">
        <v>61.188000000000002</v>
      </c>
      <c r="E1199" s="96" t="s">
        <v>62</v>
      </c>
    </row>
    <row r="1200" spans="1:5" x14ac:dyDescent="0.25">
      <c r="A1200" s="84">
        <v>45910</v>
      </c>
      <c r="B1200" s="96">
        <v>513495.14600000001</v>
      </c>
      <c r="C1200" s="96">
        <v>4786386.38</v>
      </c>
      <c r="D1200" s="96">
        <v>59.658999999999999</v>
      </c>
      <c r="E1200" s="96" t="s">
        <v>63</v>
      </c>
    </row>
    <row r="1201" spans="1:5" x14ac:dyDescent="0.25">
      <c r="A1201" s="84">
        <v>45910</v>
      </c>
      <c r="B1201" s="96">
        <v>513491.94500000001</v>
      </c>
      <c r="C1201" s="96">
        <v>4786383.7120000003</v>
      </c>
      <c r="D1201" s="96">
        <v>61.481999999999999</v>
      </c>
      <c r="E1201" s="96" t="s">
        <v>66</v>
      </c>
    </row>
    <row r="1202" spans="1:5" x14ac:dyDescent="0.25">
      <c r="A1202" s="84">
        <v>45910</v>
      </c>
      <c r="B1202" s="96">
        <v>513492.01699999999</v>
      </c>
      <c r="C1202" s="96">
        <v>4786383.6880000001</v>
      </c>
      <c r="D1202" s="96">
        <v>59.484999999999999</v>
      </c>
      <c r="E1202" s="96" t="s">
        <v>67</v>
      </c>
    </row>
    <row r="1203" spans="1:5" x14ac:dyDescent="0.25">
      <c r="A1203" s="84">
        <v>45910</v>
      </c>
      <c r="B1203" s="96">
        <v>513487.78600000002</v>
      </c>
      <c r="C1203" s="96">
        <v>4786375.6569999997</v>
      </c>
      <c r="D1203" s="96">
        <v>60.91</v>
      </c>
      <c r="E1203" s="96" t="s">
        <v>87</v>
      </c>
    </row>
    <row r="1204" spans="1:5" x14ac:dyDescent="0.25">
      <c r="A1204" s="84">
        <v>45910</v>
      </c>
      <c r="B1204" s="96">
        <v>513488.01400000002</v>
      </c>
      <c r="C1204" s="96">
        <v>4786375.6940000001</v>
      </c>
      <c r="D1204" s="96">
        <v>59.57</v>
      </c>
      <c r="E1204" s="96" t="s">
        <v>86</v>
      </c>
    </row>
    <row r="1205" spans="1:5" x14ac:dyDescent="0.25">
      <c r="A1205" s="84">
        <v>45910</v>
      </c>
      <c r="B1205" s="96">
        <v>513484.61</v>
      </c>
      <c r="C1205" s="96">
        <v>4786368.82</v>
      </c>
      <c r="D1205" s="96">
        <v>60.353999999999999</v>
      </c>
      <c r="E1205" s="96" t="s">
        <v>72</v>
      </c>
    </row>
    <row r="1206" spans="1:5" x14ac:dyDescent="0.25">
      <c r="A1206" s="84">
        <v>45910</v>
      </c>
      <c r="B1206" s="96">
        <v>513484.72499999998</v>
      </c>
      <c r="C1206" s="96">
        <v>4786368.7369999997</v>
      </c>
      <c r="D1206" s="96">
        <v>59.375</v>
      </c>
      <c r="E1206" s="96" t="s">
        <v>73</v>
      </c>
    </row>
    <row r="1207" spans="1:5" x14ac:dyDescent="0.25">
      <c r="A1207" s="84">
        <v>45910</v>
      </c>
      <c r="B1207" s="96">
        <v>513484.75300000003</v>
      </c>
      <c r="C1207" s="96">
        <v>4786368.7419999996</v>
      </c>
      <c r="D1207" s="96">
        <v>56.354999999999997</v>
      </c>
      <c r="E1207" s="96" t="s">
        <v>74</v>
      </c>
    </row>
    <row r="1208" spans="1:5" x14ac:dyDescent="0.25">
      <c r="A1208" s="84">
        <v>45910</v>
      </c>
      <c r="B1208" s="96">
        <v>513484.82400000002</v>
      </c>
      <c r="C1208" s="96">
        <v>4786368.9400000004</v>
      </c>
      <c r="D1208" s="96">
        <v>53.369</v>
      </c>
      <c r="E1208" s="96" t="s">
        <v>75</v>
      </c>
    </row>
    <row r="1209" spans="1:5" x14ac:dyDescent="0.25">
      <c r="A1209" s="84">
        <v>45910</v>
      </c>
      <c r="B1209" s="96">
        <v>513480.11300000001</v>
      </c>
      <c r="C1209" s="96">
        <v>4786359.8150000004</v>
      </c>
      <c r="D1209" s="96">
        <v>59.851999999999997</v>
      </c>
      <c r="E1209" s="96" t="s">
        <v>76</v>
      </c>
    </row>
    <row r="1210" spans="1:5" x14ac:dyDescent="0.25">
      <c r="A1210" s="84">
        <v>45910</v>
      </c>
      <c r="B1210" s="96">
        <v>513480.46100000001</v>
      </c>
      <c r="C1210" s="96">
        <v>4786360.3269999996</v>
      </c>
      <c r="D1210" s="96">
        <v>56.533999999999999</v>
      </c>
      <c r="E1210" s="96" t="s">
        <v>83</v>
      </c>
    </row>
    <row r="1211" spans="1:5" x14ac:dyDescent="0.25">
      <c r="A1211" s="84">
        <v>45910</v>
      </c>
      <c r="B1211" s="96">
        <v>513474.54100000003</v>
      </c>
      <c r="C1211" s="96">
        <v>4786353.87</v>
      </c>
      <c r="D1211" s="96">
        <v>59.293999999999997</v>
      </c>
      <c r="E1211" s="96" t="s">
        <v>79</v>
      </c>
    </row>
    <row r="1212" spans="1:5" x14ac:dyDescent="0.25">
      <c r="A1212" s="84">
        <v>45915</v>
      </c>
      <c r="B1212" s="96">
        <v>513495.2</v>
      </c>
      <c r="C1212" s="96">
        <v>4786386.5449999999</v>
      </c>
      <c r="D1212" s="96">
        <v>61.188000000000002</v>
      </c>
      <c r="E1212" s="96" t="s">
        <v>62</v>
      </c>
    </row>
    <row r="1213" spans="1:5" x14ac:dyDescent="0.25">
      <c r="A1213" s="84">
        <v>45915</v>
      </c>
      <c r="B1213" s="96">
        <v>513495.14500000002</v>
      </c>
      <c r="C1213" s="96">
        <v>4786386.3810000001</v>
      </c>
      <c r="D1213" s="96">
        <v>59.658999999999999</v>
      </c>
      <c r="E1213" s="96" t="s">
        <v>63</v>
      </c>
    </row>
    <row r="1214" spans="1:5" x14ac:dyDescent="0.25">
      <c r="A1214" s="84">
        <v>45915</v>
      </c>
      <c r="B1214" s="96">
        <v>513491.94500000001</v>
      </c>
      <c r="C1214" s="96">
        <v>4786383.7120000003</v>
      </c>
      <c r="D1214" s="96">
        <v>61.481000000000002</v>
      </c>
      <c r="E1214" s="96" t="s">
        <v>66</v>
      </c>
    </row>
    <row r="1215" spans="1:5" x14ac:dyDescent="0.25">
      <c r="A1215" s="84">
        <v>45915</v>
      </c>
      <c r="B1215" s="96">
        <v>513492.016</v>
      </c>
      <c r="C1215" s="96">
        <v>4786383.6880000001</v>
      </c>
      <c r="D1215" s="96">
        <v>59.484000000000002</v>
      </c>
      <c r="E1215" s="96" t="s">
        <v>67</v>
      </c>
    </row>
    <row r="1216" spans="1:5" x14ac:dyDescent="0.25">
      <c r="A1216" s="84">
        <v>45915</v>
      </c>
      <c r="B1216" s="96">
        <v>513487.78600000002</v>
      </c>
      <c r="C1216" s="96">
        <v>4786375.6569999997</v>
      </c>
      <c r="D1216" s="96">
        <v>60.91</v>
      </c>
      <c r="E1216" s="96" t="s">
        <v>87</v>
      </c>
    </row>
    <row r="1217" spans="1:5" x14ac:dyDescent="0.25">
      <c r="A1217" s="84">
        <v>45915</v>
      </c>
      <c r="B1217" s="96">
        <v>513488.01400000002</v>
      </c>
      <c r="C1217" s="96">
        <v>4786375.6940000001</v>
      </c>
      <c r="D1217" s="96">
        <v>59.569000000000003</v>
      </c>
      <c r="E1217" s="96" t="s">
        <v>86</v>
      </c>
    </row>
    <row r="1218" spans="1:5" x14ac:dyDescent="0.25">
      <c r="A1218" s="84">
        <v>45915</v>
      </c>
      <c r="B1218" s="96">
        <v>513484.61</v>
      </c>
      <c r="C1218" s="96">
        <v>4786368.82</v>
      </c>
      <c r="D1218" s="96">
        <v>60.353999999999999</v>
      </c>
      <c r="E1218" s="96" t="s">
        <v>72</v>
      </c>
    </row>
    <row r="1219" spans="1:5" x14ac:dyDescent="0.25">
      <c r="A1219" s="84">
        <v>45915</v>
      </c>
      <c r="B1219" s="96">
        <v>513484.72499999998</v>
      </c>
      <c r="C1219" s="96">
        <v>4786368.7379999999</v>
      </c>
      <c r="D1219" s="96">
        <v>59.375</v>
      </c>
      <c r="E1219" s="96" t="s">
        <v>73</v>
      </c>
    </row>
    <row r="1220" spans="1:5" x14ac:dyDescent="0.25">
      <c r="A1220" s="84">
        <v>45915</v>
      </c>
      <c r="B1220" s="96">
        <v>513484.75300000003</v>
      </c>
      <c r="C1220" s="96">
        <v>4786368.7419999996</v>
      </c>
      <c r="D1220" s="96">
        <v>56.354999999999997</v>
      </c>
      <c r="E1220" s="96" t="s">
        <v>74</v>
      </c>
    </row>
    <row r="1221" spans="1:5" x14ac:dyDescent="0.25">
      <c r="A1221" s="84">
        <v>45915</v>
      </c>
      <c r="B1221" s="96">
        <v>513484.82400000002</v>
      </c>
      <c r="C1221" s="96">
        <v>4786368.9400000004</v>
      </c>
      <c r="D1221" s="96">
        <v>53.368000000000002</v>
      </c>
      <c r="E1221" s="96" t="s">
        <v>75</v>
      </c>
    </row>
    <row r="1222" spans="1:5" x14ac:dyDescent="0.25">
      <c r="A1222" s="84">
        <v>45915</v>
      </c>
      <c r="B1222" s="96">
        <v>513480.11200000002</v>
      </c>
      <c r="C1222" s="96">
        <v>4786359.8150000004</v>
      </c>
      <c r="D1222" s="96">
        <v>59.851999999999997</v>
      </c>
      <c r="E1222" s="96" t="s">
        <v>76</v>
      </c>
    </row>
    <row r="1223" spans="1:5" x14ac:dyDescent="0.25">
      <c r="A1223" s="84">
        <v>45915</v>
      </c>
      <c r="B1223" s="96">
        <v>513480.46</v>
      </c>
      <c r="C1223" s="96">
        <v>4786360.3260000004</v>
      </c>
      <c r="D1223" s="96">
        <v>56.533000000000001</v>
      </c>
      <c r="E1223" s="96" t="s">
        <v>83</v>
      </c>
    </row>
    <row r="1224" spans="1:5" x14ac:dyDescent="0.25">
      <c r="A1224" s="84">
        <v>45915</v>
      </c>
      <c r="B1224" s="96">
        <v>513474.54</v>
      </c>
      <c r="C1224" s="96">
        <v>4786353.8689999999</v>
      </c>
      <c r="D1224" s="96">
        <v>59.293999999999997</v>
      </c>
      <c r="E1224" s="96" t="s">
        <v>79</v>
      </c>
    </row>
    <row r="1225" spans="1:5" x14ac:dyDescent="0.25">
      <c r="A1225" s="84">
        <v>45917</v>
      </c>
      <c r="B1225" s="96">
        <v>513495.2</v>
      </c>
      <c r="C1225" s="96">
        <v>4786386.5460000001</v>
      </c>
      <c r="D1225" s="96">
        <v>61.186999999999998</v>
      </c>
      <c r="E1225" s="96" t="s">
        <v>62</v>
      </c>
    </row>
    <row r="1226" spans="1:5" x14ac:dyDescent="0.25">
      <c r="A1226" s="84">
        <v>45917</v>
      </c>
      <c r="B1226" s="96">
        <v>513495.14600000001</v>
      </c>
      <c r="C1226" s="96">
        <v>4786386.3810000001</v>
      </c>
      <c r="D1226" s="96">
        <v>59.658000000000001</v>
      </c>
      <c r="E1226" s="96" t="s">
        <v>63</v>
      </c>
    </row>
    <row r="1227" spans="1:5" x14ac:dyDescent="0.25">
      <c r="A1227" s="84">
        <v>45917</v>
      </c>
      <c r="B1227" s="96">
        <v>513491.946</v>
      </c>
      <c r="C1227" s="96">
        <v>4786383.7120000003</v>
      </c>
      <c r="D1227" s="96">
        <v>61.481000000000002</v>
      </c>
      <c r="E1227" s="96" t="s">
        <v>66</v>
      </c>
    </row>
    <row r="1228" spans="1:5" x14ac:dyDescent="0.25">
      <c r="A1228" s="84">
        <v>45917</v>
      </c>
      <c r="B1228" s="96">
        <v>513492.01699999999</v>
      </c>
      <c r="C1228" s="96">
        <v>4786383.6880000001</v>
      </c>
      <c r="D1228" s="96">
        <v>59.484000000000002</v>
      </c>
      <c r="E1228" s="96" t="s">
        <v>67</v>
      </c>
    </row>
    <row r="1229" spans="1:5" x14ac:dyDescent="0.25">
      <c r="A1229" s="84">
        <v>45917</v>
      </c>
      <c r="B1229" s="96">
        <v>513487.78700000001</v>
      </c>
      <c r="C1229" s="96">
        <v>4786375.6579999998</v>
      </c>
      <c r="D1229" s="96">
        <v>60.91</v>
      </c>
      <c r="E1229" s="96" t="s">
        <v>87</v>
      </c>
    </row>
    <row r="1230" spans="1:5" x14ac:dyDescent="0.25">
      <c r="A1230" s="84">
        <v>45917</v>
      </c>
      <c r="B1230" s="96">
        <v>513488.01500000001</v>
      </c>
      <c r="C1230" s="96">
        <v>4786375.6940000001</v>
      </c>
      <c r="D1230" s="96">
        <v>59.569000000000003</v>
      </c>
      <c r="E1230" s="96" t="s">
        <v>86</v>
      </c>
    </row>
    <row r="1231" spans="1:5" x14ac:dyDescent="0.25">
      <c r="A1231" s="84">
        <v>45917</v>
      </c>
      <c r="B1231" s="96">
        <v>513484.61</v>
      </c>
      <c r="C1231" s="96">
        <v>4786368.8210000005</v>
      </c>
      <c r="D1231" s="96">
        <v>60.353000000000002</v>
      </c>
      <c r="E1231" s="96" t="s">
        <v>72</v>
      </c>
    </row>
    <row r="1232" spans="1:5" x14ac:dyDescent="0.25">
      <c r="A1232" s="84">
        <v>45917</v>
      </c>
      <c r="B1232" s="96">
        <v>513484.72499999998</v>
      </c>
      <c r="C1232" s="96">
        <v>4786368.7379999999</v>
      </c>
      <c r="D1232" s="96">
        <v>59.374000000000002</v>
      </c>
      <c r="E1232" s="96" t="s">
        <v>73</v>
      </c>
    </row>
    <row r="1233" spans="1:5" x14ac:dyDescent="0.25">
      <c r="A1233" s="84">
        <v>45917</v>
      </c>
      <c r="B1233" s="96">
        <v>513484.75300000003</v>
      </c>
      <c r="C1233" s="96">
        <v>4786368.7429999998</v>
      </c>
      <c r="D1233" s="96">
        <v>56.353999999999999</v>
      </c>
      <c r="E1233" s="96" t="s">
        <v>74</v>
      </c>
    </row>
    <row r="1234" spans="1:5" x14ac:dyDescent="0.25">
      <c r="A1234" s="84">
        <v>45917</v>
      </c>
      <c r="B1234" s="96">
        <v>513484.82400000002</v>
      </c>
      <c r="C1234" s="96">
        <v>4786368.9409999996</v>
      </c>
      <c r="D1234" s="96">
        <v>53.366999999999997</v>
      </c>
      <c r="E1234" s="96" t="s">
        <v>75</v>
      </c>
    </row>
    <row r="1235" spans="1:5" x14ac:dyDescent="0.25">
      <c r="A1235" s="84">
        <v>45917</v>
      </c>
      <c r="B1235" s="96">
        <v>513480.11300000001</v>
      </c>
      <c r="C1235" s="96">
        <v>4786359.8150000004</v>
      </c>
      <c r="D1235" s="96">
        <v>59.850999999999999</v>
      </c>
      <c r="E1235" s="96" t="s">
        <v>76</v>
      </c>
    </row>
    <row r="1236" spans="1:5" x14ac:dyDescent="0.25">
      <c r="A1236" s="84">
        <v>45917</v>
      </c>
      <c r="B1236" s="96">
        <v>513480.46</v>
      </c>
      <c r="C1236" s="96">
        <v>4786360.3269999996</v>
      </c>
      <c r="D1236" s="96">
        <v>56.531999999999996</v>
      </c>
      <c r="E1236" s="96" t="s">
        <v>83</v>
      </c>
    </row>
    <row r="1237" spans="1:5" x14ac:dyDescent="0.25">
      <c r="A1237" s="84">
        <v>45917</v>
      </c>
      <c r="B1237" s="96">
        <v>513474.54100000003</v>
      </c>
      <c r="C1237" s="96">
        <v>4786353.87</v>
      </c>
      <c r="D1237" s="96">
        <v>59.292999999999999</v>
      </c>
      <c r="E1237" s="96" t="s">
        <v>79</v>
      </c>
    </row>
    <row r="1238" spans="1:5" x14ac:dyDescent="0.25">
      <c r="A1238" s="84">
        <v>45923</v>
      </c>
      <c r="B1238" s="96">
        <v>513495.201</v>
      </c>
      <c r="C1238" s="96">
        <v>4786386.5460000001</v>
      </c>
      <c r="D1238" s="96">
        <v>61.186999999999998</v>
      </c>
      <c r="E1238" s="96" t="s">
        <v>62</v>
      </c>
    </row>
    <row r="1239" spans="1:5" x14ac:dyDescent="0.25">
      <c r="A1239" s="84">
        <v>45923</v>
      </c>
      <c r="B1239" s="96">
        <v>513495.147</v>
      </c>
      <c r="C1239" s="96">
        <v>4786386.3810000001</v>
      </c>
      <c r="D1239" s="96">
        <v>59.658000000000001</v>
      </c>
      <c r="E1239" s="96" t="s">
        <v>63</v>
      </c>
    </row>
    <row r="1240" spans="1:5" x14ac:dyDescent="0.25">
      <c r="A1240" s="84">
        <v>45923</v>
      </c>
      <c r="B1240" s="96">
        <v>513491.946</v>
      </c>
      <c r="C1240" s="96">
        <v>4786383.7130000005</v>
      </c>
      <c r="D1240" s="96">
        <v>61.481000000000002</v>
      </c>
      <c r="E1240" s="96" t="s">
        <v>66</v>
      </c>
    </row>
    <row r="1241" spans="1:5" x14ac:dyDescent="0.25">
      <c r="A1241" s="84">
        <v>45923</v>
      </c>
      <c r="B1241" s="96">
        <v>513492.01699999999</v>
      </c>
      <c r="C1241" s="96">
        <v>4786383.6890000002</v>
      </c>
      <c r="D1241" s="96">
        <v>59.484000000000002</v>
      </c>
      <c r="E1241" s="96" t="s">
        <v>67</v>
      </c>
    </row>
    <row r="1242" spans="1:5" x14ac:dyDescent="0.25">
      <c r="A1242" s="84">
        <v>45923</v>
      </c>
      <c r="B1242" s="96">
        <v>513487.78700000001</v>
      </c>
      <c r="C1242" s="96">
        <v>4786375.6579999998</v>
      </c>
      <c r="D1242" s="96">
        <v>60.91</v>
      </c>
      <c r="E1242" s="96" t="s">
        <v>87</v>
      </c>
    </row>
    <row r="1243" spans="1:5" x14ac:dyDescent="0.25">
      <c r="A1243" s="84">
        <v>45923</v>
      </c>
      <c r="B1243" s="96">
        <v>513488.01500000001</v>
      </c>
      <c r="C1243" s="96">
        <v>4786375.6950000003</v>
      </c>
      <c r="D1243" s="96">
        <v>59.569000000000003</v>
      </c>
      <c r="E1243" s="96" t="s">
        <v>86</v>
      </c>
    </row>
    <row r="1244" spans="1:5" x14ac:dyDescent="0.25">
      <c r="A1244" s="84">
        <v>45923</v>
      </c>
      <c r="B1244" s="96">
        <v>513484.61</v>
      </c>
      <c r="C1244" s="96">
        <v>4786368.8219999997</v>
      </c>
      <c r="D1244" s="96">
        <v>60.353000000000002</v>
      </c>
      <c r="E1244" s="96" t="s">
        <v>72</v>
      </c>
    </row>
    <row r="1245" spans="1:5" x14ac:dyDescent="0.25">
      <c r="A1245" s="84">
        <v>45923</v>
      </c>
      <c r="B1245" s="96">
        <v>513484.72499999998</v>
      </c>
      <c r="C1245" s="96">
        <v>4786368.7390000001</v>
      </c>
      <c r="D1245" s="96">
        <v>59.374000000000002</v>
      </c>
      <c r="E1245" s="96" t="s">
        <v>73</v>
      </c>
    </row>
    <row r="1246" spans="1:5" x14ac:dyDescent="0.25">
      <c r="A1246" s="84">
        <v>45923</v>
      </c>
      <c r="B1246" s="96">
        <v>513484.75300000003</v>
      </c>
      <c r="C1246" s="96">
        <v>4786368.7429999998</v>
      </c>
      <c r="D1246" s="96">
        <v>56.353999999999999</v>
      </c>
      <c r="E1246" s="96" t="s">
        <v>74</v>
      </c>
    </row>
    <row r="1247" spans="1:5" x14ac:dyDescent="0.25">
      <c r="A1247" s="84">
        <v>45923</v>
      </c>
      <c r="B1247" s="96">
        <v>513484.82400000002</v>
      </c>
      <c r="C1247" s="96">
        <v>4786368.9409999996</v>
      </c>
      <c r="D1247" s="96">
        <v>53.368000000000002</v>
      </c>
      <c r="E1247" s="96" t="s">
        <v>75</v>
      </c>
    </row>
    <row r="1248" spans="1:5" x14ac:dyDescent="0.25">
      <c r="A1248" s="84">
        <v>45923</v>
      </c>
      <c r="B1248" s="96">
        <v>513480.11300000001</v>
      </c>
      <c r="C1248" s="96">
        <v>4786359.8159999996</v>
      </c>
      <c r="D1248" s="96">
        <v>59.850999999999999</v>
      </c>
      <c r="E1248" s="96" t="s">
        <v>76</v>
      </c>
    </row>
    <row r="1249" spans="1:5" x14ac:dyDescent="0.25">
      <c r="A1249" s="84">
        <v>45923</v>
      </c>
      <c r="B1249" s="96">
        <v>513480.46100000001</v>
      </c>
      <c r="C1249" s="96">
        <v>4786360.3279999997</v>
      </c>
      <c r="D1249" s="96">
        <v>56.531999999999996</v>
      </c>
      <c r="E1249" s="96" t="s">
        <v>83</v>
      </c>
    </row>
    <row r="1250" spans="1:5" x14ac:dyDescent="0.25">
      <c r="A1250" s="84">
        <v>45923</v>
      </c>
      <c r="B1250" s="96">
        <v>513474.54</v>
      </c>
      <c r="C1250" s="96">
        <v>4786353.87</v>
      </c>
      <c r="D1250" s="96">
        <v>59.292999999999999</v>
      </c>
      <c r="E1250" s="96" t="s">
        <v>79</v>
      </c>
    </row>
    <row r="1251" spans="1:5" x14ac:dyDescent="0.25">
      <c r="A1251" s="84">
        <v>45925</v>
      </c>
      <c r="B1251" s="96">
        <v>513495.201</v>
      </c>
      <c r="C1251" s="96">
        <v>4786386.5460000001</v>
      </c>
      <c r="D1251" s="96">
        <v>61.186999999999998</v>
      </c>
      <c r="E1251" s="96" t="s">
        <v>62</v>
      </c>
    </row>
    <row r="1252" spans="1:5" x14ac:dyDescent="0.25">
      <c r="A1252" s="84">
        <v>45925</v>
      </c>
      <c r="B1252" s="96">
        <v>513495.14799999999</v>
      </c>
      <c r="C1252" s="96">
        <v>4786386.3810000001</v>
      </c>
      <c r="D1252" s="96">
        <v>59.658999999999999</v>
      </c>
      <c r="E1252" s="96" t="s">
        <v>63</v>
      </c>
    </row>
    <row r="1253" spans="1:5" x14ac:dyDescent="0.25">
      <c r="A1253" s="84">
        <v>45925</v>
      </c>
      <c r="B1253" s="96">
        <v>513491.94699999999</v>
      </c>
      <c r="C1253" s="96">
        <v>4786383.7130000005</v>
      </c>
      <c r="D1253" s="96">
        <v>61.481000000000002</v>
      </c>
      <c r="E1253" s="96" t="s">
        <v>66</v>
      </c>
    </row>
    <row r="1254" spans="1:5" x14ac:dyDescent="0.25">
      <c r="A1254" s="84">
        <v>45925</v>
      </c>
      <c r="B1254" s="96">
        <v>513492.01799999998</v>
      </c>
      <c r="C1254" s="96">
        <v>4786383.6880000001</v>
      </c>
      <c r="D1254" s="96">
        <v>59.484000000000002</v>
      </c>
      <c r="E1254" s="96" t="s">
        <v>67</v>
      </c>
    </row>
    <row r="1255" spans="1:5" x14ac:dyDescent="0.25">
      <c r="A1255" s="84">
        <v>45925</v>
      </c>
      <c r="B1255" s="96">
        <v>513487.788</v>
      </c>
      <c r="C1255" s="96">
        <v>4786375.6579999998</v>
      </c>
      <c r="D1255" s="96">
        <v>60.91</v>
      </c>
      <c r="E1255" s="96" t="s">
        <v>87</v>
      </c>
    </row>
    <row r="1256" spans="1:5" x14ac:dyDescent="0.25">
      <c r="A1256" s="84">
        <v>45925</v>
      </c>
      <c r="B1256" s="96">
        <v>513488.01500000001</v>
      </c>
      <c r="C1256" s="96">
        <v>4786375.6950000003</v>
      </c>
      <c r="D1256" s="96">
        <v>59.569000000000003</v>
      </c>
      <c r="E1256" s="96" t="s">
        <v>86</v>
      </c>
    </row>
    <row r="1257" spans="1:5" x14ac:dyDescent="0.25">
      <c r="A1257" s="84">
        <v>45925</v>
      </c>
      <c r="B1257" s="96">
        <v>513484.61099999998</v>
      </c>
      <c r="C1257" s="96">
        <v>4786368.8219999997</v>
      </c>
      <c r="D1257" s="96">
        <v>60.353000000000002</v>
      </c>
      <c r="E1257" s="96" t="s">
        <v>72</v>
      </c>
    </row>
    <row r="1258" spans="1:5" x14ac:dyDescent="0.25">
      <c r="A1258" s="84">
        <v>45925</v>
      </c>
      <c r="B1258" s="96">
        <v>513484.72600000002</v>
      </c>
      <c r="C1258" s="96">
        <v>4786368.7390000001</v>
      </c>
      <c r="D1258" s="96">
        <v>59.375</v>
      </c>
      <c r="E1258" s="96" t="s">
        <v>73</v>
      </c>
    </row>
    <row r="1259" spans="1:5" x14ac:dyDescent="0.25">
      <c r="A1259" s="84">
        <v>45925</v>
      </c>
      <c r="B1259" s="96">
        <v>513484.75400000002</v>
      </c>
      <c r="C1259" s="96">
        <v>4786368.7439999999</v>
      </c>
      <c r="D1259" s="96">
        <v>56.353999999999999</v>
      </c>
      <c r="E1259" s="96" t="s">
        <v>74</v>
      </c>
    </row>
    <row r="1260" spans="1:5" x14ac:dyDescent="0.25">
      <c r="A1260" s="84">
        <v>45925</v>
      </c>
      <c r="B1260" s="96">
        <v>513480.11300000001</v>
      </c>
      <c r="C1260" s="96">
        <v>4786359.8169999998</v>
      </c>
      <c r="D1260" s="96">
        <v>59.850999999999999</v>
      </c>
      <c r="E1260" s="96" t="s">
        <v>76</v>
      </c>
    </row>
    <row r="1261" spans="1:5" x14ac:dyDescent="0.25">
      <c r="A1261" s="84">
        <v>45925</v>
      </c>
      <c r="B1261" s="96">
        <v>513480.46100000001</v>
      </c>
      <c r="C1261" s="96">
        <v>4786360.3279999997</v>
      </c>
      <c r="D1261" s="96">
        <v>56.533000000000001</v>
      </c>
      <c r="E1261" s="96" t="s">
        <v>83</v>
      </c>
    </row>
    <row r="1262" spans="1:5" x14ac:dyDescent="0.25">
      <c r="A1262" s="84">
        <v>45925</v>
      </c>
      <c r="B1262" s="96">
        <v>513474.54100000003</v>
      </c>
      <c r="C1262" s="96">
        <v>4786353.8710000003</v>
      </c>
      <c r="D1262" s="96">
        <v>59.292999999999999</v>
      </c>
      <c r="E1262" s="96" t="s">
        <v>79</v>
      </c>
    </row>
    <row r="1263" spans="1:5" x14ac:dyDescent="0.25">
      <c r="A1263" s="84">
        <v>45929</v>
      </c>
      <c r="B1263" s="96">
        <v>513495.20199999999</v>
      </c>
      <c r="C1263" s="96">
        <v>4786386.5470000003</v>
      </c>
      <c r="D1263" s="96">
        <v>61.188000000000002</v>
      </c>
      <c r="E1263" s="96" t="s">
        <v>62</v>
      </c>
    </row>
    <row r="1264" spans="1:5" x14ac:dyDescent="0.25">
      <c r="A1264" s="84">
        <v>45929</v>
      </c>
      <c r="B1264" s="96">
        <v>513495.14799999999</v>
      </c>
      <c r="C1264" s="96">
        <v>4786386.3820000002</v>
      </c>
      <c r="D1264" s="96">
        <v>59.658999999999999</v>
      </c>
      <c r="E1264" s="96" t="s">
        <v>63</v>
      </c>
    </row>
    <row r="1265" spans="1:5" x14ac:dyDescent="0.25">
      <c r="A1265" s="84">
        <v>45929</v>
      </c>
      <c r="B1265" s="96">
        <v>513491.94699999999</v>
      </c>
      <c r="C1265" s="96">
        <v>4786383.7130000005</v>
      </c>
      <c r="D1265" s="96">
        <v>61.481000000000002</v>
      </c>
      <c r="E1265" s="96" t="s">
        <v>66</v>
      </c>
    </row>
    <row r="1266" spans="1:5" x14ac:dyDescent="0.25">
      <c r="A1266" s="84">
        <v>45929</v>
      </c>
      <c r="B1266" s="96">
        <v>513492.01799999998</v>
      </c>
      <c r="C1266" s="96">
        <v>4786383.6890000002</v>
      </c>
      <c r="D1266" s="96">
        <v>59.484000000000002</v>
      </c>
      <c r="E1266" s="96" t="s">
        <v>67</v>
      </c>
    </row>
    <row r="1267" spans="1:5" x14ac:dyDescent="0.25">
      <c r="A1267" s="84">
        <v>45929</v>
      </c>
      <c r="B1267" s="96">
        <v>513487.788</v>
      </c>
      <c r="C1267" s="96">
        <v>4786375.659</v>
      </c>
      <c r="D1267" s="96">
        <v>60.91</v>
      </c>
      <c r="E1267" s="96" t="s">
        <v>87</v>
      </c>
    </row>
    <row r="1268" spans="1:5" x14ac:dyDescent="0.25">
      <c r="A1268" s="84">
        <v>45929</v>
      </c>
      <c r="B1268" s="96">
        <v>513488.016</v>
      </c>
      <c r="C1268" s="96">
        <v>4786375.6960000005</v>
      </c>
      <c r="D1268" s="96">
        <v>59.569000000000003</v>
      </c>
      <c r="E1268" s="96" t="s">
        <v>86</v>
      </c>
    </row>
    <row r="1269" spans="1:5" x14ac:dyDescent="0.25">
      <c r="A1269" s="84">
        <v>45929</v>
      </c>
      <c r="B1269" s="96">
        <v>513484.61099999998</v>
      </c>
      <c r="C1269" s="96">
        <v>4786368.8229999999</v>
      </c>
      <c r="D1269" s="96">
        <v>60.353999999999999</v>
      </c>
      <c r="E1269" s="96" t="s">
        <v>72</v>
      </c>
    </row>
    <row r="1270" spans="1:5" x14ac:dyDescent="0.25">
      <c r="A1270" s="84">
        <v>45929</v>
      </c>
      <c r="B1270" s="96">
        <v>513484.72600000002</v>
      </c>
      <c r="C1270" s="96">
        <v>4786368.74</v>
      </c>
      <c r="D1270" s="96">
        <v>59.375</v>
      </c>
      <c r="E1270" s="96" t="s">
        <v>73</v>
      </c>
    </row>
    <row r="1271" spans="1:5" x14ac:dyDescent="0.25">
      <c r="A1271" s="84">
        <v>45929</v>
      </c>
      <c r="B1271" s="96">
        <v>513484.75400000002</v>
      </c>
      <c r="C1271" s="96">
        <v>4786368.7439999999</v>
      </c>
      <c r="D1271" s="96">
        <v>56.354999999999997</v>
      </c>
      <c r="E1271" s="96" t="s">
        <v>74</v>
      </c>
    </row>
    <row r="1272" spans="1:5" x14ac:dyDescent="0.25">
      <c r="A1272" s="84">
        <v>45929</v>
      </c>
      <c r="B1272" s="96">
        <v>513484.82500000001</v>
      </c>
      <c r="C1272" s="96">
        <v>4786368.9419999998</v>
      </c>
      <c r="D1272" s="96">
        <v>53.368000000000002</v>
      </c>
      <c r="E1272" s="96" t="s">
        <v>75</v>
      </c>
    </row>
    <row r="1273" spans="1:5" x14ac:dyDescent="0.25">
      <c r="A1273" s="84">
        <v>45929</v>
      </c>
      <c r="B1273" s="96">
        <v>513480.11300000001</v>
      </c>
      <c r="C1273" s="96">
        <v>4786359.8169999998</v>
      </c>
      <c r="D1273" s="96">
        <v>59.851999999999997</v>
      </c>
      <c r="E1273" s="96" t="s">
        <v>76</v>
      </c>
    </row>
    <row r="1274" spans="1:5" x14ac:dyDescent="0.25">
      <c r="A1274" s="84">
        <v>45929</v>
      </c>
      <c r="B1274" s="96">
        <v>513480.46100000001</v>
      </c>
      <c r="C1274" s="96">
        <v>4786360.3289999999</v>
      </c>
      <c r="D1274" s="96">
        <v>56.533000000000001</v>
      </c>
      <c r="E1274" s="96" t="s">
        <v>83</v>
      </c>
    </row>
    <row r="1275" spans="1:5" x14ac:dyDescent="0.25">
      <c r="A1275" s="84">
        <v>45929</v>
      </c>
      <c r="B1275" s="96">
        <v>513474.54100000003</v>
      </c>
      <c r="C1275" s="96">
        <v>4786353.8720000004</v>
      </c>
      <c r="D1275" s="96">
        <v>59.293999999999997</v>
      </c>
      <c r="E1275" s="96" t="s">
        <v>79</v>
      </c>
    </row>
    <row r="1276" spans="1:5" x14ac:dyDescent="0.25">
      <c r="A1276" s="84">
        <v>45932</v>
      </c>
      <c r="B1276" s="96">
        <v>513495.201</v>
      </c>
      <c r="C1276" s="96">
        <v>4786386.5460000001</v>
      </c>
      <c r="D1276" s="96">
        <v>61.186999999999998</v>
      </c>
      <c r="E1276" s="96" t="s">
        <v>62</v>
      </c>
    </row>
    <row r="1277" spans="1:5" x14ac:dyDescent="0.25">
      <c r="A1277" s="84">
        <v>45932</v>
      </c>
      <c r="B1277" s="96">
        <v>513495.147</v>
      </c>
      <c r="C1277" s="96">
        <v>4786386.3810000001</v>
      </c>
      <c r="D1277" s="96">
        <v>59.658000000000001</v>
      </c>
      <c r="E1277" s="96" t="s">
        <v>63</v>
      </c>
    </row>
    <row r="1278" spans="1:5" x14ac:dyDescent="0.25">
      <c r="A1278" s="84">
        <v>45932</v>
      </c>
      <c r="B1278" s="96">
        <v>513491.946</v>
      </c>
      <c r="C1278" s="96">
        <v>4786383.7130000005</v>
      </c>
      <c r="D1278" s="96">
        <v>61.481000000000002</v>
      </c>
      <c r="E1278" s="96" t="s">
        <v>66</v>
      </c>
    </row>
    <row r="1279" spans="1:5" x14ac:dyDescent="0.25">
      <c r="A1279" s="84">
        <v>45932</v>
      </c>
      <c r="B1279" s="96">
        <v>513492.01699999999</v>
      </c>
      <c r="C1279" s="96">
        <v>4786383.6890000002</v>
      </c>
      <c r="D1279" s="96">
        <v>59.484000000000002</v>
      </c>
      <c r="E1279" s="96" t="s">
        <v>67</v>
      </c>
    </row>
    <row r="1280" spans="1:5" x14ac:dyDescent="0.25">
      <c r="A1280" s="84">
        <v>45932</v>
      </c>
      <c r="B1280" s="96">
        <v>513487.78700000001</v>
      </c>
      <c r="C1280" s="96">
        <v>4786375.6579999998</v>
      </c>
      <c r="D1280" s="96">
        <v>60.908999999999999</v>
      </c>
      <c r="E1280" s="96" t="s">
        <v>87</v>
      </c>
    </row>
    <row r="1281" spans="1:5" x14ac:dyDescent="0.25">
      <c r="A1281" s="84">
        <v>45932</v>
      </c>
      <c r="B1281" s="96">
        <v>513488.01400000002</v>
      </c>
      <c r="C1281" s="96">
        <v>4786375.6950000003</v>
      </c>
      <c r="D1281" s="96">
        <v>59.569000000000003</v>
      </c>
      <c r="E1281" s="96" t="s">
        <v>86</v>
      </c>
    </row>
    <row r="1282" spans="1:5" x14ac:dyDescent="0.25">
      <c r="A1282" s="84">
        <v>45932</v>
      </c>
      <c r="B1282" s="96">
        <v>513484.61</v>
      </c>
      <c r="C1282" s="96">
        <v>4786368.8219999997</v>
      </c>
      <c r="D1282" s="96">
        <v>60.353000000000002</v>
      </c>
      <c r="E1282" s="96" t="s">
        <v>72</v>
      </c>
    </row>
    <row r="1283" spans="1:5" x14ac:dyDescent="0.25">
      <c r="A1283" s="84">
        <v>45932</v>
      </c>
      <c r="B1283" s="96">
        <v>513484.72499999998</v>
      </c>
      <c r="C1283" s="96">
        <v>4786368.7390000001</v>
      </c>
      <c r="D1283" s="96">
        <v>59.374000000000002</v>
      </c>
      <c r="E1283" s="96" t="s">
        <v>73</v>
      </c>
    </row>
    <row r="1284" spans="1:5" x14ac:dyDescent="0.25">
      <c r="A1284" s="84">
        <v>45932</v>
      </c>
      <c r="B1284" s="96">
        <v>513484.75300000003</v>
      </c>
      <c r="C1284" s="96">
        <v>4786368.7439999999</v>
      </c>
      <c r="D1284" s="96">
        <v>56.353999999999999</v>
      </c>
      <c r="E1284" s="96" t="s">
        <v>74</v>
      </c>
    </row>
    <row r="1285" spans="1:5" x14ac:dyDescent="0.25">
      <c r="A1285" s="84">
        <v>45932</v>
      </c>
      <c r="B1285" s="96">
        <v>513484.82500000001</v>
      </c>
      <c r="C1285" s="96">
        <v>4786368.9409999996</v>
      </c>
      <c r="D1285" s="96">
        <v>53.366999999999997</v>
      </c>
      <c r="E1285" s="96" t="s">
        <v>75</v>
      </c>
    </row>
    <row r="1286" spans="1:5" x14ac:dyDescent="0.25">
      <c r="A1286" s="84">
        <v>45932</v>
      </c>
      <c r="B1286" s="96">
        <v>513480.11300000001</v>
      </c>
      <c r="C1286" s="96">
        <v>4786359.8159999996</v>
      </c>
      <c r="D1286" s="96">
        <v>59.850999999999999</v>
      </c>
      <c r="E1286" s="96" t="s">
        <v>76</v>
      </c>
    </row>
    <row r="1287" spans="1:5" x14ac:dyDescent="0.25">
      <c r="A1287" s="84">
        <v>45932</v>
      </c>
      <c r="B1287" s="96">
        <v>513480.46</v>
      </c>
      <c r="C1287" s="96">
        <v>4786360.3279999997</v>
      </c>
      <c r="D1287" s="96">
        <v>56.531999999999996</v>
      </c>
      <c r="E1287" s="96" t="s">
        <v>83</v>
      </c>
    </row>
    <row r="1288" spans="1:5" x14ac:dyDescent="0.25">
      <c r="A1288" s="84">
        <v>45932</v>
      </c>
      <c r="B1288" s="96">
        <v>513474.54</v>
      </c>
      <c r="C1288" s="96">
        <v>4786353.8710000003</v>
      </c>
      <c r="D1288" s="96">
        <v>59.292999999999999</v>
      </c>
      <c r="E1288" s="96" t="s">
        <v>79</v>
      </c>
    </row>
    <row r="1289" spans="1:5" x14ac:dyDescent="0.25">
      <c r="A1289" s="84">
        <v>45936</v>
      </c>
      <c r="B1289" s="96">
        <v>513495.201</v>
      </c>
      <c r="C1289" s="96">
        <v>4786386.5460000001</v>
      </c>
      <c r="D1289" s="96">
        <v>61.186</v>
      </c>
      <c r="E1289" s="96" t="s">
        <v>62</v>
      </c>
    </row>
    <row r="1290" spans="1:5" x14ac:dyDescent="0.25">
      <c r="A1290" s="84">
        <v>45936</v>
      </c>
      <c r="B1290" s="96">
        <v>513495.147</v>
      </c>
      <c r="C1290" s="96">
        <v>4786386.3810000001</v>
      </c>
      <c r="D1290" s="96">
        <v>59.658000000000001</v>
      </c>
      <c r="E1290" s="96" t="s">
        <v>63</v>
      </c>
    </row>
    <row r="1291" spans="1:5" x14ac:dyDescent="0.25">
      <c r="A1291" s="84">
        <v>45936</v>
      </c>
      <c r="B1291" s="96">
        <v>513491.946</v>
      </c>
      <c r="C1291" s="96">
        <v>4786383.7120000003</v>
      </c>
      <c r="D1291" s="96">
        <v>61.48</v>
      </c>
      <c r="E1291" s="96" t="s">
        <v>66</v>
      </c>
    </row>
    <row r="1292" spans="1:5" x14ac:dyDescent="0.25">
      <c r="A1292" s="84">
        <v>45936</v>
      </c>
      <c r="B1292" s="96">
        <v>513492.01799999998</v>
      </c>
      <c r="C1292" s="96">
        <v>4786383.6880000001</v>
      </c>
      <c r="D1292" s="96">
        <v>59.482999999999997</v>
      </c>
      <c r="E1292" s="96" t="s">
        <v>67</v>
      </c>
    </row>
    <row r="1293" spans="1:5" x14ac:dyDescent="0.25">
      <c r="A1293" s="84">
        <v>45936</v>
      </c>
      <c r="B1293" s="96">
        <v>513487.788</v>
      </c>
      <c r="C1293" s="96">
        <v>4786375.6579999998</v>
      </c>
      <c r="D1293" s="96">
        <v>60.908999999999999</v>
      </c>
      <c r="E1293" s="96" t="s">
        <v>87</v>
      </c>
    </row>
    <row r="1294" spans="1:5" x14ac:dyDescent="0.25">
      <c r="A1294" s="84">
        <v>45936</v>
      </c>
      <c r="B1294" s="96">
        <v>513488.01500000001</v>
      </c>
      <c r="C1294" s="96">
        <v>4786375.6950000003</v>
      </c>
      <c r="D1294" s="96">
        <v>59.567999999999998</v>
      </c>
      <c r="E1294" s="96" t="s">
        <v>86</v>
      </c>
    </row>
    <row r="1295" spans="1:5" x14ac:dyDescent="0.25">
      <c r="A1295" s="84">
        <v>45936</v>
      </c>
      <c r="B1295" s="96">
        <v>513484.61099999998</v>
      </c>
      <c r="C1295" s="96">
        <v>4786368.8219999997</v>
      </c>
      <c r="D1295" s="96">
        <v>60.353000000000002</v>
      </c>
      <c r="E1295" s="96" t="s">
        <v>72</v>
      </c>
    </row>
    <row r="1296" spans="1:5" x14ac:dyDescent="0.25">
      <c r="A1296" s="84">
        <v>45936</v>
      </c>
      <c r="B1296" s="96">
        <v>513484.72499999998</v>
      </c>
      <c r="C1296" s="96">
        <v>4786368.7390000001</v>
      </c>
      <c r="D1296" s="96">
        <v>59.374000000000002</v>
      </c>
      <c r="E1296" s="96" t="s">
        <v>73</v>
      </c>
    </row>
    <row r="1297" spans="1:5" x14ac:dyDescent="0.25">
      <c r="A1297" s="84">
        <v>45936</v>
      </c>
      <c r="B1297" s="96">
        <v>513484.75400000002</v>
      </c>
      <c r="C1297" s="96">
        <v>4786368.7429999998</v>
      </c>
      <c r="D1297" s="96">
        <v>56.353999999999999</v>
      </c>
      <c r="E1297" s="96" t="s">
        <v>74</v>
      </c>
    </row>
    <row r="1298" spans="1:5" x14ac:dyDescent="0.25">
      <c r="A1298" s="84">
        <v>45936</v>
      </c>
      <c r="B1298" s="96">
        <v>513484.82500000001</v>
      </c>
      <c r="C1298" s="96">
        <v>4786368.9409999996</v>
      </c>
      <c r="D1298" s="96">
        <v>53.366999999999997</v>
      </c>
      <c r="E1298" s="96" t="s">
        <v>75</v>
      </c>
    </row>
    <row r="1299" spans="1:5" x14ac:dyDescent="0.25">
      <c r="A1299" s="84">
        <v>45936</v>
      </c>
      <c r="B1299" s="96">
        <v>513480.11300000001</v>
      </c>
      <c r="C1299" s="96">
        <v>4786359.8159999996</v>
      </c>
      <c r="D1299" s="96">
        <v>59.850999999999999</v>
      </c>
      <c r="E1299" s="96" t="s">
        <v>76</v>
      </c>
    </row>
    <row r="1300" spans="1:5" x14ac:dyDescent="0.25">
      <c r="A1300" s="84">
        <v>45936</v>
      </c>
      <c r="B1300" s="96">
        <v>513480.46100000001</v>
      </c>
      <c r="C1300" s="96">
        <v>4786360.3279999997</v>
      </c>
      <c r="D1300" s="96">
        <v>56.531999999999996</v>
      </c>
      <c r="E1300" s="96" t="s">
        <v>83</v>
      </c>
    </row>
    <row r="1301" spans="1:5" x14ac:dyDescent="0.25">
      <c r="A1301" s="84">
        <v>45936</v>
      </c>
      <c r="B1301" s="96">
        <v>513474.54100000003</v>
      </c>
      <c r="C1301" s="96">
        <v>4786353.8710000003</v>
      </c>
      <c r="D1301" s="96">
        <v>59.292000000000002</v>
      </c>
      <c r="E1301" s="96" t="s">
        <v>79</v>
      </c>
    </row>
    <row r="1302" spans="1:5" x14ac:dyDescent="0.25">
      <c r="A1302" s="84">
        <v>45943</v>
      </c>
      <c r="B1302" s="96">
        <v>513495.201</v>
      </c>
      <c r="C1302" s="96">
        <v>4786386.5460000001</v>
      </c>
      <c r="D1302" s="96">
        <v>61.188000000000002</v>
      </c>
      <c r="E1302" s="96" t="s">
        <v>62</v>
      </c>
    </row>
    <row r="1303" spans="1:5" x14ac:dyDescent="0.25">
      <c r="A1303" s="84">
        <v>45943</v>
      </c>
      <c r="B1303" s="96">
        <v>513495.147</v>
      </c>
      <c r="C1303" s="96">
        <v>4786386.3810000001</v>
      </c>
      <c r="D1303" s="96">
        <v>59.658999999999999</v>
      </c>
      <c r="E1303" s="96" t="s">
        <v>63</v>
      </c>
    </row>
    <row r="1304" spans="1:5" x14ac:dyDescent="0.25">
      <c r="A1304" s="84">
        <v>45943</v>
      </c>
      <c r="B1304" s="96">
        <v>513491.946</v>
      </c>
      <c r="C1304" s="96">
        <v>4786383.7130000005</v>
      </c>
      <c r="D1304" s="96">
        <v>61.481999999999999</v>
      </c>
      <c r="E1304" s="96" t="s">
        <v>66</v>
      </c>
    </row>
    <row r="1305" spans="1:5" x14ac:dyDescent="0.25">
      <c r="A1305" s="84">
        <v>45943</v>
      </c>
      <c r="B1305" s="96">
        <v>513492.01799999998</v>
      </c>
      <c r="C1305" s="96">
        <v>4786383.6890000002</v>
      </c>
      <c r="D1305" s="96">
        <v>59.484999999999999</v>
      </c>
      <c r="E1305" s="96" t="s">
        <v>67</v>
      </c>
    </row>
    <row r="1306" spans="1:5" x14ac:dyDescent="0.25">
      <c r="A1306" s="84">
        <v>45943</v>
      </c>
      <c r="B1306" s="96">
        <v>513487.78700000001</v>
      </c>
      <c r="C1306" s="96">
        <v>4786375.659</v>
      </c>
      <c r="D1306" s="96">
        <v>60.911000000000001</v>
      </c>
      <c r="E1306" s="96" t="s">
        <v>87</v>
      </c>
    </row>
    <row r="1307" spans="1:5" x14ac:dyDescent="0.25">
      <c r="A1307" s="84">
        <v>45943</v>
      </c>
      <c r="B1307" s="96">
        <v>513488.01500000001</v>
      </c>
      <c r="C1307" s="96">
        <v>4786375.6950000003</v>
      </c>
      <c r="D1307" s="96">
        <v>59.57</v>
      </c>
      <c r="E1307" s="96" t="s">
        <v>86</v>
      </c>
    </row>
    <row r="1308" spans="1:5" x14ac:dyDescent="0.25">
      <c r="A1308" s="84">
        <v>45943</v>
      </c>
      <c r="B1308" s="96">
        <v>513484.61</v>
      </c>
      <c r="C1308" s="96">
        <v>4786368.8219999997</v>
      </c>
      <c r="D1308" s="96">
        <v>60.353999999999999</v>
      </c>
      <c r="E1308" s="96" t="s">
        <v>72</v>
      </c>
    </row>
    <row r="1309" spans="1:5" x14ac:dyDescent="0.25">
      <c r="A1309" s="84">
        <v>45943</v>
      </c>
      <c r="B1309" s="96">
        <v>513484.72499999998</v>
      </c>
      <c r="C1309" s="96">
        <v>4786368.7390000001</v>
      </c>
      <c r="D1309" s="96">
        <v>59.375</v>
      </c>
      <c r="E1309" s="96" t="s">
        <v>73</v>
      </c>
    </row>
    <row r="1310" spans="1:5" x14ac:dyDescent="0.25">
      <c r="A1310" s="84">
        <v>45943</v>
      </c>
      <c r="B1310" s="96">
        <v>513484.75400000002</v>
      </c>
      <c r="C1310" s="96">
        <v>4786368.7439999999</v>
      </c>
      <c r="D1310" s="96">
        <v>56.354999999999997</v>
      </c>
      <c r="E1310" s="96" t="s">
        <v>74</v>
      </c>
    </row>
    <row r="1311" spans="1:5" x14ac:dyDescent="0.25">
      <c r="A1311" s="84">
        <v>45943</v>
      </c>
      <c r="B1311" s="96">
        <v>513484.82400000002</v>
      </c>
      <c r="C1311" s="96">
        <v>4786368.9409999996</v>
      </c>
      <c r="D1311" s="96">
        <v>53.371000000000002</v>
      </c>
      <c r="E1311" s="96" t="s">
        <v>75</v>
      </c>
    </row>
    <row r="1312" spans="1:5" x14ac:dyDescent="0.25">
      <c r="A1312" s="84">
        <v>45943</v>
      </c>
      <c r="B1312" s="96">
        <v>513480.11300000001</v>
      </c>
      <c r="C1312" s="96">
        <v>4786359.8169999998</v>
      </c>
      <c r="D1312" s="96">
        <v>59.853000000000002</v>
      </c>
      <c r="E1312" s="96" t="s">
        <v>76</v>
      </c>
    </row>
    <row r="1313" spans="1:5" x14ac:dyDescent="0.25">
      <c r="A1313" s="84">
        <v>45943</v>
      </c>
      <c r="B1313" s="96">
        <v>513480.46100000001</v>
      </c>
      <c r="C1313" s="96">
        <v>4786360.3269999996</v>
      </c>
      <c r="D1313" s="96">
        <v>56.531999999999996</v>
      </c>
      <c r="E1313" s="96" t="s">
        <v>83</v>
      </c>
    </row>
    <row r="1314" spans="1:5" x14ac:dyDescent="0.25">
      <c r="A1314" s="84">
        <v>45943</v>
      </c>
      <c r="B1314" s="96">
        <v>513474.54100000003</v>
      </c>
      <c r="C1314" s="96">
        <v>4786353.8720000004</v>
      </c>
      <c r="D1314" s="96">
        <v>59.292999999999999</v>
      </c>
      <c r="E1314" s="96" t="s">
        <v>79</v>
      </c>
    </row>
    <row r="1315" spans="1:5" x14ac:dyDescent="0.25">
      <c r="A1315" s="84">
        <v>45950</v>
      </c>
      <c r="B1315" s="96">
        <v>513495.201</v>
      </c>
      <c r="C1315" s="96">
        <v>4786386.5460000001</v>
      </c>
      <c r="D1315" s="96">
        <v>61.186</v>
      </c>
      <c r="E1315" s="96" t="s">
        <v>62</v>
      </c>
    </row>
    <row r="1316" spans="1:5" x14ac:dyDescent="0.25">
      <c r="A1316" s="84">
        <v>45950</v>
      </c>
      <c r="B1316" s="96">
        <v>513495.147</v>
      </c>
      <c r="C1316" s="96">
        <v>4786386.3820000002</v>
      </c>
      <c r="D1316" s="96">
        <v>59.658000000000001</v>
      </c>
      <c r="E1316" s="96" t="s">
        <v>63</v>
      </c>
    </row>
    <row r="1317" spans="1:5" x14ac:dyDescent="0.25">
      <c r="A1317" s="84">
        <v>45950</v>
      </c>
      <c r="B1317" s="96">
        <v>513491.946</v>
      </c>
      <c r="C1317" s="96">
        <v>4786383.7130000005</v>
      </c>
      <c r="D1317" s="96">
        <v>61.48</v>
      </c>
      <c r="E1317" s="96" t="s">
        <v>66</v>
      </c>
    </row>
    <row r="1318" spans="1:5" x14ac:dyDescent="0.25">
      <c r="A1318" s="84">
        <v>45950</v>
      </c>
      <c r="B1318" s="96">
        <v>513492.01799999998</v>
      </c>
      <c r="C1318" s="96">
        <v>4786383.6890000002</v>
      </c>
      <c r="D1318" s="96">
        <v>59.482999999999997</v>
      </c>
      <c r="E1318" s="96" t="s">
        <v>67</v>
      </c>
    </row>
    <row r="1319" spans="1:5" x14ac:dyDescent="0.25">
      <c r="A1319" s="84">
        <v>45950</v>
      </c>
      <c r="B1319" s="96">
        <v>513487.78700000001</v>
      </c>
      <c r="C1319" s="96">
        <v>4786375.659</v>
      </c>
      <c r="D1319" s="96">
        <v>60.908999999999999</v>
      </c>
      <c r="E1319" s="96" t="s">
        <v>87</v>
      </c>
    </row>
    <row r="1320" spans="1:5" x14ac:dyDescent="0.25">
      <c r="A1320" s="84">
        <v>45950</v>
      </c>
      <c r="B1320" s="96">
        <v>513488.01500000001</v>
      </c>
      <c r="C1320" s="96">
        <v>4786375.6950000003</v>
      </c>
      <c r="D1320" s="96">
        <v>59.567999999999998</v>
      </c>
      <c r="E1320" s="96" t="s">
        <v>86</v>
      </c>
    </row>
    <row r="1321" spans="1:5" x14ac:dyDescent="0.25">
      <c r="A1321" s="84">
        <v>45950</v>
      </c>
      <c r="B1321" s="96">
        <v>513484.61</v>
      </c>
      <c r="C1321" s="96">
        <v>4786368.8219999997</v>
      </c>
      <c r="D1321" s="96">
        <v>60.351999999999997</v>
      </c>
      <c r="E1321" s="96" t="s">
        <v>72</v>
      </c>
    </row>
    <row r="1322" spans="1:5" x14ac:dyDescent="0.25">
      <c r="A1322" s="84">
        <v>45950</v>
      </c>
      <c r="B1322" s="96">
        <v>513484.72600000002</v>
      </c>
      <c r="C1322" s="96">
        <v>4786368.7390000001</v>
      </c>
      <c r="D1322" s="96">
        <v>59.372999999999998</v>
      </c>
      <c r="E1322" s="96" t="s">
        <v>73</v>
      </c>
    </row>
    <row r="1323" spans="1:5" x14ac:dyDescent="0.25">
      <c r="A1323" s="84">
        <v>45950</v>
      </c>
      <c r="B1323" s="96">
        <v>513484.75400000002</v>
      </c>
      <c r="C1323" s="96">
        <v>4786368.7439999999</v>
      </c>
      <c r="D1323" s="96">
        <v>56.353000000000002</v>
      </c>
      <c r="E1323" s="96" t="s">
        <v>74</v>
      </c>
    </row>
    <row r="1324" spans="1:5" x14ac:dyDescent="0.25">
      <c r="A1324" s="84">
        <v>45950</v>
      </c>
      <c r="B1324" s="96">
        <v>513484.82500000001</v>
      </c>
      <c r="C1324" s="96">
        <v>4786368.9409999996</v>
      </c>
      <c r="D1324" s="96">
        <v>53.366999999999997</v>
      </c>
      <c r="E1324" s="96" t="s">
        <v>75</v>
      </c>
    </row>
    <row r="1325" spans="1:5" x14ac:dyDescent="0.25">
      <c r="A1325" s="84">
        <v>45950</v>
      </c>
      <c r="B1325" s="96">
        <v>513480.11300000001</v>
      </c>
      <c r="C1325" s="96">
        <v>4786359.8169999998</v>
      </c>
      <c r="D1325" s="96">
        <v>59.850999999999999</v>
      </c>
      <c r="E1325" s="96" t="s">
        <v>76</v>
      </c>
    </row>
    <row r="1326" spans="1:5" x14ac:dyDescent="0.25">
      <c r="A1326" s="84">
        <v>45950</v>
      </c>
      <c r="B1326" s="96">
        <v>513480.46100000001</v>
      </c>
      <c r="C1326" s="96">
        <v>4786360.3279999997</v>
      </c>
      <c r="D1326" s="96">
        <v>56.531999999999996</v>
      </c>
      <c r="E1326" s="96" t="s">
        <v>83</v>
      </c>
    </row>
    <row r="1327" spans="1:5" x14ac:dyDescent="0.25">
      <c r="A1327" s="84">
        <v>45950</v>
      </c>
      <c r="B1327" s="96">
        <v>513474.54100000003</v>
      </c>
      <c r="C1327" s="96">
        <v>4786353.8720000004</v>
      </c>
      <c r="D1327" s="96">
        <v>59.292000000000002</v>
      </c>
      <c r="E1327" s="96" t="s">
        <v>79</v>
      </c>
    </row>
    <row r="1328" spans="1:5" x14ac:dyDescent="0.25">
      <c r="A1328" s="84">
        <v>45957</v>
      </c>
      <c r="B1328" s="96">
        <v>513495.201</v>
      </c>
      <c r="C1328" s="96">
        <v>4786386.5460000001</v>
      </c>
      <c r="D1328" s="96">
        <v>61.186999999999998</v>
      </c>
      <c r="E1328" s="96" t="s">
        <v>62</v>
      </c>
    </row>
    <row r="1329" spans="1:5" x14ac:dyDescent="0.25">
      <c r="A1329" s="84">
        <v>45957</v>
      </c>
      <c r="B1329" s="96">
        <v>513495.147</v>
      </c>
      <c r="C1329" s="96">
        <v>4786386.3820000002</v>
      </c>
      <c r="D1329" s="96">
        <v>59.658999999999999</v>
      </c>
      <c r="E1329" s="96" t="s">
        <v>63</v>
      </c>
    </row>
    <row r="1330" spans="1:5" x14ac:dyDescent="0.25">
      <c r="A1330" s="84">
        <v>45957</v>
      </c>
      <c r="B1330" s="96">
        <v>513495.77799999999</v>
      </c>
      <c r="C1330" s="96">
        <v>4786386.2050000001</v>
      </c>
      <c r="D1330" s="96">
        <v>56.58</v>
      </c>
      <c r="E1330" s="96" t="s">
        <v>64</v>
      </c>
    </row>
    <row r="1331" spans="1:5" x14ac:dyDescent="0.25">
      <c r="A1331" s="84">
        <v>45957</v>
      </c>
      <c r="B1331" s="96">
        <v>513491.946</v>
      </c>
      <c r="C1331" s="96">
        <v>4786383.7130000005</v>
      </c>
      <c r="D1331" s="96">
        <v>61.481000000000002</v>
      </c>
      <c r="E1331" s="96" t="s">
        <v>66</v>
      </c>
    </row>
    <row r="1332" spans="1:5" x14ac:dyDescent="0.25">
      <c r="A1332" s="84">
        <v>45957</v>
      </c>
      <c r="B1332" s="96">
        <v>513492.01699999999</v>
      </c>
      <c r="C1332" s="96">
        <v>4786383.6890000002</v>
      </c>
      <c r="D1332" s="96">
        <v>59.484000000000002</v>
      </c>
      <c r="E1332" s="96" t="s">
        <v>67</v>
      </c>
    </row>
    <row r="1333" spans="1:5" x14ac:dyDescent="0.25">
      <c r="A1333" s="84">
        <v>45957</v>
      </c>
      <c r="B1333" s="96">
        <v>513492.28600000002</v>
      </c>
      <c r="C1333" s="96">
        <v>4786384.1260000002</v>
      </c>
      <c r="D1333" s="96">
        <v>56.493000000000002</v>
      </c>
      <c r="E1333" s="96" t="s">
        <v>68</v>
      </c>
    </row>
    <row r="1334" spans="1:5" x14ac:dyDescent="0.25">
      <c r="A1334" s="84">
        <v>45957</v>
      </c>
      <c r="B1334" s="96">
        <v>513487.78700000001</v>
      </c>
      <c r="C1334" s="96">
        <v>4786375.659</v>
      </c>
      <c r="D1334" s="96">
        <v>60.91</v>
      </c>
      <c r="E1334" s="96" t="s">
        <v>87</v>
      </c>
    </row>
    <row r="1335" spans="1:5" x14ac:dyDescent="0.25">
      <c r="A1335" s="84">
        <v>45957</v>
      </c>
      <c r="B1335" s="96">
        <v>513488.01400000002</v>
      </c>
      <c r="C1335" s="96">
        <v>4786375.6950000003</v>
      </c>
      <c r="D1335" s="96">
        <v>59.569000000000003</v>
      </c>
      <c r="E1335" s="96" t="s">
        <v>86</v>
      </c>
    </row>
    <row r="1336" spans="1:5" x14ac:dyDescent="0.25">
      <c r="A1336" s="84">
        <v>45957</v>
      </c>
      <c r="B1336" s="96">
        <v>513484.61099999998</v>
      </c>
      <c r="C1336" s="96">
        <v>4786368.8229999999</v>
      </c>
      <c r="D1336" s="96">
        <v>60.353000000000002</v>
      </c>
      <c r="E1336" s="96" t="s">
        <v>72</v>
      </c>
    </row>
    <row r="1337" spans="1:5" x14ac:dyDescent="0.25">
      <c r="A1337" s="84">
        <v>45957</v>
      </c>
      <c r="B1337" s="96">
        <v>513484.72499999998</v>
      </c>
      <c r="C1337" s="96">
        <v>4786368.74</v>
      </c>
      <c r="D1337" s="96">
        <v>59.375</v>
      </c>
      <c r="E1337" s="96" t="s">
        <v>73</v>
      </c>
    </row>
    <row r="1338" spans="1:5" x14ac:dyDescent="0.25">
      <c r="A1338" s="84">
        <v>45957</v>
      </c>
      <c r="B1338" s="96">
        <v>513484.75400000002</v>
      </c>
      <c r="C1338" s="96">
        <v>4786368.7439999999</v>
      </c>
      <c r="D1338" s="96">
        <v>56.354999999999997</v>
      </c>
      <c r="E1338" s="96" t="s">
        <v>74</v>
      </c>
    </row>
    <row r="1339" spans="1:5" x14ac:dyDescent="0.25">
      <c r="A1339" s="84">
        <v>45957</v>
      </c>
      <c r="B1339" s="96">
        <v>513484.82500000001</v>
      </c>
      <c r="C1339" s="96">
        <v>4786368.9409999996</v>
      </c>
      <c r="D1339" s="96">
        <v>53.369</v>
      </c>
      <c r="E1339" s="96" t="s">
        <v>75</v>
      </c>
    </row>
    <row r="1340" spans="1:5" x14ac:dyDescent="0.25">
      <c r="A1340" s="84">
        <v>45957</v>
      </c>
      <c r="B1340" s="96">
        <v>513480.11300000001</v>
      </c>
      <c r="C1340" s="96">
        <v>4786359.8169999998</v>
      </c>
      <c r="D1340" s="96">
        <v>59.851999999999997</v>
      </c>
      <c r="E1340" s="96" t="s">
        <v>76</v>
      </c>
    </row>
    <row r="1341" spans="1:5" x14ac:dyDescent="0.25">
      <c r="A1341" s="84">
        <v>45957</v>
      </c>
      <c r="B1341" s="96">
        <v>513480.46</v>
      </c>
      <c r="C1341" s="96">
        <v>4786360.3279999997</v>
      </c>
      <c r="D1341" s="96">
        <v>56.533999999999999</v>
      </c>
      <c r="E1341" s="96" t="s">
        <v>83</v>
      </c>
    </row>
    <row r="1342" spans="1:5" x14ac:dyDescent="0.25">
      <c r="A1342" s="84">
        <v>45957</v>
      </c>
      <c r="B1342" s="96">
        <v>513474.54</v>
      </c>
      <c r="C1342" s="96">
        <v>4786353.8710000003</v>
      </c>
      <c r="D1342" s="96">
        <v>59.293999999999997</v>
      </c>
      <c r="E1342" s="96" t="s">
        <v>79</v>
      </c>
    </row>
    <row r="1343" spans="1:5" x14ac:dyDescent="0.25">
      <c r="A1343" s="84">
        <v>45964</v>
      </c>
      <c r="B1343" s="96">
        <v>513495.201</v>
      </c>
      <c r="C1343" s="96">
        <v>4786386.5460000001</v>
      </c>
      <c r="D1343" s="96">
        <v>61.186999999999998</v>
      </c>
      <c r="E1343" s="96" t="s">
        <v>62</v>
      </c>
    </row>
    <row r="1344" spans="1:5" x14ac:dyDescent="0.25">
      <c r="A1344" s="84">
        <v>45964</v>
      </c>
      <c r="B1344" s="96">
        <v>513495.147</v>
      </c>
      <c r="C1344" s="96">
        <v>4786386.3810000001</v>
      </c>
      <c r="D1344" s="96">
        <v>59.658000000000001</v>
      </c>
      <c r="E1344" s="96" t="s">
        <v>63</v>
      </c>
    </row>
    <row r="1345" spans="1:5" x14ac:dyDescent="0.25">
      <c r="A1345" s="84">
        <v>45964</v>
      </c>
      <c r="B1345" s="96">
        <v>513495.77799999999</v>
      </c>
      <c r="C1345" s="96">
        <v>4786386.2039999999</v>
      </c>
      <c r="D1345" s="96">
        <v>56.579000000000001</v>
      </c>
      <c r="E1345" s="96" t="s">
        <v>64</v>
      </c>
    </row>
    <row r="1346" spans="1:5" x14ac:dyDescent="0.25">
      <c r="A1346" s="84">
        <v>45964</v>
      </c>
      <c r="B1346" s="96">
        <v>513491.946</v>
      </c>
      <c r="C1346" s="96">
        <v>4786383.7130000005</v>
      </c>
      <c r="D1346" s="96">
        <v>61.48</v>
      </c>
      <c r="E1346" s="96" t="s">
        <v>66</v>
      </c>
    </row>
    <row r="1347" spans="1:5" x14ac:dyDescent="0.25">
      <c r="A1347" s="84">
        <v>45964</v>
      </c>
      <c r="B1347" s="96">
        <v>513492.01799999998</v>
      </c>
      <c r="C1347" s="96">
        <v>4786383.6880000001</v>
      </c>
      <c r="D1347" s="96">
        <v>59.482999999999997</v>
      </c>
      <c r="E1347" s="96" t="s">
        <v>67</v>
      </c>
    </row>
    <row r="1348" spans="1:5" x14ac:dyDescent="0.25">
      <c r="A1348" s="84">
        <v>45964</v>
      </c>
      <c r="B1348" s="96">
        <v>513492.28600000002</v>
      </c>
      <c r="C1348" s="96">
        <v>4786384.1260000002</v>
      </c>
      <c r="D1348" s="96">
        <v>56.491</v>
      </c>
      <c r="E1348" s="96" t="s">
        <v>68</v>
      </c>
    </row>
    <row r="1349" spans="1:5" x14ac:dyDescent="0.25">
      <c r="A1349" s="84">
        <v>45964</v>
      </c>
      <c r="B1349" s="96">
        <v>513487.78700000001</v>
      </c>
      <c r="C1349" s="96">
        <v>4786375.659</v>
      </c>
      <c r="D1349" s="96">
        <v>60.908999999999999</v>
      </c>
      <c r="E1349" s="96" t="s">
        <v>87</v>
      </c>
    </row>
    <row r="1350" spans="1:5" x14ac:dyDescent="0.25">
      <c r="A1350" s="84">
        <v>45964</v>
      </c>
      <c r="B1350" s="96">
        <v>513488.01500000001</v>
      </c>
      <c r="C1350" s="96">
        <v>4786375.6950000003</v>
      </c>
      <c r="D1350" s="96">
        <v>59.567999999999998</v>
      </c>
      <c r="E1350" s="96" t="s">
        <v>86</v>
      </c>
    </row>
    <row r="1351" spans="1:5" x14ac:dyDescent="0.25">
      <c r="A1351" s="84">
        <v>45964</v>
      </c>
      <c r="B1351" s="96">
        <v>513484.61099999998</v>
      </c>
      <c r="C1351" s="96">
        <v>4786368.8219999997</v>
      </c>
      <c r="D1351" s="96">
        <v>60.353000000000002</v>
      </c>
      <c r="E1351" s="96" t="s">
        <v>72</v>
      </c>
    </row>
    <row r="1352" spans="1:5" x14ac:dyDescent="0.25">
      <c r="A1352" s="84">
        <v>45964</v>
      </c>
      <c r="B1352" s="96">
        <v>513484.72600000002</v>
      </c>
      <c r="C1352" s="96">
        <v>4786368.7390000001</v>
      </c>
      <c r="D1352" s="96">
        <v>59.374000000000002</v>
      </c>
      <c r="E1352" s="96" t="s">
        <v>73</v>
      </c>
    </row>
    <row r="1353" spans="1:5" x14ac:dyDescent="0.25">
      <c r="A1353" s="84">
        <v>45964</v>
      </c>
      <c r="B1353" s="96">
        <v>513484.75300000003</v>
      </c>
      <c r="C1353" s="96">
        <v>4786368.7439999999</v>
      </c>
      <c r="D1353" s="96">
        <v>56.353999999999999</v>
      </c>
      <c r="E1353" s="96" t="s">
        <v>74</v>
      </c>
    </row>
    <row r="1354" spans="1:5" x14ac:dyDescent="0.25">
      <c r="A1354" s="84">
        <v>45964</v>
      </c>
      <c r="B1354" s="96">
        <v>513484.82500000001</v>
      </c>
      <c r="C1354" s="96">
        <v>4786368.9409999996</v>
      </c>
      <c r="D1354" s="96">
        <v>53.366999999999997</v>
      </c>
      <c r="E1354" s="96" t="s">
        <v>75</v>
      </c>
    </row>
    <row r="1355" spans="1:5" x14ac:dyDescent="0.25">
      <c r="A1355" s="84">
        <v>45964</v>
      </c>
      <c r="B1355" s="96">
        <v>513480.11300000001</v>
      </c>
      <c r="C1355" s="96">
        <v>4786359.8169999998</v>
      </c>
      <c r="D1355" s="96">
        <v>59.850999999999999</v>
      </c>
      <c r="E1355" s="96" t="s">
        <v>76</v>
      </c>
    </row>
    <row r="1356" spans="1:5" x14ac:dyDescent="0.25">
      <c r="A1356" s="84">
        <v>45964</v>
      </c>
      <c r="B1356" s="96">
        <v>513480.46100000001</v>
      </c>
      <c r="C1356" s="96">
        <v>4786360.3279999997</v>
      </c>
      <c r="D1356" s="96">
        <v>56.533000000000001</v>
      </c>
      <c r="E1356" s="96" t="s">
        <v>83</v>
      </c>
    </row>
    <row r="1357" spans="1:5" x14ac:dyDescent="0.25">
      <c r="A1357" s="84">
        <v>45964</v>
      </c>
      <c r="B1357" s="96">
        <v>513474.54</v>
      </c>
      <c r="C1357" s="96">
        <v>4786353.8720000004</v>
      </c>
      <c r="D1357" s="96">
        <v>59.292999999999999</v>
      </c>
      <c r="E1357" s="96" t="s">
        <v>79</v>
      </c>
    </row>
    <row r="1358" spans="1:5" x14ac:dyDescent="0.25">
      <c r="A1358" s="84">
        <v>45971</v>
      </c>
      <c r="B1358" s="96">
        <v>513495.20199999999</v>
      </c>
      <c r="C1358" s="96">
        <v>4786386.5460000001</v>
      </c>
      <c r="D1358" s="96">
        <v>61.186</v>
      </c>
      <c r="E1358" s="96" t="s">
        <v>62</v>
      </c>
    </row>
    <row r="1359" spans="1:5" x14ac:dyDescent="0.25">
      <c r="A1359" s="84">
        <v>45971</v>
      </c>
      <c r="B1359" s="96">
        <v>513495.14799999999</v>
      </c>
      <c r="C1359" s="96">
        <v>4786386.3810000001</v>
      </c>
      <c r="D1359" s="96">
        <v>59.656999999999996</v>
      </c>
      <c r="E1359" s="96" t="s">
        <v>63</v>
      </c>
    </row>
    <row r="1360" spans="1:5" x14ac:dyDescent="0.25">
      <c r="A1360" s="84">
        <v>45971</v>
      </c>
      <c r="B1360" s="96">
        <v>513495.77799999999</v>
      </c>
      <c r="C1360" s="96">
        <v>4786386.2050000001</v>
      </c>
      <c r="D1360" s="96">
        <v>56.579000000000001</v>
      </c>
      <c r="E1360" s="96" t="s">
        <v>64</v>
      </c>
    </row>
    <row r="1361" spans="1:5" x14ac:dyDescent="0.25">
      <c r="A1361" s="84">
        <v>45971</v>
      </c>
      <c r="B1361" s="96">
        <v>513491.94699999999</v>
      </c>
      <c r="C1361" s="96">
        <v>4786383.7130000005</v>
      </c>
      <c r="D1361" s="96">
        <v>61.48</v>
      </c>
      <c r="E1361" s="96" t="s">
        <v>66</v>
      </c>
    </row>
    <row r="1362" spans="1:5" x14ac:dyDescent="0.25">
      <c r="A1362" s="84">
        <v>45971</v>
      </c>
      <c r="B1362" s="96">
        <v>513492.01799999998</v>
      </c>
      <c r="C1362" s="96">
        <v>4786383.6890000002</v>
      </c>
      <c r="D1362" s="96">
        <v>59.482999999999997</v>
      </c>
      <c r="E1362" s="96" t="s">
        <v>67</v>
      </c>
    </row>
    <row r="1363" spans="1:5" x14ac:dyDescent="0.25">
      <c r="A1363" s="84">
        <v>45971</v>
      </c>
      <c r="B1363" s="96">
        <v>513492.28600000002</v>
      </c>
      <c r="C1363" s="96">
        <v>4786384.1260000002</v>
      </c>
      <c r="D1363" s="96">
        <v>56.491</v>
      </c>
      <c r="E1363" s="96" t="s">
        <v>68</v>
      </c>
    </row>
    <row r="1364" spans="1:5" x14ac:dyDescent="0.25">
      <c r="A1364" s="84">
        <v>45971</v>
      </c>
      <c r="B1364" s="96">
        <v>513487.78700000001</v>
      </c>
      <c r="C1364" s="96">
        <v>4786375.659</v>
      </c>
      <c r="D1364" s="96">
        <v>60.908999999999999</v>
      </c>
      <c r="E1364" s="96" t="s">
        <v>87</v>
      </c>
    </row>
    <row r="1365" spans="1:5" x14ac:dyDescent="0.25">
      <c r="A1365" s="84">
        <v>45971</v>
      </c>
      <c r="B1365" s="96">
        <v>513488.01500000001</v>
      </c>
      <c r="C1365" s="96">
        <v>4786375.6960000005</v>
      </c>
      <c r="D1365" s="96">
        <v>59.567999999999998</v>
      </c>
      <c r="E1365" s="96" t="s">
        <v>86</v>
      </c>
    </row>
    <row r="1366" spans="1:5" x14ac:dyDescent="0.25">
      <c r="A1366" s="84">
        <v>45971</v>
      </c>
      <c r="B1366" s="96">
        <v>513484.61</v>
      </c>
      <c r="C1366" s="96">
        <v>4786368.8229999999</v>
      </c>
      <c r="D1366" s="96">
        <v>60.351999999999997</v>
      </c>
      <c r="E1366" s="96" t="s">
        <v>72</v>
      </c>
    </row>
    <row r="1367" spans="1:5" x14ac:dyDescent="0.25">
      <c r="A1367" s="84">
        <v>45971</v>
      </c>
      <c r="B1367" s="96">
        <v>513484.72499999998</v>
      </c>
      <c r="C1367" s="96">
        <v>4786368.74</v>
      </c>
      <c r="D1367" s="96">
        <v>59.374000000000002</v>
      </c>
      <c r="E1367" s="96" t="s">
        <v>73</v>
      </c>
    </row>
    <row r="1368" spans="1:5" x14ac:dyDescent="0.25">
      <c r="A1368" s="84">
        <v>45971</v>
      </c>
      <c r="B1368" s="96">
        <v>513484.75400000002</v>
      </c>
      <c r="C1368" s="96">
        <v>4786368.7439999999</v>
      </c>
      <c r="D1368" s="96">
        <v>56.353999999999999</v>
      </c>
      <c r="E1368" s="96" t="s">
        <v>74</v>
      </c>
    </row>
    <row r="1369" spans="1:5" x14ac:dyDescent="0.25">
      <c r="A1369" s="84">
        <v>45971</v>
      </c>
      <c r="B1369" s="96">
        <v>513484.82500000001</v>
      </c>
      <c r="C1369" s="96">
        <v>4786368.9419999998</v>
      </c>
      <c r="D1369" s="96">
        <v>53.366999999999997</v>
      </c>
      <c r="E1369" s="96" t="s">
        <v>75</v>
      </c>
    </row>
    <row r="1370" spans="1:5" x14ac:dyDescent="0.25">
      <c r="A1370" s="84">
        <v>45971</v>
      </c>
      <c r="B1370" s="96">
        <v>513480.11300000001</v>
      </c>
      <c r="C1370" s="96">
        <v>4786359.8169999998</v>
      </c>
      <c r="D1370" s="96">
        <v>59.850999999999999</v>
      </c>
      <c r="E1370" s="96" t="s">
        <v>76</v>
      </c>
    </row>
    <row r="1371" spans="1:5" x14ac:dyDescent="0.25">
      <c r="A1371" s="84">
        <v>45971</v>
      </c>
      <c r="B1371" s="96">
        <v>513480.46</v>
      </c>
      <c r="C1371" s="96">
        <v>4786360.3279999997</v>
      </c>
      <c r="D1371" s="96">
        <v>56.531999999999996</v>
      </c>
      <c r="E1371" s="96" t="s">
        <v>83</v>
      </c>
    </row>
    <row r="1372" spans="1:5" x14ac:dyDescent="0.25">
      <c r="A1372" s="84">
        <v>45971</v>
      </c>
      <c r="B1372" s="96">
        <v>513474.54100000003</v>
      </c>
      <c r="C1372" s="96">
        <v>4786353.8720000004</v>
      </c>
      <c r="D1372" s="96">
        <v>59.292000000000002</v>
      </c>
      <c r="E1372" s="96" t="s">
        <v>79</v>
      </c>
    </row>
    <row r="1373" spans="1:5" x14ac:dyDescent="0.25">
      <c r="A1373" s="84">
        <v>45978</v>
      </c>
      <c r="B1373" s="96">
        <v>513495.20199999999</v>
      </c>
      <c r="C1373" s="96">
        <v>4786386.5470000003</v>
      </c>
      <c r="D1373" s="96">
        <v>61.186</v>
      </c>
      <c r="E1373" s="96" t="s">
        <v>62</v>
      </c>
    </row>
    <row r="1374" spans="1:5" x14ac:dyDescent="0.25">
      <c r="A1374" s="84">
        <v>45978</v>
      </c>
      <c r="B1374" s="96">
        <v>513495.14799999999</v>
      </c>
      <c r="C1374" s="96">
        <v>4786386.3820000002</v>
      </c>
      <c r="D1374" s="96">
        <v>59.656999999999996</v>
      </c>
      <c r="E1374" s="96" t="s">
        <v>63</v>
      </c>
    </row>
    <row r="1375" spans="1:5" x14ac:dyDescent="0.25">
      <c r="A1375" s="84">
        <v>45978</v>
      </c>
      <c r="B1375" s="96">
        <v>513495.77899999998</v>
      </c>
      <c r="C1375" s="96">
        <v>4786386.2050000001</v>
      </c>
      <c r="D1375" s="96">
        <v>56.579000000000001</v>
      </c>
      <c r="E1375" s="96" t="s">
        <v>64</v>
      </c>
    </row>
    <row r="1376" spans="1:5" x14ac:dyDescent="0.25">
      <c r="A1376" s="84">
        <v>45978</v>
      </c>
      <c r="B1376" s="96">
        <v>513491.94699999999</v>
      </c>
      <c r="C1376" s="96">
        <v>4786383.7139999997</v>
      </c>
      <c r="D1376" s="96">
        <v>61.48</v>
      </c>
      <c r="E1376" s="96" t="s">
        <v>66</v>
      </c>
    </row>
    <row r="1377" spans="1:5" x14ac:dyDescent="0.25">
      <c r="A1377" s="84">
        <v>45978</v>
      </c>
      <c r="B1377" s="96">
        <v>513492.01799999998</v>
      </c>
      <c r="C1377" s="96">
        <v>4786383.6900000004</v>
      </c>
      <c r="D1377" s="96">
        <v>59.482999999999997</v>
      </c>
      <c r="E1377" s="96" t="s">
        <v>67</v>
      </c>
    </row>
    <row r="1378" spans="1:5" x14ac:dyDescent="0.25">
      <c r="A1378" s="84">
        <v>45978</v>
      </c>
      <c r="B1378" s="96">
        <v>513492.28600000002</v>
      </c>
      <c r="C1378" s="96">
        <v>4786384.1260000002</v>
      </c>
      <c r="D1378" s="96">
        <v>56.491</v>
      </c>
      <c r="E1378" s="96" t="s">
        <v>68</v>
      </c>
    </row>
    <row r="1379" spans="1:5" x14ac:dyDescent="0.25">
      <c r="A1379" s="84">
        <v>45978</v>
      </c>
      <c r="B1379" s="96">
        <v>513487.78700000001</v>
      </c>
      <c r="C1379" s="96">
        <v>4786375.66</v>
      </c>
      <c r="D1379" s="96">
        <v>60.908000000000001</v>
      </c>
      <c r="E1379" s="96" t="s">
        <v>87</v>
      </c>
    </row>
    <row r="1380" spans="1:5" x14ac:dyDescent="0.25">
      <c r="A1380" s="84">
        <v>45978</v>
      </c>
      <c r="B1380" s="96">
        <v>513488.01500000001</v>
      </c>
      <c r="C1380" s="96">
        <v>4786375.6960000005</v>
      </c>
      <c r="D1380" s="96">
        <v>59.567999999999998</v>
      </c>
      <c r="E1380" s="96" t="s">
        <v>86</v>
      </c>
    </row>
    <row r="1381" spans="1:5" x14ac:dyDescent="0.25">
      <c r="A1381" s="84">
        <v>45978</v>
      </c>
      <c r="B1381" s="96">
        <v>513484.61099999998</v>
      </c>
      <c r="C1381" s="96">
        <v>4786368.8229999999</v>
      </c>
      <c r="D1381" s="96">
        <v>60.351999999999997</v>
      </c>
      <c r="E1381" s="96" t="s">
        <v>72</v>
      </c>
    </row>
    <row r="1382" spans="1:5" x14ac:dyDescent="0.25">
      <c r="A1382" s="84">
        <v>45978</v>
      </c>
      <c r="B1382" s="96">
        <v>513484.72600000002</v>
      </c>
      <c r="C1382" s="96">
        <v>4786368.74</v>
      </c>
      <c r="D1382" s="96">
        <v>59.372999999999998</v>
      </c>
      <c r="E1382" s="96" t="s">
        <v>73</v>
      </c>
    </row>
    <row r="1383" spans="1:5" x14ac:dyDescent="0.25">
      <c r="A1383" s="84">
        <v>45978</v>
      </c>
      <c r="B1383" s="96">
        <v>513484.75400000002</v>
      </c>
      <c r="C1383" s="96">
        <v>4786368.7439999999</v>
      </c>
      <c r="D1383" s="96">
        <v>56.353000000000002</v>
      </c>
      <c r="E1383" s="96" t="s">
        <v>74</v>
      </c>
    </row>
    <row r="1384" spans="1:5" x14ac:dyDescent="0.25">
      <c r="A1384" s="84">
        <v>45978</v>
      </c>
      <c r="B1384" s="96">
        <v>513480.11300000001</v>
      </c>
      <c r="C1384" s="96">
        <v>4786359.818</v>
      </c>
      <c r="D1384" s="96">
        <v>59.85</v>
      </c>
      <c r="E1384" s="96" t="s">
        <v>76</v>
      </c>
    </row>
    <row r="1385" spans="1:5" x14ac:dyDescent="0.25">
      <c r="A1385" s="84">
        <v>45978</v>
      </c>
      <c r="B1385" s="96">
        <v>513480.46100000001</v>
      </c>
      <c r="C1385" s="96">
        <v>4786360.3289999999</v>
      </c>
      <c r="D1385" s="96">
        <v>56.530999999999999</v>
      </c>
      <c r="E1385" s="96" t="s">
        <v>83</v>
      </c>
    </row>
    <row r="1386" spans="1:5" x14ac:dyDescent="0.25">
      <c r="A1386" s="84">
        <v>45978</v>
      </c>
      <c r="B1386" s="96">
        <v>513474.54</v>
      </c>
      <c r="C1386" s="96">
        <v>4786353.8720000004</v>
      </c>
      <c r="D1386" s="96">
        <v>59.292000000000002</v>
      </c>
      <c r="E1386" s="96" t="s">
        <v>79</v>
      </c>
    </row>
    <row r="1387" spans="1:5" x14ac:dyDescent="0.25">
      <c r="A1387" s="84">
        <v>45985</v>
      </c>
      <c r="B1387" s="96">
        <v>513474.54</v>
      </c>
      <c r="C1387" s="96">
        <v>4786353.8710000003</v>
      </c>
      <c r="D1387" s="96">
        <v>59.292000000000002</v>
      </c>
      <c r="E1387" s="96" t="s">
        <v>79</v>
      </c>
    </row>
    <row r="1388" spans="1:5" x14ac:dyDescent="0.25">
      <c r="A1388" s="84">
        <v>45985</v>
      </c>
      <c r="B1388" s="96">
        <v>513480.46100000001</v>
      </c>
      <c r="C1388" s="96">
        <v>4786360.3279999997</v>
      </c>
      <c r="D1388" s="96">
        <v>56.531999999999996</v>
      </c>
      <c r="E1388" s="96" t="s">
        <v>83</v>
      </c>
    </row>
    <row r="1389" spans="1:5" x14ac:dyDescent="0.25">
      <c r="A1389" s="84">
        <v>45985</v>
      </c>
      <c r="B1389" s="96">
        <v>513480.11300000001</v>
      </c>
      <c r="C1389" s="96">
        <v>4786359.8169999998</v>
      </c>
      <c r="D1389" s="96">
        <v>59.85</v>
      </c>
      <c r="E1389" s="96" t="s">
        <v>76</v>
      </c>
    </row>
    <row r="1390" spans="1:5" x14ac:dyDescent="0.25">
      <c r="A1390" s="84">
        <v>45985</v>
      </c>
      <c r="B1390" s="96">
        <v>513484.82400000002</v>
      </c>
      <c r="C1390" s="96">
        <v>4786368.9409999996</v>
      </c>
      <c r="D1390" s="96">
        <v>53.366999999999997</v>
      </c>
      <c r="E1390" s="96" t="s">
        <v>75</v>
      </c>
    </row>
    <row r="1391" spans="1:5" x14ac:dyDescent="0.25">
      <c r="A1391" s="84">
        <v>45985</v>
      </c>
      <c r="B1391" s="96">
        <v>513484.75400000002</v>
      </c>
      <c r="C1391" s="96">
        <v>4786368.7439999999</v>
      </c>
      <c r="D1391" s="96">
        <v>56.353000000000002</v>
      </c>
      <c r="E1391" s="96" t="s">
        <v>74</v>
      </c>
    </row>
    <row r="1392" spans="1:5" x14ac:dyDescent="0.25">
      <c r="A1392" s="84">
        <v>45985</v>
      </c>
      <c r="B1392" s="96">
        <v>513484.72499999998</v>
      </c>
      <c r="C1392" s="96">
        <v>4786368.7390000001</v>
      </c>
      <c r="D1392" s="96">
        <v>59.374000000000002</v>
      </c>
      <c r="E1392" s="96" t="s">
        <v>73</v>
      </c>
    </row>
    <row r="1393" spans="1:5" x14ac:dyDescent="0.25">
      <c r="A1393" s="84">
        <v>45985</v>
      </c>
      <c r="B1393" s="96">
        <v>513484.61</v>
      </c>
      <c r="C1393" s="96">
        <v>4786368.8219999997</v>
      </c>
      <c r="D1393" s="96">
        <v>60.351999999999997</v>
      </c>
      <c r="E1393" s="96" t="s">
        <v>72</v>
      </c>
    </row>
    <row r="1394" spans="1:5" x14ac:dyDescent="0.25">
      <c r="A1394" s="84">
        <v>45985</v>
      </c>
      <c r="B1394" s="96">
        <v>513488.01500000001</v>
      </c>
      <c r="C1394" s="96">
        <v>4786375.6950000003</v>
      </c>
      <c r="D1394" s="96">
        <v>59.567</v>
      </c>
      <c r="E1394" s="96" t="s">
        <v>86</v>
      </c>
    </row>
    <row r="1395" spans="1:5" x14ac:dyDescent="0.25">
      <c r="A1395" s="84">
        <v>45985</v>
      </c>
      <c r="B1395" s="96">
        <v>513487.78700000001</v>
      </c>
      <c r="C1395" s="96">
        <v>4786375.659</v>
      </c>
      <c r="D1395" s="96">
        <v>60.908999999999999</v>
      </c>
      <c r="E1395" s="96" t="s">
        <v>87</v>
      </c>
    </row>
    <row r="1396" spans="1:5" x14ac:dyDescent="0.25">
      <c r="A1396" s="84">
        <v>45985</v>
      </c>
      <c r="B1396" s="96">
        <v>513492.28600000002</v>
      </c>
      <c r="C1396" s="96">
        <v>4786384.125</v>
      </c>
      <c r="D1396" s="96">
        <v>56.491999999999997</v>
      </c>
      <c r="E1396" s="96" t="s">
        <v>68</v>
      </c>
    </row>
    <row r="1397" spans="1:5" x14ac:dyDescent="0.25">
      <c r="A1397" s="84">
        <v>45985</v>
      </c>
      <c r="B1397" s="96">
        <v>513492.01799999998</v>
      </c>
      <c r="C1397" s="96">
        <v>4786383.6890000002</v>
      </c>
      <c r="D1397" s="96">
        <v>59.484999999999999</v>
      </c>
      <c r="E1397" s="96" t="s">
        <v>67</v>
      </c>
    </row>
    <row r="1398" spans="1:5" x14ac:dyDescent="0.25">
      <c r="A1398" s="84">
        <v>45985</v>
      </c>
      <c r="B1398" s="96">
        <v>513491.94699999999</v>
      </c>
      <c r="C1398" s="96">
        <v>4786383.7120000003</v>
      </c>
      <c r="D1398" s="96">
        <v>61.48</v>
      </c>
      <c r="E1398" s="96" t="s">
        <v>66</v>
      </c>
    </row>
    <row r="1399" spans="1:5" x14ac:dyDescent="0.25">
      <c r="A1399" s="84">
        <v>45985</v>
      </c>
      <c r="B1399" s="96">
        <v>513495.77799999999</v>
      </c>
      <c r="C1399" s="96">
        <v>4786386.2039999999</v>
      </c>
      <c r="D1399" s="96">
        <v>56.578000000000003</v>
      </c>
      <c r="E1399" s="96" t="s">
        <v>64</v>
      </c>
    </row>
    <row r="1400" spans="1:5" x14ac:dyDescent="0.25">
      <c r="A1400" s="84">
        <v>45985</v>
      </c>
      <c r="B1400" s="96">
        <v>513495.147</v>
      </c>
      <c r="C1400" s="96">
        <v>4786386.3810000001</v>
      </c>
      <c r="D1400" s="96">
        <v>59.656999999999996</v>
      </c>
      <c r="E1400" s="96" t="s">
        <v>63</v>
      </c>
    </row>
    <row r="1401" spans="1:5" x14ac:dyDescent="0.25">
      <c r="A1401" s="84">
        <v>45985</v>
      </c>
      <c r="B1401" s="96">
        <v>513495.201</v>
      </c>
      <c r="C1401" s="96">
        <v>4786386.5449999999</v>
      </c>
      <c r="D1401" s="96">
        <v>61.186</v>
      </c>
      <c r="E1401" s="96" t="s">
        <v>62</v>
      </c>
    </row>
    <row r="1402" spans="1:5" x14ac:dyDescent="0.25">
      <c r="A1402" s="84">
        <v>45992</v>
      </c>
      <c r="B1402" s="96">
        <v>513474.54</v>
      </c>
      <c r="C1402" s="96">
        <v>4786353.8710000003</v>
      </c>
      <c r="D1402" s="96">
        <v>59.292000000000002</v>
      </c>
      <c r="E1402" s="96" t="s">
        <v>79</v>
      </c>
    </row>
    <row r="1403" spans="1:5" x14ac:dyDescent="0.25">
      <c r="A1403" s="84">
        <v>45992</v>
      </c>
      <c r="B1403" s="96">
        <v>513480.46100000001</v>
      </c>
      <c r="C1403" s="96">
        <v>4786360.3269999996</v>
      </c>
      <c r="D1403" s="96">
        <v>56.530999999999999</v>
      </c>
      <c r="E1403" s="96" t="s">
        <v>83</v>
      </c>
    </row>
    <row r="1404" spans="1:5" x14ac:dyDescent="0.25">
      <c r="A1404" s="84">
        <v>45992</v>
      </c>
      <c r="B1404" s="96">
        <v>513480.11300000001</v>
      </c>
      <c r="C1404" s="96">
        <v>4786359.8169999998</v>
      </c>
      <c r="D1404" s="96">
        <v>59.85</v>
      </c>
      <c r="E1404" s="96" t="s">
        <v>76</v>
      </c>
    </row>
    <row r="1405" spans="1:5" x14ac:dyDescent="0.25">
      <c r="A1405" s="84">
        <v>45992</v>
      </c>
      <c r="B1405" s="96">
        <v>513484.82500000001</v>
      </c>
      <c r="C1405" s="96">
        <v>4786368.9409999996</v>
      </c>
      <c r="D1405" s="96">
        <v>53.366</v>
      </c>
      <c r="E1405" s="96" t="s">
        <v>75</v>
      </c>
    </row>
    <row r="1406" spans="1:5" x14ac:dyDescent="0.25">
      <c r="A1406" s="84">
        <v>45992</v>
      </c>
      <c r="B1406" s="96">
        <v>513484.75300000003</v>
      </c>
      <c r="C1406" s="96">
        <v>4786368.7429999998</v>
      </c>
      <c r="D1406" s="96">
        <v>56.353000000000002</v>
      </c>
      <c r="E1406" s="96" t="s">
        <v>74</v>
      </c>
    </row>
    <row r="1407" spans="1:5" x14ac:dyDescent="0.25">
      <c r="A1407" s="84">
        <v>45992</v>
      </c>
      <c r="B1407" s="96">
        <v>513484.72600000002</v>
      </c>
      <c r="C1407" s="96">
        <v>4786368.7390000001</v>
      </c>
      <c r="D1407" s="96">
        <v>59.372999999999998</v>
      </c>
      <c r="E1407" s="96" t="s">
        <v>73</v>
      </c>
    </row>
    <row r="1408" spans="1:5" x14ac:dyDescent="0.25">
      <c r="A1408" s="84">
        <v>45992</v>
      </c>
      <c r="B1408" s="96">
        <v>513484.61099999998</v>
      </c>
      <c r="C1408" s="96">
        <v>4786368.8219999997</v>
      </c>
      <c r="D1408" s="96">
        <v>60.350999999999999</v>
      </c>
      <c r="E1408" s="96" t="s">
        <v>72</v>
      </c>
    </row>
    <row r="1409" spans="1:5" x14ac:dyDescent="0.25">
      <c r="A1409" s="84">
        <v>45992</v>
      </c>
      <c r="B1409" s="96">
        <v>513487.78700000001</v>
      </c>
      <c r="C1409" s="96">
        <v>4786375.6579999998</v>
      </c>
      <c r="D1409" s="96">
        <v>60.906999999999996</v>
      </c>
      <c r="E1409" s="96" t="s">
        <v>87</v>
      </c>
    </row>
    <row r="1410" spans="1:5" x14ac:dyDescent="0.25">
      <c r="A1410" s="84">
        <v>45992</v>
      </c>
      <c r="B1410" s="96">
        <v>513488.01500000001</v>
      </c>
      <c r="C1410" s="96">
        <v>4786375.6950000003</v>
      </c>
      <c r="D1410" s="96">
        <v>59.567</v>
      </c>
      <c r="E1410" s="96" t="s">
        <v>86</v>
      </c>
    </row>
    <row r="1411" spans="1:5" x14ac:dyDescent="0.25">
      <c r="A1411" s="84">
        <v>45992</v>
      </c>
      <c r="B1411" s="96">
        <v>513492.28600000002</v>
      </c>
      <c r="C1411" s="96">
        <v>4786384.125</v>
      </c>
      <c r="D1411" s="96">
        <v>56.49</v>
      </c>
      <c r="E1411" s="96" t="s">
        <v>68</v>
      </c>
    </row>
    <row r="1412" spans="1:5" x14ac:dyDescent="0.25">
      <c r="A1412" s="84">
        <v>45992</v>
      </c>
      <c r="B1412" s="96">
        <v>513492.01799999998</v>
      </c>
      <c r="C1412" s="96">
        <v>4786383.6880000001</v>
      </c>
      <c r="D1412" s="96">
        <v>59.481999999999999</v>
      </c>
      <c r="E1412" s="96" t="s">
        <v>67</v>
      </c>
    </row>
    <row r="1413" spans="1:5" x14ac:dyDescent="0.25">
      <c r="A1413" s="84">
        <v>45992</v>
      </c>
      <c r="B1413" s="96">
        <v>513491.946</v>
      </c>
      <c r="C1413" s="96">
        <v>4786383.7120000003</v>
      </c>
      <c r="D1413" s="96">
        <v>61.478999999999999</v>
      </c>
      <c r="E1413" s="96" t="s">
        <v>66</v>
      </c>
    </row>
    <row r="1414" spans="1:5" x14ac:dyDescent="0.25">
      <c r="A1414" s="84">
        <v>45992</v>
      </c>
      <c r="B1414" s="96">
        <v>513495.77799999999</v>
      </c>
      <c r="C1414" s="96">
        <v>4786386.2039999999</v>
      </c>
      <c r="D1414" s="96">
        <v>56.578000000000003</v>
      </c>
      <c r="E1414" s="96" t="s">
        <v>64</v>
      </c>
    </row>
    <row r="1415" spans="1:5" x14ac:dyDescent="0.25">
      <c r="A1415" s="84">
        <v>45992</v>
      </c>
      <c r="B1415" s="96">
        <v>513495.147</v>
      </c>
      <c r="C1415" s="96">
        <v>4786386.38</v>
      </c>
      <c r="D1415" s="96">
        <v>59.656999999999996</v>
      </c>
      <c r="E1415" s="96" t="s">
        <v>63</v>
      </c>
    </row>
    <row r="1416" spans="1:5" x14ac:dyDescent="0.25">
      <c r="A1416" s="84">
        <v>45992</v>
      </c>
      <c r="B1416" s="96">
        <v>513495.201</v>
      </c>
      <c r="C1416" s="96">
        <v>4786386.5449999999</v>
      </c>
      <c r="D1416" s="96">
        <v>61.185000000000002</v>
      </c>
      <c r="E1416" s="96" t="s">
        <v>62</v>
      </c>
    </row>
    <row r="1417" spans="1:5" x14ac:dyDescent="0.25">
      <c r="A1417" s="84">
        <v>45999</v>
      </c>
      <c r="B1417" s="96">
        <v>513495.201</v>
      </c>
      <c r="C1417" s="96">
        <v>4786386.5449999999</v>
      </c>
      <c r="D1417" s="96">
        <v>61.185000000000002</v>
      </c>
      <c r="E1417" s="96" t="s">
        <v>62</v>
      </c>
    </row>
    <row r="1418" spans="1:5" x14ac:dyDescent="0.25">
      <c r="A1418" s="84">
        <v>45999</v>
      </c>
      <c r="B1418" s="96">
        <v>513495.147</v>
      </c>
      <c r="C1418" s="96">
        <v>4786386.38</v>
      </c>
      <c r="D1418" s="96">
        <v>59.655999999999999</v>
      </c>
      <c r="E1418" s="96" t="s">
        <v>63</v>
      </c>
    </row>
    <row r="1419" spans="1:5" x14ac:dyDescent="0.25">
      <c r="A1419" s="84">
        <v>45999</v>
      </c>
      <c r="B1419" s="96">
        <v>513491.946</v>
      </c>
      <c r="C1419" s="96">
        <v>4786383.7120000003</v>
      </c>
      <c r="D1419" s="96">
        <v>61.478000000000002</v>
      </c>
      <c r="E1419" s="96" t="s">
        <v>66</v>
      </c>
    </row>
    <row r="1420" spans="1:5" x14ac:dyDescent="0.25">
      <c r="A1420" s="84">
        <v>45999</v>
      </c>
      <c r="B1420" s="96">
        <v>513492.01699999999</v>
      </c>
      <c r="C1420" s="96">
        <v>4786383.6880000001</v>
      </c>
      <c r="D1420" s="96">
        <v>59.481000000000002</v>
      </c>
      <c r="E1420" s="96" t="s">
        <v>67</v>
      </c>
    </row>
    <row r="1421" spans="1:5" x14ac:dyDescent="0.25">
      <c r="A1421" s="84">
        <v>45999</v>
      </c>
      <c r="B1421" s="96">
        <v>513488.01500000001</v>
      </c>
      <c r="C1421" s="96">
        <v>4786375.6950000003</v>
      </c>
      <c r="D1421" s="96">
        <v>59.567</v>
      </c>
      <c r="E1421" s="96" t="s">
        <v>86</v>
      </c>
    </row>
    <row r="1422" spans="1:5" x14ac:dyDescent="0.25">
      <c r="A1422" s="84">
        <v>45999</v>
      </c>
      <c r="B1422" s="96">
        <v>513487.78700000001</v>
      </c>
      <c r="C1422" s="96">
        <v>4786375.6579999998</v>
      </c>
      <c r="D1422" s="96">
        <v>60.908000000000001</v>
      </c>
      <c r="E1422" s="96" t="s">
        <v>87</v>
      </c>
    </row>
    <row r="1423" spans="1:5" x14ac:dyDescent="0.25">
      <c r="A1423" s="84">
        <v>45999</v>
      </c>
      <c r="B1423" s="96">
        <v>513484.61</v>
      </c>
      <c r="C1423" s="96">
        <v>4786368.8219999997</v>
      </c>
      <c r="D1423" s="96">
        <v>60.350999999999999</v>
      </c>
      <c r="E1423" s="96" t="s">
        <v>72</v>
      </c>
    </row>
    <row r="1424" spans="1:5" x14ac:dyDescent="0.25">
      <c r="A1424" s="84">
        <v>45999</v>
      </c>
      <c r="B1424" s="96">
        <v>513484.72499999998</v>
      </c>
      <c r="C1424" s="96">
        <v>4786368.7390000001</v>
      </c>
      <c r="D1424" s="96">
        <v>59.372999999999998</v>
      </c>
      <c r="E1424" s="96" t="s">
        <v>73</v>
      </c>
    </row>
    <row r="1425" spans="1:5" x14ac:dyDescent="0.25">
      <c r="A1425" s="84">
        <v>45999</v>
      </c>
      <c r="B1425" s="96">
        <v>513484.75400000002</v>
      </c>
      <c r="C1425" s="96">
        <v>4786368.7429999998</v>
      </c>
      <c r="D1425" s="96">
        <v>56.353000000000002</v>
      </c>
      <c r="E1425" s="96" t="s">
        <v>74</v>
      </c>
    </row>
    <row r="1426" spans="1:5" x14ac:dyDescent="0.25">
      <c r="A1426" s="84">
        <v>45999</v>
      </c>
      <c r="B1426" s="96">
        <v>513480.11300000001</v>
      </c>
      <c r="C1426" s="96">
        <v>4786359.8169999998</v>
      </c>
      <c r="D1426" s="96">
        <v>59.848999999999997</v>
      </c>
      <c r="E1426" s="96" t="s">
        <v>76</v>
      </c>
    </row>
    <row r="1427" spans="1:5" x14ac:dyDescent="0.25">
      <c r="A1427" s="84">
        <v>45999</v>
      </c>
      <c r="B1427" s="96">
        <v>513474.54</v>
      </c>
      <c r="C1427" s="96">
        <v>4786353.8710000003</v>
      </c>
      <c r="D1427" s="96">
        <v>59.290999999999997</v>
      </c>
      <c r="E1427" s="96" t="s">
        <v>79</v>
      </c>
    </row>
    <row r="1428" spans="1:5" x14ac:dyDescent="0.25">
      <c r="A1428" s="84">
        <v>45999</v>
      </c>
      <c r="B1428" s="96">
        <v>513480.46100000001</v>
      </c>
      <c r="C1428" s="96">
        <v>4786360.3279999997</v>
      </c>
      <c r="D1428" s="96">
        <v>56.530999999999999</v>
      </c>
      <c r="E1428" s="96" t="s">
        <v>83</v>
      </c>
    </row>
    <row r="1429" spans="1:5" x14ac:dyDescent="0.25">
      <c r="A1429" s="84">
        <v>45999</v>
      </c>
      <c r="B1429" s="96">
        <v>513492.28499999997</v>
      </c>
      <c r="C1429" s="96">
        <v>4786384.125</v>
      </c>
      <c r="D1429" s="96">
        <v>56.49</v>
      </c>
      <c r="E1429" s="96" t="s">
        <v>68</v>
      </c>
    </row>
    <row r="1430" spans="1:5" x14ac:dyDescent="0.25">
      <c r="A1430" s="84">
        <v>45999</v>
      </c>
      <c r="B1430" s="96">
        <v>513484.82500000001</v>
      </c>
      <c r="C1430" s="96">
        <v>4786368.9409999996</v>
      </c>
      <c r="D1430" s="96">
        <v>53.366</v>
      </c>
      <c r="E1430" s="96" t="s">
        <v>75</v>
      </c>
    </row>
    <row r="1431" spans="1:5" x14ac:dyDescent="0.25">
      <c r="A1431" s="84">
        <v>46006</v>
      </c>
      <c r="B1431" s="96">
        <v>513480.462</v>
      </c>
      <c r="C1431" s="96">
        <v>4786360.3269999996</v>
      </c>
      <c r="D1431" s="96">
        <v>56.53</v>
      </c>
      <c r="E1431" s="96" t="s">
        <v>83</v>
      </c>
    </row>
    <row r="1432" spans="1:5" x14ac:dyDescent="0.25">
      <c r="A1432" s="84">
        <v>46006</v>
      </c>
      <c r="B1432" s="96">
        <v>513480.11300000001</v>
      </c>
      <c r="C1432" s="96">
        <v>4786359.8169999998</v>
      </c>
      <c r="D1432" s="96">
        <v>59.848999999999997</v>
      </c>
      <c r="E1432" s="96" t="s">
        <v>76</v>
      </c>
    </row>
    <row r="1433" spans="1:5" x14ac:dyDescent="0.25">
      <c r="A1433" s="84">
        <v>46006</v>
      </c>
      <c r="B1433" s="96">
        <v>513484.75400000002</v>
      </c>
      <c r="C1433" s="96">
        <v>4786368.7429999998</v>
      </c>
      <c r="D1433" s="96">
        <v>56.351999999999997</v>
      </c>
      <c r="E1433" s="96" t="s">
        <v>74</v>
      </c>
    </row>
    <row r="1434" spans="1:5" x14ac:dyDescent="0.25">
      <c r="A1434" s="84">
        <v>46006</v>
      </c>
      <c r="B1434" s="96">
        <v>513484.72499999998</v>
      </c>
      <c r="C1434" s="96">
        <v>4786368.7390000001</v>
      </c>
      <c r="D1434" s="96">
        <v>59.372</v>
      </c>
      <c r="E1434" s="96" t="s">
        <v>73</v>
      </c>
    </row>
    <row r="1435" spans="1:5" x14ac:dyDescent="0.25">
      <c r="A1435" s="84">
        <v>46006</v>
      </c>
      <c r="B1435" s="96">
        <v>513484.61099999998</v>
      </c>
      <c r="C1435" s="96">
        <v>4786368.8219999997</v>
      </c>
      <c r="D1435" s="96">
        <v>60.350999999999999</v>
      </c>
      <c r="E1435" s="96" t="s">
        <v>72</v>
      </c>
    </row>
    <row r="1436" spans="1:5" x14ac:dyDescent="0.25">
      <c r="A1436" s="84">
        <v>46006</v>
      </c>
      <c r="B1436" s="96">
        <v>513487.78700000001</v>
      </c>
      <c r="C1436" s="96">
        <v>4786375.6579999998</v>
      </c>
      <c r="D1436" s="96">
        <v>60.906999999999996</v>
      </c>
      <c r="E1436" s="96" t="s">
        <v>87</v>
      </c>
    </row>
    <row r="1437" spans="1:5" x14ac:dyDescent="0.25">
      <c r="A1437" s="84">
        <v>46006</v>
      </c>
      <c r="B1437" s="96">
        <v>513488.01500000001</v>
      </c>
      <c r="C1437" s="96">
        <v>4786375.6950000003</v>
      </c>
      <c r="D1437" s="96">
        <v>59.566000000000003</v>
      </c>
      <c r="E1437" s="96" t="s">
        <v>86</v>
      </c>
    </row>
    <row r="1438" spans="1:5" x14ac:dyDescent="0.25">
      <c r="A1438" s="84">
        <v>46006</v>
      </c>
      <c r="B1438" s="96">
        <v>513492.28600000002</v>
      </c>
      <c r="C1438" s="96">
        <v>4786384.1239999998</v>
      </c>
      <c r="D1438" s="96">
        <v>56.49</v>
      </c>
      <c r="E1438" s="96" t="s">
        <v>68</v>
      </c>
    </row>
    <row r="1439" spans="1:5" x14ac:dyDescent="0.25">
      <c r="A1439" s="84">
        <v>46006</v>
      </c>
      <c r="B1439" s="96">
        <v>513492.01799999998</v>
      </c>
      <c r="C1439" s="96">
        <v>4786383.6880000001</v>
      </c>
      <c r="D1439" s="96">
        <v>59.481999999999999</v>
      </c>
      <c r="E1439" s="96" t="s">
        <v>67</v>
      </c>
    </row>
    <row r="1440" spans="1:5" x14ac:dyDescent="0.25">
      <c r="A1440" s="84">
        <v>46006</v>
      </c>
      <c r="B1440" s="96">
        <v>513491.946</v>
      </c>
      <c r="C1440" s="96">
        <v>4786383.7120000003</v>
      </c>
      <c r="D1440" s="96">
        <v>61.478999999999999</v>
      </c>
      <c r="E1440" s="96" t="s">
        <v>66</v>
      </c>
    </row>
    <row r="1441" spans="1:5" x14ac:dyDescent="0.25">
      <c r="A1441" s="84">
        <v>46006</v>
      </c>
      <c r="B1441" s="96">
        <v>513495.77799999999</v>
      </c>
      <c r="C1441" s="96">
        <v>4786386.2039999999</v>
      </c>
      <c r="D1441" s="96">
        <v>56.578000000000003</v>
      </c>
      <c r="E1441" s="96" t="s">
        <v>64</v>
      </c>
    </row>
    <row r="1442" spans="1:5" x14ac:dyDescent="0.25">
      <c r="A1442" s="84">
        <v>46006</v>
      </c>
      <c r="B1442" s="96">
        <v>513495.147</v>
      </c>
      <c r="C1442" s="96">
        <v>4786386.3810000001</v>
      </c>
      <c r="D1442" s="96">
        <v>59.656999999999996</v>
      </c>
      <c r="E1442" s="96" t="s">
        <v>63</v>
      </c>
    </row>
    <row r="1443" spans="1:5" x14ac:dyDescent="0.25">
      <c r="A1443" s="84">
        <v>46006</v>
      </c>
      <c r="B1443" s="96">
        <v>513495.201</v>
      </c>
      <c r="C1443" s="96">
        <v>4786386.5449999999</v>
      </c>
      <c r="D1443" s="96">
        <v>61.185000000000002</v>
      </c>
      <c r="E1443" s="96" t="s">
        <v>62</v>
      </c>
    </row>
    <row r="1444" spans="1:5" x14ac:dyDescent="0.25">
      <c r="A1444" s="84">
        <v>46006</v>
      </c>
      <c r="B1444" s="96">
        <v>513474.54100000003</v>
      </c>
      <c r="C1444" s="96">
        <v>4786353.8710000003</v>
      </c>
      <c r="D1444" s="96">
        <v>59.290999999999997</v>
      </c>
      <c r="E1444" s="96" t="s">
        <v>79</v>
      </c>
    </row>
    <row r="1445" spans="1:5" x14ac:dyDescent="0.25">
      <c r="A1445" s="84">
        <v>46029</v>
      </c>
      <c r="B1445" s="96">
        <v>513495.201</v>
      </c>
      <c r="C1445" s="96">
        <v>4786386.5449999999</v>
      </c>
      <c r="D1445" s="96">
        <v>61.185000000000002</v>
      </c>
      <c r="E1445" s="96" t="s">
        <v>62</v>
      </c>
    </row>
    <row r="1446" spans="1:5" x14ac:dyDescent="0.25">
      <c r="A1446" s="84">
        <v>46029</v>
      </c>
      <c r="B1446" s="96">
        <v>513495.14799999999</v>
      </c>
      <c r="C1446" s="96">
        <v>4786386.38</v>
      </c>
      <c r="D1446" s="96">
        <v>59.655000000000001</v>
      </c>
      <c r="E1446" s="96" t="s">
        <v>63</v>
      </c>
    </row>
    <row r="1447" spans="1:5" x14ac:dyDescent="0.25">
      <c r="A1447" s="84">
        <v>46029</v>
      </c>
      <c r="B1447" s="96">
        <v>513495.77899999998</v>
      </c>
      <c r="C1447" s="96">
        <v>4786386.2039999999</v>
      </c>
      <c r="D1447" s="96">
        <v>56.578000000000003</v>
      </c>
      <c r="E1447" s="96" t="s">
        <v>64</v>
      </c>
    </row>
    <row r="1448" spans="1:5" x14ac:dyDescent="0.25">
      <c r="A1448" s="84">
        <v>46029</v>
      </c>
      <c r="B1448" s="96">
        <v>513491.946</v>
      </c>
      <c r="C1448" s="96">
        <v>4786383.7120000003</v>
      </c>
      <c r="D1448" s="96">
        <v>61.478000000000002</v>
      </c>
      <c r="E1448" s="96" t="s">
        <v>66</v>
      </c>
    </row>
    <row r="1449" spans="1:5" x14ac:dyDescent="0.25">
      <c r="A1449" s="84">
        <v>46029</v>
      </c>
      <c r="B1449" s="96">
        <v>513492.28600000002</v>
      </c>
      <c r="C1449" s="96">
        <v>4786384.125</v>
      </c>
      <c r="D1449" s="96">
        <v>56.488999999999997</v>
      </c>
      <c r="E1449" s="96" t="s">
        <v>68</v>
      </c>
    </row>
    <row r="1450" spans="1:5" x14ac:dyDescent="0.25">
      <c r="A1450" s="84">
        <v>46029</v>
      </c>
      <c r="B1450" s="96">
        <v>513487.78600000002</v>
      </c>
      <c r="C1450" s="96">
        <v>4786375.6579999998</v>
      </c>
      <c r="D1450" s="96">
        <v>60.905999999999999</v>
      </c>
      <c r="E1450" s="96" t="s">
        <v>87</v>
      </c>
    </row>
    <row r="1451" spans="1:5" x14ac:dyDescent="0.25">
      <c r="A1451" s="84">
        <v>46029</v>
      </c>
      <c r="B1451" s="96">
        <v>513488.01400000002</v>
      </c>
      <c r="C1451" s="96">
        <v>4786375.6950000003</v>
      </c>
      <c r="D1451" s="96">
        <v>59.564999999999998</v>
      </c>
      <c r="E1451" s="96" t="s">
        <v>86</v>
      </c>
    </row>
    <row r="1452" spans="1:5" x14ac:dyDescent="0.25">
      <c r="A1452" s="84">
        <v>46029</v>
      </c>
      <c r="B1452" s="96">
        <v>513484.61</v>
      </c>
      <c r="C1452" s="96">
        <v>4786368.8219999997</v>
      </c>
      <c r="D1452" s="96">
        <v>60.35</v>
      </c>
      <c r="E1452" s="96" t="s">
        <v>72</v>
      </c>
    </row>
    <row r="1453" spans="1:5" x14ac:dyDescent="0.25">
      <c r="A1453" s="84">
        <v>46029</v>
      </c>
      <c r="B1453" s="96">
        <v>513484.72600000002</v>
      </c>
      <c r="C1453" s="96">
        <v>4786368.74</v>
      </c>
      <c r="D1453" s="96">
        <v>59.37</v>
      </c>
      <c r="E1453" s="96" t="s">
        <v>73</v>
      </c>
    </row>
    <row r="1454" spans="1:5" x14ac:dyDescent="0.25">
      <c r="A1454" s="84">
        <v>46029</v>
      </c>
      <c r="B1454" s="96">
        <v>513484.75400000002</v>
      </c>
      <c r="C1454" s="96">
        <v>4786368.7439999999</v>
      </c>
      <c r="D1454" s="96">
        <v>56.350999999999999</v>
      </c>
      <c r="E1454" s="96" t="s">
        <v>74</v>
      </c>
    </row>
    <row r="1455" spans="1:5" x14ac:dyDescent="0.25">
      <c r="A1455" s="84">
        <v>46029</v>
      </c>
      <c r="B1455" s="96">
        <v>513484.82500000001</v>
      </c>
      <c r="C1455" s="96">
        <v>4786368.9419999998</v>
      </c>
      <c r="D1455" s="96">
        <v>53.363</v>
      </c>
      <c r="E1455" s="96" t="s">
        <v>75</v>
      </c>
    </row>
    <row r="1456" spans="1:5" x14ac:dyDescent="0.25">
      <c r="A1456" s="84">
        <v>46029</v>
      </c>
      <c r="B1456" s="96">
        <v>513480.11200000002</v>
      </c>
      <c r="C1456" s="96">
        <v>4786359.8169999998</v>
      </c>
      <c r="D1456" s="96">
        <v>59.847999999999999</v>
      </c>
      <c r="E1456" s="96" t="s">
        <v>76</v>
      </c>
    </row>
    <row r="1457" spans="1:5" x14ac:dyDescent="0.25">
      <c r="A1457" s="84">
        <v>46029</v>
      </c>
      <c r="B1457" s="96">
        <v>513480.46100000001</v>
      </c>
      <c r="C1457" s="96">
        <v>4786360.3279999997</v>
      </c>
      <c r="D1457" s="96">
        <v>56.53</v>
      </c>
      <c r="E1457" s="96" t="s">
        <v>83</v>
      </c>
    </row>
    <row r="1458" spans="1:5" x14ac:dyDescent="0.25">
      <c r="A1458" s="84">
        <v>46029</v>
      </c>
      <c r="B1458" s="96">
        <v>513474.54</v>
      </c>
      <c r="C1458" s="96">
        <v>4786353.8710000003</v>
      </c>
      <c r="D1458" s="96">
        <v>59.29</v>
      </c>
      <c r="E1458" s="96" t="s">
        <v>79</v>
      </c>
    </row>
    <row r="1459" spans="1:5" x14ac:dyDescent="0.25">
      <c r="A1459" s="84">
        <v>46035</v>
      </c>
      <c r="B1459" s="96">
        <v>513474.54</v>
      </c>
      <c r="C1459" s="96">
        <v>4786353.8720000004</v>
      </c>
      <c r="D1459" s="96">
        <v>59.293999999999997</v>
      </c>
      <c r="E1459" s="96" t="s">
        <v>79</v>
      </c>
    </row>
    <row r="1460" spans="1:5" x14ac:dyDescent="0.25">
      <c r="A1460" s="84">
        <v>46035</v>
      </c>
      <c r="B1460" s="96">
        <v>513480.11300000001</v>
      </c>
      <c r="C1460" s="96">
        <v>4786359.818</v>
      </c>
      <c r="D1460" s="96">
        <v>59.851999999999997</v>
      </c>
      <c r="E1460" s="96" t="s">
        <v>76</v>
      </c>
    </row>
    <row r="1461" spans="1:5" x14ac:dyDescent="0.25">
      <c r="A1461" s="84">
        <v>46035</v>
      </c>
      <c r="B1461" s="96">
        <v>513480.46100000001</v>
      </c>
      <c r="C1461" s="96">
        <v>4786360.3279999997</v>
      </c>
      <c r="D1461" s="96">
        <v>56.533000000000001</v>
      </c>
      <c r="E1461" s="96" t="s">
        <v>83</v>
      </c>
    </row>
    <row r="1462" spans="1:5" x14ac:dyDescent="0.25">
      <c r="A1462" s="84">
        <v>46035</v>
      </c>
      <c r="B1462" s="96">
        <v>513484.61</v>
      </c>
      <c r="C1462" s="96">
        <v>4786368.8219999997</v>
      </c>
      <c r="D1462" s="96">
        <v>60.353000000000002</v>
      </c>
      <c r="E1462" s="96" t="s">
        <v>72</v>
      </c>
    </row>
    <row r="1463" spans="1:5" x14ac:dyDescent="0.25">
      <c r="A1463" s="84">
        <v>46035</v>
      </c>
      <c r="B1463" s="96">
        <v>513484.72499999998</v>
      </c>
      <c r="C1463" s="96">
        <v>4786368.74</v>
      </c>
      <c r="D1463" s="96">
        <v>59.375</v>
      </c>
      <c r="E1463" s="96" t="s">
        <v>73</v>
      </c>
    </row>
    <row r="1464" spans="1:5" x14ac:dyDescent="0.25">
      <c r="A1464" s="84">
        <v>46035</v>
      </c>
      <c r="B1464" s="96">
        <v>513484.75400000002</v>
      </c>
      <c r="C1464" s="96">
        <v>4786368.7439999999</v>
      </c>
      <c r="D1464" s="96">
        <v>56.354999999999997</v>
      </c>
      <c r="E1464" s="96" t="s">
        <v>74</v>
      </c>
    </row>
    <row r="1465" spans="1:5" x14ac:dyDescent="0.25">
      <c r="A1465" s="84">
        <v>46035</v>
      </c>
      <c r="B1465" s="96">
        <v>513484.82500000001</v>
      </c>
      <c r="C1465" s="96">
        <v>4786368.9409999996</v>
      </c>
      <c r="D1465" s="96">
        <v>53.368000000000002</v>
      </c>
      <c r="E1465" s="96" t="s">
        <v>75</v>
      </c>
    </row>
    <row r="1466" spans="1:5" x14ac:dyDescent="0.25">
      <c r="A1466" s="84">
        <v>46035</v>
      </c>
      <c r="B1466" s="96">
        <v>513487.78600000002</v>
      </c>
      <c r="C1466" s="96">
        <v>4786375.659</v>
      </c>
      <c r="D1466" s="96">
        <v>60.91</v>
      </c>
      <c r="E1466" s="96" t="s">
        <v>87</v>
      </c>
    </row>
    <row r="1467" spans="1:5" x14ac:dyDescent="0.25">
      <c r="A1467" s="84">
        <v>46035</v>
      </c>
      <c r="B1467" s="96">
        <v>513488.01400000002</v>
      </c>
      <c r="C1467" s="96">
        <v>4786375.6950000003</v>
      </c>
      <c r="D1467" s="96">
        <v>59.569000000000003</v>
      </c>
      <c r="E1467" s="96" t="s">
        <v>86</v>
      </c>
    </row>
    <row r="1468" spans="1:5" x14ac:dyDescent="0.25">
      <c r="A1468" s="84">
        <v>46035</v>
      </c>
      <c r="B1468" s="96">
        <v>513491.94699999999</v>
      </c>
      <c r="C1468" s="96">
        <v>4786383.7120000003</v>
      </c>
      <c r="D1468" s="96">
        <v>61.481000000000002</v>
      </c>
      <c r="E1468" s="96" t="s">
        <v>66</v>
      </c>
    </row>
    <row r="1469" spans="1:5" x14ac:dyDescent="0.25">
      <c r="A1469" s="84">
        <v>46035</v>
      </c>
      <c r="B1469" s="96">
        <v>513492.01799999998</v>
      </c>
      <c r="C1469" s="96">
        <v>4786383.6880000001</v>
      </c>
      <c r="D1469" s="96">
        <v>59.484000000000002</v>
      </c>
      <c r="E1469" s="96" t="s">
        <v>67</v>
      </c>
    </row>
    <row r="1470" spans="1:5" x14ac:dyDescent="0.25">
      <c r="A1470" s="84">
        <v>46035</v>
      </c>
      <c r="B1470" s="96">
        <v>513492.28600000002</v>
      </c>
      <c r="C1470" s="96">
        <v>4786384.125</v>
      </c>
      <c r="D1470" s="96">
        <v>56.491999999999997</v>
      </c>
      <c r="E1470" s="96" t="s">
        <v>68</v>
      </c>
    </row>
    <row r="1471" spans="1:5" x14ac:dyDescent="0.25">
      <c r="A1471" s="84">
        <v>46035</v>
      </c>
      <c r="B1471" s="96">
        <v>513495.20199999999</v>
      </c>
      <c r="C1471" s="96">
        <v>4786386.5460000001</v>
      </c>
      <c r="D1471" s="96">
        <v>61.186999999999998</v>
      </c>
      <c r="E1471" s="96" t="s">
        <v>62</v>
      </c>
    </row>
    <row r="1472" spans="1:5" x14ac:dyDescent="0.25">
      <c r="A1472" s="84">
        <v>46035</v>
      </c>
      <c r="B1472" s="96">
        <v>513495.14799999999</v>
      </c>
      <c r="C1472" s="96">
        <v>4786386.3810000001</v>
      </c>
      <c r="D1472" s="96">
        <v>59.658999999999999</v>
      </c>
      <c r="E1472" s="96" t="s">
        <v>63</v>
      </c>
    </row>
    <row r="1473" spans="1:5" x14ac:dyDescent="0.25">
      <c r="A1473" s="84">
        <v>46035</v>
      </c>
      <c r="B1473" s="96">
        <v>513495.77899999998</v>
      </c>
      <c r="C1473" s="96">
        <v>4786386.2039999999</v>
      </c>
      <c r="D1473" s="96">
        <v>56.58</v>
      </c>
      <c r="E1473" s="96" t="s">
        <v>64</v>
      </c>
    </row>
    <row r="1474" spans="1:5" x14ac:dyDescent="0.25">
      <c r="A1474" s="84">
        <v>46044</v>
      </c>
      <c r="B1474" s="96">
        <v>513495.201</v>
      </c>
      <c r="C1474" s="96">
        <v>4786386.5449999999</v>
      </c>
      <c r="D1474" s="96">
        <v>61.186999999999998</v>
      </c>
      <c r="E1474" s="96" t="s">
        <v>62</v>
      </c>
    </row>
    <row r="1475" spans="1:5" x14ac:dyDescent="0.25">
      <c r="A1475" s="84">
        <v>46044</v>
      </c>
      <c r="B1475" s="96">
        <v>513495.147</v>
      </c>
      <c r="C1475" s="96">
        <v>4786386.3810000001</v>
      </c>
      <c r="D1475" s="96">
        <v>59.658999999999999</v>
      </c>
      <c r="E1475" s="96" t="s">
        <v>63</v>
      </c>
    </row>
    <row r="1476" spans="1:5" x14ac:dyDescent="0.25">
      <c r="A1476" s="84">
        <v>46044</v>
      </c>
      <c r="B1476" s="96">
        <v>513495.77899999998</v>
      </c>
      <c r="C1476" s="96">
        <v>4786386.2029999997</v>
      </c>
      <c r="D1476" s="96">
        <v>56.58</v>
      </c>
      <c r="E1476" s="96" t="s">
        <v>64</v>
      </c>
    </row>
    <row r="1477" spans="1:5" x14ac:dyDescent="0.25">
      <c r="A1477" s="84">
        <v>46044</v>
      </c>
      <c r="B1477" s="96">
        <v>513491.946</v>
      </c>
      <c r="C1477" s="96">
        <v>4786383.7120000003</v>
      </c>
      <c r="D1477" s="96">
        <v>61.48</v>
      </c>
      <c r="E1477" s="96" t="s">
        <v>66</v>
      </c>
    </row>
    <row r="1478" spans="1:5" x14ac:dyDescent="0.25">
      <c r="A1478" s="84">
        <v>46044</v>
      </c>
      <c r="B1478" s="96">
        <v>513492.01799999998</v>
      </c>
      <c r="C1478" s="96">
        <v>4786383.6880000001</v>
      </c>
      <c r="D1478" s="96">
        <v>59.484000000000002</v>
      </c>
      <c r="E1478" s="96" t="s">
        <v>67</v>
      </c>
    </row>
    <row r="1479" spans="1:5" x14ac:dyDescent="0.25">
      <c r="A1479" s="84">
        <v>46044</v>
      </c>
      <c r="B1479" s="96">
        <v>513492.28600000002</v>
      </c>
      <c r="C1479" s="96">
        <v>4786384.125</v>
      </c>
      <c r="D1479" s="96">
        <v>56.491999999999997</v>
      </c>
      <c r="E1479" s="96" t="s">
        <v>68</v>
      </c>
    </row>
    <row r="1480" spans="1:5" x14ac:dyDescent="0.25">
      <c r="A1480" s="84">
        <v>46044</v>
      </c>
      <c r="B1480" s="96">
        <v>513487.78700000001</v>
      </c>
      <c r="C1480" s="96">
        <v>4786375.659</v>
      </c>
      <c r="D1480" s="96">
        <v>60.908999999999999</v>
      </c>
      <c r="E1480" s="96" t="s">
        <v>87</v>
      </c>
    </row>
    <row r="1481" spans="1:5" x14ac:dyDescent="0.25">
      <c r="A1481" s="84">
        <v>46044</v>
      </c>
      <c r="B1481" s="96">
        <v>513488.01500000001</v>
      </c>
      <c r="C1481" s="96">
        <v>4786375.6950000003</v>
      </c>
      <c r="D1481" s="96">
        <v>59.569000000000003</v>
      </c>
      <c r="E1481" s="96" t="s">
        <v>86</v>
      </c>
    </row>
    <row r="1482" spans="1:5" x14ac:dyDescent="0.25">
      <c r="A1482" s="84">
        <v>46044</v>
      </c>
      <c r="B1482" s="96">
        <v>513484.61</v>
      </c>
      <c r="C1482" s="96">
        <v>4786368.8219999997</v>
      </c>
      <c r="D1482" s="96">
        <v>60.353000000000002</v>
      </c>
      <c r="E1482" s="96" t="s">
        <v>72</v>
      </c>
    </row>
    <row r="1483" spans="1:5" x14ac:dyDescent="0.25">
      <c r="A1483" s="84">
        <v>46044</v>
      </c>
      <c r="B1483" s="96">
        <v>513484.72600000002</v>
      </c>
      <c r="C1483" s="96">
        <v>4786368.7390000001</v>
      </c>
      <c r="D1483" s="96">
        <v>59.375</v>
      </c>
      <c r="E1483" s="96" t="s">
        <v>73</v>
      </c>
    </row>
    <row r="1484" spans="1:5" x14ac:dyDescent="0.25">
      <c r="A1484" s="84">
        <v>46044</v>
      </c>
      <c r="B1484" s="96">
        <v>513484.75400000002</v>
      </c>
      <c r="C1484" s="96">
        <v>4786368.7429999998</v>
      </c>
      <c r="D1484" s="96">
        <v>56.354999999999997</v>
      </c>
      <c r="E1484" s="96" t="s">
        <v>74</v>
      </c>
    </row>
    <row r="1485" spans="1:5" x14ac:dyDescent="0.25">
      <c r="A1485" s="84">
        <v>46044</v>
      </c>
      <c r="B1485" s="96">
        <v>513480.11300000001</v>
      </c>
      <c r="C1485" s="96">
        <v>4786359.8169999998</v>
      </c>
      <c r="D1485" s="96">
        <v>59.851999999999997</v>
      </c>
      <c r="E1485" s="96" t="s">
        <v>76</v>
      </c>
    </row>
    <row r="1486" spans="1:5" x14ac:dyDescent="0.25">
      <c r="A1486" s="84">
        <v>46044</v>
      </c>
      <c r="B1486" s="96">
        <v>513480.46</v>
      </c>
      <c r="C1486" s="96">
        <v>4786360.3279999997</v>
      </c>
      <c r="D1486" s="96">
        <v>56.533000000000001</v>
      </c>
      <c r="E1486" s="96" t="s">
        <v>83</v>
      </c>
    </row>
    <row r="1487" spans="1:5" x14ac:dyDescent="0.25">
      <c r="A1487" s="84">
        <v>46044</v>
      </c>
      <c r="B1487" s="96">
        <v>513474.54</v>
      </c>
      <c r="C1487" s="96">
        <v>4786353.8720000004</v>
      </c>
      <c r="D1487" s="96">
        <v>59.293999999999997</v>
      </c>
      <c r="E1487" s="96" t="s">
        <v>79</v>
      </c>
    </row>
    <row r="1488" spans="1:5" x14ac:dyDescent="0.25">
      <c r="A1488" s="84">
        <v>46049</v>
      </c>
      <c r="B1488" s="96">
        <v>513495.20199999999</v>
      </c>
      <c r="C1488" s="96">
        <v>4786386.5449999999</v>
      </c>
      <c r="D1488" s="96">
        <v>61.188000000000002</v>
      </c>
      <c r="E1488" s="96" t="s">
        <v>62</v>
      </c>
    </row>
    <row r="1489" spans="1:5" x14ac:dyDescent="0.25">
      <c r="A1489" s="84">
        <v>46049</v>
      </c>
      <c r="B1489" s="96">
        <v>513495.14799999999</v>
      </c>
      <c r="C1489" s="96">
        <v>4786386.38</v>
      </c>
      <c r="D1489" s="96">
        <v>59.658999999999999</v>
      </c>
      <c r="E1489" s="96" t="s">
        <v>63</v>
      </c>
    </row>
    <row r="1490" spans="1:5" x14ac:dyDescent="0.25">
      <c r="A1490" s="84">
        <v>46049</v>
      </c>
      <c r="B1490" s="96">
        <v>513495.77899999998</v>
      </c>
      <c r="C1490" s="96">
        <v>4786386.2039999999</v>
      </c>
      <c r="D1490" s="96">
        <v>56.581000000000003</v>
      </c>
      <c r="E1490" s="96" t="s">
        <v>64</v>
      </c>
    </row>
    <row r="1491" spans="1:5" x14ac:dyDescent="0.25">
      <c r="A1491" s="84">
        <v>46049</v>
      </c>
      <c r="B1491" s="96">
        <v>513491.946</v>
      </c>
      <c r="C1491" s="96">
        <v>4786383.7120000003</v>
      </c>
      <c r="D1491" s="96">
        <v>61.481000000000002</v>
      </c>
      <c r="E1491" s="96" t="s">
        <v>66</v>
      </c>
    </row>
    <row r="1492" spans="1:5" x14ac:dyDescent="0.25">
      <c r="A1492" s="84">
        <v>46049</v>
      </c>
      <c r="B1492" s="96">
        <v>513492.01799999998</v>
      </c>
      <c r="C1492" s="96">
        <v>4786383.6880000001</v>
      </c>
      <c r="D1492" s="96">
        <v>59.484000000000002</v>
      </c>
      <c r="E1492" s="96" t="s">
        <v>67</v>
      </c>
    </row>
    <row r="1493" spans="1:5" x14ac:dyDescent="0.25">
      <c r="A1493" s="84">
        <v>46049</v>
      </c>
      <c r="B1493" s="96">
        <v>513492.28600000002</v>
      </c>
      <c r="C1493" s="96">
        <v>4786384.125</v>
      </c>
      <c r="D1493" s="96">
        <v>56.493000000000002</v>
      </c>
      <c r="E1493" s="96" t="s">
        <v>68</v>
      </c>
    </row>
    <row r="1494" spans="1:5" x14ac:dyDescent="0.25">
      <c r="A1494" s="84">
        <v>46049</v>
      </c>
      <c r="B1494" s="96">
        <v>513487.78700000001</v>
      </c>
      <c r="C1494" s="96">
        <v>4786375.659</v>
      </c>
      <c r="D1494" s="96">
        <v>60.91</v>
      </c>
      <c r="E1494" s="96" t="s">
        <v>87</v>
      </c>
    </row>
    <row r="1495" spans="1:5" x14ac:dyDescent="0.25">
      <c r="A1495" s="84">
        <v>46049</v>
      </c>
      <c r="B1495" s="96">
        <v>513488.01400000002</v>
      </c>
      <c r="C1495" s="96">
        <v>4786375.6960000005</v>
      </c>
      <c r="D1495" s="96">
        <v>59.57</v>
      </c>
      <c r="E1495" s="96" t="s">
        <v>86</v>
      </c>
    </row>
    <row r="1496" spans="1:5" x14ac:dyDescent="0.25">
      <c r="A1496" s="84">
        <v>46049</v>
      </c>
      <c r="B1496" s="96">
        <v>513484.61099999998</v>
      </c>
      <c r="C1496" s="96">
        <v>4786368.8219999997</v>
      </c>
      <c r="D1496" s="96">
        <v>60.353999999999999</v>
      </c>
      <c r="E1496" s="96" t="s">
        <v>72</v>
      </c>
    </row>
    <row r="1497" spans="1:5" x14ac:dyDescent="0.25">
      <c r="A1497" s="84">
        <v>46049</v>
      </c>
      <c r="B1497" s="96">
        <v>513484.72600000002</v>
      </c>
      <c r="C1497" s="96">
        <v>4786368.7390000001</v>
      </c>
      <c r="D1497" s="96">
        <v>59.375</v>
      </c>
      <c r="E1497" s="96" t="s">
        <v>73</v>
      </c>
    </row>
    <row r="1498" spans="1:5" x14ac:dyDescent="0.25">
      <c r="A1498" s="84">
        <v>46049</v>
      </c>
      <c r="B1498" s="96">
        <v>513484.75400000002</v>
      </c>
      <c r="C1498" s="96">
        <v>4786368.7439999999</v>
      </c>
      <c r="D1498" s="96">
        <v>56.354999999999997</v>
      </c>
      <c r="E1498" s="96" t="s">
        <v>74</v>
      </c>
    </row>
    <row r="1499" spans="1:5" x14ac:dyDescent="0.25">
      <c r="A1499" s="84">
        <v>46049</v>
      </c>
      <c r="B1499" s="96">
        <v>513484.82500000001</v>
      </c>
      <c r="C1499" s="96">
        <v>4786368.9409999996</v>
      </c>
      <c r="D1499" s="96">
        <v>53.369</v>
      </c>
      <c r="E1499" s="96" t="s">
        <v>75</v>
      </c>
    </row>
    <row r="1500" spans="1:5" x14ac:dyDescent="0.25">
      <c r="A1500" s="84">
        <v>46049</v>
      </c>
      <c r="B1500" s="96">
        <v>513480.11300000001</v>
      </c>
      <c r="C1500" s="96">
        <v>4786359.8169999998</v>
      </c>
      <c r="D1500" s="96">
        <v>59.853000000000002</v>
      </c>
      <c r="E1500" s="96" t="s">
        <v>76</v>
      </c>
    </row>
    <row r="1501" spans="1:5" x14ac:dyDescent="0.25">
      <c r="A1501" s="84">
        <v>46049</v>
      </c>
      <c r="B1501" s="96">
        <v>513480.46100000001</v>
      </c>
      <c r="C1501" s="96">
        <v>4786360.3279999997</v>
      </c>
      <c r="D1501" s="96">
        <v>56.533999999999999</v>
      </c>
      <c r="E1501" s="96" t="s">
        <v>83</v>
      </c>
    </row>
    <row r="1502" spans="1:5" x14ac:dyDescent="0.25">
      <c r="A1502" s="84">
        <v>46049</v>
      </c>
      <c r="B1502" s="96">
        <v>513474.54100000003</v>
      </c>
      <c r="C1502" s="96">
        <v>4786353.8720000004</v>
      </c>
      <c r="D1502" s="96">
        <v>59.293999999999997</v>
      </c>
      <c r="E1502" s="96" t="s">
        <v>79</v>
      </c>
    </row>
    <row r="1503" spans="1:5" x14ac:dyDescent="0.25">
      <c r="A1503" s="84">
        <v>46055</v>
      </c>
      <c r="B1503" s="96">
        <v>513495.20199999999</v>
      </c>
      <c r="C1503" s="96">
        <v>4786386.5460000001</v>
      </c>
      <c r="D1503" s="96">
        <v>61.188000000000002</v>
      </c>
      <c r="E1503" s="96" t="s">
        <v>62</v>
      </c>
    </row>
    <row r="1504" spans="1:5" x14ac:dyDescent="0.25">
      <c r="A1504" s="84">
        <v>46055</v>
      </c>
      <c r="B1504" s="96">
        <v>513495.14799999999</v>
      </c>
      <c r="C1504" s="96">
        <v>4786386.3810000001</v>
      </c>
      <c r="D1504" s="96">
        <v>59.658999999999999</v>
      </c>
      <c r="E1504" s="96" t="s">
        <v>63</v>
      </c>
    </row>
    <row r="1505" spans="1:5" x14ac:dyDescent="0.25">
      <c r="A1505" s="84">
        <v>46055</v>
      </c>
      <c r="B1505" s="96">
        <v>513495.77899999998</v>
      </c>
      <c r="C1505" s="96">
        <v>4786386.2050000001</v>
      </c>
      <c r="D1505" s="96">
        <v>56.581000000000003</v>
      </c>
      <c r="E1505" s="96" t="s">
        <v>64</v>
      </c>
    </row>
    <row r="1506" spans="1:5" x14ac:dyDescent="0.25">
      <c r="A1506" s="84">
        <v>46055</v>
      </c>
      <c r="B1506" s="96">
        <v>513491.94699999999</v>
      </c>
      <c r="C1506" s="96">
        <v>4786383.7120000003</v>
      </c>
      <c r="D1506" s="96">
        <v>61.481000000000002</v>
      </c>
      <c r="E1506" s="96" t="s">
        <v>66</v>
      </c>
    </row>
    <row r="1507" spans="1:5" x14ac:dyDescent="0.25">
      <c r="A1507" s="84">
        <v>46055</v>
      </c>
      <c r="B1507" s="96">
        <v>513492.01799999998</v>
      </c>
      <c r="C1507" s="96">
        <v>4786383.6880000001</v>
      </c>
      <c r="D1507" s="96">
        <v>59.484000000000002</v>
      </c>
      <c r="E1507" s="96" t="s">
        <v>67</v>
      </c>
    </row>
    <row r="1508" spans="1:5" x14ac:dyDescent="0.25">
      <c r="A1508" s="84">
        <v>46055</v>
      </c>
      <c r="B1508" s="96">
        <v>513492.28600000002</v>
      </c>
      <c r="C1508" s="96">
        <v>4786384.125</v>
      </c>
      <c r="D1508" s="96">
        <v>56.493000000000002</v>
      </c>
      <c r="E1508" s="96" t="s">
        <v>68</v>
      </c>
    </row>
    <row r="1509" spans="1:5" x14ac:dyDescent="0.25">
      <c r="A1509" s="84">
        <v>46055</v>
      </c>
      <c r="B1509" s="96">
        <v>513487.78700000001</v>
      </c>
      <c r="C1509" s="96">
        <v>4786375.659</v>
      </c>
      <c r="D1509" s="96">
        <v>60.911000000000001</v>
      </c>
      <c r="E1509" s="96" t="s">
        <v>87</v>
      </c>
    </row>
    <row r="1510" spans="1:5" x14ac:dyDescent="0.25">
      <c r="A1510" s="84">
        <v>46055</v>
      </c>
      <c r="B1510" s="96">
        <v>513488.01500000001</v>
      </c>
      <c r="C1510" s="96">
        <v>4786375.6960000005</v>
      </c>
      <c r="D1510" s="96">
        <v>59.57</v>
      </c>
      <c r="E1510" s="96" t="s">
        <v>86</v>
      </c>
    </row>
    <row r="1511" spans="1:5" x14ac:dyDescent="0.25">
      <c r="A1511" s="84">
        <v>46055</v>
      </c>
      <c r="B1511" s="96">
        <v>513484.61</v>
      </c>
      <c r="C1511" s="96">
        <v>4786368.8229999999</v>
      </c>
      <c r="D1511" s="96">
        <v>60.353999999999999</v>
      </c>
      <c r="E1511" s="96" t="s">
        <v>72</v>
      </c>
    </row>
    <row r="1512" spans="1:5" x14ac:dyDescent="0.25">
      <c r="A1512" s="84">
        <v>46055</v>
      </c>
      <c r="B1512" s="96">
        <v>513484.72600000002</v>
      </c>
      <c r="C1512" s="96">
        <v>4786368.7390000001</v>
      </c>
      <c r="D1512" s="96">
        <v>59.375999999999998</v>
      </c>
      <c r="E1512" s="96" t="s">
        <v>73</v>
      </c>
    </row>
    <row r="1513" spans="1:5" x14ac:dyDescent="0.25">
      <c r="A1513" s="84">
        <v>46055</v>
      </c>
      <c r="B1513" s="96">
        <v>513480.11300000001</v>
      </c>
      <c r="C1513" s="96">
        <v>4786359.818</v>
      </c>
      <c r="D1513" s="96">
        <v>59.853000000000002</v>
      </c>
      <c r="E1513" s="96" t="s">
        <v>76</v>
      </c>
    </row>
    <row r="1514" spans="1:5" x14ac:dyDescent="0.25">
      <c r="A1514" s="84">
        <v>46055</v>
      </c>
      <c r="B1514" s="96">
        <v>513480.46100000001</v>
      </c>
      <c r="C1514" s="96">
        <v>4786360.3279999997</v>
      </c>
      <c r="D1514" s="96">
        <v>56.533999999999999</v>
      </c>
      <c r="E1514" s="96" t="s">
        <v>83</v>
      </c>
    </row>
    <row r="1515" spans="1:5" x14ac:dyDescent="0.25">
      <c r="A1515" s="84">
        <v>46055</v>
      </c>
      <c r="B1515" s="96">
        <v>513474.54100000003</v>
      </c>
      <c r="C1515" s="96">
        <v>4786353.8720000004</v>
      </c>
      <c r="D1515" s="96">
        <v>59.295000000000002</v>
      </c>
      <c r="E1515" s="96" t="s">
        <v>79</v>
      </c>
    </row>
    <row r="1516" spans="1:5" x14ac:dyDescent="0.25">
      <c r="A1516" s="84">
        <v>46063</v>
      </c>
      <c r="B1516" s="96">
        <v>513495.201</v>
      </c>
      <c r="C1516" s="96">
        <v>4786386.5449999999</v>
      </c>
      <c r="D1516" s="96">
        <v>61.188000000000002</v>
      </c>
      <c r="E1516" s="96" t="s">
        <v>62</v>
      </c>
    </row>
    <row r="1517" spans="1:5" x14ac:dyDescent="0.25">
      <c r="A1517" s="84">
        <v>46063</v>
      </c>
      <c r="B1517" s="96">
        <v>513495.14799999999</v>
      </c>
      <c r="C1517" s="96">
        <v>4786386.3810000001</v>
      </c>
      <c r="D1517" s="96">
        <v>59.658000000000001</v>
      </c>
      <c r="E1517" s="96" t="s">
        <v>63</v>
      </c>
    </row>
    <row r="1518" spans="1:5" x14ac:dyDescent="0.25">
      <c r="A1518" s="84">
        <v>46063</v>
      </c>
      <c r="B1518" s="96">
        <v>513495.77799999999</v>
      </c>
      <c r="C1518" s="96">
        <v>4786386.2039999999</v>
      </c>
      <c r="D1518" s="96">
        <v>56.58</v>
      </c>
      <c r="E1518" s="96" t="s">
        <v>64</v>
      </c>
    </row>
    <row r="1519" spans="1:5" x14ac:dyDescent="0.25">
      <c r="A1519" s="84">
        <v>46063</v>
      </c>
      <c r="B1519" s="96">
        <v>513491.94699999999</v>
      </c>
      <c r="C1519" s="96">
        <v>4786383.7120000003</v>
      </c>
      <c r="D1519" s="96">
        <v>61.481000000000002</v>
      </c>
      <c r="E1519" s="96" t="s">
        <v>66</v>
      </c>
    </row>
    <row r="1520" spans="1:5" x14ac:dyDescent="0.25">
      <c r="A1520" s="84">
        <v>46063</v>
      </c>
      <c r="B1520" s="96">
        <v>513492.01899999997</v>
      </c>
      <c r="C1520" s="96">
        <v>4786383.6890000002</v>
      </c>
      <c r="D1520" s="96">
        <v>59.485999999999997</v>
      </c>
      <c r="E1520" s="96" t="s">
        <v>67</v>
      </c>
    </row>
    <row r="1521" spans="1:5" x14ac:dyDescent="0.25">
      <c r="A1521" s="84">
        <v>46063</v>
      </c>
      <c r="B1521" s="96">
        <v>513492.28600000002</v>
      </c>
      <c r="C1521" s="96">
        <v>4786384.125</v>
      </c>
      <c r="D1521" s="96">
        <v>56.491999999999997</v>
      </c>
      <c r="E1521" s="96" t="s">
        <v>68</v>
      </c>
    </row>
    <row r="1522" spans="1:5" x14ac:dyDescent="0.25">
      <c r="A1522" s="84">
        <v>46063</v>
      </c>
      <c r="B1522" s="96">
        <v>513487.78700000001</v>
      </c>
      <c r="C1522" s="96">
        <v>4786375.659</v>
      </c>
      <c r="D1522" s="96">
        <v>60.91</v>
      </c>
      <c r="E1522" s="96" t="s">
        <v>87</v>
      </c>
    </row>
    <row r="1523" spans="1:5" x14ac:dyDescent="0.25">
      <c r="A1523" s="84">
        <v>46063</v>
      </c>
      <c r="B1523" s="96">
        <v>513488.01500000001</v>
      </c>
      <c r="C1523" s="96">
        <v>4786375.6950000003</v>
      </c>
      <c r="D1523" s="96">
        <v>59.569000000000003</v>
      </c>
      <c r="E1523" s="96" t="s">
        <v>86</v>
      </c>
    </row>
    <row r="1524" spans="1:5" x14ac:dyDescent="0.25">
      <c r="A1524" s="84">
        <v>46063</v>
      </c>
      <c r="B1524" s="96">
        <v>513484.61099999998</v>
      </c>
      <c r="C1524" s="96">
        <v>4786368.8219999997</v>
      </c>
      <c r="D1524" s="96">
        <v>60.353000000000002</v>
      </c>
      <c r="E1524" s="96" t="s">
        <v>72</v>
      </c>
    </row>
    <row r="1525" spans="1:5" x14ac:dyDescent="0.25">
      <c r="A1525" s="84">
        <v>46063</v>
      </c>
      <c r="B1525" s="96">
        <v>513484.72499999998</v>
      </c>
      <c r="C1525" s="96">
        <v>4786368.74</v>
      </c>
      <c r="D1525" s="96">
        <v>59.375</v>
      </c>
      <c r="E1525" s="96" t="s">
        <v>73</v>
      </c>
    </row>
    <row r="1526" spans="1:5" x14ac:dyDescent="0.25">
      <c r="A1526" s="84">
        <v>46063</v>
      </c>
      <c r="B1526" s="96">
        <v>513480.11200000002</v>
      </c>
      <c r="C1526" s="96">
        <v>4786359.8169999998</v>
      </c>
      <c r="D1526" s="96">
        <v>59.851999999999997</v>
      </c>
      <c r="E1526" s="96" t="s">
        <v>76</v>
      </c>
    </row>
    <row r="1527" spans="1:5" x14ac:dyDescent="0.25">
      <c r="A1527" s="84">
        <v>46063</v>
      </c>
      <c r="B1527" s="96">
        <v>513480.46100000001</v>
      </c>
      <c r="C1527" s="96">
        <v>4786360.3289999999</v>
      </c>
      <c r="D1527" s="96">
        <v>56.533000000000001</v>
      </c>
      <c r="E1527" s="96" t="s">
        <v>83</v>
      </c>
    </row>
    <row r="1528" spans="1:5" x14ac:dyDescent="0.25">
      <c r="A1528" s="84">
        <v>46063</v>
      </c>
      <c r="B1528" s="96">
        <v>513474.54</v>
      </c>
      <c r="C1528" s="96">
        <v>4786353.8720000004</v>
      </c>
      <c r="D1528" s="96">
        <v>59.293999999999997</v>
      </c>
      <c r="E1528" s="96" t="s">
        <v>79</v>
      </c>
    </row>
    <row r="1529" spans="1:5" x14ac:dyDescent="0.25">
      <c r="A1529" s="84">
        <v>46090</v>
      </c>
      <c r="B1529" s="96">
        <v>513495.20199999999</v>
      </c>
      <c r="C1529" s="96">
        <v>4786386.5449999999</v>
      </c>
      <c r="D1529" s="96">
        <v>61.189</v>
      </c>
      <c r="E1529" s="96" t="s">
        <v>62</v>
      </c>
    </row>
    <row r="1530" spans="1:5" x14ac:dyDescent="0.25">
      <c r="A1530" s="84">
        <v>46090</v>
      </c>
      <c r="B1530" s="96">
        <v>513495.14799999999</v>
      </c>
      <c r="C1530" s="96">
        <v>4786386.3810000001</v>
      </c>
      <c r="D1530" s="96">
        <v>59.66</v>
      </c>
      <c r="E1530" s="96" t="s">
        <v>63</v>
      </c>
    </row>
    <row r="1531" spans="1:5" x14ac:dyDescent="0.25">
      <c r="A1531" s="84">
        <v>46090</v>
      </c>
      <c r="B1531" s="96">
        <v>513495.77899999998</v>
      </c>
      <c r="C1531" s="96">
        <v>4786386.2039999999</v>
      </c>
      <c r="D1531" s="96">
        <v>56.581000000000003</v>
      </c>
      <c r="E1531" s="96" t="s">
        <v>64</v>
      </c>
    </row>
    <row r="1532" spans="1:5" x14ac:dyDescent="0.25">
      <c r="A1532" s="84">
        <v>46090</v>
      </c>
      <c r="B1532" s="96">
        <v>513491.946</v>
      </c>
      <c r="C1532" s="96">
        <v>4786383.7120000003</v>
      </c>
      <c r="D1532" s="96">
        <v>61.481999999999999</v>
      </c>
      <c r="E1532" s="96" t="s">
        <v>66</v>
      </c>
    </row>
    <row r="1533" spans="1:5" x14ac:dyDescent="0.25">
      <c r="A1533" s="84">
        <v>46090</v>
      </c>
      <c r="B1533" s="96">
        <v>513492.01799999998</v>
      </c>
      <c r="C1533" s="96">
        <v>4786383.6880000001</v>
      </c>
      <c r="D1533" s="96">
        <v>59.484999999999999</v>
      </c>
      <c r="E1533" s="96" t="s">
        <v>67</v>
      </c>
    </row>
    <row r="1534" spans="1:5" x14ac:dyDescent="0.25">
      <c r="A1534" s="84">
        <v>46090</v>
      </c>
      <c r="B1534" s="96">
        <v>513492.28600000002</v>
      </c>
      <c r="C1534" s="96">
        <v>4786384.125</v>
      </c>
      <c r="D1534" s="96">
        <v>56.493000000000002</v>
      </c>
      <c r="E1534" s="96" t="s">
        <v>68</v>
      </c>
    </row>
    <row r="1535" spans="1:5" x14ac:dyDescent="0.25">
      <c r="A1535" s="84">
        <v>46090</v>
      </c>
      <c r="B1535" s="96">
        <v>513487.78700000001</v>
      </c>
      <c r="C1535" s="96">
        <v>4786375.6579999998</v>
      </c>
      <c r="D1535" s="96">
        <v>60.911000000000001</v>
      </c>
      <c r="E1535" s="96" t="s">
        <v>87</v>
      </c>
    </row>
    <row r="1536" spans="1:5" x14ac:dyDescent="0.25">
      <c r="A1536" s="84">
        <v>46090</v>
      </c>
      <c r="B1536" s="96">
        <v>513488.01500000001</v>
      </c>
      <c r="C1536" s="96">
        <v>4786375.6950000003</v>
      </c>
      <c r="D1536" s="96">
        <v>59.57</v>
      </c>
      <c r="E1536" s="96" t="s">
        <v>86</v>
      </c>
    </row>
    <row r="1537" spans="1:5" x14ac:dyDescent="0.25">
      <c r="A1537" s="84">
        <v>46090</v>
      </c>
      <c r="B1537" s="96">
        <v>513484.61</v>
      </c>
      <c r="C1537" s="96">
        <v>4786368.8219999997</v>
      </c>
      <c r="D1537" s="96">
        <v>60.354999999999997</v>
      </c>
      <c r="E1537" s="96" t="s">
        <v>72</v>
      </c>
    </row>
    <row r="1538" spans="1:5" x14ac:dyDescent="0.25">
      <c r="A1538" s="84">
        <v>46090</v>
      </c>
      <c r="B1538" s="96">
        <v>513484.72499999998</v>
      </c>
      <c r="C1538" s="96">
        <v>4786368.7390000001</v>
      </c>
      <c r="D1538" s="96">
        <v>59.375999999999998</v>
      </c>
      <c r="E1538" s="96" t="s">
        <v>73</v>
      </c>
    </row>
    <row r="1539" spans="1:5" x14ac:dyDescent="0.25">
      <c r="A1539" s="84">
        <v>46090</v>
      </c>
      <c r="B1539" s="96">
        <v>513484.75400000002</v>
      </c>
      <c r="C1539" s="96">
        <v>4786368.7439999999</v>
      </c>
      <c r="D1539" s="96">
        <v>56.356000000000002</v>
      </c>
      <c r="E1539" s="96" t="s">
        <v>74</v>
      </c>
    </row>
    <row r="1540" spans="1:5" x14ac:dyDescent="0.25">
      <c r="A1540" s="84">
        <v>46090</v>
      </c>
      <c r="B1540" s="96">
        <v>513484.82500000001</v>
      </c>
      <c r="C1540" s="96">
        <v>4786368.9409999996</v>
      </c>
      <c r="D1540" s="96">
        <v>53.369</v>
      </c>
      <c r="E1540" s="96" t="s">
        <v>75</v>
      </c>
    </row>
    <row r="1541" spans="1:5" x14ac:dyDescent="0.25">
      <c r="A1541" s="84">
        <v>46090</v>
      </c>
      <c r="B1541" s="96">
        <v>513480.11300000001</v>
      </c>
      <c r="C1541" s="96">
        <v>4786359.8169999998</v>
      </c>
      <c r="D1541" s="96">
        <v>59.853000000000002</v>
      </c>
      <c r="E1541" s="96" t="s">
        <v>76</v>
      </c>
    </row>
    <row r="1542" spans="1:5" x14ac:dyDescent="0.25">
      <c r="A1542" s="84">
        <v>46090</v>
      </c>
      <c r="B1542" s="96">
        <v>513480.46100000001</v>
      </c>
      <c r="C1542" s="96">
        <v>4786360.3279999997</v>
      </c>
      <c r="D1542" s="96">
        <v>56.533999999999999</v>
      </c>
      <c r="E1542" s="96" t="s">
        <v>83</v>
      </c>
    </row>
    <row r="1543" spans="1:5" x14ac:dyDescent="0.25">
      <c r="A1543" s="84">
        <v>46090</v>
      </c>
      <c r="B1543" s="96">
        <v>513474.54100000003</v>
      </c>
      <c r="C1543" s="96">
        <v>4786353.8720000004</v>
      </c>
      <c r="D1543" s="96">
        <v>59.295000000000002</v>
      </c>
      <c r="E1543" s="96" t="s">
        <v>79</v>
      </c>
    </row>
    <row r="1544" spans="1:5" x14ac:dyDescent="0.25">
      <c r="A1544" s="84">
        <v>46111</v>
      </c>
      <c r="B1544" s="96">
        <v>513495.2</v>
      </c>
      <c r="C1544" s="96">
        <v>4786386.5449999999</v>
      </c>
      <c r="D1544" s="96">
        <v>61.188000000000002</v>
      </c>
      <c r="E1544" s="96" t="s">
        <v>62</v>
      </c>
    </row>
    <row r="1545" spans="1:5" x14ac:dyDescent="0.25">
      <c r="A1545" s="84">
        <v>46111</v>
      </c>
      <c r="B1545" s="96">
        <v>513495.14600000001</v>
      </c>
      <c r="C1545" s="96">
        <v>4786386.3810000001</v>
      </c>
      <c r="D1545" s="96">
        <v>59.658999999999999</v>
      </c>
      <c r="E1545" s="96" t="s">
        <v>63</v>
      </c>
    </row>
    <row r="1546" spans="1:5" x14ac:dyDescent="0.25">
      <c r="A1546" s="84">
        <v>46111</v>
      </c>
      <c r="B1546" s="96">
        <v>513495.77600000001</v>
      </c>
      <c r="C1546" s="96">
        <v>4786386.2039999999</v>
      </c>
      <c r="D1546" s="96">
        <v>56.58</v>
      </c>
      <c r="E1546" s="96" t="s">
        <v>64</v>
      </c>
    </row>
    <row r="1547" spans="1:5" x14ac:dyDescent="0.25">
      <c r="A1547" s="84">
        <v>46111</v>
      </c>
      <c r="B1547" s="96">
        <v>513491.94500000001</v>
      </c>
      <c r="C1547" s="96">
        <v>4786383.7120000003</v>
      </c>
      <c r="D1547" s="96">
        <v>61.481000000000002</v>
      </c>
      <c r="E1547" s="96" t="s">
        <v>66</v>
      </c>
    </row>
    <row r="1548" spans="1:5" x14ac:dyDescent="0.25">
      <c r="A1548" s="84">
        <v>46111</v>
      </c>
      <c r="B1548" s="96">
        <v>513492.016</v>
      </c>
      <c r="C1548" s="96">
        <v>4786383.6869999999</v>
      </c>
      <c r="D1548" s="96">
        <v>59.485999999999997</v>
      </c>
      <c r="E1548" s="96" t="s">
        <v>67</v>
      </c>
    </row>
    <row r="1549" spans="1:5" x14ac:dyDescent="0.25">
      <c r="A1549" s="84">
        <v>46111</v>
      </c>
      <c r="B1549" s="96">
        <v>513492.28399999999</v>
      </c>
      <c r="C1549" s="96">
        <v>4786384.125</v>
      </c>
      <c r="D1549" s="96">
        <v>56.491999999999997</v>
      </c>
      <c r="E1549" s="96" t="s">
        <v>68</v>
      </c>
    </row>
    <row r="1550" spans="1:5" x14ac:dyDescent="0.25">
      <c r="A1550" s="84">
        <v>46111</v>
      </c>
      <c r="B1550" s="96">
        <v>513487.78600000002</v>
      </c>
      <c r="C1550" s="96">
        <v>4786375.6579999998</v>
      </c>
      <c r="D1550" s="96">
        <v>60.91</v>
      </c>
      <c r="E1550" s="96" t="s">
        <v>87</v>
      </c>
    </row>
    <row r="1551" spans="1:5" x14ac:dyDescent="0.25">
      <c r="A1551" s="84">
        <v>46111</v>
      </c>
      <c r="B1551" s="96">
        <v>513488.01400000002</v>
      </c>
      <c r="C1551" s="96">
        <v>4786375.6950000003</v>
      </c>
      <c r="D1551" s="96">
        <v>59.57</v>
      </c>
      <c r="E1551" s="96" t="s">
        <v>86</v>
      </c>
    </row>
    <row r="1552" spans="1:5" x14ac:dyDescent="0.25">
      <c r="A1552" s="84">
        <v>46111</v>
      </c>
      <c r="B1552" s="96">
        <v>513484.609</v>
      </c>
      <c r="C1552" s="96">
        <v>4786368.8210000005</v>
      </c>
      <c r="D1552" s="96">
        <v>60.353999999999999</v>
      </c>
      <c r="E1552" s="96" t="s">
        <v>72</v>
      </c>
    </row>
    <row r="1553" spans="1:5" x14ac:dyDescent="0.25">
      <c r="A1553" s="84">
        <v>46111</v>
      </c>
      <c r="B1553" s="96">
        <v>513484.72399999999</v>
      </c>
      <c r="C1553" s="96">
        <v>4786368.7379999999</v>
      </c>
      <c r="D1553" s="96">
        <v>59.375</v>
      </c>
      <c r="E1553" s="96" t="s">
        <v>73</v>
      </c>
    </row>
    <row r="1554" spans="1:5" x14ac:dyDescent="0.25">
      <c r="A1554" s="84">
        <v>46111</v>
      </c>
      <c r="B1554" s="96">
        <v>513484.75199999998</v>
      </c>
      <c r="C1554" s="96">
        <v>4786368.7429999998</v>
      </c>
      <c r="D1554" s="96">
        <v>56.356000000000002</v>
      </c>
      <c r="E1554" s="96" t="s">
        <v>74</v>
      </c>
    </row>
    <row r="1555" spans="1:5" x14ac:dyDescent="0.25">
      <c r="A1555" s="84">
        <v>46111</v>
      </c>
      <c r="B1555" s="96">
        <v>513484.82299999997</v>
      </c>
      <c r="C1555" s="96">
        <v>4786368.9409999996</v>
      </c>
      <c r="D1555" s="96">
        <v>53.368000000000002</v>
      </c>
      <c r="E1555" s="96" t="s">
        <v>75</v>
      </c>
    </row>
    <row r="1556" spans="1:5" x14ac:dyDescent="0.25">
      <c r="A1556" s="84">
        <v>46111</v>
      </c>
      <c r="B1556" s="96">
        <v>513480.11099999998</v>
      </c>
      <c r="C1556" s="96">
        <v>4786359.8159999996</v>
      </c>
      <c r="D1556" s="96">
        <v>59.851999999999997</v>
      </c>
      <c r="E1556" s="96" t="s">
        <v>76</v>
      </c>
    </row>
    <row r="1557" spans="1:5" x14ac:dyDescent="0.25">
      <c r="A1557" s="84">
        <v>46111</v>
      </c>
      <c r="B1557" s="96">
        <v>513480.46</v>
      </c>
      <c r="C1557" s="96">
        <v>4786360.3269999996</v>
      </c>
      <c r="D1557" s="96">
        <v>56.533999999999999</v>
      </c>
      <c r="E1557" s="96" t="s">
        <v>83</v>
      </c>
    </row>
    <row r="1558" spans="1:5" x14ac:dyDescent="0.25">
      <c r="A1558" s="84">
        <v>46111</v>
      </c>
      <c r="B1558" s="96">
        <v>513474.53899999999</v>
      </c>
      <c r="C1558" s="96">
        <v>4786353.87</v>
      </c>
      <c r="D1558" s="96">
        <v>59.292999999999999</v>
      </c>
      <c r="E1558" s="96" t="s">
        <v>79</v>
      </c>
    </row>
    <row r="1559" spans="1:5" x14ac:dyDescent="0.25">
      <c r="A1559" s="84">
        <v>46126</v>
      </c>
      <c r="B1559" s="96">
        <v>513495.201</v>
      </c>
      <c r="C1559" s="96">
        <v>4786386.5449999999</v>
      </c>
      <c r="D1559" s="96">
        <v>61.19</v>
      </c>
      <c r="E1559" s="96" t="s">
        <v>62</v>
      </c>
    </row>
    <row r="1560" spans="1:5" x14ac:dyDescent="0.25">
      <c r="A1560" s="84">
        <v>46126</v>
      </c>
      <c r="B1560" s="96">
        <v>513495.14600000001</v>
      </c>
      <c r="C1560" s="96">
        <v>4786386.3810000001</v>
      </c>
      <c r="D1560" s="96">
        <v>59.66</v>
      </c>
      <c r="E1560" s="96" t="s">
        <v>63</v>
      </c>
    </row>
    <row r="1561" spans="1:5" x14ac:dyDescent="0.25">
      <c r="A1561" s="84">
        <v>46126</v>
      </c>
      <c r="B1561" s="96">
        <v>513495.777</v>
      </c>
      <c r="C1561" s="96">
        <v>4786386.2039999999</v>
      </c>
      <c r="D1561" s="96">
        <v>56.581000000000003</v>
      </c>
      <c r="E1561" s="96" t="s">
        <v>64</v>
      </c>
    </row>
    <row r="1562" spans="1:5" x14ac:dyDescent="0.25">
      <c r="A1562" s="84">
        <v>46126</v>
      </c>
      <c r="B1562" s="96">
        <v>513491.94400000002</v>
      </c>
      <c r="C1562" s="96">
        <v>4786383.7120000003</v>
      </c>
      <c r="D1562" s="96">
        <v>61.481999999999999</v>
      </c>
      <c r="E1562" s="96" t="s">
        <v>66</v>
      </c>
    </row>
    <row r="1563" spans="1:5" x14ac:dyDescent="0.25">
      <c r="A1563" s="84">
        <v>46126</v>
      </c>
      <c r="B1563" s="96">
        <v>513492.016</v>
      </c>
      <c r="C1563" s="96">
        <v>4786383.6880000001</v>
      </c>
      <c r="D1563" s="96">
        <v>59.484999999999999</v>
      </c>
      <c r="E1563" s="96" t="s">
        <v>67</v>
      </c>
    </row>
    <row r="1564" spans="1:5" x14ac:dyDescent="0.25">
      <c r="A1564" s="84">
        <v>46126</v>
      </c>
      <c r="B1564" s="96">
        <v>513492.28399999999</v>
      </c>
      <c r="C1564" s="96">
        <v>4786384.125</v>
      </c>
      <c r="D1564" s="96">
        <v>56.494</v>
      </c>
      <c r="E1564" s="96" t="s">
        <v>68</v>
      </c>
    </row>
    <row r="1565" spans="1:5" x14ac:dyDescent="0.25">
      <c r="A1565" s="84">
        <v>46126</v>
      </c>
      <c r="B1565" s="96">
        <v>513487.78600000002</v>
      </c>
      <c r="C1565" s="96">
        <v>4786375.659</v>
      </c>
      <c r="D1565" s="96">
        <v>60.911000000000001</v>
      </c>
      <c r="E1565" s="96" t="s">
        <v>87</v>
      </c>
    </row>
    <row r="1566" spans="1:5" x14ac:dyDescent="0.25">
      <c r="A1566" s="84">
        <v>46126</v>
      </c>
      <c r="B1566" s="96">
        <v>513488.01400000002</v>
      </c>
      <c r="C1566" s="96">
        <v>4786375.6950000003</v>
      </c>
      <c r="D1566" s="96">
        <v>59.570999999999998</v>
      </c>
      <c r="E1566" s="96" t="s">
        <v>86</v>
      </c>
    </row>
    <row r="1567" spans="1:5" x14ac:dyDescent="0.25">
      <c r="A1567" s="84">
        <v>46126</v>
      </c>
      <c r="B1567" s="96">
        <v>513484.61</v>
      </c>
      <c r="C1567" s="96">
        <v>4786368.8210000005</v>
      </c>
      <c r="D1567" s="96">
        <v>60.354999999999997</v>
      </c>
      <c r="E1567" s="96" t="s">
        <v>72</v>
      </c>
    </row>
    <row r="1568" spans="1:5" x14ac:dyDescent="0.25">
      <c r="A1568" s="84">
        <v>46126</v>
      </c>
      <c r="B1568" s="96">
        <v>513484.72399999999</v>
      </c>
      <c r="C1568" s="96">
        <v>4786368.7390000001</v>
      </c>
      <c r="D1568" s="96">
        <v>59.375999999999998</v>
      </c>
      <c r="E1568" s="96" t="s">
        <v>73</v>
      </c>
    </row>
    <row r="1569" spans="1:5" x14ac:dyDescent="0.25">
      <c r="A1569" s="84">
        <v>46126</v>
      </c>
      <c r="B1569" s="96">
        <v>513484.75199999998</v>
      </c>
      <c r="C1569" s="96">
        <v>4786368.7429999998</v>
      </c>
      <c r="D1569" s="96">
        <v>56.356000000000002</v>
      </c>
      <c r="E1569" s="96" t="s">
        <v>74</v>
      </c>
    </row>
    <row r="1570" spans="1:5" x14ac:dyDescent="0.25">
      <c r="A1570" s="84">
        <v>46126</v>
      </c>
      <c r="B1570" s="96">
        <v>513484.82400000002</v>
      </c>
      <c r="C1570" s="96">
        <v>4786368.9409999996</v>
      </c>
      <c r="D1570" s="96">
        <v>53.369</v>
      </c>
      <c r="E1570" s="96" t="s">
        <v>75</v>
      </c>
    </row>
    <row r="1571" spans="1:5" x14ac:dyDescent="0.25">
      <c r="A1571" s="84">
        <v>46126</v>
      </c>
      <c r="B1571" s="96">
        <v>513480.11200000002</v>
      </c>
      <c r="C1571" s="96">
        <v>4786359.8159999996</v>
      </c>
      <c r="D1571" s="96">
        <v>59.853000000000002</v>
      </c>
      <c r="E1571" s="96" t="s">
        <v>76</v>
      </c>
    </row>
    <row r="1572" spans="1:5" x14ac:dyDescent="0.25">
      <c r="A1572" s="84">
        <v>46126</v>
      </c>
      <c r="B1572" s="96">
        <v>513480.46</v>
      </c>
      <c r="C1572" s="96">
        <v>4786360.3269999996</v>
      </c>
      <c r="D1572" s="96">
        <v>56.534999999999997</v>
      </c>
      <c r="E1572" s="96" t="s">
        <v>83</v>
      </c>
    </row>
    <row r="1573" spans="1:5" x14ac:dyDescent="0.25">
      <c r="A1573" s="84">
        <v>46126</v>
      </c>
      <c r="B1573" s="96">
        <v>513474.53899999999</v>
      </c>
      <c r="C1573" s="96">
        <v>4786353.8710000003</v>
      </c>
      <c r="D1573" s="96">
        <v>59.295000000000002</v>
      </c>
      <c r="E1573" s="96" t="s">
        <v>79</v>
      </c>
    </row>
    <row r="1574" spans="1:5" x14ac:dyDescent="0.25">
      <c r="A1574" s="84">
        <v>46153</v>
      </c>
      <c r="B1574" s="96">
        <v>513495.2</v>
      </c>
      <c r="C1574" s="96">
        <v>4786386.5460000001</v>
      </c>
      <c r="D1574" s="96">
        <v>61.189</v>
      </c>
      <c r="E1574" s="96" t="s">
        <v>62</v>
      </c>
    </row>
    <row r="1575" spans="1:5" x14ac:dyDescent="0.25">
      <c r="A1575" s="84">
        <v>46153</v>
      </c>
      <c r="B1575" s="96">
        <v>513495.14600000001</v>
      </c>
      <c r="C1575" s="96">
        <v>4786386.3810000001</v>
      </c>
      <c r="D1575" s="96">
        <v>59.661000000000001</v>
      </c>
      <c r="E1575" s="96" t="s">
        <v>63</v>
      </c>
    </row>
    <row r="1576" spans="1:5" x14ac:dyDescent="0.25">
      <c r="A1576" s="84">
        <v>46153</v>
      </c>
      <c r="B1576" s="96">
        <v>513495.77600000001</v>
      </c>
      <c r="C1576" s="96">
        <v>4786386.2039999999</v>
      </c>
      <c r="D1576" s="96">
        <v>56.582000000000001</v>
      </c>
      <c r="E1576" s="96" t="s">
        <v>64</v>
      </c>
    </row>
    <row r="1577" spans="1:5" x14ac:dyDescent="0.25">
      <c r="A1577" s="84">
        <v>46153</v>
      </c>
      <c r="B1577" s="96">
        <v>513491.94400000002</v>
      </c>
      <c r="C1577" s="96">
        <v>4786383.7130000005</v>
      </c>
      <c r="D1577" s="96">
        <v>61.481999999999999</v>
      </c>
      <c r="E1577" s="96" t="s">
        <v>66</v>
      </c>
    </row>
    <row r="1578" spans="1:5" x14ac:dyDescent="0.25">
      <c r="A1578" s="84">
        <v>46153</v>
      </c>
      <c r="B1578" s="96">
        <v>513492.016</v>
      </c>
      <c r="C1578" s="96">
        <v>4786383.6880000001</v>
      </c>
      <c r="D1578" s="96">
        <v>59.484999999999999</v>
      </c>
      <c r="E1578" s="96" t="s">
        <v>67</v>
      </c>
    </row>
    <row r="1579" spans="1:5" x14ac:dyDescent="0.25">
      <c r="A1579" s="84">
        <v>46153</v>
      </c>
      <c r="B1579" s="96">
        <v>513492.28399999999</v>
      </c>
      <c r="C1579" s="96">
        <v>4786384.125</v>
      </c>
      <c r="D1579" s="96">
        <v>56.494</v>
      </c>
      <c r="E1579" s="96" t="s">
        <v>68</v>
      </c>
    </row>
    <row r="1580" spans="1:5" x14ac:dyDescent="0.25">
      <c r="A1580" s="84">
        <v>46153</v>
      </c>
      <c r="B1580" s="96">
        <v>513487.78600000002</v>
      </c>
      <c r="C1580" s="96">
        <v>4786375.6579999998</v>
      </c>
      <c r="D1580" s="96">
        <v>60.911000000000001</v>
      </c>
      <c r="E1580" s="96" t="s">
        <v>87</v>
      </c>
    </row>
    <row r="1581" spans="1:5" x14ac:dyDescent="0.25">
      <c r="A1581" s="84">
        <v>46153</v>
      </c>
      <c r="B1581" s="96">
        <v>513488.01400000002</v>
      </c>
      <c r="C1581" s="96">
        <v>4786375.6950000003</v>
      </c>
      <c r="D1581" s="96">
        <v>59.570999999999998</v>
      </c>
      <c r="E1581" s="96" t="s">
        <v>86</v>
      </c>
    </row>
    <row r="1582" spans="1:5" x14ac:dyDescent="0.25">
      <c r="A1582" s="84">
        <v>46153</v>
      </c>
      <c r="B1582" s="96">
        <v>513484.61</v>
      </c>
      <c r="C1582" s="96">
        <v>4786368.8210000005</v>
      </c>
      <c r="D1582" s="96">
        <v>60.354999999999997</v>
      </c>
      <c r="E1582" s="96" t="s">
        <v>72</v>
      </c>
    </row>
    <row r="1583" spans="1:5" x14ac:dyDescent="0.25">
      <c r="A1583" s="84">
        <v>46153</v>
      </c>
      <c r="B1583" s="96">
        <v>513484.72499999998</v>
      </c>
      <c r="C1583" s="96">
        <v>4786368.7379999999</v>
      </c>
      <c r="D1583" s="96">
        <v>59.375999999999998</v>
      </c>
      <c r="E1583" s="96" t="s">
        <v>73</v>
      </c>
    </row>
    <row r="1584" spans="1:5" x14ac:dyDescent="0.25">
      <c r="A1584" s="84">
        <v>46153</v>
      </c>
      <c r="B1584" s="96">
        <v>513484.75199999998</v>
      </c>
      <c r="C1584" s="96">
        <v>4786368.7429999998</v>
      </c>
      <c r="D1584" s="96">
        <v>56.356000000000002</v>
      </c>
      <c r="E1584" s="96" t="s">
        <v>74</v>
      </c>
    </row>
    <row r="1585" spans="1:5" x14ac:dyDescent="0.25">
      <c r="A1585" s="84">
        <v>46153</v>
      </c>
      <c r="B1585" s="96">
        <v>513484.82400000002</v>
      </c>
      <c r="C1585" s="96">
        <v>4786368.9400000004</v>
      </c>
      <c r="D1585" s="96">
        <v>53.369</v>
      </c>
      <c r="E1585" s="96" t="s">
        <v>75</v>
      </c>
    </row>
    <row r="1586" spans="1:5" x14ac:dyDescent="0.25">
      <c r="A1586" s="84">
        <v>46153</v>
      </c>
      <c r="B1586" s="96">
        <v>513480.11200000002</v>
      </c>
      <c r="C1586" s="96">
        <v>4786359.8150000004</v>
      </c>
      <c r="D1586" s="96">
        <v>59.853000000000002</v>
      </c>
      <c r="E1586" s="96" t="s">
        <v>76</v>
      </c>
    </row>
    <row r="1587" spans="1:5" x14ac:dyDescent="0.25">
      <c r="A1587" s="84">
        <v>46153</v>
      </c>
      <c r="B1587" s="96">
        <v>513480.46</v>
      </c>
      <c r="C1587" s="96">
        <v>4786360.3269999996</v>
      </c>
      <c r="D1587" s="96">
        <v>56.533999999999999</v>
      </c>
      <c r="E1587" s="96" t="s">
        <v>83</v>
      </c>
    </row>
    <row r="1588" spans="1:5" x14ac:dyDescent="0.25">
      <c r="A1588" s="84">
        <v>46153</v>
      </c>
      <c r="B1588" s="96">
        <v>513474.54</v>
      </c>
      <c r="C1588" s="96">
        <v>4786353.87</v>
      </c>
      <c r="D1588" s="96">
        <v>59.295000000000002</v>
      </c>
      <c r="E1588" s="96" t="s">
        <v>79</v>
      </c>
    </row>
    <row r="1589" spans="1:5" x14ac:dyDescent="0.25">
      <c r="B1589" s="96"/>
      <c r="C1589" s="96"/>
      <c r="D1589" s="96"/>
      <c r="E1589" s="96"/>
    </row>
    <row r="1590" spans="1:5" x14ac:dyDescent="0.25">
      <c r="B1590" s="96"/>
      <c r="C1590" s="96"/>
      <c r="D1590" s="96"/>
      <c r="E1590" s="96"/>
    </row>
    <row r="1591" spans="1:5" x14ac:dyDescent="0.25">
      <c r="B1591" s="96"/>
      <c r="C1591" s="96"/>
      <c r="D1591" s="96"/>
      <c r="E1591" s="96"/>
    </row>
    <row r="1592" spans="1:5" x14ac:dyDescent="0.25">
      <c r="B1592" s="96"/>
      <c r="C1592" s="96"/>
      <c r="D1592" s="96"/>
      <c r="E1592" s="96"/>
    </row>
    <row r="1593" spans="1:5" x14ac:dyDescent="0.25">
      <c r="B1593" s="96"/>
      <c r="C1593" s="96"/>
      <c r="D1593" s="96"/>
      <c r="E1593" s="96"/>
    </row>
    <row r="1594" spans="1:5" x14ac:dyDescent="0.25">
      <c r="B1594" s="96"/>
      <c r="C1594" s="96"/>
      <c r="D1594" s="96"/>
      <c r="E1594" s="96"/>
    </row>
    <row r="1595" spans="1:5" x14ac:dyDescent="0.25">
      <c r="B1595" s="96"/>
      <c r="C1595" s="96"/>
      <c r="D1595" s="96"/>
      <c r="E1595" s="96"/>
    </row>
    <row r="1596" spans="1:5" x14ac:dyDescent="0.25">
      <c r="B1596" s="96"/>
      <c r="C1596" s="96"/>
      <c r="D1596" s="96"/>
      <c r="E1596" s="96"/>
    </row>
    <row r="1597" spans="1:5" x14ac:dyDescent="0.25">
      <c r="B1597" s="96"/>
      <c r="C1597" s="96"/>
      <c r="D1597" s="96"/>
      <c r="E1597" s="96"/>
    </row>
    <row r="1598" spans="1:5" x14ac:dyDescent="0.25">
      <c r="B1598" s="96"/>
      <c r="C1598" s="96"/>
      <c r="D1598" s="96"/>
      <c r="E1598" s="96"/>
    </row>
    <row r="1599" spans="1:5" x14ac:dyDescent="0.25">
      <c r="B1599" s="96"/>
      <c r="C1599" s="96"/>
      <c r="D1599" s="96"/>
      <c r="E1599" s="96"/>
    </row>
    <row r="1600" spans="1:5" x14ac:dyDescent="0.25">
      <c r="B1600" s="96"/>
      <c r="C1600" s="96"/>
      <c r="D1600" s="96"/>
      <c r="E1600" s="96"/>
    </row>
    <row r="1601" spans="2:5" x14ac:dyDescent="0.25">
      <c r="B1601" s="96"/>
      <c r="C1601" s="96"/>
      <c r="D1601" s="96"/>
      <c r="E1601" s="96"/>
    </row>
    <row r="1602" spans="2:5" x14ac:dyDescent="0.25">
      <c r="B1602" s="96"/>
      <c r="C1602" s="96"/>
      <c r="D1602" s="96"/>
      <c r="E1602" s="96"/>
    </row>
    <row r="1603" spans="2:5" x14ac:dyDescent="0.25">
      <c r="B1603" s="96"/>
      <c r="C1603" s="96"/>
      <c r="D1603" s="96"/>
      <c r="E1603" s="96"/>
    </row>
    <row r="1604" spans="2:5" x14ac:dyDescent="0.25">
      <c r="B1604" s="96"/>
      <c r="C1604" s="96"/>
      <c r="D1604" s="96"/>
      <c r="E1604" s="96"/>
    </row>
    <row r="1605" spans="2:5" x14ac:dyDescent="0.25">
      <c r="B1605" s="96"/>
      <c r="C1605" s="96"/>
      <c r="D1605" s="96"/>
      <c r="E1605" s="96"/>
    </row>
    <row r="1606" spans="2:5" x14ac:dyDescent="0.25">
      <c r="B1606" s="96"/>
      <c r="C1606" s="96"/>
      <c r="D1606" s="96"/>
      <c r="E1606" s="96"/>
    </row>
    <row r="1607" spans="2:5" x14ac:dyDescent="0.25">
      <c r="B1607" s="96"/>
      <c r="C1607" s="96"/>
      <c r="D1607" s="96"/>
      <c r="E1607" s="96"/>
    </row>
    <row r="1608" spans="2:5" x14ac:dyDescent="0.25">
      <c r="B1608" s="96"/>
      <c r="C1608" s="96"/>
      <c r="D1608" s="96"/>
      <c r="E1608" s="96"/>
    </row>
    <row r="1609" spans="2:5" x14ac:dyDescent="0.25">
      <c r="B1609" s="96"/>
      <c r="C1609" s="96"/>
      <c r="D1609" s="96"/>
      <c r="E1609" s="96"/>
    </row>
    <row r="1610" spans="2:5" x14ac:dyDescent="0.25">
      <c r="B1610" s="96"/>
      <c r="C1610" s="96"/>
      <c r="D1610" s="96"/>
      <c r="E1610" s="96"/>
    </row>
    <row r="1611" spans="2:5" x14ac:dyDescent="0.25">
      <c r="B1611" s="96"/>
      <c r="C1611" s="96"/>
      <c r="D1611" s="96"/>
      <c r="E1611" s="96"/>
    </row>
    <row r="1612" spans="2:5" x14ac:dyDescent="0.25">
      <c r="B1612" s="96"/>
      <c r="C1612" s="96"/>
      <c r="D1612" s="96"/>
      <c r="E1612" s="96"/>
    </row>
    <row r="1613" spans="2:5" x14ac:dyDescent="0.25">
      <c r="B1613" s="96"/>
      <c r="C1613" s="96"/>
      <c r="D1613" s="96"/>
      <c r="E1613" s="96"/>
    </row>
    <row r="1614" spans="2:5" x14ac:dyDescent="0.25">
      <c r="B1614" s="96"/>
      <c r="C1614" s="96"/>
      <c r="D1614" s="96"/>
      <c r="E1614" s="96"/>
    </row>
    <row r="1615" spans="2:5" x14ac:dyDescent="0.25">
      <c r="B1615" s="96"/>
      <c r="C1615" s="96"/>
      <c r="D1615" s="96"/>
      <c r="E1615" s="96"/>
    </row>
    <row r="1616" spans="2:5" x14ac:dyDescent="0.25">
      <c r="B1616" s="96"/>
      <c r="C1616" s="96"/>
      <c r="D1616" s="96"/>
      <c r="E1616" s="96"/>
    </row>
    <row r="1617" spans="2:5" x14ac:dyDescent="0.25">
      <c r="B1617" s="96"/>
      <c r="C1617" s="96"/>
      <c r="D1617" s="96"/>
      <c r="E1617" s="96"/>
    </row>
    <row r="1618" spans="2:5" x14ac:dyDescent="0.25">
      <c r="B1618" s="96"/>
      <c r="C1618" s="96"/>
      <c r="D1618" s="96"/>
      <c r="E1618" s="96"/>
    </row>
    <row r="1619" spans="2:5" x14ac:dyDescent="0.25">
      <c r="B1619" s="96"/>
      <c r="C1619" s="96"/>
      <c r="D1619" s="96"/>
      <c r="E1619" s="96"/>
    </row>
    <row r="1620" spans="2:5" x14ac:dyDescent="0.25">
      <c r="B1620" s="96"/>
      <c r="C1620" s="96"/>
      <c r="D1620" s="96"/>
      <c r="E1620" s="96"/>
    </row>
    <row r="1621" spans="2:5" x14ac:dyDescent="0.25">
      <c r="B1621" s="96"/>
      <c r="C1621" s="96"/>
      <c r="D1621" s="96"/>
      <c r="E1621" s="96"/>
    </row>
    <row r="1622" spans="2:5" x14ac:dyDescent="0.25">
      <c r="B1622" s="96"/>
      <c r="C1622" s="96"/>
      <c r="D1622" s="96"/>
      <c r="E1622" s="96"/>
    </row>
    <row r="1623" spans="2:5" x14ac:dyDescent="0.25">
      <c r="B1623" s="96"/>
      <c r="C1623" s="96"/>
      <c r="D1623" s="96"/>
      <c r="E1623" s="96"/>
    </row>
    <row r="1624" spans="2:5" x14ac:dyDescent="0.25">
      <c r="B1624" s="96"/>
      <c r="C1624" s="96"/>
      <c r="D1624" s="96"/>
      <c r="E1624" s="96"/>
    </row>
    <row r="1625" spans="2:5" x14ac:dyDescent="0.25">
      <c r="B1625" s="96"/>
      <c r="C1625" s="96"/>
      <c r="D1625" s="96"/>
      <c r="E1625" s="96"/>
    </row>
    <row r="1626" spans="2:5" x14ac:dyDescent="0.25">
      <c r="B1626" s="96"/>
      <c r="C1626" s="96"/>
      <c r="D1626" s="96"/>
      <c r="E1626" s="96"/>
    </row>
    <row r="1627" spans="2:5" x14ac:dyDescent="0.25">
      <c r="B1627" s="96"/>
      <c r="C1627" s="96"/>
      <c r="D1627" s="96"/>
      <c r="E1627" s="96"/>
    </row>
    <row r="1628" spans="2:5" x14ac:dyDescent="0.25">
      <c r="B1628" s="96"/>
      <c r="C1628" s="96"/>
      <c r="D1628" s="96"/>
      <c r="E1628" s="96"/>
    </row>
    <row r="1629" spans="2:5" x14ac:dyDescent="0.25">
      <c r="B1629" s="96"/>
      <c r="C1629" s="96"/>
      <c r="D1629" s="96"/>
      <c r="E1629" s="96"/>
    </row>
    <row r="1630" spans="2:5" x14ac:dyDescent="0.25">
      <c r="B1630" s="96"/>
      <c r="C1630" s="96"/>
      <c r="D1630" s="96"/>
      <c r="E1630" s="96"/>
    </row>
    <row r="1631" spans="2:5" x14ac:dyDescent="0.25">
      <c r="B1631" s="96"/>
      <c r="C1631" s="96"/>
      <c r="D1631" s="96"/>
      <c r="E1631" s="96"/>
    </row>
    <row r="1632" spans="2:5" x14ac:dyDescent="0.25">
      <c r="B1632" s="96"/>
      <c r="C1632" s="96"/>
      <c r="D1632" s="96"/>
      <c r="E1632" s="96"/>
    </row>
    <row r="1633" spans="2:5" x14ac:dyDescent="0.25">
      <c r="B1633" s="96"/>
      <c r="C1633" s="96"/>
      <c r="D1633" s="96"/>
      <c r="E1633" s="96"/>
    </row>
    <row r="1634" spans="2:5" x14ac:dyDescent="0.25">
      <c r="B1634" s="96"/>
      <c r="C1634" s="96"/>
      <c r="D1634" s="96"/>
      <c r="E1634" s="96"/>
    </row>
    <row r="1635" spans="2:5" x14ac:dyDescent="0.25">
      <c r="B1635" s="96"/>
      <c r="C1635" s="96"/>
      <c r="D1635" s="96"/>
      <c r="E1635" s="96"/>
    </row>
    <row r="1636" spans="2:5" x14ac:dyDescent="0.25">
      <c r="B1636" s="96"/>
      <c r="C1636" s="96"/>
      <c r="D1636" s="96"/>
      <c r="E1636" s="96"/>
    </row>
    <row r="1637" spans="2:5" x14ac:dyDescent="0.25">
      <c r="B1637" s="96"/>
      <c r="C1637" s="96"/>
      <c r="D1637" s="96"/>
      <c r="E1637" s="96"/>
    </row>
    <row r="1638" spans="2:5" x14ac:dyDescent="0.25">
      <c r="B1638" s="96"/>
      <c r="C1638" s="96"/>
      <c r="D1638" s="96"/>
      <c r="E1638" s="96"/>
    </row>
    <row r="1639" spans="2:5" x14ac:dyDescent="0.25">
      <c r="B1639" s="96"/>
      <c r="C1639" s="96"/>
      <c r="D1639" s="96"/>
      <c r="E1639" s="96"/>
    </row>
    <row r="1640" spans="2:5" x14ac:dyDescent="0.25">
      <c r="B1640" s="96"/>
      <c r="C1640" s="96"/>
      <c r="D1640" s="96"/>
      <c r="E1640" s="96"/>
    </row>
    <row r="1641" spans="2:5" x14ac:dyDescent="0.25">
      <c r="B1641" s="96"/>
      <c r="C1641" s="96"/>
      <c r="D1641" s="96"/>
      <c r="E1641" s="96"/>
    </row>
    <row r="1642" spans="2:5" x14ac:dyDescent="0.25">
      <c r="B1642" s="96"/>
      <c r="C1642" s="96"/>
      <c r="D1642" s="96"/>
      <c r="E1642" s="96"/>
    </row>
    <row r="1643" spans="2:5" x14ac:dyDescent="0.25">
      <c r="B1643" s="96"/>
      <c r="C1643" s="96"/>
      <c r="D1643" s="96"/>
      <c r="E1643" s="96"/>
    </row>
    <row r="1644" spans="2:5" x14ac:dyDescent="0.25">
      <c r="B1644" s="96"/>
      <c r="C1644" s="96"/>
      <c r="D1644" s="96"/>
      <c r="E1644" s="96"/>
    </row>
    <row r="1645" spans="2:5" x14ac:dyDescent="0.25">
      <c r="B1645" s="96"/>
      <c r="C1645" s="96"/>
      <c r="D1645" s="96"/>
      <c r="E1645" s="96"/>
    </row>
    <row r="1646" spans="2:5" x14ac:dyDescent="0.25">
      <c r="B1646" s="96"/>
      <c r="C1646" s="96"/>
      <c r="D1646" s="96"/>
      <c r="E1646" s="96"/>
    </row>
    <row r="1647" spans="2:5" x14ac:dyDescent="0.25">
      <c r="B1647" s="96"/>
      <c r="C1647" s="96"/>
      <c r="D1647" s="96"/>
      <c r="E1647" s="96"/>
    </row>
    <row r="1648" spans="2:5" x14ac:dyDescent="0.25">
      <c r="B1648" s="96"/>
      <c r="C1648" s="96"/>
      <c r="D1648" s="96"/>
      <c r="E1648" s="96"/>
    </row>
    <row r="1649" spans="2:5" x14ac:dyDescent="0.25">
      <c r="B1649" s="96"/>
      <c r="C1649" s="96"/>
      <c r="D1649" s="96"/>
      <c r="E1649" s="96"/>
    </row>
    <row r="1650" spans="2:5" x14ac:dyDescent="0.25">
      <c r="B1650" s="96"/>
      <c r="C1650" s="96"/>
      <c r="D1650" s="96"/>
      <c r="E1650" s="96"/>
    </row>
    <row r="1651" spans="2:5" x14ac:dyDescent="0.25">
      <c r="B1651" s="96"/>
      <c r="C1651" s="96"/>
      <c r="D1651" s="96"/>
      <c r="E1651" s="96"/>
    </row>
    <row r="1652" spans="2:5" x14ac:dyDescent="0.25">
      <c r="B1652" s="96"/>
      <c r="C1652" s="96"/>
      <c r="D1652" s="96"/>
      <c r="E1652" s="96"/>
    </row>
    <row r="1653" spans="2:5" x14ac:dyDescent="0.25">
      <c r="B1653" s="96"/>
      <c r="C1653" s="96"/>
      <c r="D1653" s="96"/>
      <c r="E1653" s="96"/>
    </row>
    <row r="1654" spans="2:5" x14ac:dyDescent="0.25">
      <c r="B1654" s="96"/>
      <c r="C1654" s="96"/>
      <c r="D1654" s="96"/>
      <c r="E1654" s="96"/>
    </row>
    <row r="1655" spans="2:5" x14ac:dyDescent="0.25">
      <c r="B1655" s="96"/>
      <c r="C1655" s="96"/>
      <c r="D1655" s="96"/>
      <c r="E1655" s="96"/>
    </row>
    <row r="1656" spans="2:5" x14ac:dyDescent="0.25">
      <c r="B1656" s="96"/>
      <c r="C1656" s="96"/>
      <c r="D1656" s="96"/>
      <c r="E1656" s="96"/>
    </row>
    <row r="1657" spans="2:5" x14ac:dyDescent="0.25">
      <c r="B1657" s="96"/>
      <c r="C1657" s="96"/>
      <c r="D1657" s="96"/>
      <c r="E1657" s="96"/>
    </row>
    <row r="1658" spans="2:5" x14ac:dyDescent="0.25">
      <c r="B1658" s="96"/>
      <c r="C1658" s="96"/>
      <c r="D1658" s="96"/>
      <c r="E1658" s="96"/>
    </row>
    <row r="1659" spans="2:5" x14ac:dyDescent="0.25">
      <c r="B1659" s="96"/>
      <c r="C1659" s="96"/>
      <c r="D1659" s="96"/>
      <c r="E1659" s="96"/>
    </row>
    <row r="1660" spans="2:5" x14ac:dyDescent="0.25">
      <c r="B1660" s="96"/>
      <c r="C1660" s="96"/>
      <c r="D1660" s="96"/>
      <c r="E1660" s="96"/>
    </row>
    <row r="1661" spans="2:5" x14ac:dyDescent="0.25">
      <c r="B1661" s="96"/>
      <c r="C1661" s="96"/>
      <c r="D1661" s="96"/>
      <c r="E1661" s="96"/>
    </row>
    <row r="1662" spans="2:5" x14ac:dyDescent="0.25">
      <c r="B1662" s="96"/>
      <c r="C1662" s="96"/>
      <c r="D1662" s="96"/>
      <c r="E1662" s="96"/>
    </row>
    <row r="1663" spans="2:5" x14ac:dyDescent="0.25">
      <c r="B1663" s="96"/>
      <c r="C1663" s="96"/>
      <c r="D1663" s="96"/>
      <c r="E1663" s="96"/>
    </row>
    <row r="1664" spans="2:5" x14ac:dyDescent="0.25">
      <c r="B1664" s="96"/>
      <c r="C1664" s="96"/>
      <c r="D1664" s="96"/>
      <c r="E1664" s="96"/>
    </row>
    <row r="1665" spans="2:5" x14ac:dyDescent="0.25">
      <c r="B1665" s="96"/>
      <c r="C1665" s="96"/>
      <c r="D1665" s="96"/>
      <c r="E1665" s="96"/>
    </row>
    <row r="1666" spans="2:5" x14ac:dyDescent="0.25">
      <c r="B1666" s="96"/>
      <c r="C1666" s="96"/>
      <c r="D1666" s="96"/>
      <c r="E1666" s="96"/>
    </row>
    <row r="1667" spans="2:5" x14ac:dyDescent="0.25">
      <c r="B1667" s="96"/>
      <c r="C1667" s="96"/>
      <c r="D1667" s="96"/>
      <c r="E1667" s="96"/>
    </row>
    <row r="1668" spans="2:5" x14ac:dyDescent="0.25">
      <c r="B1668" s="96"/>
      <c r="C1668" s="96"/>
      <c r="D1668" s="96"/>
      <c r="E1668" s="96"/>
    </row>
    <row r="1669" spans="2:5" x14ac:dyDescent="0.25">
      <c r="B1669" s="96"/>
      <c r="C1669" s="96"/>
      <c r="D1669" s="96"/>
      <c r="E1669" s="96"/>
    </row>
    <row r="1670" spans="2:5" x14ac:dyDescent="0.25">
      <c r="B1670" s="96"/>
      <c r="C1670" s="96"/>
      <c r="D1670" s="96"/>
      <c r="E1670" s="96"/>
    </row>
    <row r="1671" spans="2:5" x14ac:dyDescent="0.25">
      <c r="B1671" s="96"/>
      <c r="C1671" s="96"/>
      <c r="D1671" s="96"/>
      <c r="E1671" s="96"/>
    </row>
    <row r="1672" spans="2:5" x14ac:dyDescent="0.25">
      <c r="B1672" s="96"/>
      <c r="C1672" s="96"/>
      <c r="D1672" s="96"/>
      <c r="E1672" s="96"/>
    </row>
    <row r="1673" spans="2:5" x14ac:dyDescent="0.25">
      <c r="B1673" s="96"/>
      <c r="C1673" s="96"/>
      <c r="D1673" s="96"/>
      <c r="E1673" s="96"/>
    </row>
    <row r="1674" spans="2:5" x14ac:dyDescent="0.25">
      <c r="B1674" s="96"/>
      <c r="C1674" s="96"/>
      <c r="D1674" s="96"/>
      <c r="E1674" s="96"/>
    </row>
    <row r="1675" spans="2:5" x14ac:dyDescent="0.25">
      <c r="B1675" s="96"/>
      <c r="C1675" s="96"/>
      <c r="D1675" s="96"/>
      <c r="E1675" s="96"/>
    </row>
    <row r="1676" spans="2:5" x14ac:dyDescent="0.25">
      <c r="B1676" s="96"/>
      <c r="C1676" s="96"/>
      <c r="D1676" s="96"/>
      <c r="E1676" s="96"/>
    </row>
    <row r="1677" spans="2:5" x14ac:dyDescent="0.25">
      <c r="B1677" s="96"/>
      <c r="C1677" s="96"/>
      <c r="D1677" s="96"/>
      <c r="E1677" s="96"/>
    </row>
    <row r="1678" spans="2:5" x14ac:dyDescent="0.25">
      <c r="B1678" s="96"/>
      <c r="C1678" s="96"/>
      <c r="D1678" s="96"/>
      <c r="E1678" s="96"/>
    </row>
    <row r="1679" spans="2:5" x14ac:dyDescent="0.25">
      <c r="B1679" s="96"/>
      <c r="C1679" s="96"/>
      <c r="D1679" s="96"/>
      <c r="E1679" s="96"/>
    </row>
    <row r="1680" spans="2:5" x14ac:dyDescent="0.25">
      <c r="B1680" s="96"/>
      <c r="C1680" s="96"/>
      <c r="D1680" s="96"/>
      <c r="E1680" s="96"/>
    </row>
    <row r="1681" spans="2:5" x14ac:dyDescent="0.25">
      <c r="B1681" s="96"/>
      <c r="C1681" s="96"/>
      <c r="D1681" s="96"/>
      <c r="E1681" s="96"/>
    </row>
    <row r="1682" spans="2:5" x14ac:dyDescent="0.25">
      <c r="B1682" s="96"/>
      <c r="C1682" s="96"/>
      <c r="D1682" s="96"/>
      <c r="E1682" s="96"/>
    </row>
    <row r="1683" spans="2:5" x14ac:dyDescent="0.25">
      <c r="B1683" s="96"/>
      <c r="C1683" s="96"/>
      <c r="D1683" s="96"/>
      <c r="E1683" s="96"/>
    </row>
    <row r="1684" spans="2:5" x14ac:dyDescent="0.25">
      <c r="B1684" s="96"/>
      <c r="C1684" s="96"/>
      <c r="D1684" s="96"/>
      <c r="E1684" s="96"/>
    </row>
    <row r="1685" spans="2:5" x14ac:dyDescent="0.25">
      <c r="B1685" s="96"/>
      <c r="C1685" s="96"/>
      <c r="D1685" s="96"/>
      <c r="E1685" s="96"/>
    </row>
    <row r="1686" spans="2:5" x14ac:dyDescent="0.25">
      <c r="B1686" s="96"/>
      <c r="C1686" s="96"/>
      <c r="D1686" s="96"/>
      <c r="E1686" s="96"/>
    </row>
    <row r="1687" spans="2:5" x14ac:dyDescent="0.25">
      <c r="B1687" s="96"/>
      <c r="C1687" s="96"/>
      <c r="D1687" s="96"/>
      <c r="E1687" s="96"/>
    </row>
    <row r="1688" spans="2:5" x14ac:dyDescent="0.25">
      <c r="B1688" s="96"/>
      <c r="C1688" s="96"/>
      <c r="D1688" s="96"/>
      <c r="E1688" s="96"/>
    </row>
    <row r="1689" spans="2:5" x14ac:dyDescent="0.25">
      <c r="B1689" s="96"/>
      <c r="C1689" s="96"/>
      <c r="D1689" s="96"/>
      <c r="E1689" s="96"/>
    </row>
    <row r="1690" spans="2:5" x14ac:dyDescent="0.25">
      <c r="B1690" s="96"/>
      <c r="C1690" s="96"/>
      <c r="D1690" s="96"/>
      <c r="E1690" s="96"/>
    </row>
    <row r="1691" spans="2:5" x14ac:dyDescent="0.25">
      <c r="B1691" s="96"/>
      <c r="C1691" s="96"/>
      <c r="D1691" s="96"/>
      <c r="E1691" s="96"/>
    </row>
    <row r="1692" spans="2:5" x14ac:dyDescent="0.25">
      <c r="B1692" s="96"/>
      <c r="C1692" s="96"/>
      <c r="D1692" s="96"/>
      <c r="E1692" s="96"/>
    </row>
    <row r="1693" spans="2:5" x14ac:dyDescent="0.25">
      <c r="B1693" s="96"/>
      <c r="C1693" s="96"/>
      <c r="D1693" s="96"/>
      <c r="E1693" s="96"/>
    </row>
    <row r="1694" spans="2:5" x14ac:dyDescent="0.25">
      <c r="B1694" s="96"/>
      <c r="C1694" s="96"/>
      <c r="D1694" s="96"/>
      <c r="E1694" s="96"/>
    </row>
    <row r="1695" spans="2:5" x14ac:dyDescent="0.25">
      <c r="B1695" s="96"/>
      <c r="C1695" s="96"/>
      <c r="D1695" s="96"/>
      <c r="E1695" s="96"/>
    </row>
    <row r="1696" spans="2:5" x14ac:dyDescent="0.25">
      <c r="B1696" s="96"/>
      <c r="C1696" s="96"/>
      <c r="D1696" s="96"/>
      <c r="E1696" s="96"/>
    </row>
    <row r="1697" spans="2:5" x14ac:dyDescent="0.25">
      <c r="B1697" s="96"/>
      <c r="C1697" s="96"/>
      <c r="D1697" s="96"/>
      <c r="E1697" s="96"/>
    </row>
    <row r="1698" spans="2:5" x14ac:dyDescent="0.25">
      <c r="B1698" s="96"/>
      <c r="C1698" s="96"/>
      <c r="D1698" s="96"/>
      <c r="E1698" s="96"/>
    </row>
    <row r="1699" spans="2:5" x14ac:dyDescent="0.25">
      <c r="B1699" s="96"/>
      <c r="C1699" s="96"/>
      <c r="D1699" s="96"/>
      <c r="E1699" s="96"/>
    </row>
    <row r="1700" spans="2:5" x14ac:dyDescent="0.25">
      <c r="B1700" s="96"/>
      <c r="C1700" s="96"/>
      <c r="D1700" s="96"/>
      <c r="E1700" s="96"/>
    </row>
    <row r="1701" spans="2:5" x14ac:dyDescent="0.25">
      <c r="B1701" s="96"/>
      <c r="C1701" s="96"/>
      <c r="D1701" s="96"/>
      <c r="E1701" s="96"/>
    </row>
    <row r="1702" spans="2:5" x14ac:dyDescent="0.25">
      <c r="B1702" s="96"/>
      <c r="C1702" s="96"/>
      <c r="D1702" s="96"/>
      <c r="E1702" s="96"/>
    </row>
    <row r="1703" spans="2:5" x14ac:dyDescent="0.25">
      <c r="B1703" s="96"/>
      <c r="C1703" s="96"/>
      <c r="D1703" s="96"/>
      <c r="E1703" s="96"/>
    </row>
    <row r="1704" spans="2:5" x14ac:dyDescent="0.25">
      <c r="B1704" s="96"/>
      <c r="C1704" s="96"/>
      <c r="D1704" s="96"/>
      <c r="E1704" s="96"/>
    </row>
    <row r="1705" spans="2:5" x14ac:dyDescent="0.25">
      <c r="B1705" s="96"/>
      <c r="C1705" s="96"/>
      <c r="D1705" s="96"/>
      <c r="E1705" s="96"/>
    </row>
    <row r="1706" spans="2:5" x14ac:dyDescent="0.25">
      <c r="B1706" s="96"/>
      <c r="C1706" s="96"/>
      <c r="D1706" s="96"/>
      <c r="E1706" s="96"/>
    </row>
    <row r="1707" spans="2:5" x14ac:dyDescent="0.25">
      <c r="B1707" s="96"/>
      <c r="C1707" s="96"/>
      <c r="D1707" s="96"/>
      <c r="E1707" s="96"/>
    </row>
    <row r="1708" spans="2:5" x14ac:dyDescent="0.25">
      <c r="B1708" s="96"/>
      <c r="C1708" s="96"/>
      <c r="D1708" s="96"/>
      <c r="E1708" s="96"/>
    </row>
    <row r="1709" spans="2:5" x14ac:dyDescent="0.25">
      <c r="B1709" s="96"/>
      <c r="C1709" s="96"/>
      <c r="D1709" s="96"/>
      <c r="E1709" s="96"/>
    </row>
    <row r="1710" spans="2:5" x14ac:dyDescent="0.25">
      <c r="B1710" s="96"/>
      <c r="C1710" s="96"/>
      <c r="D1710" s="96"/>
      <c r="E1710" s="96"/>
    </row>
    <row r="1711" spans="2:5" x14ac:dyDescent="0.25">
      <c r="B1711" s="96"/>
      <c r="C1711" s="96"/>
      <c r="D1711" s="96"/>
      <c r="E1711" s="96"/>
    </row>
    <row r="1712" spans="2:5" x14ac:dyDescent="0.25">
      <c r="B1712" s="96"/>
      <c r="C1712" s="96"/>
      <c r="D1712" s="96"/>
      <c r="E1712" s="96"/>
    </row>
    <row r="1713" spans="2:5" x14ac:dyDescent="0.25">
      <c r="B1713" s="96"/>
      <c r="C1713" s="96"/>
      <c r="D1713" s="96"/>
      <c r="E1713" s="96"/>
    </row>
    <row r="1714" spans="2:5" x14ac:dyDescent="0.25">
      <c r="B1714" s="96"/>
      <c r="C1714" s="96"/>
      <c r="D1714" s="96"/>
      <c r="E1714" s="96"/>
    </row>
    <row r="1715" spans="2:5" x14ac:dyDescent="0.25">
      <c r="B1715" s="96"/>
      <c r="C1715" s="96"/>
      <c r="D1715" s="96"/>
      <c r="E1715" s="96"/>
    </row>
    <row r="1716" spans="2:5" x14ac:dyDescent="0.25">
      <c r="B1716" s="96"/>
      <c r="C1716" s="96"/>
      <c r="D1716" s="96"/>
      <c r="E1716" s="96"/>
    </row>
    <row r="1717" spans="2:5" x14ac:dyDescent="0.25">
      <c r="B1717" s="96"/>
      <c r="C1717" s="96"/>
      <c r="D1717" s="96"/>
      <c r="E1717" s="96"/>
    </row>
    <row r="1718" spans="2:5" x14ac:dyDescent="0.25">
      <c r="B1718" s="96"/>
      <c r="C1718" s="96"/>
      <c r="D1718" s="96"/>
      <c r="E1718" s="96"/>
    </row>
    <row r="1719" spans="2:5" x14ac:dyDescent="0.25">
      <c r="B1719" s="96"/>
      <c r="C1719" s="96"/>
      <c r="D1719" s="96"/>
      <c r="E1719" s="96"/>
    </row>
    <row r="1720" spans="2:5" x14ac:dyDescent="0.25">
      <c r="B1720" s="96"/>
      <c r="C1720" s="96"/>
      <c r="D1720" s="96"/>
      <c r="E1720" s="96"/>
    </row>
    <row r="1721" spans="2:5" x14ac:dyDescent="0.25">
      <c r="B1721" s="96"/>
      <c r="C1721" s="96"/>
      <c r="D1721" s="96"/>
      <c r="E1721" s="96"/>
    </row>
    <row r="1722" spans="2:5" x14ac:dyDescent="0.25">
      <c r="B1722" s="96"/>
      <c r="C1722" s="96"/>
      <c r="D1722" s="96"/>
      <c r="E1722" s="96"/>
    </row>
  </sheetData>
  <autoFilter ref="A1:E1172" xr:uid="{7A50A2BD-4C26-4EA1-87EC-9323EEC801E4}"/>
  <sortState xmlns:xlrd2="http://schemas.microsoft.com/office/spreadsheetml/2017/richdata2" ref="A2:E1722">
    <sortCondition ref="A696:A1722"/>
  </sortState>
  <phoneticPr fontId="2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4776"/>
  <sheetViews>
    <sheetView tabSelected="1" topLeftCell="A4736" zoomScaleNormal="100" zoomScaleSheetLayoutView="80" workbookViewId="0">
      <selection activeCell="G4763" sqref="G4763"/>
    </sheetView>
  </sheetViews>
  <sheetFormatPr baseColWidth="10" defaultColWidth="11.42578125" defaultRowHeight="15" x14ac:dyDescent="0.25"/>
  <cols>
    <col min="1" max="1" width="13.7109375" style="91" customWidth="1"/>
    <col min="2" max="2" width="15.7109375" style="95" customWidth="1"/>
    <col min="3" max="3" width="15" style="95" customWidth="1"/>
    <col min="4" max="4" width="10.5703125" style="95" customWidth="1"/>
    <col min="5" max="5" width="19.7109375" style="91" customWidth="1"/>
    <col min="6" max="51" width="13" customWidth="1"/>
  </cols>
  <sheetData>
    <row r="1" spans="1:5" x14ac:dyDescent="0.25">
      <c r="A1" s="89" t="s">
        <v>17</v>
      </c>
      <c r="B1" s="97" t="s">
        <v>58</v>
      </c>
      <c r="C1" s="97" t="s">
        <v>59</v>
      </c>
      <c r="D1" s="97" t="s">
        <v>88</v>
      </c>
      <c r="E1" s="89" t="s">
        <v>61</v>
      </c>
    </row>
    <row r="2" spans="1:5" x14ac:dyDescent="0.25">
      <c r="A2" s="94">
        <v>45814</v>
      </c>
      <c r="B2" s="95">
        <v>511649.70899999997</v>
      </c>
      <c r="C2" s="95">
        <v>4786682.1660000002</v>
      </c>
      <c r="D2" s="95">
        <v>56.185000000000002</v>
      </c>
      <c r="E2" s="91" t="s">
        <v>89</v>
      </c>
    </row>
    <row r="3" spans="1:5" x14ac:dyDescent="0.25">
      <c r="A3" s="94">
        <v>45814</v>
      </c>
      <c r="B3" s="95">
        <v>511630.76699999999</v>
      </c>
      <c r="C3" s="95">
        <v>4786689.87</v>
      </c>
      <c r="D3" s="95">
        <v>55.948</v>
      </c>
      <c r="E3" s="91" t="s">
        <v>90</v>
      </c>
    </row>
    <row r="4" spans="1:5" x14ac:dyDescent="0.25">
      <c r="A4" s="94">
        <v>45814</v>
      </c>
      <c r="B4" s="95">
        <v>511623.43900000001</v>
      </c>
      <c r="C4" s="95">
        <v>4786694.0829999996</v>
      </c>
      <c r="D4" s="95">
        <v>54.789000000000001</v>
      </c>
      <c r="E4" s="91" t="s">
        <v>91</v>
      </c>
    </row>
    <row r="5" spans="1:5" x14ac:dyDescent="0.25">
      <c r="A5" s="94">
        <v>45814</v>
      </c>
      <c r="B5" s="95">
        <v>511613.326</v>
      </c>
      <c r="C5" s="95">
        <v>4786695.3130000001</v>
      </c>
      <c r="D5" s="95">
        <v>60.588999999999999</v>
      </c>
      <c r="E5" s="91" t="s">
        <v>92</v>
      </c>
    </row>
    <row r="6" spans="1:5" x14ac:dyDescent="0.25">
      <c r="A6" s="94">
        <v>45814</v>
      </c>
      <c r="B6" s="95">
        <v>511614.75599999999</v>
      </c>
      <c r="C6" s="95">
        <v>4786712.5650000004</v>
      </c>
      <c r="D6" s="95">
        <v>60.816000000000003</v>
      </c>
      <c r="E6" s="91" t="s">
        <v>93</v>
      </c>
    </row>
    <row r="7" spans="1:5" x14ac:dyDescent="0.25">
      <c r="A7" s="94">
        <v>45814</v>
      </c>
      <c r="B7" s="95">
        <v>511660.66700000002</v>
      </c>
      <c r="C7" s="95">
        <v>4786683.47</v>
      </c>
      <c r="D7" s="95">
        <v>55.402999999999999</v>
      </c>
      <c r="E7" s="91" t="s">
        <v>94</v>
      </c>
    </row>
    <row r="8" spans="1:5" x14ac:dyDescent="0.25">
      <c r="A8" s="94">
        <v>45814</v>
      </c>
      <c r="B8" s="95">
        <v>511670.87699999998</v>
      </c>
      <c r="C8" s="95">
        <v>4786685.9220000003</v>
      </c>
      <c r="D8" s="95">
        <v>54.819000000000003</v>
      </c>
      <c r="E8" s="91" t="s">
        <v>95</v>
      </c>
    </row>
    <row r="9" spans="1:5" x14ac:dyDescent="0.25">
      <c r="A9" s="94">
        <v>45817</v>
      </c>
      <c r="B9" s="95">
        <v>511649.70699999999</v>
      </c>
      <c r="C9" s="95">
        <v>4786682.1670000004</v>
      </c>
      <c r="D9" s="95">
        <v>56.183999999999997</v>
      </c>
      <c r="E9" s="91" t="s">
        <v>89</v>
      </c>
    </row>
    <row r="10" spans="1:5" x14ac:dyDescent="0.25">
      <c r="A10" s="94">
        <v>45817</v>
      </c>
      <c r="B10" s="95">
        <v>511630.76699999999</v>
      </c>
      <c r="C10" s="95">
        <v>4786689.8689999999</v>
      </c>
      <c r="D10" s="95">
        <v>55.945999999999998</v>
      </c>
      <c r="E10" s="91" t="s">
        <v>90</v>
      </c>
    </row>
    <row r="11" spans="1:5" x14ac:dyDescent="0.25">
      <c r="A11" s="94">
        <v>45817</v>
      </c>
      <c r="B11" s="95">
        <v>511623.43900000001</v>
      </c>
      <c r="C11" s="95">
        <v>4786694.0820000004</v>
      </c>
      <c r="D11" s="95">
        <v>54.787999999999997</v>
      </c>
      <c r="E11" s="91" t="s">
        <v>91</v>
      </c>
    </row>
    <row r="12" spans="1:5" x14ac:dyDescent="0.25">
      <c r="A12" s="94">
        <v>45817</v>
      </c>
      <c r="B12" s="95">
        <v>511613.32699999999</v>
      </c>
      <c r="C12" s="95">
        <v>4786695.3119999999</v>
      </c>
      <c r="D12" s="95">
        <v>60.588000000000001</v>
      </c>
      <c r="E12" s="91" t="s">
        <v>92</v>
      </c>
    </row>
    <row r="13" spans="1:5" x14ac:dyDescent="0.25">
      <c r="A13" s="94">
        <v>45817</v>
      </c>
      <c r="B13" s="95">
        <v>511614.75599999999</v>
      </c>
      <c r="C13" s="95">
        <v>4786712.5650000004</v>
      </c>
      <c r="D13" s="95">
        <v>60.814999999999998</v>
      </c>
      <c r="E13" s="91" t="s">
        <v>93</v>
      </c>
    </row>
    <row r="14" spans="1:5" x14ac:dyDescent="0.25">
      <c r="A14" s="94">
        <v>45817</v>
      </c>
      <c r="B14" s="95">
        <v>511660.66600000003</v>
      </c>
      <c r="C14" s="95">
        <v>4786683.4709999999</v>
      </c>
      <c r="D14" s="95">
        <v>55.402000000000001</v>
      </c>
      <c r="E14" s="91" t="s">
        <v>94</v>
      </c>
    </row>
    <row r="15" spans="1:5" x14ac:dyDescent="0.25">
      <c r="A15" s="94">
        <v>45817</v>
      </c>
      <c r="B15" s="95">
        <v>511670.87699999998</v>
      </c>
      <c r="C15" s="95">
        <v>4786685.9230000004</v>
      </c>
      <c r="D15" s="95">
        <v>54.817</v>
      </c>
      <c r="E15" s="91" t="s">
        <v>95</v>
      </c>
    </row>
    <row r="16" spans="1:5" x14ac:dyDescent="0.25">
      <c r="A16" s="94">
        <v>45820</v>
      </c>
      <c r="B16" s="95">
        <v>511649.70799999998</v>
      </c>
      <c r="C16" s="95">
        <v>4786682.1670000004</v>
      </c>
      <c r="D16" s="95">
        <v>56.185000000000002</v>
      </c>
      <c r="E16" s="91" t="s">
        <v>89</v>
      </c>
    </row>
    <row r="17" spans="1:5" x14ac:dyDescent="0.25">
      <c r="A17" s="94">
        <v>45820</v>
      </c>
      <c r="B17" s="95">
        <v>511630.76699999999</v>
      </c>
      <c r="C17" s="95">
        <v>4786689.8689999999</v>
      </c>
      <c r="D17" s="95">
        <v>55.948</v>
      </c>
      <c r="E17" s="91" t="s">
        <v>90</v>
      </c>
    </row>
    <row r="18" spans="1:5" x14ac:dyDescent="0.25">
      <c r="A18" s="94">
        <v>45820</v>
      </c>
      <c r="B18" s="95">
        <v>511623.43800000002</v>
      </c>
      <c r="C18" s="95">
        <v>4786694.0810000002</v>
      </c>
      <c r="D18" s="95">
        <v>54.787999999999997</v>
      </c>
      <c r="E18" s="91" t="s">
        <v>91</v>
      </c>
    </row>
    <row r="19" spans="1:5" x14ac:dyDescent="0.25">
      <c r="A19" s="94">
        <v>45820</v>
      </c>
      <c r="B19" s="95">
        <v>511613.32799999998</v>
      </c>
      <c r="C19" s="95">
        <v>4786695.3130000001</v>
      </c>
      <c r="D19" s="95">
        <v>60.59</v>
      </c>
      <c r="E19" s="91" t="s">
        <v>92</v>
      </c>
    </row>
    <row r="20" spans="1:5" x14ac:dyDescent="0.25">
      <c r="A20" s="94">
        <v>45820</v>
      </c>
      <c r="B20" s="95">
        <v>511614.75599999999</v>
      </c>
      <c r="C20" s="95">
        <v>4786712.5650000004</v>
      </c>
      <c r="D20" s="95">
        <v>60.816000000000003</v>
      </c>
      <c r="E20" s="91" t="s">
        <v>93</v>
      </c>
    </row>
    <row r="21" spans="1:5" x14ac:dyDescent="0.25">
      <c r="A21" s="94">
        <v>45820</v>
      </c>
      <c r="B21" s="95">
        <v>511660.66600000003</v>
      </c>
      <c r="C21" s="95">
        <v>4786683.47</v>
      </c>
      <c r="D21" s="95">
        <v>55.402999999999999</v>
      </c>
      <c r="E21" s="91" t="s">
        <v>94</v>
      </c>
    </row>
    <row r="22" spans="1:5" x14ac:dyDescent="0.25">
      <c r="A22" s="94">
        <v>45820</v>
      </c>
      <c r="B22" s="95">
        <v>511670.87800000003</v>
      </c>
      <c r="C22" s="95">
        <v>4786685.9220000003</v>
      </c>
      <c r="D22" s="95">
        <v>54.817999999999998</v>
      </c>
      <c r="E22" s="91" t="s">
        <v>95</v>
      </c>
    </row>
    <row r="23" spans="1:5" x14ac:dyDescent="0.25">
      <c r="A23" s="94">
        <v>45824</v>
      </c>
      <c r="B23" s="95">
        <v>511649.70600000001</v>
      </c>
      <c r="C23" s="95">
        <v>4786682.1670000004</v>
      </c>
      <c r="D23" s="95">
        <v>56.185000000000002</v>
      </c>
      <c r="E23" s="91" t="s">
        <v>89</v>
      </c>
    </row>
    <row r="24" spans="1:5" x14ac:dyDescent="0.25">
      <c r="A24" s="94">
        <v>45824</v>
      </c>
      <c r="B24" s="95">
        <v>511630.766</v>
      </c>
      <c r="C24" s="95">
        <v>4786689.8689999999</v>
      </c>
      <c r="D24" s="95">
        <v>55.948</v>
      </c>
      <c r="E24" s="91" t="s">
        <v>90</v>
      </c>
    </row>
    <row r="25" spans="1:5" x14ac:dyDescent="0.25">
      <c r="A25" s="94">
        <v>45824</v>
      </c>
      <c r="B25" s="95">
        <v>511623.43699999998</v>
      </c>
      <c r="C25" s="95">
        <v>4786694.0820000004</v>
      </c>
      <c r="D25" s="95">
        <v>54.787999999999997</v>
      </c>
      <c r="E25" s="91" t="s">
        <v>91</v>
      </c>
    </row>
    <row r="26" spans="1:5" x14ac:dyDescent="0.25">
      <c r="A26" s="94">
        <v>45824</v>
      </c>
      <c r="B26" s="95">
        <v>511613.326</v>
      </c>
      <c r="C26" s="95">
        <v>4786695.3119999999</v>
      </c>
      <c r="D26" s="95">
        <v>60.588999999999999</v>
      </c>
      <c r="E26" s="91" t="s">
        <v>92</v>
      </c>
    </row>
    <row r="27" spans="1:5" x14ac:dyDescent="0.25">
      <c r="A27" s="94">
        <v>45824</v>
      </c>
      <c r="B27" s="95">
        <v>511614.755</v>
      </c>
      <c r="C27" s="95">
        <v>4786712.5650000004</v>
      </c>
      <c r="D27" s="95">
        <v>60.814999999999998</v>
      </c>
      <c r="E27" s="91" t="s">
        <v>93</v>
      </c>
    </row>
    <row r="28" spans="1:5" x14ac:dyDescent="0.25">
      <c r="A28" s="94">
        <v>45824</v>
      </c>
      <c r="B28" s="95">
        <v>511660.66600000003</v>
      </c>
      <c r="C28" s="95">
        <v>4786683.4709999999</v>
      </c>
      <c r="D28" s="95">
        <v>55.402000000000001</v>
      </c>
      <c r="E28" s="91" t="s">
        <v>94</v>
      </c>
    </row>
    <row r="29" spans="1:5" x14ac:dyDescent="0.25">
      <c r="A29" s="94">
        <v>45824</v>
      </c>
      <c r="B29" s="95">
        <v>511670.875</v>
      </c>
      <c r="C29" s="95">
        <v>4786685.9220000003</v>
      </c>
      <c r="D29" s="95">
        <v>54.820999999999998</v>
      </c>
      <c r="E29" s="91" t="s">
        <v>95</v>
      </c>
    </row>
    <row r="30" spans="1:5" x14ac:dyDescent="0.25">
      <c r="A30" s="94">
        <v>45827</v>
      </c>
      <c r="B30" s="95">
        <v>511649.70799999998</v>
      </c>
      <c r="C30" s="95">
        <v>4786682.1660000002</v>
      </c>
      <c r="D30" s="95">
        <v>56.186999999999998</v>
      </c>
      <c r="E30" s="91" t="s">
        <v>89</v>
      </c>
    </row>
    <row r="31" spans="1:5" x14ac:dyDescent="0.25">
      <c r="A31" s="94">
        <v>45827</v>
      </c>
      <c r="B31" s="95">
        <v>511630.76699999999</v>
      </c>
      <c r="C31" s="95">
        <v>4786689.8689999999</v>
      </c>
      <c r="D31" s="95">
        <v>55.948999999999998</v>
      </c>
      <c r="E31" s="91" t="s">
        <v>90</v>
      </c>
    </row>
    <row r="32" spans="1:5" x14ac:dyDescent="0.25">
      <c r="A32" s="94">
        <v>45827</v>
      </c>
      <c r="B32" s="95">
        <v>511623.43800000002</v>
      </c>
      <c r="C32" s="95">
        <v>4786694.0820000004</v>
      </c>
      <c r="D32" s="95">
        <v>54.789000000000001</v>
      </c>
      <c r="E32" s="91" t="s">
        <v>91</v>
      </c>
    </row>
    <row r="33" spans="1:5" x14ac:dyDescent="0.25">
      <c r="A33" s="94">
        <v>45827</v>
      </c>
      <c r="B33" s="95">
        <v>511613.32699999999</v>
      </c>
      <c r="C33" s="95">
        <v>4786695.3119999999</v>
      </c>
      <c r="D33" s="95">
        <v>60.59</v>
      </c>
      <c r="E33" s="91" t="s">
        <v>92</v>
      </c>
    </row>
    <row r="34" spans="1:5" x14ac:dyDescent="0.25">
      <c r="A34" s="94">
        <v>45827</v>
      </c>
      <c r="B34" s="95">
        <v>511614.75599999999</v>
      </c>
      <c r="C34" s="95">
        <v>4786712.5650000004</v>
      </c>
      <c r="D34" s="95">
        <v>60.817</v>
      </c>
      <c r="E34" s="91" t="s">
        <v>93</v>
      </c>
    </row>
    <row r="35" spans="1:5" x14ac:dyDescent="0.25">
      <c r="A35" s="94">
        <v>45827</v>
      </c>
      <c r="B35" s="95">
        <v>511660.66700000002</v>
      </c>
      <c r="C35" s="95">
        <v>4786683.4709999999</v>
      </c>
      <c r="D35" s="95">
        <v>55.404000000000003</v>
      </c>
      <c r="E35" s="91" t="s">
        <v>94</v>
      </c>
    </row>
    <row r="36" spans="1:5" x14ac:dyDescent="0.25">
      <c r="A36" s="94">
        <v>45827</v>
      </c>
      <c r="B36" s="95">
        <v>511670.87800000003</v>
      </c>
      <c r="C36" s="95">
        <v>4786685.9220000003</v>
      </c>
      <c r="D36" s="95">
        <v>54.819000000000003</v>
      </c>
      <c r="E36" s="91" t="s">
        <v>95</v>
      </c>
    </row>
    <row r="37" spans="1:5" x14ac:dyDescent="0.25">
      <c r="A37" s="94">
        <v>45831</v>
      </c>
      <c r="B37" s="95">
        <v>511649.70899999997</v>
      </c>
      <c r="C37" s="95">
        <v>4786682.1679999996</v>
      </c>
      <c r="D37" s="95">
        <v>56.185000000000002</v>
      </c>
      <c r="E37" s="91" t="s">
        <v>89</v>
      </c>
    </row>
    <row r="38" spans="1:5" x14ac:dyDescent="0.25">
      <c r="A38" s="94">
        <v>45831</v>
      </c>
      <c r="B38" s="95">
        <v>511630.76799999998</v>
      </c>
      <c r="C38" s="95">
        <v>4786689.87</v>
      </c>
      <c r="D38" s="95">
        <v>55.948</v>
      </c>
      <c r="E38" s="91" t="s">
        <v>90</v>
      </c>
    </row>
    <row r="39" spans="1:5" x14ac:dyDescent="0.25">
      <c r="A39" s="94">
        <v>45831</v>
      </c>
      <c r="B39" s="95">
        <v>511623.44</v>
      </c>
      <c r="C39" s="95">
        <v>4786694.0829999996</v>
      </c>
      <c r="D39" s="95">
        <v>54.787999999999997</v>
      </c>
      <c r="E39" s="91" t="s">
        <v>91</v>
      </c>
    </row>
    <row r="40" spans="1:5" x14ac:dyDescent="0.25">
      <c r="A40" s="94">
        <v>45831</v>
      </c>
      <c r="B40" s="95">
        <v>511613.32699999999</v>
      </c>
      <c r="C40" s="95">
        <v>4786695.3119999999</v>
      </c>
      <c r="D40" s="95">
        <v>60.588999999999999</v>
      </c>
      <c r="E40" s="91" t="s">
        <v>92</v>
      </c>
    </row>
    <row r="41" spans="1:5" x14ac:dyDescent="0.25">
      <c r="A41" s="94">
        <v>45831</v>
      </c>
      <c r="B41" s="95">
        <v>511614.755</v>
      </c>
      <c r="C41" s="95">
        <v>4786712.5640000002</v>
      </c>
      <c r="D41" s="95">
        <v>60.814999999999998</v>
      </c>
      <c r="E41" s="91" t="s">
        <v>93</v>
      </c>
    </row>
    <row r="42" spans="1:5" x14ac:dyDescent="0.25">
      <c r="A42" s="94">
        <v>45831</v>
      </c>
      <c r="B42" s="95">
        <v>511660.66499999998</v>
      </c>
      <c r="C42" s="95">
        <v>4786683.4689999996</v>
      </c>
      <c r="D42" s="95">
        <v>55.404000000000003</v>
      </c>
      <c r="E42" s="91" t="s">
        <v>94</v>
      </c>
    </row>
    <row r="43" spans="1:5" x14ac:dyDescent="0.25">
      <c r="A43" s="94">
        <v>45831</v>
      </c>
      <c r="B43" s="95">
        <v>511670.875</v>
      </c>
      <c r="C43" s="95">
        <v>4786685.9220000003</v>
      </c>
      <c r="D43" s="95">
        <v>54.820999999999998</v>
      </c>
      <c r="E43" s="91" t="s">
        <v>95</v>
      </c>
    </row>
    <row r="44" spans="1:5" x14ac:dyDescent="0.25">
      <c r="A44" s="94">
        <v>45834</v>
      </c>
      <c r="B44" s="95">
        <v>511649.70699999999</v>
      </c>
      <c r="C44" s="95">
        <v>4786682.1670000004</v>
      </c>
      <c r="D44" s="95">
        <v>56.185000000000002</v>
      </c>
      <c r="E44" s="91" t="s">
        <v>89</v>
      </c>
    </row>
    <row r="45" spans="1:5" x14ac:dyDescent="0.25">
      <c r="A45" s="94">
        <v>45834</v>
      </c>
      <c r="B45" s="95">
        <v>511630.766</v>
      </c>
      <c r="C45" s="95">
        <v>4786689.87</v>
      </c>
      <c r="D45" s="95">
        <v>55.947000000000003</v>
      </c>
      <c r="E45" s="91" t="s">
        <v>90</v>
      </c>
    </row>
    <row r="46" spans="1:5" x14ac:dyDescent="0.25">
      <c r="A46" s="94">
        <v>45834</v>
      </c>
      <c r="B46" s="95">
        <v>511623.43800000002</v>
      </c>
      <c r="C46" s="95">
        <v>4786694.0820000004</v>
      </c>
      <c r="D46" s="95">
        <v>54.787999999999997</v>
      </c>
      <c r="E46" s="91" t="s">
        <v>91</v>
      </c>
    </row>
    <row r="47" spans="1:5" x14ac:dyDescent="0.25">
      <c r="A47" s="94">
        <v>45834</v>
      </c>
      <c r="B47" s="95">
        <v>511613.32699999999</v>
      </c>
      <c r="C47" s="95">
        <v>4786695.3119999999</v>
      </c>
      <c r="D47" s="95">
        <v>60.588999999999999</v>
      </c>
      <c r="E47" s="91" t="s">
        <v>92</v>
      </c>
    </row>
    <row r="48" spans="1:5" x14ac:dyDescent="0.25">
      <c r="A48" s="94">
        <v>45834</v>
      </c>
      <c r="B48" s="95">
        <v>511614.75599999999</v>
      </c>
      <c r="C48" s="95">
        <v>4786712.5659999996</v>
      </c>
      <c r="D48" s="95">
        <v>60.814999999999998</v>
      </c>
      <c r="E48" s="91" t="s">
        <v>93</v>
      </c>
    </row>
    <row r="49" spans="1:5" x14ac:dyDescent="0.25">
      <c r="A49" s="94">
        <v>45834</v>
      </c>
      <c r="B49" s="95">
        <v>511660.66600000003</v>
      </c>
      <c r="C49" s="95">
        <v>4786683.4709999999</v>
      </c>
      <c r="D49" s="95">
        <v>55.402999999999999</v>
      </c>
      <c r="E49" s="91" t="s">
        <v>94</v>
      </c>
    </row>
    <row r="50" spans="1:5" x14ac:dyDescent="0.25">
      <c r="A50" s="94">
        <v>45834</v>
      </c>
      <c r="B50" s="95">
        <v>511670.87599999999</v>
      </c>
      <c r="C50" s="95">
        <v>4786685.9220000003</v>
      </c>
      <c r="D50" s="95">
        <v>54.820999999999998</v>
      </c>
      <c r="E50" s="91" t="s">
        <v>95</v>
      </c>
    </row>
    <row r="51" spans="1:5" x14ac:dyDescent="0.25">
      <c r="A51" s="94">
        <v>45838</v>
      </c>
      <c r="B51" s="95">
        <v>511649.70799999998</v>
      </c>
      <c r="C51" s="95">
        <v>4786682.1660000002</v>
      </c>
      <c r="D51" s="95">
        <v>56.186</v>
      </c>
      <c r="E51" s="91" t="s">
        <v>89</v>
      </c>
    </row>
    <row r="52" spans="1:5" x14ac:dyDescent="0.25">
      <c r="A52" s="94">
        <v>45838</v>
      </c>
      <c r="B52" s="95">
        <v>511630.76799999998</v>
      </c>
      <c r="C52" s="95">
        <v>4786689.8689999999</v>
      </c>
      <c r="D52" s="95">
        <v>55.948999999999998</v>
      </c>
      <c r="E52" s="91" t="s">
        <v>90</v>
      </c>
    </row>
    <row r="53" spans="1:5" x14ac:dyDescent="0.25">
      <c r="A53" s="94">
        <v>45838</v>
      </c>
      <c r="B53" s="95">
        <v>511623.43900000001</v>
      </c>
      <c r="C53" s="95">
        <v>4786694.0810000002</v>
      </c>
      <c r="D53" s="95">
        <v>54.789000000000001</v>
      </c>
      <c r="E53" s="91" t="s">
        <v>91</v>
      </c>
    </row>
    <row r="54" spans="1:5" x14ac:dyDescent="0.25">
      <c r="A54" s="94">
        <v>45838</v>
      </c>
      <c r="B54" s="95">
        <v>511613.32699999999</v>
      </c>
      <c r="C54" s="95">
        <v>4786695.3099999996</v>
      </c>
      <c r="D54" s="95">
        <v>60.588999999999999</v>
      </c>
      <c r="E54" s="91" t="s">
        <v>92</v>
      </c>
    </row>
    <row r="55" spans="1:5" x14ac:dyDescent="0.25">
      <c r="A55" s="94">
        <v>45838</v>
      </c>
      <c r="B55" s="95">
        <v>511614.75699999998</v>
      </c>
      <c r="C55" s="95">
        <v>4786712.5640000002</v>
      </c>
      <c r="D55" s="95">
        <v>60.816000000000003</v>
      </c>
      <c r="E55" s="91" t="s">
        <v>93</v>
      </c>
    </row>
    <row r="56" spans="1:5" x14ac:dyDescent="0.25">
      <c r="A56" s="94">
        <v>45838</v>
      </c>
      <c r="B56" s="95">
        <v>511660.66700000002</v>
      </c>
      <c r="C56" s="95">
        <v>4786683.4689999996</v>
      </c>
      <c r="D56" s="95">
        <v>55.404000000000003</v>
      </c>
      <c r="E56" s="91" t="s">
        <v>94</v>
      </c>
    </row>
    <row r="57" spans="1:5" x14ac:dyDescent="0.25">
      <c r="A57" s="94">
        <v>45838</v>
      </c>
      <c r="B57" s="95">
        <v>511670.87699999998</v>
      </c>
      <c r="C57" s="95">
        <v>4786685.92</v>
      </c>
      <c r="D57" s="95">
        <v>54.822000000000003</v>
      </c>
      <c r="E57" s="91" t="s">
        <v>95</v>
      </c>
    </row>
    <row r="58" spans="1:5" x14ac:dyDescent="0.25">
      <c r="A58" s="94">
        <v>45841</v>
      </c>
      <c r="B58" s="95">
        <v>511649.70699999999</v>
      </c>
      <c r="C58" s="95">
        <v>4786682.1670000004</v>
      </c>
      <c r="D58" s="95">
        <v>56.185000000000002</v>
      </c>
      <c r="E58" s="91" t="s">
        <v>89</v>
      </c>
    </row>
    <row r="59" spans="1:5" x14ac:dyDescent="0.25">
      <c r="A59" s="94">
        <v>45841</v>
      </c>
      <c r="B59" s="95">
        <v>511630.766</v>
      </c>
      <c r="C59" s="95">
        <v>4786689.87</v>
      </c>
      <c r="D59" s="95">
        <v>55.947000000000003</v>
      </c>
      <c r="E59" s="91" t="s">
        <v>90</v>
      </c>
    </row>
    <row r="60" spans="1:5" x14ac:dyDescent="0.25">
      <c r="A60" s="94">
        <v>45841</v>
      </c>
      <c r="B60" s="95">
        <v>511623.43900000001</v>
      </c>
      <c r="C60" s="95">
        <v>4786694.0820000004</v>
      </c>
      <c r="D60" s="95">
        <v>54.786999999999999</v>
      </c>
      <c r="E60" s="91" t="s">
        <v>91</v>
      </c>
    </row>
    <row r="61" spans="1:5" x14ac:dyDescent="0.25">
      <c r="A61" s="94">
        <v>45841</v>
      </c>
      <c r="B61" s="95">
        <v>511613.32699999999</v>
      </c>
      <c r="C61" s="95">
        <v>4786695.3130000001</v>
      </c>
      <c r="D61" s="95">
        <v>60.588000000000001</v>
      </c>
      <c r="E61" s="91" t="s">
        <v>92</v>
      </c>
    </row>
    <row r="62" spans="1:5" x14ac:dyDescent="0.25">
      <c r="A62" s="94">
        <v>45841</v>
      </c>
      <c r="B62" s="95">
        <v>511614.75400000002</v>
      </c>
      <c r="C62" s="95">
        <v>4786712.5640000002</v>
      </c>
      <c r="D62" s="95">
        <v>60.814999999999998</v>
      </c>
      <c r="E62" s="91" t="s">
        <v>93</v>
      </c>
    </row>
    <row r="63" spans="1:5" x14ac:dyDescent="0.25">
      <c r="A63" s="94">
        <v>45841</v>
      </c>
      <c r="B63" s="95">
        <v>511660.66700000002</v>
      </c>
      <c r="C63" s="95">
        <v>4786683.4709999999</v>
      </c>
      <c r="D63" s="95">
        <v>55.402000000000001</v>
      </c>
      <c r="E63" s="91" t="s">
        <v>94</v>
      </c>
    </row>
    <row r="64" spans="1:5" x14ac:dyDescent="0.25">
      <c r="A64" s="94">
        <v>45841</v>
      </c>
      <c r="B64" s="95">
        <v>511670.87800000003</v>
      </c>
      <c r="C64" s="95">
        <v>4786685.9220000003</v>
      </c>
      <c r="D64" s="95">
        <v>54.820999999999998</v>
      </c>
      <c r="E64" s="91" t="s">
        <v>95</v>
      </c>
    </row>
    <row r="65" spans="1:5" x14ac:dyDescent="0.25">
      <c r="A65" s="94">
        <v>45845</v>
      </c>
      <c r="B65" s="95">
        <v>511649.70699999999</v>
      </c>
      <c r="C65" s="95">
        <v>4786682.1670000004</v>
      </c>
      <c r="D65" s="95">
        <v>56.185000000000002</v>
      </c>
      <c r="E65" s="91" t="s">
        <v>89</v>
      </c>
    </row>
    <row r="66" spans="1:5" x14ac:dyDescent="0.25">
      <c r="A66" s="94">
        <v>45845</v>
      </c>
      <c r="B66" s="95">
        <v>511630.766</v>
      </c>
      <c r="C66" s="95">
        <v>4786689.8689999999</v>
      </c>
      <c r="D66" s="95">
        <v>55.948</v>
      </c>
      <c r="E66" s="91" t="s">
        <v>90</v>
      </c>
    </row>
    <row r="67" spans="1:5" x14ac:dyDescent="0.25">
      <c r="A67" s="94">
        <v>45845</v>
      </c>
      <c r="B67" s="95">
        <v>511623.43800000002</v>
      </c>
      <c r="C67" s="95">
        <v>4786694.0820000004</v>
      </c>
      <c r="D67" s="95">
        <v>54.789000000000001</v>
      </c>
      <c r="E67" s="91" t="s">
        <v>91</v>
      </c>
    </row>
    <row r="68" spans="1:5" x14ac:dyDescent="0.25">
      <c r="A68" s="94">
        <v>45845</v>
      </c>
      <c r="B68" s="95">
        <v>511613.326</v>
      </c>
      <c r="C68" s="95">
        <v>4786695.3130000001</v>
      </c>
      <c r="D68" s="95">
        <v>60.588999999999999</v>
      </c>
      <c r="E68" s="91" t="s">
        <v>92</v>
      </c>
    </row>
    <row r="69" spans="1:5" x14ac:dyDescent="0.25">
      <c r="A69" s="94">
        <v>45845</v>
      </c>
      <c r="B69" s="95">
        <v>511614.75599999999</v>
      </c>
      <c r="C69" s="95">
        <v>4786712.5650000004</v>
      </c>
      <c r="D69" s="95">
        <v>60.816000000000003</v>
      </c>
      <c r="E69" s="91" t="s">
        <v>93</v>
      </c>
    </row>
    <row r="70" spans="1:5" x14ac:dyDescent="0.25">
      <c r="A70" s="94">
        <v>45845</v>
      </c>
      <c r="B70" s="95">
        <v>511660.66700000002</v>
      </c>
      <c r="C70" s="95">
        <v>4786683.4709999999</v>
      </c>
      <c r="D70" s="95">
        <v>55.402000000000001</v>
      </c>
      <c r="E70" s="91" t="s">
        <v>94</v>
      </c>
    </row>
    <row r="71" spans="1:5" x14ac:dyDescent="0.25">
      <c r="A71" s="94">
        <v>45845</v>
      </c>
      <c r="B71" s="95">
        <v>511670.87599999999</v>
      </c>
      <c r="C71" s="95">
        <v>4786685.9220000003</v>
      </c>
      <c r="D71" s="95">
        <v>54.820999999999998</v>
      </c>
      <c r="E71" s="91" t="s">
        <v>95</v>
      </c>
    </row>
    <row r="72" spans="1:5" x14ac:dyDescent="0.25">
      <c r="A72" s="94">
        <v>45848</v>
      </c>
      <c r="B72" s="95">
        <v>511649.70799999998</v>
      </c>
      <c r="C72" s="95">
        <v>4786682.1670000004</v>
      </c>
      <c r="D72" s="95">
        <v>56.185000000000002</v>
      </c>
      <c r="E72" s="91" t="s">
        <v>89</v>
      </c>
    </row>
    <row r="73" spans="1:5" x14ac:dyDescent="0.25">
      <c r="A73" s="94">
        <v>45848</v>
      </c>
      <c r="B73" s="95">
        <v>511630.76699999999</v>
      </c>
      <c r="C73" s="95">
        <v>4786689.87</v>
      </c>
      <c r="D73" s="95">
        <v>55.948</v>
      </c>
      <c r="E73" s="91" t="s">
        <v>90</v>
      </c>
    </row>
    <row r="74" spans="1:5" x14ac:dyDescent="0.25">
      <c r="A74" s="94">
        <v>45848</v>
      </c>
      <c r="B74" s="95">
        <v>511623.43800000002</v>
      </c>
      <c r="C74" s="95">
        <v>4786694.0810000002</v>
      </c>
      <c r="D74" s="95">
        <v>54.787999999999997</v>
      </c>
      <c r="E74" s="91" t="s">
        <v>91</v>
      </c>
    </row>
    <row r="75" spans="1:5" x14ac:dyDescent="0.25">
      <c r="A75" s="94">
        <v>45848</v>
      </c>
      <c r="B75" s="95">
        <v>511613.326</v>
      </c>
      <c r="C75" s="95">
        <v>4786695.3109999998</v>
      </c>
      <c r="D75" s="95">
        <v>60.588999999999999</v>
      </c>
      <c r="E75" s="91" t="s">
        <v>92</v>
      </c>
    </row>
    <row r="76" spans="1:5" x14ac:dyDescent="0.25">
      <c r="A76" s="94">
        <v>45848</v>
      </c>
      <c r="B76" s="95">
        <v>511614.75599999999</v>
      </c>
      <c r="C76" s="95">
        <v>4786712.5650000004</v>
      </c>
      <c r="D76" s="95">
        <v>60.816000000000003</v>
      </c>
      <c r="E76" s="91" t="s">
        <v>93</v>
      </c>
    </row>
    <row r="77" spans="1:5" x14ac:dyDescent="0.25">
      <c r="A77" s="94">
        <v>45852</v>
      </c>
      <c r="B77" s="95">
        <v>511649.70699999999</v>
      </c>
      <c r="C77" s="95">
        <v>4786682.165</v>
      </c>
      <c r="D77" s="95">
        <v>56.185000000000002</v>
      </c>
      <c r="E77" s="91" t="s">
        <v>89</v>
      </c>
    </row>
    <row r="78" spans="1:5" x14ac:dyDescent="0.25">
      <c r="A78" s="94">
        <v>45852</v>
      </c>
      <c r="B78" s="95">
        <v>511630.766</v>
      </c>
      <c r="C78" s="95">
        <v>4786689.8689999999</v>
      </c>
      <c r="D78" s="95">
        <v>55.948</v>
      </c>
      <c r="E78" s="91" t="s">
        <v>90</v>
      </c>
    </row>
    <row r="79" spans="1:5" x14ac:dyDescent="0.25">
      <c r="A79" s="94">
        <v>45852</v>
      </c>
      <c r="B79" s="95">
        <v>511623.43800000002</v>
      </c>
      <c r="C79" s="95">
        <v>4786694.08</v>
      </c>
      <c r="D79" s="95">
        <v>54.787999999999997</v>
      </c>
      <c r="E79" s="91" t="s">
        <v>91</v>
      </c>
    </row>
    <row r="80" spans="1:5" x14ac:dyDescent="0.25">
      <c r="A80" s="94">
        <v>45852</v>
      </c>
      <c r="B80" s="95">
        <v>511613.326</v>
      </c>
      <c r="C80" s="95">
        <v>4786695.3109999998</v>
      </c>
      <c r="D80" s="95">
        <v>60.588999999999999</v>
      </c>
      <c r="E80" s="91" t="s">
        <v>92</v>
      </c>
    </row>
    <row r="81" spans="1:5" x14ac:dyDescent="0.25">
      <c r="A81" s="94">
        <v>45852</v>
      </c>
      <c r="B81" s="95">
        <v>511614.75599999999</v>
      </c>
      <c r="C81" s="95">
        <v>4786712.5640000002</v>
      </c>
      <c r="D81" s="95">
        <v>60.814999999999998</v>
      </c>
      <c r="E81" s="91" t="s">
        <v>93</v>
      </c>
    </row>
    <row r="82" spans="1:5" x14ac:dyDescent="0.25">
      <c r="A82" s="94">
        <v>45852</v>
      </c>
      <c r="B82" s="95">
        <v>511660.66899999999</v>
      </c>
      <c r="C82" s="95">
        <v>4786683.47</v>
      </c>
      <c r="D82" s="95">
        <v>55.402000000000001</v>
      </c>
      <c r="E82" s="91" t="s">
        <v>94</v>
      </c>
    </row>
    <row r="83" spans="1:5" x14ac:dyDescent="0.25">
      <c r="A83" s="94">
        <v>45852</v>
      </c>
      <c r="B83" s="95">
        <v>511670.87699999998</v>
      </c>
      <c r="C83" s="95">
        <v>4786685.9189999998</v>
      </c>
      <c r="D83" s="95">
        <v>54.817</v>
      </c>
      <c r="E83" s="91" t="s">
        <v>95</v>
      </c>
    </row>
    <row r="84" spans="1:5" x14ac:dyDescent="0.25">
      <c r="A84" s="94">
        <v>45855</v>
      </c>
      <c r="B84" s="95">
        <v>511649.70699999999</v>
      </c>
      <c r="C84" s="95">
        <v>4786682.1660000002</v>
      </c>
      <c r="D84" s="95">
        <v>56.186</v>
      </c>
      <c r="E84" s="91" t="s">
        <v>89</v>
      </c>
    </row>
    <row r="85" spans="1:5" x14ac:dyDescent="0.25">
      <c r="A85" s="94">
        <v>45855</v>
      </c>
      <c r="B85" s="95">
        <v>511630.766</v>
      </c>
      <c r="C85" s="95">
        <v>4786689.8679999998</v>
      </c>
      <c r="D85" s="95">
        <v>55.948</v>
      </c>
      <c r="E85" s="91" t="s">
        <v>90</v>
      </c>
    </row>
    <row r="86" spans="1:5" x14ac:dyDescent="0.25">
      <c r="A86" s="94">
        <v>45855</v>
      </c>
      <c r="B86" s="95">
        <v>511623.43800000002</v>
      </c>
      <c r="C86" s="95">
        <v>4786694.08</v>
      </c>
      <c r="D86" s="95">
        <v>54.787999999999997</v>
      </c>
      <c r="E86" s="91" t="s">
        <v>91</v>
      </c>
    </row>
    <row r="87" spans="1:5" x14ac:dyDescent="0.25">
      <c r="A87" s="94">
        <v>45855</v>
      </c>
      <c r="B87" s="95">
        <v>511613.32699999999</v>
      </c>
      <c r="C87" s="95">
        <v>4786695.3109999998</v>
      </c>
      <c r="D87" s="95">
        <v>60.588999999999999</v>
      </c>
      <c r="E87" s="91" t="s">
        <v>92</v>
      </c>
    </row>
    <row r="88" spans="1:5" x14ac:dyDescent="0.25">
      <c r="A88" s="94">
        <v>45855</v>
      </c>
      <c r="B88" s="95">
        <v>511614.75599999999</v>
      </c>
      <c r="C88" s="95">
        <v>4786712.5640000002</v>
      </c>
      <c r="D88" s="95">
        <v>60.816000000000003</v>
      </c>
      <c r="E88" s="91" t="s">
        <v>93</v>
      </c>
    </row>
    <row r="89" spans="1:5" x14ac:dyDescent="0.25">
      <c r="A89" s="94">
        <v>45855</v>
      </c>
      <c r="B89" s="95">
        <v>511660.66899999999</v>
      </c>
      <c r="C89" s="95">
        <v>4786683.47</v>
      </c>
      <c r="D89" s="95">
        <v>55.402999999999999</v>
      </c>
      <c r="E89" s="91" t="s">
        <v>94</v>
      </c>
    </row>
    <row r="90" spans="1:5" x14ac:dyDescent="0.25">
      <c r="A90" s="94">
        <v>45855</v>
      </c>
      <c r="B90" s="95">
        <v>511670.87699999998</v>
      </c>
      <c r="C90" s="95">
        <v>4786685.9189999998</v>
      </c>
      <c r="D90" s="95">
        <v>54.817999999999998</v>
      </c>
      <c r="E90" s="91" t="s">
        <v>95</v>
      </c>
    </row>
    <row r="91" spans="1:5" x14ac:dyDescent="0.25">
      <c r="A91" s="94">
        <v>45859</v>
      </c>
      <c r="B91" s="95">
        <v>511649.70699999999</v>
      </c>
      <c r="C91" s="95">
        <v>4786682.1679999996</v>
      </c>
      <c r="D91" s="95">
        <v>56.186</v>
      </c>
      <c r="E91" s="91" t="s">
        <v>89</v>
      </c>
    </row>
    <row r="92" spans="1:5" x14ac:dyDescent="0.25">
      <c r="A92" s="94">
        <v>45859</v>
      </c>
      <c r="B92" s="95">
        <v>511630.76699999999</v>
      </c>
      <c r="C92" s="95">
        <v>4786689.8689999999</v>
      </c>
      <c r="D92" s="95">
        <v>55.948</v>
      </c>
      <c r="E92" s="91" t="s">
        <v>90</v>
      </c>
    </row>
    <row r="93" spans="1:5" x14ac:dyDescent="0.25">
      <c r="A93" s="94">
        <v>45859</v>
      </c>
      <c r="B93" s="95">
        <v>511623.43900000001</v>
      </c>
      <c r="C93" s="95">
        <v>4786694.0820000004</v>
      </c>
      <c r="D93" s="95">
        <v>54.787999999999997</v>
      </c>
      <c r="E93" s="91" t="s">
        <v>91</v>
      </c>
    </row>
    <row r="94" spans="1:5" x14ac:dyDescent="0.25">
      <c r="A94" s="94">
        <v>45859</v>
      </c>
      <c r="B94" s="95">
        <v>511613.326</v>
      </c>
      <c r="C94" s="95">
        <v>4786695.3109999998</v>
      </c>
      <c r="D94" s="95">
        <v>60.588999999999999</v>
      </c>
      <c r="E94" s="91" t="s">
        <v>92</v>
      </c>
    </row>
    <row r="95" spans="1:5" x14ac:dyDescent="0.25">
      <c r="A95" s="94">
        <v>45859</v>
      </c>
      <c r="B95" s="95">
        <v>511614.755</v>
      </c>
      <c r="C95" s="95">
        <v>4786712.5640000002</v>
      </c>
      <c r="D95" s="95">
        <v>60.816000000000003</v>
      </c>
      <c r="E95" s="91" t="s">
        <v>93</v>
      </c>
    </row>
    <row r="96" spans="1:5" x14ac:dyDescent="0.25">
      <c r="A96" s="94">
        <v>45859</v>
      </c>
      <c r="B96" s="95">
        <v>511660.67</v>
      </c>
      <c r="C96" s="95">
        <v>4786683.4720000001</v>
      </c>
      <c r="D96" s="95">
        <v>55.402999999999999</v>
      </c>
      <c r="E96" s="91" t="s">
        <v>94</v>
      </c>
    </row>
    <row r="97" spans="1:5" x14ac:dyDescent="0.25">
      <c r="A97" s="94">
        <v>45859</v>
      </c>
      <c r="B97" s="95">
        <v>511670.87900000002</v>
      </c>
      <c r="C97" s="95">
        <v>4786685.9210000001</v>
      </c>
      <c r="D97" s="95">
        <v>54.817999999999998</v>
      </c>
      <c r="E97" s="91" t="s">
        <v>95</v>
      </c>
    </row>
    <row r="98" spans="1:5" x14ac:dyDescent="0.25">
      <c r="A98" s="94">
        <v>45862</v>
      </c>
      <c r="B98" s="95">
        <v>511649.70699999999</v>
      </c>
      <c r="C98" s="95">
        <v>4786682.1679999996</v>
      </c>
      <c r="D98" s="95">
        <v>56.183999999999997</v>
      </c>
      <c r="E98" s="91" t="s">
        <v>89</v>
      </c>
    </row>
    <row r="99" spans="1:5" x14ac:dyDescent="0.25">
      <c r="A99" s="94">
        <v>45862</v>
      </c>
      <c r="B99" s="95">
        <v>511630.766</v>
      </c>
      <c r="C99" s="95">
        <v>4786689.87</v>
      </c>
      <c r="D99" s="95">
        <v>55.945999999999998</v>
      </c>
      <c r="E99" s="91" t="s">
        <v>90</v>
      </c>
    </row>
    <row r="100" spans="1:5" x14ac:dyDescent="0.25">
      <c r="A100" s="94">
        <v>45862</v>
      </c>
      <c r="B100" s="95">
        <v>511623.43699999998</v>
      </c>
      <c r="C100" s="95">
        <v>4786694.0820000004</v>
      </c>
      <c r="D100" s="95">
        <v>54.786000000000001</v>
      </c>
      <c r="E100" s="91" t="s">
        <v>91</v>
      </c>
    </row>
    <row r="101" spans="1:5" x14ac:dyDescent="0.25">
      <c r="A101" s="94">
        <v>45862</v>
      </c>
      <c r="B101" s="95">
        <v>511613.32199999999</v>
      </c>
      <c r="C101" s="95">
        <v>4786695.3119999999</v>
      </c>
      <c r="D101" s="95">
        <v>60.58</v>
      </c>
      <c r="E101" s="91" t="s">
        <v>92</v>
      </c>
    </row>
    <row r="102" spans="1:5" x14ac:dyDescent="0.25">
      <c r="A102" s="94">
        <v>45862</v>
      </c>
      <c r="B102" s="95">
        <v>511614.75599999999</v>
      </c>
      <c r="C102" s="95">
        <v>4786712.5640000002</v>
      </c>
      <c r="D102" s="95">
        <v>60.814</v>
      </c>
      <c r="E102" s="91" t="s">
        <v>93</v>
      </c>
    </row>
    <row r="103" spans="1:5" x14ac:dyDescent="0.25">
      <c r="A103" s="94">
        <v>45862</v>
      </c>
      <c r="B103" s="95">
        <v>511660.66800000001</v>
      </c>
      <c r="C103" s="95">
        <v>4786683.4740000004</v>
      </c>
      <c r="D103" s="95">
        <v>55.401000000000003</v>
      </c>
      <c r="E103" s="91" t="s">
        <v>94</v>
      </c>
    </row>
    <row r="104" spans="1:5" x14ac:dyDescent="0.25">
      <c r="A104" s="94">
        <v>45862</v>
      </c>
      <c r="B104" s="95">
        <v>511670.87599999999</v>
      </c>
      <c r="C104" s="95">
        <v>4786685.9230000004</v>
      </c>
      <c r="D104" s="95">
        <v>54.816000000000003</v>
      </c>
      <c r="E104" s="91" t="s">
        <v>95</v>
      </c>
    </row>
    <row r="105" spans="1:5" x14ac:dyDescent="0.25">
      <c r="A105" s="94">
        <v>45866</v>
      </c>
      <c r="B105" s="95">
        <v>511649.70699999999</v>
      </c>
      <c r="C105" s="95">
        <v>4786682.1689999998</v>
      </c>
      <c r="D105" s="95">
        <v>56.183</v>
      </c>
      <c r="E105" s="91" t="s">
        <v>89</v>
      </c>
    </row>
    <row r="106" spans="1:5" x14ac:dyDescent="0.25">
      <c r="A106" s="94">
        <v>45866</v>
      </c>
      <c r="B106" s="95">
        <v>511630.76500000001</v>
      </c>
      <c r="C106" s="95">
        <v>4786689.8710000003</v>
      </c>
      <c r="D106" s="95">
        <v>55.947000000000003</v>
      </c>
      <c r="E106" s="91" t="s">
        <v>90</v>
      </c>
    </row>
    <row r="107" spans="1:5" x14ac:dyDescent="0.25">
      <c r="A107" s="94">
        <v>45866</v>
      </c>
      <c r="B107" s="95">
        <v>511623.43599999999</v>
      </c>
      <c r="C107" s="95">
        <v>4786694.0810000002</v>
      </c>
      <c r="D107" s="95">
        <v>54.783999999999999</v>
      </c>
      <c r="E107" s="91" t="s">
        <v>91</v>
      </c>
    </row>
    <row r="108" spans="1:5" x14ac:dyDescent="0.25">
      <c r="A108" s="94">
        <v>45866</v>
      </c>
      <c r="B108" s="95">
        <v>511613.31699999998</v>
      </c>
      <c r="C108" s="95">
        <v>4786695.3119999999</v>
      </c>
      <c r="D108" s="95">
        <v>60.575000000000003</v>
      </c>
      <c r="E108" s="91" t="s">
        <v>92</v>
      </c>
    </row>
    <row r="109" spans="1:5" x14ac:dyDescent="0.25">
      <c r="A109" s="94">
        <v>45866</v>
      </c>
      <c r="B109" s="95">
        <v>511614.755</v>
      </c>
      <c r="C109" s="95">
        <v>4786712.5650000004</v>
      </c>
      <c r="D109" s="95">
        <v>60.814</v>
      </c>
      <c r="E109" s="91" t="s">
        <v>93</v>
      </c>
    </row>
    <row r="110" spans="1:5" x14ac:dyDescent="0.25">
      <c r="A110" s="94">
        <v>45866</v>
      </c>
      <c r="B110" s="95">
        <v>511660.66800000001</v>
      </c>
      <c r="C110" s="95">
        <v>4786683.4749999996</v>
      </c>
      <c r="D110" s="95">
        <v>55.399000000000001</v>
      </c>
      <c r="E110" s="91" t="s">
        <v>94</v>
      </c>
    </row>
    <row r="111" spans="1:5" x14ac:dyDescent="0.25">
      <c r="A111" s="94">
        <v>45866</v>
      </c>
      <c r="B111" s="95">
        <v>511670.87599999999</v>
      </c>
      <c r="C111" s="95">
        <v>4786685.9239999996</v>
      </c>
      <c r="D111" s="95">
        <v>54.814</v>
      </c>
      <c r="E111" s="91" t="s">
        <v>95</v>
      </c>
    </row>
    <row r="112" spans="1:5" x14ac:dyDescent="0.25">
      <c r="A112" s="94">
        <v>45867</v>
      </c>
      <c r="B112" s="95">
        <v>511615.09899999999</v>
      </c>
      <c r="C112" s="95">
        <v>4786687.99</v>
      </c>
      <c r="D112" s="95">
        <v>51.042000000000002</v>
      </c>
      <c r="E112" s="91" t="s">
        <v>96</v>
      </c>
    </row>
    <row r="113" spans="1:5" x14ac:dyDescent="0.25">
      <c r="A113" s="94">
        <v>45867</v>
      </c>
      <c r="B113" s="95">
        <v>511628.88500000001</v>
      </c>
      <c r="C113" s="95">
        <v>4786680.6519999998</v>
      </c>
      <c r="D113" s="95">
        <v>51.048000000000002</v>
      </c>
      <c r="E113" s="91" t="s">
        <v>97</v>
      </c>
    </row>
    <row r="114" spans="1:5" x14ac:dyDescent="0.25">
      <c r="A114" s="94">
        <v>45867</v>
      </c>
      <c r="B114" s="95">
        <v>511642.58600000001</v>
      </c>
      <c r="C114" s="95">
        <v>4786673.3550000004</v>
      </c>
      <c r="D114" s="95">
        <v>51.057000000000002</v>
      </c>
      <c r="E114" s="91" t="s">
        <v>98</v>
      </c>
    </row>
    <row r="115" spans="1:5" x14ac:dyDescent="0.25">
      <c r="A115" s="94">
        <v>45867</v>
      </c>
      <c r="B115" s="95">
        <v>511649.70500000002</v>
      </c>
      <c r="C115" s="95">
        <v>4786682.1689999998</v>
      </c>
      <c r="D115" s="95">
        <v>56.183</v>
      </c>
      <c r="E115" s="91" t="s">
        <v>89</v>
      </c>
    </row>
    <row r="116" spans="1:5" x14ac:dyDescent="0.25">
      <c r="A116" s="94">
        <v>45867</v>
      </c>
      <c r="B116" s="95">
        <v>511630.76500000001</v>
      </c>
      <c r="C116" s="95">
        <v>4786689.87</v>
      </c>
      <c r="D116" s="95">
        <v>55.945999999999998</v>
      </c>
      <c r="E116" s="91" t="s">
        <v>90</v>
      </c>
    </row>
    <row r="117" spans="1:5" x14ac:dyDescent="0.25">
      <c r="A117" s="94">
        <v>45867</v>
      </c>
      <c r="B117" s="95">
        <v>511623.43599999999</v>
      </c>
      <c r="C117" s="95">
        <v>4786694.08</v>
      </c>
      <c r="D117" s="95">
        <v>54.777000000000001</v>
      </c>
      <c r="E117" s="91" t="s">
        <v>91</v>
      </c>
    </row>
    <row r="118" spans="1:5" x14ac:dyDescent="0.25">
      <c r="A118" s="94">
        <v>45867</v>
      </c>
      <c r="B118" s="95">
        <v>511613.32</v>
      </c>
      <c r="C118" s="95">
        <v>4786695.3090000004</v>
      </c>
      <c r="D118" s="95">
        <v>60.572000000000003</v>
      </c>
      <c r="E118" s="91" t="s">
        <v>92</v>
      </c>
    </row>
    <row r="119" spans="1:5" x14ac:dyDescent="0.25">
      <c r="A119" s="94">
        <v>45867</v>
      </c>
      <c r="B119" s="95">
        <v>511614.755</v>
      </c>
      <c r="C119" s="95">
        <v>4786712.5630000001</v>
      </c>
      <c r="D119" s="95">
        <v>60.814</v>
      </c>
      <c r="E119" s="91" t="s">
        <v>93</v>
      </c>
    </row>
    <row r="120" spans="1:5" x14ac:dyDescent="0.25">
      <c r="A120" s="94">
        <v>45867</v>
      </c>
      <c r="B120" s="95">
        <v>511670.875</v>
      </c>
      <c r="C120" s="95">
        <v>4786685.9239999996</v>
      </c>
      <c r="D120" s="95">
        <v>54.814999999999998</v>
      </c>
      <c r="E120" s="91" t="s">
        <v>95</v>
      </c>
    </row>
    <row r="121" spans="1:5" x14ac:dyDescent="0.25">
      <c r="A121" s="94">
        <v>45868</v>
      </c>
      <c r="B121" s="95">
        <v>511615.09899999999</v>
      </c>
      <c r="C121" s="95">
        <v>4786687.99</v>
      </c>
      <c r="D121" s="95">
        <v>51.042000000000002</v>
      </c>
      <c r="E121" s="91" t="s">
        <v>96</v>
      </c>
    </row>
    <row r="122" spans="1:5" x14ac:dyDescent="0.25">
      <c r="A122" s="94">
        <v>45868</v>
      </c>
      <c r="B122" s="95">
        <v>511628.88500000001</v>
      </c>
      <c r="C122" s="95">
        <v>4786680.6529999999</v>
      </c>
      <c r="D122" s="95">
        <v>51.048999999999999</v>
      </c>
      <c r="E122" s="91" t="s">
        <v>97</v>
      </c>
    </row>
    <row r="123" spans="1:5" x14ac:dyDescent="0.25">
      <c r="A123" s="94">
        <v>45868</v>
      </c>
      <c r="B123" s="95">
        <v>511642.58600000001</v>
      </c>
      <c r="C123" s="95">
        <v>4786673.3550000004</v>
      </c>
      <c r="D123" s="95">
        <v>51.055999999999997</v>
      </c>
      <c r="E123" s="91" t="s">
        <v>98</v>
      </c>
    </row>
    <row r="124" spans="1:5" x14ac:dyDescent="0.25">
      <c r="A124" s="94">
        <v>45868</v>
      </c>
      <c r="B124" s="95">
        <v>511649.70699999999</v>
      </c>
      <c r="C124" s="95">
        <v>4786682.1689999998</v>
      </c>
      <c r="D124" s="95">
        <v>56.183999999999997</v>
      </c>
      <c r="E124" s="91" t="s">
        <v>89</v>
      </c>
    </row>
    <row r="125" spans="1:5" x14ac:dyDescent="0.25">
      <c r="A125" s="94">
        <v>45868</v>
      </c>
      <c r="B125" s="95">
        <v>511630.76500000001</v>
      </c>
      <c r="C125" s="95">
        <v>4786689.87</v>
      </c>
      <c r="D125" s="95">
        <v>55.945999999999998</v>
      </c>
      <c r="E125" s="91" t="s">
        <v>90</v>
      </c>
    </row>
    <row r="126" spans="1:5" x14ac:dyDescent="0.25">
      <c r="A126" s="94">
        <v>45868</v>
      </c>
      <c r="B126" s="95">
        <v>511623.43599999999</v>
      </c>
      <c r="C126" s="95">
        <v>4786694.0810000002</v>
      </c>
      <c r="D126" s="95">
        <v>54.777000000000001</v>
      </c>
      <c r="E126" s="91" t="s">
        <v>91</v>
      </c>
    </row>
    <row r="127" spans="1:5" x14ac:dyDescent="0.25">
      <c r="A127" s="94">
        <v>45868</v>
      </c>
      <c r="B127" s="95">
        <v>511613.321</v>
      </c>
      <c r="C127" s="95">
        <v>4786695.3090000004</v>
      </c>
      <c r="D127" s="95">
        <v>60.572000000000003</v>
      </c>
      <c r="E127" s="91" t="s">
        <v>92</v>
      </c>
    </row>
    <row r="128" spans="1:5" x14ac:dyDescent="0.25">
      <c r="A128" s="94">
        <v>45868</v>
      </c>
      <c r="B128" s="95">
        <v>511614.755</v>
      </c>
      <c r="C128" s="95">
        <v>4786712.5640000002</v>
      </c>
      <c r="D128" s="95">
        <v>60.814999999999998</v>
      </c>
      <c r="E128" s="91" t="s">
        <v>93</v>
      </c>
    </row>
    <row r="129" spans="1:5" x14ac:dyDescent="0.25">
      <c r="A129" s="94">
        <v>45868</v>
      </c>
      <c r="B129" s="95">
        <v>511670.87599999999</v>
      </c>
      <c r="C129" s="95">
        <v>4786685.9239999996</v>
      </c>
      <c r="D129" s="95">
        <v>54.814999999999998</v>
      </c>
      <c r="E129" s="91" t="s">
        <v>95</v>
      </c>
    </row>
    <row r="130" spans="1:5" x14ac:dyDescent="0.25">
      <c r="A130" s="94">
        <v>45870</v>
      </c>
      <c r="B130" s="95">
        <v>511615.1</v>
      </c>
      <c r="C130" s="95">
        <v>4786687.9910000004</v>
      </c>
      <c r="D130" s="95">
        <v>51.042999999999999</v>
      </c>
      <c r="E130" s="91" t="s">
        <v>96</v>
      </c>
    </row>
    <row r="131" spans="1:5" x14ac:dyDescent="0.25">
      <c r="A131" s="94">
        <v>45870</v>
      </c>
      <c r="B131" s="95">
        <v>511628.88500000001</v>
      </c>
      <c r="C131" s="95">
        <v>4786680.6519999998</v>
      </c>
      <c r="D131" s="95">
        <v>51.05</v>
      </c>
      <c r="E131" s="91" t="s">
        <v>97</v>
      </c>
    </row>
    <row r="132" spans="1:5" x14ac:dyDescent="0.25">
      <c r="A132" s="94">
        <v>45870</v>
      </c>
      <c r="B132" s="95">
        <v>511642.58600000001</v>
      </c>
      <c r="C132" s="95">
        <v>4786673.3550000004</v>
      </c>
      <c r="D132" s="95">
        <v>51.055999999999997</v>
      </c>
      <c r="E132" s="91" t="s">
        <v>98</v>
      </c>
    </row>
    <row r="133" spans="1:5" x14ac:dyDescent="0.25">
      <c r="A133" s="94">
        <v>45870</v>
      </c>
      <c r="B133" s="95">
        <v>511649.70699999999</v>
      </c>
      <c r="C133" s="95">
        <v>4786682.1689999998</v>
      </c>
      <c r="D133" s="95">
        <v>56.183</v>
      </c>
      <c r="E133" s="91" t="s">
        <v>89</v>
      </c>
    </row>
    <row r="134" spans="1:5" x14ac:dyDescent="0.25">
      <c r="A134" s="94">
        <v>45870</v>
      </c>
      <c r="B134" s="95">
        <v>511630.766</v>
      </c>
      <c r="C134" s="95">
        <v>4786689.87</v>
      </c>
      <c r="D134" s="95">
        <v>55.945999999999998</v>
      </c>
      <c r="E134" s="91" t="s">
        <v>90</v>
      </c>
    </row>
    <row r="135" spans="1:5" x14ac:dyDescent="0.25">
      <c r="A135" s="94">
        <v>45870</v>
      </c>
      <c r="B135" s="95">
        <v>511623.43699999998</v>
      </c>
      <c r="C135" s="95">
        <v>4786694.08</v>
      </c>
      <c r="D135" s="95">
        <v>54.776000000000003</v>
      </c>
      <c r="E135" s="91" t="s">
        <v>91</v>
      </c>
    </row>
    <row r="136" spans="1:5" x14ac:dyDescent="0.25">
      <c r="A136" s="94">
        <v>45870</v>
      </c>
      <c r="B136" s="95">
        <v>511613.321</v>
      </c>
      <c r="C136" s="95">
        <v>4786695.3099999996</v>
      </c>
      <c r="D136" s="95">
        <v>60.572000000000003</v>
      </c>
      <c r="E136" s="91" t="s">
        <v>92</v>
      </c>
    </row>
    <row r="137" spans="1:5" x14ac:dyDescent="0.25">
      <c r="A137" s="94">
        <v>45870</v>
      </c>
      <c r="B137" s="95">
        <v>511614.755</v>
      </c>
      <c r="C137" s="95">
        <v>4786712.5630000001</v>
      </c>
      <c r="D137" s="95">
        <v>60.814</v>
      </c>
      <c r="E137" s="91" t="s">
        <v>93</v>
      </c>
    </row>
    <row r="138" spans="1:5" x14ac:dyDescent="0.25">
      <c r="A138" s="94">
        <v>45870</v>
      </c>
      <c r="B138" s="95">
        <v>511660.66499999998</v>
      </c>
      <c r="C138" s="95">
        <v>4786683.4730000002</v>
      </c>
      <c r="D138" s="95">
        <v>55.4</v>
      </c>
      <c r="E138" s="91" t="s">
        <v>94</v>
      </c>
    </row>
    <row r="139" spans="1:5" x14ac:dyDescent="0.25">
      <c r="A139" s="94">
        <v>45870</v>
      </c>
      <c r="B139" s="95">
        <v>511670.87599999999</v>
      </c>
      <c r="C139" s="95">
        <v>4786685.9220000003</v>
      </c>
      <c r="D139" s="95">
        <v>54.820999999999998</v>
      </c>
      <c r="E139" s="91" t="s">
        <v>95</v>
      </c>
    </row>
    <row r="140" spans="1:5" x14ac:dyDescent="0.25">
      <c r="A140" s="94">
        <v>45873</v>
      </c>
      <c r="B140" s="95">
        <v>511615.09899999999</v>
      </c>
      <c r="C140" s="95">
        <v>4786687.99</v>
      </c>
      <c r="D140" s="95">
        <v>51.042999999999999</v>
      </c>
      <c r="E140" s="91" t="s">
        <v>96</v>
      </c>
    </row>
    <row r="141" spans="1:5" x14ac:dyDescent="0.25">
      <c r="A141" s="94">
        <v>45873</v>
      </c>
      <c r="B141" s="95">
        <v>511628.88500000001</v>
      </c>
      <c r="C141" s="95">
        <v>4786680.6519999998</v>
      </c>
      <c r="D141" s="95">
        <v>51.05</v>
      </c>
      <c r="E141" s="91" t="s">
        <v>97</v>
      </c>
    </row>
    <row r="142" spans="1:5" x14ac:dyDescent="0.25">
      <c r="A142" s="94">
        <v>45873</v>
      </c>
      <c r="B142" s="95">
        <v>511642.58600000001</v>
      </c>
      <c r="C142" s="95">
        <v>4786673.3550000004</v>
      </c>
      <c r="D142" s="95">
        <v>51.055999999999997</v>
      </c>
      <c r="E142" s="91" t="s">
        <v>98</v>
      </c>
    </row>
    <row r="143" spans="1:5" x14ac:dyDescent="0.25">
      <c r="A143" s="94">
        <v>45873</v>
      </c>
      <c r="B143" s="95">
        <v>511649.70600000001</v>
      </c>
      <c r="C143" s="95">
        <v>4786682.1689999998</v>
      </c>
      <c r="D143" s="95">
        <v>56.183</v>
      </c>
      <c r="E143" s="91" t="s">
        <v>89</v>
      </c>
    </row>
    <row r="144" spans="1:5" x14ac:dyDescent="0.25">
      <c r="A144" s="94">
        <v>45873</v>
      </c>
      <c r="B144" s="95">
        <v>511630.766</v>
      </c>
      <c r="C144" s="95">
        <v>4786689.87</v>
      </c>
      <c r="D144" s="95">
        <v>55.945999999999998</v>
      </c>
      <c r="E144" s="91" t="s">
        <v>90</v>
      </c>
    </row>
    <row r="145" spans="1:5" x14ac:dyDescent="0.25">
      <c r="A145" s="94">
        <v>45873</v>
      </c>
      <c r="B145" s="95">
        <v>511623.43599999999</v>
      </c>
      <c r="C145" s="95">
        <v>4786694.08</v>
      </c>
      <c r="D145" s="95">
        <v>54.776000000000003</v>
      </c>
      <c r="E145" s="91" t="s">
        <v>91</v>
      </c>
    </row>
    <row r="146" spans="1:5" x14ac:dyDescent="0.25">
      <c r="A146" s="94">
        <v>45873</v>
      </c>
      <c r="B146" s="95">
        <v>511613.321</v>
      </c>
      <c r="C146" s="95">
        <v>4786695.3090000004</v>
      </c>
      <c r="D146" s="95">
        <v>60.572000000000003</v>
      </c>
      <c r="E146" s="91" t="s">
        <v>92</v>
      </c>
    </row>
    <row r="147" spans="1:5" x14ac:dyDescent="0.25">
      <c r="A147" s="94">
        <v>45873</v>
      </c>
      <c r="B147" s="95">
        <v>511614.755</v>
      </c>
      <c r="C147" s="95">
        <v>4786712.5630000001</v>
      </c>
      <c r="D147" s="95">
        <v>60.814</v>
      </c>
      <c r="E147" s="91" t="s">
        <v>93</v>
      </c>
    </row>
    <row r="148" spans="1:5" x14ac:dyDescent="0.25">
      <c r="A148" s="94">
        <v>45873</v>
      </c>
      <c r="B148" s="95">
        <v>511660.66499999998</v>
      </c>
      <c r="C148" s="95">
        <v>4786683.4730000002</v>
      </c>
      <c r="D148" s="95">
        <v>55.401000000000003</v>
      </c>
      <c r="E148" s="91" t="s">
        <v>94</v>
      </c>
    </row>
    <row r="149" spans="1:5" x14ac:dyDescent="0.25">
      <c r="A149" s="94">
        <v>45873</v>
      </c>
      <c r="B149" s="95">
        <v>511670.87599999999</v>
      </c>
      <c r="C149" s="95">
        <v>4786685.9220000003</v>
      </c>
      <c r="D149" s="95">
        <v>54.820999999999998</v>
      </c>
      <c r="E149" s="91" t="s">
        <v>95</v>
      </c>
    </row>
    <row r="150" spans="1:5" x14ac:dyDescent="0.25">
      <c r="A150" s="94">
        <v>45873</v>
      </c>
      <c r="B150" s="95">
        <v>511649.804</v>
      </c>
      <c r="C150" s="95">
        <v>4786669.5020000003</v>
      </c>
      <c r="D150" s="95">
        <v>51.055999999999997</v>
      </c>
      <c r="E150" s="91" t="s">
        <v>99</v>
      </c>
    </row>
    <row r="151" spans="1:5" x14ac:dyDescent="0.25">
      <c r="A151" s="94">
        <v>45873</v>
      </c>
      <c r="B151" s="95">
        <v>511607.55499999999</v>
      </c>
      <c r="C151" s="95">
        <v>4786691.9919999996</v>
      </c>
      <c r="D151" s="95">
        <v>51.061999999999998</v>
      </c>
      <c r="E151" s="91" t="s">
        <v>100</v>
      </c>
    </row>
    <row r="152" spans="1:5" x14ac:dyDescent="0.25">
      <c r="A152" s="94">
        <v>45873</v>
      </c>
      <c r="B152" s="95">
        <v>511607.27500000002</v>
      </c>
      <c r="C152" s="95">
        <v>4786692.18</v>
      </c>
      <c r="D152" s="95">
        <v>51.063000000000002</v>
      </c>
      <c r="E152" s="91" t="s">
        <v>101</v>
      </c>
    </row>
    <row r="153" spans="1:5" x14ac:dyDescent="0.25">
      <c r="A153" s="94">
        <v>45873</v>
      </c>
      <c r="B153" s="95">
        <v>511601.12699999998</v>
      </c>
      <c r="C153" s="95">
        <v>4786695.4359999998</v>
      </c>
      <c r="D153" s="95">
        <v>51.042999999999999</v>
      </c>
      <c r="E153" s="91" t="s">
        <v>102</v>
      </c>
    </row>
    <row r="154" spans="1:5" x14ac:dyDescent="0.25">
      <c r="A154" s="94">
        <v>45874</v>
      </c>
      <c r="B154" s="95">
        <v>511615.1</v>
      </c>
      <c r="C154" s="95">
        <v>4786687.9919999996</v>
      </c>
      <c r="D154" s="95">
        <v>51.04</v>
      </c>
      <c r="E154" s="91" t="s">
        <v>96</v>
      </c>
    </row>
    <row r="155" spans="1:5" x14ac:dyDescent="0.25">
      <c r="A155" s="94">
        <v>45874</v>
      </c>
      <c r="B155" s="95">
        <v>511642.58600000001</v>
      </c>
      <c r="C155" s="95">
        <v>4786673.3540000003</v>
      </c>
      <c r="D155" s="95">
        <v>51.057000000000002</v>
      </c>
      <c r="E155" s="91" t="s">
        <v>98</v>
      </c>
    </row>
    <row r="156" spans="1:5" x14ac:dyDescent="0.25">
      <c r="A156" s="94">
        <v>45874</v>
      </c>
      <c r="B156" s="95">
        <v>511649.70699999999</v>
      </c>
      <c r="C156" s="95">
        <v>4786682.1679999996</v>
      </c>
      <c r="D156" s="95">
        <v>56.183999999999997</v>
      </c>
      <c r="E156" s="91" t="s">
        <v>89</v>
      </c>
    </row>
    <row r="157" spans="1:5" x14ac:dyDescent="0.25">
      <c r="A157" s="94">
        <v>45874</v>
      </c>
      <c r="B157" s="95">
        <v>511630.766</v>
      </c>
      <c r="C157" s="95">
        <v>4786689.8689999999</v>
      </c>
      <c r="D157" s="95">
        <v>55.945999999999998</v>
      </c>
      <c r="E157" s="91" t="s">
        <v>90</v>
      </c>
    </row>
    <row r="158" spans="1:5" x14ac:dyDescent="0.25">
      <c r="A158" s="94">
        <v>45874</v>
      </c>
      <c r="B158" s="95">
        <v>511623.43599999999</v>
      </c>
      <c r="C158" s="95">
        <v>4786694.0789999999</v>
      </c>
      <c r="D158" s="95">
        <v>54.777000000000001</v>
      </c>
      <c r="E158" s="91" t="s">
        <v>91</v>
      </c>
    </row>
    <row r="159" spans="1:5" x14ac:dyDescent="0.25">
      <c r="A159" s="94">
        <v>45874</v>
      </c>
      <c r="B159" s="95">
        <v>511613.321</v>
      </c>
      <c r="C159" s="95">
        <v>4786695.3090000004</v>
      </c>
      <c r="D159" s="95">
        <v>60.572000000000003</v>
      </c>
      <c r="E159" s="91" t="s">
        <v>92</v>
      </c>
    </row>
    <row r="160" spans="1:5" x14ac:dyDescent="0.25">
      <c r="A160" s="94">
        <v>45874</v>
      </c>
      <c r="B160" s="95">
        <v>511614.75599999999</v>
      </c>
      <c r="C160" s="95">
        <v>4786712.5630000001</v>
      </c>
      <c r="D160" s="95">
        <v>60.814999999999998</v>
      </c>
      <c r="E160" s="91" t="s">
        <v>93</v>
      </c>
    </row>
    <row r="161" spans="1:5" x14ac:dyDescent="0.25">
      <c r="A161" s="94">
        <v>45874</v>
      </c>
      <c r="B161" s="95">
        <v>511660.66499999998</v>
      </c>
      <c r="C161" s="95">
        <v>4786683.4720000001</v>
      </c>
      <c r="D161" s="95">
        <v>55.401000000000003</v>
      </c>
      <c r="E161" s="91" t="s">
        <v>94</v>
      </c>
    </row>
    <row r="162" spans="1:5" x14ac:dyDescent="0.25">
      <c r="A162" s="94">
        <v>45874</v>
      </c>
      <c r="B162" s="95">
        <v>511670.87599999999</v>
      </c>
      <c r="C162" s="95">
        <v>4786685.9220000003</v>
      </c>
      <c r="D162" s="95">
        <v>54.820999999999998</v>
      </c>
      <c r="E162" s="91" t="s">
        <v>95</v>
      </c>
    </row>
    <row r="163" spans="1:5" x14ac:dyDescent="0.25">
      <c r="A163" s="94">
        <v>45874</v>
      </c>
      <c r="B163" s="95">
        <v>511649.80300000001</v>
      </c>
      <c r="C163" s="95">
        <v>4786669.5</v>
      </c>
      <c r="D163" s="95">
        <v>51.06</v>
      </c>
      <c r="E163" s="91" t="s">
        <v>99</v>
      </c>
    </row>
    <row r="164" spans="1:5" x14ac:dyDescent="0.25">
      <c r="A164" s="94">
        <v>45874</v>
      </c>
      <c r="B164" s="95">
        <v>511607.55599999998</v>
      </c>
      <c r="C164" s="95">
        <v>4786691.9929999998</v>
      </c>
      <c r="D164" s="95">
        <v>51.061999999999998</v>
      </c>
      <c r="E164" s="91" t="s">
        <v>100</v>
      </c>
    </row>
    <row r="165" spans="1:5" x14ac:dyDescent="0.25">
      <c r="A165" s="94">
        <v>45874</v>
      </c>
      <c r="B165" s="95">
        <v>511607.27500000002</v>
      </c>
      <c r="C165" s="95">
        <v>4786692.1809999999</v>
      </c>
      <c r="D165" s="95">
        <v>51.064</v>
      </c>
      <c r="E165" s="91" t="s">
        <v>101</v>
      </c>
    </row>
    <row r="166" spans="1:5" x14ac:dyDescent="0.25">
      <c r="A166" s="94">
        <v>45874</v>
      </c>
      <c r="B166" s="95">
        <v>511601.12800000003</v>
      </c>
      <c r="C166" s="95">
        <v>4786695.4359999998</v>
      </c>
      <c r="D166" s="95">
        <v>51.045000000000002</v>
      </c>
      <c r="E166" s="91" t="s">
        <v>102</v>
      </c>
    </row>
    <row r="167" spans="1:5" x14ac:dyDescent="0.25">
      <c r="A167" s="94">
        <v>45875</v>
      </c>
      <c r="B167" s="95">
        <v>511615.10100000002</v>
      </c>
      <c r="C167" s="95">
        <v>4786687.9919999996</v>
      </c>
      <c r="D167" s="95">
        <v>51.043999999999997</v>
      </c>
      <c r="E167" s="91" t="s">
        <v>96</v>
      </c>
    </row>
    <row r="168" spans="1:5" x14ac:dyDescent="0.25">
      <c r="A168" s="94">
        <v>45875</v>
      </c>
      <c r="B168" s="95">
        <v>511642.587</v>
      </c>
      <c r="C168" s="95">
        <v>4786673.3530000001</v>
      </c>
      <c r="D168" s="95">
        <v>51.058999999999997</v>
      </c>
      <c r="E168" s="91" t="s">
        <v>98</v>
      </c>
    </row>
    <row r="169" spans="1:5" x14ac:dyDescent="0.25">
      <c r="A169" s="94">
        <v>45875</v>
      </c>
      <c r="B169" s="95">
        <v>511649.70699999999</v>
      </c>
      <c r="C169" s="95">
        <v>4786682.1660000002</v>
      </c>
      <c r="D169" s="95">
        <v>56.186</v>
      </c>
      <c r="E169" s="91" t="s">
        <v>89</v>
      </c>
    </row>
    <row r="170" spans="1:5" x14ac:dyDescent="0.25">
      <c r="A170" s="94">
        <v>45875</v>
      </c>
      <c r="B170" s="95">
        <v>511630.766</v>
      </c>
      <c r="C170" s="95">
        <v>4786689.8679999998</v>
      </c>
      <c r="D170" s="95">
        <v>55.948</v>
      </c>
      <c r="E170" s="91" t="s">
        <v>90</v>
      </c>
    </row>
    <row r="171" spans="1:5" x14ac:dyDescent="0.25">
      <c r="A171" s="94">
        <v>45875</v>
      </c>
      <c r="B171" s="95">
        <v>511623.43599999999</v>
      </c>
      <c r="C171" s="95">
        <v>4786694.0789999999</v>
      </c>
      <c r="D171" s="95">
        <v>54.777999999999999</v>
      </c>
      <c r="E171" s="91" t="s">
        <v>91</v>
      </c>
    </row>
    <row r="172" spans="1:5" x14ac:dyDescent="0.25">
      <c r="A172" s="94">
        <v>45875</v>
      </c>
      <c r="B172" s="95">
        <v>511613.32199999999</v>
      </c>
      <c r="C172" s="95">
        <v>4786695.3080000002</v>
      </c>
      <c r="D172" s="95">
        <v>60.573999999999998</v>
      </c>
      <c r="E172" s="91" t="s">
        <v>92</v>
      </c>
    </row>
    <row r="173" spans="1:5" x14ac:dyDescent="0.25">
      <c r="A173" s="94">
        <v>45875</v>
      </c>
      <c r="B173" s="95">
        <v>511614.75400000002</v>
      </c>
      <c r="C173" s="95">
        <v>4786712.5609999998</v>
      </c>
      <c r="D173" s="95">
        <v>60.816000000000003</v>
      </c>
      <c r="E173" s="91" t="s">
        <v>93</v>
      </c>
    </row>
    <row r="174" spans="1:5" x14ac:dyDescent="0.25">
      <c r="A174" s="94">
        <v>45875</v>
      </c>
      <c r="B174" s="95">
        <v>511660.66600000003</v>
      </c>
      <c r="C174" s="95">
        <v>4786683.47</v>
      </c>
      <c r="D174" s="95">
        <v>55.402999999999999</v>
      </c>
      <c r="E174" s="91" t="s">
        <v>94</v>
      </c>
    </row>
    <row r="175" spans="1:5" x14ac:dyDescent="0.25">
      <c r="A175" s="94">
        <v>45875</v>
      </c>
      <c r="B175" s="95">
        <v>511670.875</v>
      </c>
      <c r="C175" s="95">
        <v>4786685.9220000003</v>
      </c>
      <c r="D175" s="95">
        <v>54.820999999999998</v>
      </c>
      <c r="E175" s="91" t="s">
        <v>95</v>
      </c>
    </row>
    <row r="176" spans="1:5" x14ac:dyDescent="0.25">
      <c r="A176" s="94">
        <v>45875</v>
      </c>
      <c r="B176" s="95">
        <v>511649.80300000001</v>
      </c>
      <c r="C176" s="95">
        <v>4786669.4979999997</v>
      </c>
      <c r="D176" s="95">
        <v>51.061999999999998</v>
      </c>
      <c r="E176" s="91" t="s">
        <v>99</v>
      </c>
    </row>
    <row r="177" spans="1:5" x14ac:dyDescent="0.25">
      <c r="A177" s="94">
        <v>45875</v>
      </c>
      <c r="B177" s="95">
        <v>511607.55499999999</v>
      </c>
      <c r="C177" s="95">
        <v>4786691.9919999996</v>
      </c>
      <c r="D177" s="95">
        <v>51.061999999999998</v>
      </c>
      <c r="E177" s="91" t="s">
        <v>100</v>
      </c>
    </row>
    <row r="178" spans="1:5" x14ac:dyDescent="0.25">
      <c r="A178" s="94">
        <v>45875</v>
      </c>
      <c r="B178" s="95">
        <v>511607.27600000001</v>
      </c>
      <c r="C178" s="95">
        <v>4786692.1809999999</v>
      </c>
      <c r="D178" s="95">
        <v>51.063000000000002</v>
      </c>
      <c r="E178" s="91" t="s">
        <v>101</v>
      </c>
    </row>
    <row r="179" spans="1:5" x14ac:dyDescent="0.25">
      <c r="A179" s="94">
        <v>45875</v>
      </c>
      <c r="B179" s="95">
        <v>511601.12699999998</v>
      </c>
      <c r="C179" s="95">
        <v>4786695.4349999996</v>
      </c>
      <c r="D179" s="95">
        <v>51.045000000000002</v>
      </c>
      <c r="E179" s="91" t="s">
        <v>102</v>
      </c>
    </row>
    <row r="180" spans="1:5" x14ac:dyDescent="0.25">
      <c r="A180" s="94">
        <v>45876</v>
      </c>
      <c r="B180" s="95">
        <v>511615.10100000002</v>
      </c>
      <c r="C180" s="95">
        <v>4786687.9910000004</v>
      </c>
      <c r="D180" s="95">
        <v>51.043999999999997</v>
      </c>
      <c r="E180" s="91" t="s">
        <v>96</v>
      </c>
    </row>
    <row r="181" spans="1:5" x14ac:dyDescent="0.25">
      <c r="A181" s="94">
        <v>45876</v>
      </c>
      <c r="B181" s="95">
        <v>511642.58600000001</v>
      </c>
      <c r="C181" s="95">
        <v>4786673.3509999998</v>
      </c>
      <c r="D181" s="95">
        <v>51.057000000000002</v>
      </c>
      <c r="E181" s="91" t="s">
        <v>98</v>
      </c>
    </row>
    <row r="182" spans="1:5" x14ac:dyDescent="0.25">
      <c r="A182" s="94">
        <v>45876</v>
      </c>
      <c r="B182" s="95">
        <v>511649.70600000001</v>
      </c>
      <c r="C182" s="95">
        <v>4786682.1639999999</v>
      </c>
      <c r="D182" s="95">
        <v>56.185000000000002</v>
      </c>
      <c r="E182" s="91" t="s">
        <v>89</v>
      </c>
    </row>
    <row r="183" spans="1:5" x14ac:dyDescent="0.25">
      <c r="A183" s="94">
        <v>45876</v>
      </c>
      <c r="B183" s="95">
        <v>511630.766</v>
      </c>
      <c r="C183" s="95">
        <v>4786689.8669999996</v>
      </c>
      <c r="D183" s="95">
        <v>55.947000000000003</v>
      </c>
      <c r="E183" s="91" t="s">
        <v>90</v>
      </c>
    </row>
    <row r="184" spans="1:5" x14ac:dyDescent="0.25">
      <c r="A184" s="94">
        <v>45876</v>
      </c>
      <c r="B184" s="95">
        <v>511623.43699999998</v>
      </c>
      <c r="C184" s="95">
        <v>4786694.0779999997</v>
      </c>
      <c r="D184" s="95">
        <v>54.777999999999999</v>
      </c>
      <c r="E184" s="91" t="s">
        <v>91</v>
      </c>
    </row>
    <row r="185" spans="1:5" x14ac:dyDescent="0.25">
      <c r="A185" s="94">
        <v>45876</v>
      </c>
      <c r="B185" s="95">
        <v>511613.32199999999</v>
      </c>
      <c r="C185" s="95">
        <v>4786695.307</v>
      </c>
      <c r="D185" s="95">
        <v>60.573</v>
      </c>
      <c r="E185" s="91" t="s">
        <v>92</v>
      </c>
    </row>
    <row r="186" spans="1:5" x14ac:dyDescent="0.25">
      <c r="A186" s="94">
        <v>45876</v>
      </c>
      <c r="B186" s="95">
        <v>511614.75599999999</v>
      </c>
      <c r="C186" s="95">
        <v>4786712.5619999999</v>
      </c>
      <c r="D186" s="95">
        <v>60.814999999999998</v>
      </c>
      <c r="E186" s="91" t="s">
        <v>93</v>
      </c>
    </row>
    <row r="187" spans="1:5" x14ac:dyDescent="0.25">
      <c r="A187" s="94">
        <v>45876</v>
      </c>
      <c r="B187" s="95">
        <v>511660.66600000003</v>
      </c>
      <c r="C187" s="95">
        <v>4786683.4689999996</v>
      </c>
      <c r="D187" s="95">
        <v>55.402999999999999</v>
      </c>
      <c r="E187" s="91" t="s">
        <v>94</v>
      </c>
    </row>
    <row r="188" spans="1:5" x14ac:dyDescent="0.25">
      <c r="A188" s="94">
        <v>45876</v>
      </c>
      <c r="B188" s="95">
        <v>511670.875</v>
      </c>
      <c r="C188" s="95">
        <v>4786685.9220000003</v>
      </c>
      <c r="D188" s="95">
        <v>54.820999999999998</v>
      </c>
      <c r="E188" s="91" t="s">
        <v>95</v>
      </c>
    </row>
    <row r="189" spans="1:5" x14ac:dyDescent="0.25">
      <c r="A189" s="94">
        <v>45876</v>
      </c>
      <c r="B189" s="95">
        <v>511649.804</v>
      </c>
      <c r="C189" s="95">
        <v>4786669.4970000004</v>
      </c>
      <c r="D189" s="95">
        <v>51.061</v>
      </c>
      <c r="E189" s="91" t="s">
        <v>99</v>
      </c>
    </row>
    <row r="190" spans="1:5" x14ac:dyDescent="0.25">
      <c r="A190" s="94">
        <v>45876</v>
      </c>
      <c r="B190" s="95">
        <v>511607.55699999997</v>
      </c>
      <c r="C190" s="95">
        <v>4786691.9929999998</v>
      </c>
      <c r="D190" s="95">
        <v>51.061999999999998</v>
      </c>
      <c r="E190" s="91" t="s">
        <v>100</v>
      </c>
    </row>
    <row r="191" spans="1:5" x14ac:dyDescent="0.25">
      <c r="A191" s="94">
        <v>45876</v>
      </c>
      <c r="B191" s="95">
        <v>511607.27500000002</v>
      </c>
      <c r="C191" s="95">
        <v>4786692.18</v>
      </c>
      <c r="D191" s="95">
        <v>51.063000000000002</v>
      </c>
      <c r="E191" s="91" t="s">
        <v>101</v>
      </c>
    </row>
    <row r="192" spans="1:5" x14ac:dyDescent="0.25">
      <c r="A192" s="94">
        <v>45876</v>
      </c>
      <c r="B192" s="95">
        <v>511601.12699999998</v>
      </c>
      <c r="C192" s="95">
        <v>4786695.4349999996</v>
      </c>
      <c r="D192" s="95">
        <v>51.045999999999999</v>
      </c>
      <c r="E192" s="91" t="s">
        <v>102</v>
      </c>
    </row>
    <row r="193" spans="1:5" x14ac:dyDescent="0.25">
      <c r="A193" s="94">
        <v>45877</v>
      </c>
      <c r="B193" s="95">
        <v>511615.103</v>
      </c>
      <c r="C193" s="95">
        <v>4786687.9929999998</v>
      </c>
      <c r="D193" s="95">
        <v>51.043999999999997</v>
      </c>
      <c r="E193" s="91" t="s">
        <v>96</v>
      </c>
    </row>
    <row r="194" spans="1:5" x14ac:dyDescent="0.25">
      <c r="A194" s="94">
        <v>45877</v>
      </c>
      <c r="B194" s="95">
        <v>511628.88500000001</v>
      </c>
      <c r="C194" s="95">
        <v>4786680.6509999996</v>
      </c>
      <c r="D194" s="95">
        <v>51.051000000000002</v>
      </c>
      <c r="E194" s="91" t="s">
        <v>97</v>
      </c>
    </row>
    <row r="195" spans="1:5" x14ac:dyDescent="0.25">
      <c r="A195" s="94">
        <v>45877</v>
      </c>
      <c r="B195" s="95">
        <v>511642.58600000001</v>
      </c>
      <c r="C195" s="95">
        <v>4786673.352</v>
      </c>
      <c r="D195" s="95">
        <v>51.058</v>
      </c>
      <c r="E195" s="91" t="s">
        <v>98</v>
      </c>
    </row>
    <row r="196" spans="1:5" x14ac:dyDescent="0.25">
      <c r="A196" s="94">
        <v>45877</v>
      </c>
      <c r="B196" s="95">
        <v>511649.70699999999</v>
      </c>
      <c r="C196" s="95">
        <v>4786682.1670000004</v>
      </c>
      <c r="D196" s="95">
        <v>56.186</v>
      </c>
      <c r="E196" s="91" t="s">
        <v>89</v>
      </c>
    </row>
    <row r="197" spans="1:5" x14ac:dyDescent="0.25">
      <c r="A197" s="94">
        <v>45877</v>
      </c>
      <c r="B197" s="95">
        <v>511630.76799999998</v>
      </c>
      <c r="C197" s="95">
        <v>4786689.8689999999</v>
      </c>
      <c r="D197" s="95">
        <v>55.948</v>
      </c>
      <c r="E197" s="91" t="s">
        <v>90</v>
      </c>
    </row>
    <row r="198" spans="1:5" x14ac:dyDescent="0.25">
      <c r="A198" s="94">
        <v>45877</v>
      </c>
      <c r="B198" s="95">
        <v>511623.43699999998</v>
      </c>
      <c r="C198" s="95">
        <v>4786694.0789999999</v>
      </c>
      <c r="D198" s="95">
        <v>54.777999999999999</v>
      </c>
      <c r="E198" s="91" t="s">
        <v>91</v>
      </c>
    </row>
    <row r="199" spans="1:5" x14ac:dyDescent="0.25">
      <c r="A199" s="94">
        <v>45877</v>
      </c>
      <c r="B199" s="95">
        <v>511613.32299999997</v>
      </c>
      <c r="C199" s="95">
        <v>4786695.3090000004</v>
      </c>
      <c r="D199" s="95">
        <v>60.573</v>
      </c>
      <c r="E199" s="91" t="s">
        <v>92</v>
      </c>
    </row>
    <row r="200" spans="1:5" x14ac:dyDescent="0.25">
      <c r="A200" s="94">
        <v>45877</v>
      </c>
      <c r="B200" s="95">
        <v>511614.755</v>
      </c>
      <c r="C200" s="95">
        <v>4786712.5619999999</v>
      </c>
      <c r="D200" s="95">
        <v>60.814999999999998</v>
      </c>
      <c r="E200" s="91" t="s">
        <v>93</v>
      </c>
    </row>
    <row r="201" spans="1:5" x14ac:dyDescent="0.25">
      <c r="A201" s="94">
        <v>45877</v>
      </c>
      <c r="B201" s="95">
        <v>511660.66700000002</v>
      </c>
      <c r="C201" s="95">
        <v>4786683.4689999996</v>
      </c>
      <c r="D201" s="95">
        <v>55.402999999999999</v>
      </c>
      <c r="E201" s="91" t="s">
        <v>94</v>
      </c>
    </row>
    <row r="202" spans="1:5" x14ac:dyDescent="0.25">
      <c r="A202" s="94">
        <v>45877</v>
      </c>
      <c r="B202" s="95">
        <v>511670.875</v>
      </c>
      <c r="C202" s="95">
        <v>4786685.9220000003</v>
      </c>
      <c r="D202" s="95">
        <v>54.820999999999998</v>
      </c>
      <c r="E202" s="91" t="s">
        <v>95</v>
      </c>
    </row>
    <row r="203" spans="1:5" x14ac:dyDescent="0.25">
      <c r="A203" s="94">
        <v>45877</v>
      </c>
      <c r="B203" s="95">
        <v>511649.804</v>
      </c>
      <c r="C203" s="95">
        <v>4786669.4989999998</v>
      </c>
      <c r="D203" s="95">
        <v>51.061</v>
      </c>
      <c r="E203" s="91" t="s">
        <v>99</v>
      </c>
    </row>
    <row r="204" spans="1:5" x14ac:dyDescent="0.25">
      <c r="A204" s="94">
        <v>45877</v>
      </c>
      <c r="B204" s="95">
        <v>511607.55800000002</v>
      </c>
      <c r="C204" s="95">
        <v>4786691.99</v>
      </c>
      <c r="D204" s="95">
        <v>51.064999999999998</v>
      </c>
      <c r="E204" s="91" t="s">
        <v>100</v>
      </c>
    </row>
    <row r="205" spans="1:5" x14ac:dyDescent="0.25">
      <c r="A205" s="94">
        <v>45877</v>
      </c>
      <c r="B205" s="95">
        <v>511607.27799999999</v>
      </c>
      <c r="C205" s="95">
        <v>4786692.1809999999</v>
      </c>
      <c r="D205" s="95">
        <v>51.064999999999998</v>
      </c>
      <c r="E205" s="91" t="s">
        <v>101</v>
      </c>
    </row>
    <row r="206" spans="1:5" x14ac:dyDescent="0.25">
      <c r="A206" s="94">
        <v>45877</v>
      </c>
      <c r="B206" s="95">
        <v>511601.125</v>
      </c>
      <c r="C206" s="95">
        <v>4786695.4340000004</v>
      </c>
      <c r="D206" s="95">
        <v>51.045999999999999</v>
      </c>
      <c r="E206" s="91" t="s">
        <v>102</v>
      </c>
    </row>
    <row r="207" spans="1:5" x14ac:dyDescent="0.25">
      <c r="A207" s="94">
        <v>45878</v>
      </c>
      <c r="B207" s="95">
        <v>511607.27799999999</v>
      </c>
      <c r="C207" s="95">
        <v>4786692.1830000002</v>
      </c>
      <c r="D207" s="95">
        <v>51.063000000000002</v>
      </c>
      <c r="E207" s="91" t="s">
        <v>101</v>
      </c>
    </row>
    <row r="208" spans="1:5" x14ac:dyDescent="0.25">
      <c r="A208" s="94">
        <v>45878</v>
      </c>
      <c r="B208" s="95">
        <v>511601.12300000002</v>
      </c>
      <c r="C208" s="95">
        <v>4786695.4330000002</v>
      </c>
      <c r="D208" s="95">
        <v>51.046999999999997</v>
      </c>
      <c r="E208" s="91" t="s">
        <v>102</v>
      </c>
    </row>
    <row r="209" spans="1:5" x14ac:dyDescent="0.25">
      <c r="A209" s="94">
        <v>45879</v>
      </c>
      <c r="B209" s="95">
        <v>511607.27600000001</v>
      </c>
      <c r="C209" s="95">
        <v>4786692.1849999996</v>
      </c>
      <c r="D209" s="95">
        <v>51.064999999999998</v>
      </c>
      <c r="E209" s="91" t="s">
        <v>101</v>
      </c>
    </row>
    <row r="210" spans="1:5" x14ac:dyDescent="0.25">
      <c r="A210" s="94">
        <v>45879</v>
      </c>
      <c r="B210" s="95">
        <v>511601.12199999997</v>
      </c>
      <c r="C210" s="95">
        <v>4786695.4309999999</v>
      </c>
      <c r="D210" s="95">
        <v>51.046999999999997</v>
      </c>
      <c r="E210" s="91" t="s">
        <v>102</v>
      </c>
    </row>
    <row r="211" spans="1:5" x14ac:dyDescent="0.25">
      <c r="A211" s="94">
        <v>45880</v>
      </c>
      <c r="B211" s="95">
        <v>511615.10100000002</v>
      </c>
      <c r="C211" s="95">
        <v>4786687.9929999998</v>
      </c>
      <c r="D211" s="95">
        <v>51.045000000000002</v>
      </c>
      <c r="E211" s="91" t="s">
        <v>96</v>
      </c>
    </row>
    <row r="212" spans="1:5" x14ac:dyDescent="0.25">
      <c r="A212" s="94">
        <v>45880</v>
      </c>
      <c r="B212" s="95">
        <v>511628.88500000001</v>
      </c>
      <c r="C212" s="95">
        <v>4786680.6519999998</v>
      </c>
      <c r="D212" s="95">
        <v>51.048000000000002</v>
      </c>
      <c r="E212" s="91" t="s">
        <v>97</v>
      </c>
    </row>
    <row r="213" spans="1:5" x14ac:dyDescent="0.25">
      <c r="A213" s="94">
        <v>45880</v>
      </c>
      <c r="B213" s="95">
        <v>511642.587</v>
      </c>
      <c r="C213" s="95">
        <v>4786673.3530000001</v>
      </c>
      <c r="D213" s="95">
        <v>51.06</v>
      </c>
      <c r="E213" s="91" t="s">
        <v>98</v>
      </c>
    </row>
    <row r="214" spans="1:5" x14ac:dyDescent="0.25">
      <c r="A214" s="94">
        <v>45880</v>
      </c>
      <c r="B214" s="95">
        <v>511649.70699999999</v>
      </c>
      <c r="C214" s="95">
        <v>4786682.1660000002</v>
      </c>
      <c r="D214" s="95">
        <v>56.186999999999998</v>
      </c>
      <c r="E214" s="91" t="s">
        <v>89</v>
      </c>
    </row>
    <row r="215" spans="1:5" x14ac:dyDescent="0.25">
      <c r="A215" s="94">
        <v>45880</v>
      </c>
      <c r="B215" s="95">
        <v>511630.76500000001</v>
      </c>
      <c r="C215" s="95">
        <v>4786689.8679999998</v>
      </c>
      <c r="D215" s="95">
        <v>55.948999999999998</v>
      </c>
      <c r="E215" s="91" t="s">
        <v>90</v>
      </c>
    </row>
    <row r="216" spans="1:5" x14ac:dyDescent="0.25">
      <c r="A216" s="94">
        <v>45880</v>
      </c>
      <c r="B216" s="95">
        <v>511623.43699999998</v>
      </c>
      <c r="C216" s="95">
        <v>4786694.0789999999</v>
      </c>
      <c r="D216" s="95">
        <v>54.779000000000003</v>
      </c>
      <c r="E216" s="91" t="s">
        <v>91</v>
      </c>
    </row>
    <row r="217" spans="1:5" x14ac:dyDescent="0.25">
      <c r="A217" s="94">
        <v>45880</v>
      </c>
      <c r="B217" s="95">
        <v>511613.321</v>
      </c>
      <c r="C217" s="95">
        <v>4786695.3080000002</v>
      </c>
      <c r="D217" s="95">
        <v>60.573999999999998</v>
      </c>
      <c r="E217" s="91" t="s">
        <v>92</v>
      </c>
    </row>
    <row r="218" spans="1:5" x14ac:dyDescent="0.25">
      <c r="A218" s="94">
        <v>45880</v>
      </c>
      <c r="B218" s="95">
        <v>511614.75400000002</v>
      </c>
      <c r="C218" s="95">
        <v>4786712.5619999999</v>
      </c>
      <c r="D218" s="95">
        <v>60.817</v>
      </c>
      <c r="E218" s="91" t="s">
        <v>93</v>
      </c>
    </row>
    <row r="219" spans="1:5" x14ac:dyDescent="0.25">
      <c r="A219" s="94">
        <v>45880</v>
      </c>
      <c r="B219" s="95">
        <v>511660.66600000003</v>
      </c>
      <c r="C219" s="95">
        <v>4786683.4709999999</v>
      </c>
      <c r="D219" s="95">
        <v>55.404000000000003</v>
      </c>
      <c r="E219" s="91" t="s">
        <v>94</v>
      </c>
    </row>
    <row r="220" spans="1:5" x14ac:dyDescent="0.25">
      <c r="A220" s="94">
        <v>45880</v>
      </c>
      <c r="B220" s="95">
        <v>511670.875</v>
      </c>
      <c r="C220" s="95">
        <v>4786685.9220000003</v>
      </c>
      <c r="D220" s="95">
        <v>54.820999999999998</v>
      </c>
      <c r="E220" s="91" t="s">
        <v>95</v>
      </c>
    </row>
    <row r="221" spans="1:5" x14ac:dyDescent="0.25">
      <c r="A221" s="94">
        <v>45880</v>
      </c>
      <c r="B221" s="95">
        <v>511649.80499999999</v>
      </c>
      <c r="C221" s="95">
        <v>4786669.4989999998</v>
      </c>
      <c r="D221" s="95">
        <v>51.063000000000002</v>
      </c>
      <c r="E221" s="91" t="s">
        <v>99</v>
      </c>
    </row>
    <row r="222" spans="1:5" x14ac:dyDescent="0.25">
      <c r="A222" s="94">
        <v>45880</v>
      </c>
      <c r="B222" s="95">
        <v>511607.55699999997</v>
      </c>
      <c r="C222" s="95">
        <v>4786691.9929999998</v>
      </c>
      <c r="D222" s="95">
        <v>51.066000000000003</v>
      </c>
      <c r="E222" s="91" t="s">
        <v>100</v>
      </c>
    </row>
    <row r="223" spans="1:5" x14ac:dyDescent="0.25">
      <c r="A223" s="94">
        <v>45880</v>
      </c>
      <c r="B223" s="95">
        <v>511607.27799999999</v>
      </c>
      <c r="C223" s="95">
        <v>4786692.182</v>
      </c>
      <c r="D223" s="95">
        <v>51.063000000000002</v>
      </c>
      <c r="E223" s="91" t="s">
        <v>101</v>
      </c>
    </row>
    <row r="224" spans="1:5" x14ac:dyDescent="0.25">
      <c r="A224" s="94">
        <v>45880</v>
      </c>
      <c r="B224" s="95">
        <v>511601.12199999997</v>
      </c>
      <c r="C224" s="95">
        <v>4786695.4309999999</v>
      </c>
      <c r="D224" s="95">
        <v>51.046999999999997</v>
      </c>
      <c r="E224" s="91" t="s">
        <v>102</v>
      </c>
    </row>
    <row r="225" spans="1:5" x14ac:dyDescent="0.25">
      <c r="A225" s="94">
        <v>45881</v>
      </c>
      <c r="B225" s="95">
        <v>511615.10200000001</v>
      </c>
      <c r="C225" s="95">
        <v>4786687.9929999998</v>
      </c>
      <c r="D225" s="95">
        <v>51.045000000000002</v>
      </c>
      <c r="E225" s="91" t="s">
        <v>96</v>
      </c>
    </row>
    <row r="226" spans="1:5" x14ac:dyDescent="0.25">
      <c r="A226" s="94">
        <v>45881</v>
      </c>
      <c r="B226" s="95">
        <v>511628.886</v>
      </c>
      <c r="C226" s="95">
        <v>4786680.6500000004</v>
      </c>
      <c r="D226" s="95">
        <v>51.052</v>
      </c>
      <c r="E226" s="91" t="s">
        <v>97</v>
      </c>
    </row>
    <row r="227" spans="1:5" x14ac:dyDescent="0.25">
      <c r="A227" s="94">
        <v>45881</v>
      </c>
      <c r="B227" s="95">
        <v>511642.58799999999</v>
      </c>
      <c r="C227" s="95">
        <v>4786673.352</v>
      </c>
      <c r="D227" s="95">
        <v>51.058999999999997</v>
      </c>
      <c r="E227" s="91" t="s">
        <v>98</v>
      </c>
    </row>
    <row r="228" spans="1:5" x14ac:dyDescent="0.25">
      <c r="A228" s="94">
        <v>45881</v>
      </c>
      <c r="B228" s="95">
        <v>511649.70799999998</v>
      </c>
      <c r="C228" s="95">
        <v>4786682.165</v>
      </c>
      <c r="D228" s="95">
        <v>56.186</v>
      </c>
      <c r="E228" s="91" t="s">
        <v>89</v>
      </c>
    </row>
    <row r="229" spans="1:5" x14ac:dyDescent="0.25">
      <c r="A229" s="94">
        <v>45881</v>
      </c>
      <c r="B229" s="95">
        <v>511630.76699999999</v>
      </c>
      <c r="C229" s="95">
        <v>4786689.8669999996</v>
      </c>
      <c r="D229" s="95">
        <v>55.948</v>
      </c>
      <c r="E229" s="91" t="s">
        <v>90</v>
      </c>
    </row>
    <row r="230" spans="1:5" x14ac:dyDescent="0.25">
      <c r="A230" s="94">
        <v>45881</v>
      </c>
      <c r="B230" s="95">
        <v>511623.43699999998</v>
      </c>
      <c r="C230" s="95">
        <v>4786694.0779999997</v>
      </c>
      <c r="D230" s="95">
        <v>54.779000000000003</v>
      </c>
      <c r="E230" s="91" t="s">
        <v>91</v>
      </c>
    </row>
    <row r="231" spans="1:5" x14ac:dyDescent="0.25">
      <c r="A231" s="94">
        <v>45881</v>
      </c>
      <c r="B231" s="95">
        <v>511613.321</v>
      </c>
      <c r="C231" s="95">
        <v>4786695.307</v>
      </c>
      <c r="D231" s="95">
        <v>60.573999999999998</v>
      </c>
      <c r="E231" s="91" t="s">
        <v>92</v>
      </c>
    </row>
    <row r="232" spans="1:5" x14ac:dyDescent="0.25">
      <c r="A232" s="94">
        <v>45881</v>
      </c>
      <c r="B232" s="95">
        <v>511614.755</v>
      </c>
      <c r="C232" s="95">
        <v>4786712.5619999999</v>
      </c>
      <c r="D232" s="95">
        <v>60.817</v>
      </c>
      <c r="E232" s="91" t="s">
        <v>93</v>
      </c>
    </row>
    <row r="233" spans="1:5" x14ac:dyDescent="0.25">
      <c r="A233" s="94">
        <v>45881</v>
      </c>
      <c r="B233" s="95">
        <v>511660.66600000003</v>
      </c>
      <c r="C233" s="95">
        <v>4786683.4689999996</v>
      </c>
      <c r="D233" s="95">
        <v>55.402999999999999</v>
      </c>
      <c r="E233" s="91" t="s">
        <v>94</v>
      </c>
    </row>
    <row r="234" spans="1:5" x14ac:dyDescent="0.25">
      <c r="A234" s="94">
        <v>45881</v>
      </c>
      <c r="B234" s="95">
        <v>511670.87599999999</v>
      </c>
      <c r="C234" s="95">
        <v>4786685.9220000003</v>
      </c>
      <c r="D234" s="95">
        <v>54.820999999999998</v>
      </c>
      <c r="E234" s="91" t="s">
        <v>95</v>
      </c>
    </row>
    <row r="235" spans="1:5" x14ac:dyDescent="0.25">
      <c r="A235" s="94">
        <v>45881</v>
      </c>
      <c r="B235" s="95">
        <v>511649.804</v>
      </c>
      <c r="C235" s="95">
        <v>4786669.4979999997</v>
      </c>
      <c r="D235" s="95">
        <v>51.063000000000002</v>
      </c>
      <c r="E235" s="91" t="s">
        <v>99</v>
      </c>
    </row>
    <row r="236" spans="1:5" x14ac:dyDescent="0.25">
      <c r="A236" s="94">
        <v>45881</v>
      </c>
      <c r="B236" s="95">
        <v>511607.55599999998</v>
      </c>
      <c r="C236" s="95">
        <v>4786691.9919999996</v>
      </c>
      <c r="D236" s="95">
        <v>51.061999999999998</v>
      </c>
      <c r="E236" s="91" t="s">
        <v>100</v>
      </c>
    </row>
    <row r="237" spans="1:5" x14ac:dyDescent="0.25">
      <c r="A237" s="94">
        <v>45881</v>
      </c>
      <c r="B237" s="95">
        <v>511607.277</v>
      </c>
      <c r="C237" s="95">
        <v>4786692.182</v>
      </c>
      <c r="D237" s="95">
        <v>51.063000000000002</v>
      </c>
      <c r="E237" s="91" t="s">
        <v>101</v>
      </c>
    </row>
    <row r="238" spans="1:5" x14ac:dyDescent="0.25">
      <c r="A238" s="94">
        <v>45881</v>
      </c>
      <c r="B238" s="95">
        <v>511601.12199999997</v>
      </c>
      <c r="C238" s="95">
        <v>4786695.4309999999</v>
      </c>
      <c r="D238" s="95">
        <v>51.046999999999997</v>
      </c>
      <c r="E238" s="91" t="s">
        <v>102</v>
      </c>
    </row>
    <row r="239" spans="1:5" x14ac:dyDescent="0.25">
      <c r="A239" s="94">
        <v>45882</v>
      </c>
      <c r="B239" s="95">
        <v>511615.10100000002</v>
      </c>
      <c r="C239" s="95">
        <v>4786687.9929999998</v>
      </c>
      <c r="D239" s="95">
        <v>51.045000000000002</v>
      </c>
      <c r="E239" s="91" t="s">
        <v>96</v>
      </c>
    </row>
    <row r="240" spans="1:5" x14ac:dyDescent="0.25">
      <c r="A240" s="94">
        <v>45882</v>
      </c>
      <c r="B240" s="95">
        <v>511628.88500000001</v>
      </c>
      <c r="C240" s="95">
        <v>4786680.6500000004</v>
      </c>
      <c r="D240" s="95">
        <v>51.052</v>
      </c>
      <c r="E240" s="91" t="s">
        <v>97</v>
      </c>
    </row>
    <row r="241" spans="1:5" x14ac:dyDescent="0.25">
      <c r="A241" s="94">
        <v>45882</v>
      </c>
      <c r="B241" s="95">
        <v>511642.58799999999</v>
      </c>
      <c r="C241" s="95">
        <v>4786673.352</v>
      </c>
      <c r="D241" s="95">
        <v>51.058999999999997</v>
      </c>
      <c r="E241" s="91" t="s">
        <v>98</v>
      </c>
    </row>
    <row r="242" spans="1:5" x14ac:dyDescent="0.25">
      <c r="A242" s="94">
        <v>45882</v>
      </c>
      <c r="B242" s="95">
        <v>511649.70600000001</v>
      </c>
      <c r="C242" s="95">
        <v>4786682.1660000002</v>
      </c>
      <c r="D242" s="95">
        <v>56.186999999999998</v>
      </c>
      <c r="E242" s="91" t="s">
        <v>89</v>
      </c>
    </row>
    <row r="243" spans="1:5" x14ac:dyDescent="0.25">
      <c r="A243" s="94">
        <v>45882</v>
      </c>
      <c r="B243" s="95">
        <v>511630.766</v>
      </c>
      <c r="C243" s="95">
        <v>4786689.8679999998</v>
      </c>
      <c r="D243" s="95">
        <v>55.948</v>
      </c>
      <c r="E243" s="91" t="s">
        <v>90</v>
      </c>
    </row>
    <row r="244" spans="1:5" x14ac:dyDescent="0.25">
      <c r="A244" s="94">
        <v>45882</v>
      </c>
      <c r="B244" s="95">
        <v>511623.43699999998</v>
      </c>
      <c r="C244" s="95">
        <v>4786694.0779999997</v>
      </c>
      <c r="D244" s="95">
        <v>54.779000000000003</v>
      </c>
      <c r="E244" s="91" t="s">
        <v>91</v>
      </c>
    </row>
    <row r="245" spans="1:5" x14ac:dyDescent="0.25">
      <c r="A245" s="94">
        <v>45882</v>
      </c>
      <c r="B245" s="95">
        <v>511613.321</v>
      </c>
      <c r="C245" s="95">
        <v>4786695.307</v>
      </c>
      <c r="D245" s="95">
        <v>60.573999999999998</v>
      </c>
      <c r="E245" s="91" t="s">
        <v>92</v>
      </c>
    </row>
    <row r="246" spans="1:5" x14ac:dyDescent="0.25">
      <c r="A246" s="94">
        <v>45882</v>
      </c>
      <c r="B246" s="95">
        <v>511614.75400000002</v>
      </c>
      <c r="C246" s="95">
        <v>4786712.5609999998</v>
      </c>
      <c r="D246" s="95">
        <v>60.816000000000003</v>
      </c>
      <c r="E246" s="91" t="s">
        <v>93</v>
      </c>
    </row>
    <row r="247" spans="1:5" x14ac:dyDescent="0.25">
      <c r="A247" s="94">
        <v>45882</v>
      </c>
      <c r="B247" s="95">
        <v>511660.66499999998</v>
      </c>
      <c r="C247" s="95">
        <v>4786683.47</v>
      </c>
      <c r="D247" s="95">
        <v>55.404000000000003</v>
      </c>
      <c r="E247" s="91" t="s">
        <v>94</v>
      </c>
    </row>
    <row r="248" spans="1:5" x14ac:dyDescent="0.25">
      <c r="A248" s="94">
        <v>45882</v>
      </c>
      <c r="B248" s="95">
        <v>511670.87699999998</v>
      </c>
      <c r="C248" s="95">
        <v>4786685.9220000003</v>
      </c>
      <c r="D248" s="95">
        <v>54.820999999999998</v>
      </c>
      <c r="E248" s="91" t="s">
        <v>95</v>
      </c>
    </row>
    <row r="249" spans="1:5" x14ac:dyDescent="0.25">
      <c r="A249" s="94">
        <v>45882</v>
      </c>
      <c r="B249" s="95">
        <v>511649.804</v>
      </c>
      <c r="C249" s="95">
        <v>4786669.4989999998</v>
      </c>
      <c r="D249" s="95">
        <v>51.063000000000002</v>
      </c>
      <c r="E249" s="91" t="s">
        <v>99</v>
      </c>
    </row>
    <row r="250" spans="1:5" x14ac:dyDescent="0.25">
      <c r="A250" s="94">
        <v>45882</v>
      </c>
      <c r="B250" s="95">
        <v>511607.55599999998</v>
      </c>
      <c r="C250" s="95">
        <v>4786691.9929999998</v>
      </c>
      <c r="D250" s="95">
        <v>51.061999999999998</v>
      </c>
      <c r="E250" s="91" t="s">
        <v>100</v>
      </c>
    </row>
    <row r="251" spans="1:5" x14ac:dyDescent="0.25">
      <c r="A251" s="94">
        <v>45882</v>
      </c>
      <c r="B251" s="95">
        <v>511607.277</v>
      </c>
      <c r="C251" s="95">
        <v>4786692.182</v>
      </c>
      <c r="D251" s="95">
        <v>51.063000000000002</v>
      </c>
      <c r="E251" s="91" t="s">
        <v>101</v>
      </c>
    </row>
    <row r="252" spans="1:5" x14ac:dyDescent="0.25">
      <c r="A252" s="94">
        <v>45882</v>
      </c>
      <c r="B252" s="95">
        <v>511601.12099999998</v>
      </c>
      <c r="C252" s="95">
        <v>4786695.4309999999</v>
      </c>
      <c r="D252" s="95">
        <v>51.045999999999999</v>
      </c>
      <c r="E252" s="91" t="s">
        <v>102</v>
      </c>
    </row>
    <row r="253" spans="1:5" x14ac:dyDescent="0.25">
      <c r="A253" s="94">
        <v>45883</v>
      </c>
      <c r="B253" s="95">
        <v>511615.1</v>
      </c>
      <c r="C253" s="95">
        <v>4786687.9919999996</v>
      </c>
      <c r="D253" s="95">
        <v>51.045000000000002</v>
      </c>
      <c r="E253" s="91" t="s">
        <v>96</v>
      </c>
    </row>
    <row r="254" spans="1:5" x14ac:dyDescent="0.25">
      <c r="A254" s="94">
        <v>45883</v>
      </c>
      <c r="B254" s="95">
        <v>511628.88500000001</v>
      </c>
      <c r="C254" s="95">
        <v>4786680.6500000004</v>
      </c>
      <c r="D254" s="95">
        <v>51.052</v>
      </c>
      <c r="E254" s="91" t="s">
        <v>97</v>
      </c>
    </row>
    <row r="255" spans="1:5" x14ac:dyDescent="0.25">
      <c r="A255" s="94">
        <v>45883</v>
      </c>
      <c r="B255" s="95">
        <v>511642.58600000001</v>
      </c>
      <c r="C255" s="95">
        <v>4786673.352</v>
      </c>
      <c r="D255" s="95">
        <v>51.058999999999997</v>
      </c>
      <c r="E255" s="91" t="s">
        <v>98</v>
      </c>
    </row>
    <row r="256" spans="1:5" x14ac:dyDescent="0.25">
      <c r="A256" s="94">
        <v>45883</v>
      </c>
      <c r="B256" s="95">
        <v>511649.70699999999</v>
      </c>
      <c r="C256" s="95">
        <v>4786682.1660000002</v>
      </c>
      <c r="D256" s="95">
        <v>56.186</v>
      </c>
      <c r="E256" s="91" t="s">
        <v>89</v>
      </c>
    </row>
    <row r="257" spans="1:5" x14ac:dyDescent="0.25">
      <c r="A257" s="94">
        <v>45883</v>
      </c>
      <c r="B257" s="95">
        <v>511630.76400000002</v>
      </c>
      <c r="C257" s="95">
        <v>4786689.8669999996</v>
      </c>
      <c r="D257" s="95">
        <v>55.948</v>
      </c>
      <c r="E257" s="91" t="s">
        <v>90</v>
      </c>
    </row>
    <row r="258" spans="1:5" x14ac:dyDescent="0.25">
      <c r="A258" s="94">
        <v>45883</v>
      </c>
      <c r="B258" s="95">
        <v>511623.43599999999</v>
      </c>
      <c r="C258" s="95">
        <v>4786694.0779999997</v>
      </c>
      <c r="D258" s="95">
        <v>54.779000000000003</v>
      </c>
      <c r="E258" s="91" t="s">
        <v>91</v>
      </c>
    </row>
    <row r="259" spans="1:5" x14ac:dyDescent="0.25">
      <c r="A259" s="94">
        <v>45883</v>
      </c>
      <c r="B259" s="95">
        <v>511613.32</v>
      </c>
      <c r="C259" s="95">
        <v>4786695.307</v>
      </c>
      <c r="D259" s="95">
        <v>60.573999999999998</v>
      </c>
      <c r="E259" s="91" t="s">
        <v>92</v>
      </c>
    </row>
    <row r="260" spans="1:5" x14ac:dyDescent="0.25">
      <c r="A260" s="94">
        <v>45883</v>
      </c>
      <c r="B260" s="95">
        <v>511614.75400000002</v>
      </c>
      <c r="C260" s="95">
        <v>4786712.5609999998</v>
      </c>
      <c r="D260" s="95">
        <v>60.816000000000003</v>
      </c>
      <c r="E260" s="91" t="s">
        <v>93</v>
      </c>
    </row>
    <row r="261" spans="1:5" x14ac:dyDescent="0.25">
      <c r="A261" s="94">
        <v>45883</v>
      </c>
      <c r="B261" s="95">
        <v>511660.66600000003</v>
      </c>
      <c r="C261" s="95">
        <v>4786683.47</v>
      </c>
      <c r="D261" s="95">
        <v>55.404000000000003</v>
      </c>
      <c r="E261" s="91" t="s">
        <v>94</v>
      </c>
    </row>
    <row r="262" spans="1:5" x14ac:dyDescent="0.25">
      <c r="A262" s="94">
        <v>45883</v>
      </c>
      <c r="B262" s="95">
        <v>511670.87599999999</v>
      </c>
      <c r="C262" s="95">
        <v>4786685.9220000003</v>
      </c>
      <c r="D262" s="95">
        <v>54.820999999999998</v>
      </c>
      <c r="E262" s="91" t="s">
        <v>95</v>
      </c>
    </row>
    <row r="263" spans="1:5" x14ac:dyDescent="0.25">
      <c r="A263" s="94">
        <v>45883</v>
      </c>
      <c r="B263" s="95">
        <v>511649.80300000001</v>
      </c>
      <c r="C263" s="95">
        <v>4786669.4979999997</v>
      </c>
      <c r="D263" s="95">
        <v>51.063000000000002</v>
      </c>
      <c r="E263" s="91" t="s">
        <v>99</v>
      </c>
    </row>
    <row r="264" spans="1:5" x14ac:dyDescent="0.25">
      <c r="A264" s="94">
        <v>45883</v>
      </c>
      <c r="B264" s="95">
        <v>511607.55599999998</v>
      </c>
      <c r="C264" s="95">
        <v>4786691.9929999998</v>
      </c>
      <c r="D264" s="95">
        <v>51.061999999999998</v>
      </c>
      <c r="E264" s="91" t="s">
        <v>100</v>
      </c>
    </row>
    <row r="265" spans="1:5" x14ac:dyDescent="0.25">
      <c r="A265" s="94">
        <v>45887</v>
      </c>
      <c r="B265" s="95">
        <v>511615.10100000002</v>
      </c>
      <c r="C265" s="95">
        <v>4786687.9929999998</v>
      </c>
      <c r="D265" s="95">
        <v>51.045000000000002</v>
      </c>
      <c r="E265" s="91" t="s">
        <v>96</v>
      </c>
    </row>
    <row r="266" spans="1:5" x14ac:dyDescent="0.25">
      <c r="A266" s="94">
        <v>45887</v>
      </c>
      <c r="B266" s="95">
        <v>511628.886</v>
      </c>
      <c r="C266" s="95">
        <v>4786680.6519999998</v>
      </c>
      <c r="D266" s="95">
        <v>51.051000000000002</v>
      </c>
      <c r="E266" s="91" t="s">
        <v>97</v>
      </c>
    </row>
    <row r="267" spans="1:5" x14ac:dyDescent="0.25">
      <c r="A267" s="94">
        <v>45887</v>
      </c>
      <c r="B267" s="95">
        <v>511642.58600000001</v>
      </c>
      <c r="C267" s="95">
        <v>4786673.3530000001</v>
      </c>
      <c r="D267" s="95">
        <v>51.058</v>
      </c>
      <c r="E267" s="91" t="s">
        <v>98</v>
      </c>
    </row>
    <row r="268" spans="1:5" x14ac:dyDescent="0.25">
      <c r="A268" s="94">
        <v>45887</v>
      </c>
      <c r="B268" s="95">
        <v>511649.70600000001</v>
      </c>
      <c r="C268" s="95">
        <v>4786682.1660000002</v>
      </c>
      <c r="D268" s="95">
        <v>56.185000000000002</v>
      </c>
      <c r="E268" s="91" t="s">
        <v>89</v>
      </c>
    </row>
    <row r="269" spans="1:5" x14ac:dyDescent="0.25">
      <c r="A269" s="94">
        <v>45887</v>
      </c>
      <c r="B269" s="95">
        <v>511630.76400000002</v>
      </c>
      <c r="C269" s="95">
        <v>4786689.8679999998</v>
      </c>
      <c r="D269" s="95">
        <v>55.947000000000003</v>
      </c>
      <c r="E269" s="91" t="s">
        <v>90</v>
      </c>
    </row>
    <row r="270" spans="1:5" x14ac:dyDescent="0.25">
      <c r="A270" s="94">
        <v>45887</v>
      </c>
      <c r="B270" s="95">
        <v>511623.435</v>
      </c>
      <c r="C270" s="95">
        <v>4786694.0779999997</v>
      </c>
      <c r="D270" s="95">
        <v>54.777999999999999</v>
      </c>
      <c r="E270" s="91" t="s">
        <v>91</v>
      </c>
    </row>
    <row r="271" spans="1:5" x14ac:dyDescent="0.25">
      <c r="A271" s="94">
        <v>45887</v>
      </c>
      <c r="B271" s="95">
        <v>511613.32</v>
      </c>
      <c r="C271" s="95">
        <v>4786695.3080000002</v>
      </c>
      <c r="D271" s="95">
        <v>60.572000000000003</v>
      </c>
      <c r="E271" s="91" t="s">
        <v>92</v>
      </c>
    </row>
    <row r="272" spans="1:5" x14ac:dyDescent="0.25">
      <c r="A272" s="94">
        <v>45887</v>
      </c>
      <c r="B272" s="95">
        <v>511614.75400000002</v>
      </c>
      <c r="C272" s="95">
        <v>4786712.5619999999</v>
      </c>
      <c r="D272" s="95">
        <v>60.814999999999998</v>
      </c>
      <c r="E272" s="91" t="s">
        <v>93</v>
      </c>
    </row>
    <row r="273" spans="1:5" x14ac:dyDescent="0.25">
      <c r="A273" s="94">
        <v>45887</v>
      </c>
      <c r="B273" s="95">
        <v>511660.66600000003</v>
      </c>
      <c r="C273" s="95">
        <v>4786683.4689999996</v>
      </c>
      <c r="D273" s="95">
        <v>55.404000000000003</v>
      </c>
      <c r="E273" s="91" t="s">
        <v>94</v>
      </c>
    </row>
    <row r="274" spans="1:5" x14ac:dyDescent="0.25">
      <c r="A274" s="94">
        <v>45887</v>
      </c>
      <c r="B274" s="95">
        <v>511670.87400000001</v>
      </c>
      <c r="C274" s="95">
        <v>4786685.9210000001</v>
      </c>
      <c r="D274" s="95">
        <v>54.820999999999998</v>
      </c>
      <c r="E274" s="91" t="s">
        <v>95</v>
      </c>
    </row>
    <row r="275" spans="1:5" x14ac:dyDescent="0.25">
      <c r="A275" s="94">
        <v>45887</v>
      </c>
      <c r="B275" s="95">
        <v>511649.80200000003</v>
      </c>
      <c r="C275" s="95">
        <v>4786669.4989999998</v>
      </c>
      <c r="D275" s="95">
        <v>51.061999999999998</v>
      </c>
      <c r="E275" s="91" t="s">
        <v>99</v>
      </c>
    </row>
    <row r="276" spans="1:5" x14ac:dyDescent="0.25">
      <c r="A276" s="94">
        <v>45887</v>
      </c>
      <c r="B276" s="95">
        <v>511607.55599999998</v>
      </c>
      <c r="C276" s="95">
        <v>4786691.9929999998</v>
      </c>
      <c r="D276" s="95">
        <v>51.061999999999998</v>
      </c>
      <c r="E276" s="91" t="s">
        <v>100</v>
      </c>
    </row>
    <row r="277" spans="1:5" x14ac:dyDescent="0.25">
      <c r="A277" s="94">
        <v>45888</v>
      </c>
      <c r="B277" s="95">
        <v>511615.10100000002</v>
      </c>
      <c r="C277" s="95">
        <v>4786687.9929999998</v>
      </c>
      <c r="D277" s="95">
        <v>51.043999999999997</v>
      </c>
      <c r="E277" s="91" t="s">
        <v>96</v>
      </c>
    </row>
    <row r="278" spans="1:5" x14ac:dyDescent="0.25">
      <c r="A278" s="94">
        <v>45888</v>
      </c>
      <c r="B278" s="95">
        <v>511628.886</v>
      </c>
      <c r="C278" s="95">
        <v>4786680.6509999996</v>
      </c>
      <c r="D278" s="95">
        <v>51.05</v>
      </c>
      <c r="E278" s="91" t="s">
        <v>97</v>
      </c>
    </row>
    <row r="279" spans="1:5" x14ac:dyDescent="0.25">
      <c r="A279" s="94">
        <v>45888</v>
      </c>
      <c r="B279" s="95">
        <v>511642.58600000001</v>
      </c>
      <c r="C279" s="95">
        <v>4786673.3530000001</v>
      </c>
      <c r="D279" s="95">
        <v>51.058</v>
      </c>
      <c r="E279" s="91" t="s">
        <v>98</v>
      </c>
    </row>
    <row r="280" spans="1:5" x14ac:dyDescent="0.25">
      <c r="A280" s="94">
        <v>45888</v>
      </c>
      <c r="B280" s="95">
        <v>511649.70600000001</v>
      </c>
      <c r="C280" s="95">
        <v>4786682.1660000002</v>
      </c>
      <c r="D280" s="95">
        <v>56.185000000000002</v>
      </c>
      <c r="E280" s="91" t="s">
        <v>89</v>
      </c>
    </row>
    <row r="281" spans="1:5" x14ac:dyDescent="0.25">
      <c r="A281" s="94">
        <v>45888</v>
      </c>
      <c r="B281" s="95">
        <v>511630.76500000001</v>
      </c>
      <c r="C281" s="95">
        <v>4786689.8679999998</v>
      </c>
      <c r="D281" s="95">
        <v>55.945999999999998</v>
      </c>
      <c r="E281" s="91" t="s">
        <v>90</v>
      </c>
    </row>
    <row r="282" spans="1:5" x14ac:dyDescent="0.25">
      <c r="A282" s="94">
        <v>45888</v>
      </c>
      <c r="B282" s="95">
        <v>511623.43699999998</v>
      </c>
      <c r="C282" s="95">
        <v>4786694.0789999999</v>
      </c>
      <c r="D282" s="95">
        <v>54.777999999999999</v>
      </c>
      <c r="E282" s="91" t="s">
        <v>91</v>
      </c>
    </row>
    <row r="283" spans="1:5" x14ac:dyDescent="0.25">
      <c r="A283" s="94">
        <v>45888</v>
      </c>
      <c r="B283" s="95">
        <v>511613.321</v>
      </c>
      <c r="C283" s="95">
        <v>4786695.3080000002</v>
      </c>
      <c r="D283" s="95">
        <v>60.572000000000003</v>
      </c>
      <c r="E283" s="91" t="s">
        <v>92</v>
      </c>
    </row>
    <row r="284" spans="1:5" x14ac:dyDescent="0.25">
      <c r="A284" s="94">
        <v>45888</v>
      </c>
      <c r="B284" s="95">
        <v>511614.755</v>
      </c>
      <c r="C284" s="95">
        <v>4786712.5619999999</v>
      </c>
      <c r="D284" s="95">
        <v>60.814999999999998</v>
      </c>
      <c r="E284" s="91" t="s">
        <v>93</v>
      </c>
    </row>
    <row r="285" spans="1:5" x14ac:dyDescent="0.25">
      <c r="A285" s="94">
        <v>45888</v>
      </c>
      <c r="B285" s="95">
        <v>511660.66399999999</v>
      </c>
      <c r="C285" s="95">
        <v>4786683.47</v>
      </c>
      <c r="D285" s="95">
        <v>55.402000000000001</v>
      </c>
      <c r="E285" s="91" t="s">
        <v>94</v>
      </c>
    </row>
    <row r="286" spans="1:5" x14ac:dyDescent="0.25">
      <c r="A286" s="94">
        <v>45888</v>
      </c>
      <c r="B286" s="95">
        <v>511670.875</v>
      </c>
      <c r="C286" s="95">
        <v>4786685.9220000003</v>
      </c>
      <c r="D286" s="95">
        <v>54.820999999999998</v>
      </c>
      <c r="E286" s="91" t="s">
        <v>95</v>
      </c>
    </row>
    <row r="287" spans="1:5" x14ac:dyDescent="0.25">
      <c r="A287" s="94">
        <v>45888</v>
      </c>
      <c r="B287" s="95">
        <v>511607.55499999999</v>
      </c>
      <c r="C287" s="95">
        <v>4786691.9919999996</v>
      </c>
      <c r="D287" s="95">
        <v>51.061999999999998</v>
      </c>
      <c r="E287" s="91" t="s">
        <v>100</v>
      </c>
    </row>
    <row r="288" spans="1:5" x14ac:dyDescent="0.25">
      <c r="A288" s="94">
        <v>45888</v>
      </c>
      <c r="B288" s="95">
        <v>511607.27799999999</v>
      </c>
      <c r="C288" s="95">
        <v>4786692.1830000002</v>
      </c>
      <c r="D288" s="95">
        <v>51.063000000000002</v>
      </c>
      <c r="E288" s="91" t="s">
        <v>101</v>
      </c>
    </row>
    <row r="289" spans="1:5" x14ac:dyDescent="0.25">
      <c r="A289" s="94">
        <v>45888</v>
      </c>
      <c r="B289" s="95">
        <v>511601.12199999997</v>
      </c>
      <c r="C289" s="95">
        <v>4786695.4309999999</v>
      </c>
      <c r="D289" s="95">
        <v>51.045999999999999</v>
      </c>
      <c r="E289" s="91" t="s">
        <v>102</v>
      </c>
    </row>
    <row r="290" spans="1:5" x14ac:dyDescent="0.25">
      <c r="A290" s="94">
        <v>45889</v>
      </c>
      <c r="B290" s="95">
        <v>511615.10100000002</v>
      </c>
      <c r="C290" s="95">
        <v>4786687.9929999998</v>
      </c>
      <c r="D290" s="95">
        <v>51.043999999999997</v>
      </c>
      <c r="E290" s="91" t="s">
        <v>96</v>
      </c>
    </row>
    <row r="291" spans="1:5" x14ac:dyDescent="0.25">
      <c r="A291" s="94">
        <v>45889</v>
      </c>
      <c r="B291" s="95">
        <v>511628.886</v>
      </c>
      <c r="C291" s="95">
        <v>4786680.6529999999</v>
      </c>
      <c r="D291" s="95">
        <v>51.051000000000002</v>
      </c>
      <c r="E291" s="91" t="s">
        <v>97</v>
      </c>
    </row>
    <row r="292" spans="1:5" x14ac:dyDescent="0.25">
      <c r="A292" s="94">
        <v>45889</v>
      </c>
      <c r="B292" s="95">
        <v>511649.70699999999</v>
      </c>
      <c r="C292" s="95">
        <v>4786682.1660000002</v>
      </c>
      <c r="D292" s="95">
        <v>56.185000000000002</v>
      </c>
      <c r="E292" s="91" t="s">
        <v>89</v>
      </c>
    </row>
    <row r="293" spans="1:5" x14ac:dyDescent="0.25">
      <c r="A293" s="94">
        <v>45889</v>
      </c>
      <c r="B293" s="95">
        <v>511630.76500000001</v>
      </c>
      <c r="C293" s="95">
        <v>4786689.8669999996</v>
      </c>
      <c r="D293" s="95">
        <v>55.945999999999998</v>
      </c>
      <c r="E293" s="91" t="s">
        <v>90</v>
      </c>
    </row>
    <row r="294" spans="1:5" x14ac:dyDescent="0.25">
      <c r="A294" s="94">
        <v>45889</v>
      </c>
      <c r="B294" s="95">
        <v>511623.435</v>
      </c>
      <c r="C294" s="95">
        <v>4786694.0789999999</v>
      </c>
      <c r="D294" s="95">
        <v>54.777999999999999</v>
      </c>
      <c r="E294" s="91" t="s">
        <v>91</v>
      </c>
    </row>
    <row r="295" spans="1:5" x14ac:dyDescent="0.25">
      <c r="A295" s="94">
        <v>45889</v>
      </c>
      <c r="B295" s="95">
        <v>511613.32</v>
      </c>
      <c r="C295" s="95">
        <v>4786695.307</v>
      </c>
      <c r="D295" s="95">
        <v>60.572000000000003</v>
      </c>
      <c r="E295" s="91" t="s">
        <v>92</v>
      </c>
    </row>
    <row r="296" spans="1:5" x14ac:dyDescent="0.25">
      <c r="A296" s="94">
        <v>45889</v>
      </c>
      <c r="B296" s="95">
        <v>511614.75400000002</v>
      </c>
      <c r="C296" s="95">
        <v>4786712.5609999998</v>
      </c>
      <c r="D296" s="95">
        <v>60.814999999999998</v>
      </c>
      <c r="E296" s="91" t="s">
        <v>93</v>
      </c>
    </row>
    <row r="297" spans="1:5" x14ac:dyDescent="0.25">
      <c r="A297" s="94">
        <v>45889</v>
      </c>
      <c r="B297" s="95">
        <v>511660.66399999999</v>
      </c>
      <c r="C297" s="95">
        <v>4786683.4680000003</v>
      </c>
      <c r="D297" s="95">
        <v>55.4</v>
      </c>
      <c r="E297" s="91" t="s">
        <v>94</v>
      </c>
    </row>
    <row r="298" spans="1:5" x14ac:dyDescent="0.25">
      <c r="A298" s="94">
        <v>45889</v>
      </c>
      <c r="B298" s="95">
        <v>511670.87599999999</v>
      </c>
      <c r="C298" s="95">
        <v>4786685.9220000003</v>
      </c>
      <c r="D298" s="95">
        <v>54.820999999999998</v>
      </c>
      <c r="E298" s="91" t="s">
        <v>95</v>
      </c>
    </row>
    <row r="299" spans="1:5" x14ac:dyDescent="0.25">
      <c r="A299" s="94">
        <v>45889</v>
      </c>
      <c r="B299" s="95">
        <v>511649.80200000003</v>
      </c>
      <c r="C299" s="95">
        <v>4786669.4989999998</v>
      </c>
      <c r="D299" s="95">
        <v>51.061</v>
      </c>
      <c r="E299" s="91" t="s">
        <v>99</v>
      </c>
    </row>
    <row r="300" spans="1:5" x14ac:dyDescent="0.25">
      <c r="A300" s="94">
        <v>45889</v>
      </c>
      <c r="B300" s="95">
        <v>511607.55599999998</v>
      </c>
      <c r="C300" s="95">
        <v>4786691.9929999998</v>
      </c>
      <c r="D300" s="95">
        <v>51.061999999999998</v>
      </c>
      <c r="E300" s="91" t="s">
        <v>100</v>
      </c>
    </row>
    <row r="301" spans="1:5" x14ac:dyDescent="0.25">
      <c r="A301" s="94">
        <v>45889</v>
      </c>
      <c r="B301" s="95">
        <v>511607.277</v>
      </c>
      <c r="C301" s="95">
        <v>4786692.182</v>
      </c>
      <c r="D301" s="95">
        <v>51.063000000000002</v>
      </c>
      <c r="E301" s="91" t="s">
        <v>101</v>
      </c>
    </row>
    <row r="302" spans="1:5" x14ac:dyDescent="0.25">
      <c r="A302" s="94">
        <v>45889</v>
      </c>
      <c r="B302" s="95">
        <v>511601.12199999997</v>
      </c>
      <c r="C302" s="95">
        <v>4786695.432</v>
      </c>
      <c r="D302" s="95">
        <v>51.045999999999999</v>
      </c>
      <c r="E302" s="91" t="s">
        <v>102</v>
      </c>
    </row>
    <row r="303" spans="1:5" x14ac:dyDescent="0.25">
      <c r="A303" s="94">
        <v>45890</v>
      </c>
      <c r="B303" s="95">
        <v>511615.10200000001</v>
      </c>
      <c r="C303" s="95">
        <v>4786687.9939999999</v>
      </c>
      <c r="D303" s="95">
        <v>51.043999999999997</v>
      </c>
      <c r="E303" s="91" t="s">
        <v>96</v>
      </c>
    </row>
    <row r="304" spans="1:5" x14ac:dyDescent="0.25">
      <c r="A304" s="94">
        <v>45890</v>
      </c>
      <c r="B304" s="95">
        <v>511628.88699999999</v>
      </c>
      <c r="C304" s="95">
        <v>4786680.6529999999</v>
      </c>
      <c r="D304" s="95">
        <v>51.05</v>
      </c>
      <c r="E304" s="91" t="s">
        <v>97</v>
      </c>
    </row>
    <row r="305" spans="1:5" x14ac:dyDescent="0.25">
      <c r="A305" s="94">
        <v>45890</v>
      </c>
      <c r="B305" s="95">
        <v>511642.58600000001</v>
      </c>
      <c r="C305" s="95">
        <v>4786673.3530000001</v>
      </c>
      <c r="D305" s="95">
        <v>51.057000000000002</v>
      </c>
      <c r="E305" s="91" t="s">
        <v>98</v>
      </c>
    </row>
    <row r="306" spans="1:5" x14ac:dyDescent="0.25">
      <c r="A306" s="94">
        <v>45890</v>
      </c>
      <c r="B306" s="95">
        <v>511649.70600000001</v>
      </c>
      <c r="C306" s="95">
        <v>4786682.165</v>
      </c>
      <c r="D306" s="95">
        <v>56.183999999999997</v>
      </c>
      <c r="E306" s="91" t="s">
        <v>89</v>
      </c>
    </row>
    <row r="307" spans="1:5" x14ac:dyDescent="0.25">
      <c r="A307" s="94">
        <v>45890</v>
      </c>
      <c r="B307" s="95">
        <v>511630.766</v>
      </c>
      <c r="C307" s="95">
        <v>4786689.8669999996</v>
      </c>
      <c r="D307" s="95">
        <v>55.945999999999998</v>
      </c>
      <c r="E307" s="91" t="s">
        <v>90</v>
      </c>
    </row>
    <row r="308" spans="1:5" x14ac:dyDescent="0.25">
      <c r="A308" s="94">
        <v>45890</v>
      </c>
      <c r="B308" s="95">
        <v>511623.43699999998</v>
      </c>
      <c r="C308" s="95">
        <v>4786694.0789999999</v>
      </c>
      <c r="D308" s="95">
        <v>54.777000000000001</v>
      </c>
      <c r="E308" s="91" t="s">
        <v>91</v>
      </c>
    </row>
    <row r="309" spans="1:5" x14ac:dyDescent="0.25">
      <c r="A309" s="94">
        <v>45890</v>
      </c>
      <c r="B309" s="95">
        <v>511613.32199999999</v>
      </c>
      <c r="C309" s="95">
        <v>4786695.3080000002</v>
      </c>
      <c r="D309" s="95">
        <v>60.572000000000003</v>
      </c>
      <c r="E309" s="91" t="s">
        <v>92</v>
      </c>
    </row>
    <row r="310" spans="1:5" x14ac:dyDescent="0.25">
      <c r="A310" s="94">
        <v>45890</v>
      </c>
      <c r="B310" s="95">
        <v>511614.755</v>
      </c>
      <c r="C310" s="95">
        <v>4786712.5609999998</v>
      </c>
      <c r="D310" s="95">
        <v>60.814999999999998</v>
      </c>
      <c r="E310" s="91" t="s">
        <v>93</v>
      </c>
    </row>
    <row r="311" spans="1:5" x14ac:dyDescent="0.25">
      <c r="A311" s="94">
        <v>45890</v>
      </c>
      <c r="B311" s="95">
        <v>511660.66600000003</v>
      </c>
      <c r="C311" s="95">
        <v>4786683.47</v>
      </c>
      <c r="D311" s="95">
        <v>55.401000000000003</v>
      </c>
      <c r="E311" s="91" t="s">
        <v>94</v>
      </c>
    </row>
    <row r="312" spans="1:5" x14ac:dyDescent="0.25">
      <c r="A312" s="94">
        <v>45890</v>
      </c>
      <c r="B312" s="95">
        <v>511670.87599999999</v>
      </c>
      <c r="C312" s="95">
        <v>4786685.9220000003</v>
      </c>
      <c r="D312" s="95">
        <v>54.820999999999998</v>
      </c>
      <c r="E312" s="91" t="s">
        <v>95</v>
      </c>
    </row>
    <row r="313" spans="1:5" x14ac:dyDescent="0.25">
      <c r="A313" s="94">
        <v>45890</v>
      </c>
      <c r="B313" s="95">
        <v>511649.80300000001</v>
      </c>
      <c r="C313" s="95">
        <v>4786669.4979999997</v>
      </c>
      <c r="D313" s="95">
        <v>51.061</v>
      </c>
      <c r="E313" s="91" t="s">
        <v>99</v>
      </c>
    </row>
    <row r="314" spans="1:5" x14ac:dyDescent="0.25">
      <c r="A314" s="94">
        <v>45890</v>
      </c>
      <c r="B314" s="95">
        <v>511607.55699999997</v>
      </c>
      <c r="C314" s="95">
        <v>4786691.9939999999</v>
      </c>
      <c r="D314" s="95">
        <v>51.061999999999998</v>
      </c>
      <c r="E314" s="91" t="s">
        <v>100</v>
      </c>
    </row>
    <row r="315" spans="1:5" x14ac:dyDescent="0.25">
      <c r="A315" s="94">
        <v>45890</v>
      </c>
      <c r="B315" s="95">
        <v>511607.277</v>
      </c>
      <c r="C315" s="95">
        <v>4786692.182</v>
      </c>
      <c r="D315" s="95">
        <v>51.063000000000002</v>
      </c>
      <c r="E315" s="91" t="s">
        <v>101</v>
      </c>
    </row>
    <row r="316" spans="1:5" x14ac:dyDescent="0.25">
      <c r="A316" s="94">
        <v>45890</v>
      </c>
      <c r="B316" s="95">
        <v>511601.12</v>
      </c>
      <c r="C316" s="95">
        <v>4786695.4289999995</v>
      </c>
      <c r="D316" s="95">
        <v>51.045999999999999</v>
      </c>
      <c r="E316" s="91" t="s">
        <v>102</v>
      </c>
    </row>
    <row r="317" spans="1:5" x14ac:dyDescent="0.25">
      <c r="A317" s="94">
        <v>45894</v>
      </c>
      <c r="B317" s="95">
        <v>511615.10200000001</v>
      </c>
      <c r="C317" s="95">
        <v>4786687.9939999999</v>
      </c>
      <c r="D317" s="95">
        <v>51.043999999999997</v>
      </c>
      <c r="E317" s="91" t="s">
        <v>96</v>
      </c>
    </row>
    <row r="318" spans="1:5" x14ac:dyDescent="0.25">
      <c r="A318" s="94">
        <v>45894</v>
      </c>
      <c r="B318" s="95">
        <v>511628.88699999999</v>
      </c>
      <c r="C318" s="95">
        <v>4786680.6540000001</v>
      </c>
      <c r="D318" s="95">
        <v>51.051000000000002</v>
      </c>
      <c r="E318" s="91" t="s">
        <v>97</v>
      </c>
    </row>
    <row r="319" spans="1:5" x14ac:dyDescent="0.25">
      <c r="A319" s="94">
        <v>45894</v>
      </c>
      <c r="B319" s="95">
        <v>511642.58600000001</v>
      </c>
      <c r="C319" s="95">
        <v>4786673.3530000001</v>
      </c>
      <c r="D319" s="95">
        <v>51.058</v>
      </c>
      <c r="E319" s="91" t="s">
        <v>98</v>
      </c>
    </row>
    <row r="320" spans="1:5" x14ac:dyDescent="0.25">
      <c r="A320" s="94">
        <v>45894</v>
      </c>
      <c r="B320" s="95">
        <v>511649.70699999999</v>
      </c>
      <c r="C320" s="95">
        <v>4786682.1660000002</v>
      </c>
      <c r="D320" s="95">
        <v>56.183999999999997</v>
      </c>
      <c r="E320" s="91" t="s">
        <v>89</v>
      </c>
    </row>
    <row r="321" spans="1:5" x14ac:dyDescent="0.25">
      <c r="A321" s="94">
        <v>45894</v>
      </c>
      <c r="B321" s="95">
        <v>511630.766</v>
      </c>
      <c r="C321" s="95">
        <v>4786689.8679999998</v>
      </c>
      <c r="D321" s="95">
        <v>55.945999999999998</v>
      </c>
      <c r="E321" s="91" t="s">
        <v>90</v>
      </c>
    </row>
    <row r="322" spans="1:5" x14ac:dyDescent="0.25">
      <c r="A322" s="94">
        <v>45894</v>
      </c>
      <c r="B322" s="95">
        <v>511623.43699999998</v>
      </c>
      <c r="C322" s="95">
        <v>4786694.0779999997</v>
      </c>
      <c r="D322" s="95">
        <v>54.777999999999999</v>
      </c>
      <c r="E322" s="91" t="s">
        <v>91</v>
      </c>
    </row>
    <row r="323" spans="1:5" x14ac:dyDescent="0.25">
      <c r="A323" s="94">
        <v>45894</v>
      </c>
      <c r="B323" s="95">
        <v>511613.321</v>
      </c>
      <c r="C323" s="95">
        <v>4786695.3080000002</v>
      </c>
      <c r="D323" s="95">
        <v>60.572000000000003</v>
      </c>
      <c r="E323" s="91" t="s">
        <v>92</v>
      </c>
    </row>
    <row r="324" spans="1:5" x14ac:dyDescent="0.25">
      <c r="A324" s="94">
        <v>45894</v>
      </c>
      <c r="B324" s="95">
        <v>511614.755</v>
      </c>
      <c r="C324" s="95">
        <v>4786712.5630000001</v>
      </c>
      <c r="D324" s="95">
        <v>60.814999999999998</v>
      </c>
      <c r="E324" s="91" t="s">
        <v>93</v>
      </c>
    </row>
    <row r="325" spans="1:5" x14ac:dyDescent="0.25">
      <c r="A325" s="94">
        <v>45894</v>
      </c>
      <c r="B325" s="95">
        <v>511660.66499999998</v>
      </c>
      <c r="C325" s="95">
        <v>4786683.47</v>
      </c>
      <c r="D325" s="95">
        <v>55.402000000000001</v>
      </c>
      <c r="E325" s="91" t="s">
        <v>94</v>
      </c>
    </row>
    <row r="326" spans="1:5" x14ac:dyDescent="0.25">
      <c r="A326" s="94">
        <v>45894</v>
      </c>
      <c r="B326" s="95">
        <v>511670.87599999999</v>
      </c>
      <c r="C326" s="95">
        <v>4786685.9220000003</v>
      </c>
      <c r="D326" s="95">
        <v>54.820999999999998</v>
      </c>
      <c r="E326" s="91" t="s">
        <v>95</v>
      </c>
    </row>
    <row r="327" spans="1:5" x14ac:dyDescent="0.25">
      <c r="A327" s="94">
        <v>45894</v>
      </c>
      <c r="B327" s="95">
        <v>511649.80200000003</v>
      </c>
      <c r="C327" s="95">
        <v>4786669.4970000004</v>
      </c>
      <c r="D327" s="95">
        <v>51.061</v>
      </c>
      <c r="E327" s="91" t="s">
        <v>99</v>
      </c>
    </row>
    <row r="328" spans="1:5" x14ac:dyDescent="0.25">
      <c r="A328" s="94">
        <v>45894</v>
      </c>
      <c r="B328" s="95">
        <v>511607.55599999998</v>
      </c>
      <c r="C328" s="95">
        <v>4786691.9929999998</v>
      </c>
      <c r="D328" s="95">
        <v>51.061999999999998</v>
      </c>
      <c r="E328" s="91" t="s">
        <v>100</v>
      </c>
    </row>
    <row r="329" spans="1:5" x14ac:dyDescent="0.25">
      <c r="A329" s="94">
        <v>45894</v>
      </c>
      <c r="B329" s="95">
        <v>511607.277</v>
      </c>
      <c r="C329" s="95">
        <v>4786692.182</v>
      </c>
      <c r="D329" s="95">
        <v>51.063000000000002</v>
      </c>
      <c r="E329" s="91" t="s">
        <v>101</v>
      </c>
    </row>
    <row r="330" spans="1:5" x14ac:dyDescent="0.25">
      <c r="A330" s="94">
        <v>45894</v>
      </c>
      <c r="B330" s="95">
        <v>511601.11800000002</v>
      </c>
      <c r="C330" s="95">
        <v>4786695.4280000003</v>
      </c>
      <c r="D330" s="95">
        <v>51.045999999999999</v>
      </c>
      <c r="E330" s="91" t="s">
        <v>102</v>
      </c>
    </row>
    <row r="331" spans="1:5" x14ac:dyDescent="0.25">
      <c r="A331" s="94">
        <v>45895</v>
      </c>
      <c r="B331" s="95">
        <v>511615.10200000001</v>
      </c>
      <c r="C331" s="95">
        <v>4786687.9939999999</v>
      </c>
      <c r="D331" s="95">
        <v>51.043999999999997</v>
      </c>
      <c r="E331" s="91" t="s">
        <v>96</v>
      </c>
    </row>
    <row r="332" spans="1:5" x14ac:dyDescent="0.25">
      <c r="A332" s="94">
        <v>45895</v>
      </c>
      <c r="B332" s="95">
        <v>511628.88699999999</v>
      </c>
      <c r="C332" s="95">
        <v>4786680.6550000003</v>
      </c>
      <c r="D332" s="95">
        <v>51.051000000000002</v>
      </c>
      <c r="E332" s="91" t="s">
        <v>97</v>
      </c>
    </row>
    <row r="333" spans="1:5" x14ac:dyDescent="0.25">
      <c r="A333" s="94">
        <v>45895</v>
      </c>
      <c r="B333" s="95">
        <v>511642.58799999999</v>
      </c>
      <c r="C333" s="95">
        <v>4786673.3559999997</v>
      </c>
      <c r="D333" s="95">
        <v>51.058</v>
      </c>
      <c r="E333" s="91" t="s">
        <v>98</v>
      </c>
    </row>
    <row r="334" spans="1:5" x14ac:dyDescent="0.25">
      <c r="A334" s="94">
        <v>45895</v>
      </c>
      <c r="B334" s="95">
        <v>511649.70699999999</v>
      </c>
      <c r="C334" s="95">
        <v>4786682.165</v>
      </c>
      <c r="D334" s="95">
        <v>56.185000000000002</v>
      </c>
      <c r="E334" s="91" t="s">
        <v>89</v>
      </c>
    </row>
    <row r="335" spans="1:5" x14ac:dyDescent="0.25">
      <c r="A335" s="94">
        <v>45895</v>
      </c>
      <c r="B335" s="95">
        <v>511630.76500000001</v>
      </c>
      <c r="C335" s="95">
        <v>4786689.8679999998</v>
      </c>
      <c r="D335" s="95">
        <v>55.945999999999998</v>
      </c>
      <c r="E335" s="91" t="s">
        <v>90</v>
      </c>
    </row>
    <row r="336" spans="1:5" x14ac:dyDescent="0.25">
      <c r="A336" s="94">
        <v>45895</v>
      </c>
      <c r="B336" s="95">
        <v>511623.43699999998</v>
      </c>
      <c r="C336" s="95">
        <v>4786694.0789999999</v>
      </c>
      <c r="D336" s="95">
        <v>54.777999999999999</v>
      </c>
      <c r="E336" s="91" t="s">
        <v>91</v>
      </c>
    </row>
    <row r="337" spans="1:5" x14ac:dyDescent="0.25">
      <c r="A337" s="94">
        <v>45895</v>
      </c>
      <c r="B337" s="95">
        <v>511613.32</v>
      </c>
      <c r="C337" s="95">
        <v>4786695.307</v>
      </c>
      <c r="D337" s="95">
        <v>60.572000000000003</v>
      </c>
      <c r="E337" s="91" t="s">
        <v>92</v>
      </c>
    </row>
    <row r="338" spans="1:5" x14ac:dyDescent="0.25">
      <c r="A338" s="94">
        <v>45895</v>
      </c>
      <c r="B338" s="95">
        <v>511614.75400000002</v>
      </c>
      <c r="C338" s="95">
        <v>4786712.5619999999</v>
      </c>
      <c r="D338" s="95">
        <v>60.814999999999998</v>
      </c>
      <c r="E338" s="91" t="s">
        <v>93</v>
      </c>
    </row>
    <row r="339" spans="1:5" x14ac:dyDescent="0.25">
      <c r="A339" s="94">
        <v>45895</v>
      </c>
      <c r="B339" s="95">
        <v>511660.66600000003</v>
      </c>
      <c r="C339" s="95">
        <v>4786683.4709999999</v>
      </c>
      <c r="D339" s="95">
        <v>55.402000000000001</v>
      </c>
      <c r="E339" s="91" t="s">
        <v>94</v>
      </c>
    </row>
    <row r="340" spans="1:5" x14ac:dyDescent="0.25">
      <c r="A340" s="94">
        <v>45895</v>
      </c>
      <c r="B340" s="95">
        <v>511670.875</v>
      </c>
      <c r="C340" s="95">
        <v>4786685.9220000003</v>
      </c>
      <c r="D340" s="95">
        <v>54.820999999999998</v>
      </c>
      <c r="E340" s="91" t="s">
        <v>95</v>
      </c>
    </row>
    <row r="341" spans="1:5" x14ac:dyDescent="0.25">
      <c r="A341" s="94">
        <v>45895</v>
      </c>
      <c r="B341" s="95">
        <v>511649.804</v>
      </c>
      <c r="C341" s="95">
        <v>4786669.5</v>
      </c>
      <c r="D341" s="95">
        <v>51.061999999999998</v>
      </c>
      <c r="E341" s="91" t="s">
        <v>99</v>
      </c>
    </row>
    <row r="342" spans="1:5" x14ac:dyDescent="0.25">
      <c r="A342" s="94">
        <v>45895</v>
      </c>
      <c r="B342" s="95">
        <v>511607.55599999998</v>
      </c>
      <c r="C342" s="95">
        <v>4786691.9929999998</v>
      </c>
      <c r="D342" s="95">
        <v>51.061999999999998</v>
      </c>
      <c r="E342" s="91" t="s">
        <v>100</v>
      </c>
    </row>
    <row r="343" spans="1:5" x14ac:dyDescent="0.25">
      <c r="A343" s="94">
        <v>45895</v>
      </c>
      <c r="B343" s="95">
        <v>511607.277</v>
      </c>
      <c r="C343" s="95">
        <v>4786692.182</v>
      </c>
      <c r="D343" s="95">
        <v>51.063000000000002</v>
      </c>
      <c r="E343" s="91" t="s">
        <v>101</v>
      </c>
    </row>
    <row r="344" spans="1:5" x14ac:dyDescent="0.25">
      <c r="A344" s="94">
        <v>45895</v>
      </c>
      <c r="B344" s="95">
        <v>511601.11900000001</v>
      </c>
      <c r="C344" s="95">
        <v>4786695.4289999995</v>
      </c>
      <c r="D344" s="95">
        <v>51.045999999999999</v>
      </c>
      <c r="E344" s="91" t="s">
        <v>102</v>
      </c>
    </row>
    <row r="345" spans="1:5" x14ac:dyDescent="0.25">
      <c r="A345" s="94">
        <v>45896</v>
      </c>
      <c r="B345" s="95">
        <v>511615.10200000001</v>
      </c>
      <c r="C345" s="95">
        <v>4786687.9950000001</v>
      </c>
      <c r="D345" s="95">
        <v>51.045000000000002</v>
      </c>
      <c r="E345" s="91" t="s">
        <v>96</v>
      </c>
    </row>
    <row r="346" spans="1:5" x14ac:dyDescent="0.25">
      <c r="A346" s="94">
        <v>45896</v>
      </c>
      <c r="B346" s="95">
        <v>511628.88799999998</v>
      </c>
      <c r="C346" s="95">
        <v>4786680.6550000003</v>
      </c>
      <c r="D346" s="95">
        <v>51.051000000000002</v>
      </c>
      <c r="E346" s="91" t="s">
        <v>97</v>
      </c>
    </row>
    <row r="347" spans="1:5" x14ac:dyDescent="0.25">
      <c r="A347" s="94">
        <v>45896</v>
      </c>
      <c r="B347" s="95">
        <v>511642.58500000002</v>
      </c>
      <c r="C347" s="95">
        <v>4786673.3559999997</v>
      </c>
      <c r="D347" s="95">
        <v>51.058999999999997</v>
      </c>
      <c r="E347" s="91" t="s">
        <v>98</v>
      </c>
    </row>
    <row r="348" spans="1:5" x14ac:dyDescent="0.25">
      <c r="A348" s="94">
        <v>45896</v>
      </c>
      <c r="B348" s="95">
        <v>511649.70600000001</v>
      </c>
      <c r="C348" s="95">
        <v>4786682.165</v>
      </c>
      <c r="D348" s="95">
        <v>56.185000000000002</v>
      </c>
      <c r="E348" s="91" t="s">
        <v>89</v>
      </c>
    </row>
    <row r="349" spans="1:5" x14ac:dyDescent="0.25">
      <c r="A349" s="94">
        <v>45896</v>
      </c>
      <c r="B349" s="95">
        <v>511630.76500000001</v>
      </c>
      <c r="C349" s="95">
        <v>4786689.8669999996</v>
      </c>
      <c r="D349" s="95">
        <v>55.947000000000003</v>
      </c>
      <c r="E349" s="91" t="s">
        <v>90</v>
      </c>
    </row>
    <row r="350" spans="1:5" x14ac:dyDescent="0.25">
      <c r="A350" s="94">
        <v>45896</v>
      </c>
      <c r="B350" s="95">
        <v>511623.43699999998</v>
      </c>
      <c r="C350" s="95">
        <v>4786694.0789999999</v>
      </c>
      <c r="D350" s="95">
        <v>54.777999999999999</v>
      </c>
      <c r="E350" s="91" t="s">
        <v>91</v>
      </c>
    </row>
    <row r="351" spans="1:5" x14ac:dyDescent="0.25">
      <c r="A351" s="94">
        <v>45896</v>
      </c>
      <c r="B351" s="95">
        <v>511613.321</v>
      </c>
      <c r="C351" s="95">
        <v>4786695.3080000002</v>
      </c>
      <c r="D351" s="95">
        <v>60.573</v>
      </c>
      <c r="E351" s="91" t="s">
        <v>92</v>
      </c>
    </row>
    <row r="352" spans="1:5" x14ac:dyDescent="0.25">
      <c r="A352" s="94">
        <v>45896</v>
      </c>
      <c r="B352" s="95">
        <v>511614.755</v>
      </c>
      <c r="C352" s="95">
        <v>4786712.5619999999</v>
      </c>
      <c r="D352" s="95">
        <v>60.814999999999998</v>
      </c>
      <c r="E352" s="91" t="s">
        <v>93</v>
      </c>
    </row>
    <row r="353" spans="1:5" x14ac:dyDescent="0.25">
      <c r="A353" s="94">
        <v>45896</v>
      </c>
      <c r="B353" s="95">
        <v>511660.66499999998</v>
      </c>
      <c r="C353" s="95">
        <v>4786683.4689999996</v>
      </c>
      <c r="D353" s="95">
        <v>55.404000000000003</v>
      </c>
      <c r="E353" s="91" t="s">
        <v>94</v>
      </c>
    </row>
    <row r="354" spans="1:5" x14ac:dyDescent="0.25">
      <c r="A354" s="94">
        <v>45896</v>
      </c>
      <c r="B354" s="95">
        <v>511670.87599999999</v>
      </c>
      <c r="C354" s="95">
        <v>4786685.9220000003</v>
      </c>
      <c r="D354" s="95">
        <v>54.820999999999998</v>
      </c>
      <c r="E354" s="91" t="s">
        <v>95</v>
      </c>
    </row>
    <row r="355" spans="1:5" x14ac:dyDescent="0.25">
      <c r="A355" s="94">
        <v>45896</v>
      </c>
      <c r="B355" s="95">
        <v>511649.80300000001</v>
      </c>
      <c r="C355" s="95">
        <v>4786669.5</v>
      </c>
      <c r="D355" s="95">
        <v>51.061999999999998</v>
      </c>
      <c r="E355" s="91" t="s">
        <v>99</v>
      </c>
    </row>
    <row r="356" spans="1:5" x14ac:dyDescent="0.25">
      <c r="A356" s="94">
        <v>45896</v>
      </c>
      <c r="B356" s="95">
        <v>511607.55499999999</v>
      </c>
      <c r="C356" s="95">
        <v>4786691.9919999996</v>
      </c>
      <c r="D356" s="95">
        <v>51.061999999999998</v>
      </c>
      <c r="E356" s="91" t="s">
        <v>100</v>
      </c>
    </row>
    <row r="357" spans="1:5" x14ac:dyDescent="0.25">
      <c r="A357" s="94">
        <v>45896</v>
      </c>
      <c r="B357" s="95">
        <v>511607.277</v>
      </c>
      <c r="C357" s="95">
        <v>4786692.182</v>
      </c>
      <c r="D357" s="95">
        <v>51.063000000000002</v>
      </c>
      <c r="E357" s="91" t="s">
        <v>101</v>
      </c>
    </row>
    <row r="358" spans="1:5" x14ac:dyDescent="0.25">
      <c r="A358" s="94">
        <v>45896</v>
      </c>
      <c r="B358" s="95">
        <v>511601.12</v>
      </c>
      <c r="C358" s="95">
        <v>4786695.43</v>
      </c>
      <c r="D358" s="95">
        <v>51.045999999999999</v>
      </c>
      <c r="E358" s="91" t="s">
        <v>102</v>
      </c>
    </row>
    <row r="359" spans="1:5" x14ac:dyDescent="0.25">
      <c r="A359" s="94">
        <v>45897</v>
      </c>
      <c r="B359" s="95">
        <v>511615.10100000002</v>
      </c>
      <c r="C359" s="95">
        <v>4786687.9939999999</v>
      </c>
      <c r="D359" s="95">
        <v>51.043999999999997</v>
      </c>
      <c r="E359" s="91" t="s">
        <v>96</v>
      </c>
    </row>
    <row r="360" spans="1:5" x14ac:dyDescent="0.25">
      <c r="A360" s="94">
        <v>45897</v>
      </c>
      <c r="B360" s="95">
        <v>511628.88699999999</v>
      </c>
      <c r="C360" s="95">
        <v>4786680.6560000004</v>
      </c>
      <c r="D360" s="95">
        <v>51.05</v>
      </c>
      <c r="E360" s="91" t="s">
        <v>97</v>
      </c>
    </row>
    <row r="361" spans="1:5" x14ac:dyDescent="0.25">
      <c r="A361" s="94">
        <v>45897</v>
      </c>
      <c r="B361" s="95">
        <v>511642.58799999999</v>
      </c>
      <c r="C361" s="95">
        <v>4786673.3569999998</v>
      </c>
      <c r="D361" s="95">
        <v>51.058</v>
      </c>
      <c r="E361" s="91" t="s">
        <v>98</v>
      </c>
    </row>
    <row r="362" spans="1:5" x14ac:dyDescent="0.25">
      <c r="A362" s="94">
        <v>45897</v>
      </c>
      <c r="B362" s="95">
        <v>511649.70600000001</v>
      </c>
      <c r="C362" s="95">
        <v>4786682.1660000002</v>
      </c>
      <c r="D362" s="95">
        <v>56.185000000000002</v>
      </c>
      <c r="E362" s="91" t="s">
        <v>89</v>
      </c>
    </row>
    <row r="363" spans="1:5" x14ac:dyDescent="0.25">
      <c r="A363" s="94">
        <v>45897</v>
      </c>
      <c r="B363" s="95">
        <v>511630.76500000001</v>
      </c>
      <c r="C363" s="95">
        <v>4786689.8679999998</v>
      </c>
      <c r="D363" s="95">
        <v>55.945999999999998</v>
      </c>
      <c r="E363" s="91" t="s">
        <v>90</v>
      </c>
    </row>
    <row r="364" spans="1:5" x14ac:dyDescent="0.25">
      <c r="A364" s="94">
        <v>45897</v>
      </c>
      <c r="B364" s="95">
        <v>511623.43599999999</v>
      </c>
      <c r="C364" s="95">
        <v>4786694.0789999999</v>
      </c>
      <c r="D364" s="95">
        <v>54.777999999999999</v>
      </c>
      <c r="E364" s="91" t="s">
        <v>91</v>
      </c>
    </row>
    <row r="365" spans="1:5" x14ac:dyDescent="0.25">
      <c r="A365" s="94">
        <v>45897</v>
      </c>
      <c r="B365" s="95">
        <v>511613.321</v>
      </c>
      <c r="C365" s="95">
        <v>4786695.3090000004</v>
      </c>
      <c r="D365" s="95">
        <v>60.573</v>
      </c>
      <c r="E365" s="91" t="s">
        <v>92</v>
      </c>
    </row>
    <row r="366" spans="1:5" x14ac:dyDescent="0.25">
      <c r="A366" s="94">
        <v>45897</v>
      </c>
      <c r="B366" s="95">
        <v>511614.75300000003</v>
      </c>
      <c r="C366" s="95">
        <v>4786712.5609999998</v>
      </c>
      <c r="D366" s="95">
        <v>60.814999999999998</v>
      </c>
      <c r="E366" s="91" t="s">
        <v>93</v>
      </c>
    </row>
    <row r="367" spans="1:5" x14ac:dyDescent="0.25">
      <c r="A367" s="94">
        <v>45897</v>
      </c>
      <c r="B367" s="95">
        <v>511660.66399999999</v>
      </c>
      <c r="C367" s="95">
        <v>4786683.4689999996</v>
      </c>
      <c r="D367" s="95">
        <v>55.404000000000003</v>
      </c>
      <c r="E367" s="91" t="s">
        <v>94</v>
      </c>
    </row>
    <row r="368" spans="1:5" x14ac:dyDescent="0.25">
      <c r="A368" s="94">
        <v>45897</v>
      </c>
      <c r="B368" s="95">
        <v>511670.875</v>
      </c>
      <c r="C368" s="95">
        <v>4786685.9220000003</v>
      </c>
      <c r="D368" s="95">
        <v>54.820999999999998</v>
      </c>
      <c r="E368" s="91" t="s">
        <v>95</v>
      </c>
    </row>
    <row r="369" spans="1:5" x14ac:dyDescent="0.25">
      <c r="A369" s="94">
        <v>45897</v>
      </c>
      <c r="B369" s="95">
        <v>511649.80300000001</v>
      </c>
      <c r="C369" s="95">
        <v>4786669.5010000002</v>
      </c>
      <c r="D369" s="95">
        <v>51.061999999999998</v>
      </c>
      <c r="E369" s="91" t="s">
        <v>99</v>
      </c>
    </row>
    <row r="370" spans="1:5" x14ac:dyDescent="0.25">
      <c r="A370" s="94">
        <v>45897</v>
      </c>
      <c r="B370" s="95">
        <v>511607.55599999998</v>
      </c>
      <c r="C370" s="95">
        <v>4786691.9929999998</v>
      </c>
      <c r="D370" s="95">
        <v>51.061999999999998</v>
      </c>
      <c r="E370" s="91" t="s">
        <v>100</v>
      </c>
    </row>
    <row r="371" spans="1:5" x14ac:dyDescent="0.25">
      <c r="A371" s="94">
        <v>45897</v>
      </c>
      <c r="B371" s="95">
        <v>511607.277</v>
      </c>
      <c r="C371" s="95">
        <v>4786692.182</v>
      </c>
      <c r="D371" s="95">
        <v>51.063000000000002</v>
      </c>
      <c r="E371" s="91" t="s">
        <v>101</v>
      </c>
    </row>
    <row r="372" spans="1:5" x14ac:dyDescent="0.25">
      <c r="A372" s="94">
        <v>45897</v>
      </c>
      <c r="B372" s="95">
        <v>511601.11900000001</v>
      </c>
      <c r="C372" s="95">
        <v>4786695.43</v>
      </c>
      <c r="D372" s="95">
        <v>51.045999999999999</v>
      </c>
      <c r="E372" s="91" t="s">
        <v>102</v>
      </c>
    </row>
    <row r="373" spans="1:5" x14ac:dyDescent="0.25">
      <c r="A373" s="94">
        <v>45898</v>
      </c>
      <c r="B373" s="95">
        <v>511615.10200000001</v>
      </c>
      <c r="C373" s="95">
        <v>4786687.9939999999</v>
      </c>
      <c r="D373" s="95">
        <v>51.043999999999997</v>
      </c>
      <c r="E373" s="91" t="s">
        <v>96</v>
      </c>
    </row>
    <row r="374" spans="1:5" x14ac:dyDescent="0.25">
      <c r="A374" s="94">
        <v>45898</v>
      </c>
      <c r="B374" s="95">
        <v>511628.88799999998</v>
      </c>
      <c r="C374" s="95">
        <v>4786680.6550000003</v>
      </c>
      <c r="D374" s="95">
        <v>51.051000000000002</v>
      </c>
      <c r="E374" s="91" t="s">
        <v>97</v>
      </c>
    </row>
    <row r="375" spans="1:5" x14ac:dyDescent="0.25">
      <c r="A375" s="94">
        <v>45898</v>
      </c>
      <c r="B375" s="95">
        <v>511642.587</v>
      </c>
      <c r="C375" s="95">
        <v>4786673.3569999998</v>
      </c>
      <c r="D375" s="95">
        <v>51.058</v>
      </c>
      <c r="E375" s="91" t="s">
        <v>98</v>
      </c>
    </row>
    <row r="376" spans="1:5" x14ac:dyDescent="0.25">
      <c r="A376" s="94">
        <v>45898</v>
      </c>
      <c r="B376" s="95">
        <v>511649.70600000001</v>
      </c>
      <c r="C376" s="95">
        <v>4786682.1660000002</v>
      </c>
      <c r="D376" s="95">
        <v>56.185000000000002</v>
      </c>
      <c r="E376" s="91" t="s">
        <v>89</v>
      </c>
    </row>
    <row r="377" spans="1:5" x14ac:dyDescent="0.25">
      <c r="A377" s="94">
        <v>45898</v>
      </c>
      <c r="B377" s="95">
        <v>511630.76500000001</v>
      </c>
      <c r="C377" s="95">
        <v>4786689.8679999998</v>
      </c>
      <c r="D377" s="95">
        <v>55.945999999999998</v>
      </c>
      <c r="E377" s="91" t="s">
        <v>90</v>
      </c>
    </row>
    <row r="378" spans="1:5" x14ac:dyDescent="0.25">
      <c r="A378" s="94">
        <v>45898</v>
      </c>
      <c r="B378" s="95">
        <v>511623.43699999998</v>
      </c>
      <c r="C378" s="95">
        <v>4786694.08</v>
      </c>
      <c r="D378" s="95">
        <v>54.777999999999999</v>
      </c>
      <c r="E378" s="91" t="s">
        <v>91</v>
      </c>
    </row>
    <row r="379" spans="1:5" x14ac:dyDescent="0.25">
      <c r="A379" s="94">
        <v>45898</v>
      </c>
      <c r="B379" s="95">
        <v>511613.32</v>
      </c>
      <c r="C379" s="95">
        <v>4786695.3080000002</v>
      </c>
      <c r="D379" s="95">
        <v>60.572000000000003</v>
      </c>
      <c r="E379" s="91" t="s">
        <v>92</v>
      </c>
    </row>
    <row r="380" spans="1:5" x14ac:dyDescent="0.25">
      <c r="A380" s="94">
        <v>45898</v>
      </c>
      <c r="B380" s="95">
        <v>511614.755</v>
      </c>
      <c r="C380" s="95">
        <v>4786712.5630000001</v>
      </c>
      <c r="D380" s="95">
        <v>60.814999999999998</v>
      </c>
      <c r="E380" s="91" t="s">
        <v>93</v>
      </c>
    </row>
    <row r="381" spans="1:5" x14ac:dyDescent="0.25">
      <c r="A381" s="94">
        <v>45898</v>
      </c>
      <c r="B381" s="95">
        <v>511660.66499999998</v>
      </c>
      <c r="C381" s="95">
        <v>4786683.47</v>
      </c>
      <c r="D381" s="95">
        <v>55.404000000000003</v>
      </c>
      <c r="E381" s="91" t="s">
        <v>94</v>
      </c>
    </row>
    <row r="382" spans="1:5" x14ac:dyDescent="0.25">
      <c r="A382" s="94">
        <v>45898</v>
      </c>
      <c r="B382" s="95">
        <v>511670.87400000001</v>
      </c>
      <c r="C382" s="95">
        <v>4786685.9210000001</v>
      </c>
      <c r="D382" s="95">
        <v>54.820999999999998</v>
      </c>
      <c r="E382" s="91" t="s">
        <v>95</v>
      </c>
    </row>
    <row r="383" spans="1:5" x14ac:dyDescent="0.25">
      <c r="A383" s="94">
        <v>45898</v>
      </c>
      <c r="B383" s="95">
        <v>511649.80300000001</v>
      </c>
      <c r="C383" s="95">
        <v>4786669.5020000003</v>
      </c>
      <c r="D383" s="95">
        <v>51.057000000000002</v>
      </c>
      <c r="E383" s="91" t="s">
        <v>99</v>
      </c>
    </row>
    <row r="384" spans="1:5" x14ac:dyDescent="0.25">
      <c r="A384" s="94">
        <v>45898</v>
      </c>
      <c r="B384" s="95">
        <v>511607.55699999997</v>
      </c>
      <c r="C384" s="95">
        <v>4786691.9939999999</v>
      </c>
      <c r="D384" s="95">
        <v>51.061999999999998</v>
      </c>
      <c r="E384" s="91" t="s">
        <v>100</v>
      </c>
    </row>
    <row r="385" spans="1:5" x14ac:dyDescent="0.25">
      <c r="A385" s="94">
        <v>45898</v>
      </c>
      <c r="B385" s="95">
        <v>511607.277</v>
      </c>
      <c r="C385" s="95">
        <v>4786692.182</v>
      </c>
      <c r="D385" s="95">
        <v>51.063000000000002</v>
      </c>
      <c r="E385" s="91" t="s">
        <v>101</v>
      </c>
    </row>
    <row r="386" spans="1:5" x14ac:dyDescent="0.25">
      <c r="A386" s="94">
        <v>45898</v>
      </c>
      <c r="B386" s="95">
        <v>511601.12</v>
      </c>
      <c r="C386" s="95">
        <v>4786695.4280000003</v>
      </c>
      <c r="D386" s="95">
        <v>51.042999999999999</v>
      </c>
      <c r="E386" s="91" t="s">
        <v>102</v>
      </c>
    </row>
    <row r="387" spans="1:5" x14ac:dyDescent="0.25">
      <c r="A387" s="94">
        <v>45901</v>
      </c>
      <c r="B387" s="95">
        <v>511615.103</v>
      </c>
      <c r="C387" s="95">
        <v>4786687.9929999998</v>
      </c>
      <c r="D387" s="95">
        <v>51.042000000000002</v>
      </c>
      <c r="E387" s="91" t="s">
        <v>96</v>
      </c>
    </row>
    <row r="388" spans="1:5" x14ac:dyDescent="0.25">
      <c r="A388" s="94">
        <v>45901</v>
      </c>
      <c r="B388" s="95">
        <v>511628.88799999998</v>
      </c>
      <c r="C388" s="95">
        <v>4786680.6529999999</v>
      </c>
      <c r="D388" s="95">
        <v>51.048000000000002</v>
      </c>
      <c r="E388" s="91" t="s">
        <v>97</v>
      </c>
    </row>
    <row r="389" spans="1:5" x14ac:dyDescent="0.25">
      <c r="A389" s="94">
        <v>45901</v>
      </c>
      <c r="B389" s="95">
        <v>511642.58799999999</v>
      </c>
      <c r="C389" s="95">
        <v>4786673.3550000004</v>
      </c>
      <c r="D389" s="95">
        <v>51.057000000000002</v>
      </c>
      <c r="E389" s="91" t="s">
        <v>98</v>
      </c>
    </row>
    <row r="390" spans="1:5" x14ac:dyDescent="0.25">
      <c r="A390" s="94">
        <v>45901</v>
      </c>
      <c r="B390" s="95">
        <v>511649.70600000001</v>
      </c>
      <c r="C390" s="95">
        <v>4786682.165</v>
      </c>
      <c r="D390" s="95">
        <v>56.185000000000002</v>
      </c>
      <c r="E390" s="91" t="s">
        <v>89</v>
      </c>
    </row>
    <row r="391" spans="1:5" x14ac:dyDescent="0.25">
      <c r="A391" s="94">
        <v>45901</v>
      </c>
      <c r="B391" s="95">
        <v>511630.76400000002</v>
      </c>
      <c r="C391" s="95">
        <v>4786689.8679999998</v>
      </c>
      <c r="D391" s="95">
        <v>55.948</v>
      </c>
      <c r="E391" s="91" t="s">
        <v>90</v>
      </c>
    </row>
    <row r="392" spans="1:5" x14ac:dyDescent="0.25">
      <c r="A392" s="94">
        <v>45901</v>
      </c>
      <c r="B392" s="95">
        <v>511623.435</v>
      </c>
      <c r="C392" s="95">
        <v>4786694.08</v>
      </c>
      <c r="D392" s="95">
        <v>54.789000000000001</v>
      </c>
      <c r="E392" s="91" t="s">
        <v>91</v>
      </c>
    </row>
    <row r="393" spans="1:5" x14ac:dyDescent="0.25">
      <c r="A393" s="94">
        <v>45901</v>
      </c>
      <c r="B393" s="95">
        <v>511613.31900000002</v>
      </c>
      <c r="C393" s="95">
        <v>4786695.307</v>
      </c>
      <c r="D393" s="95">
        <v>60.588000000000001</v>
      </c>
      <c r="E393" s="91" t="s">
        <v>92</v>
      </c>
    </row>
    <row r="394" spans="1:5" x14ac:dyDescent="0.25">
      <c r="A394" s="94">
        <v>45901</v>
      </c>
      <c r="B394" s="95">
        <v>511614.75400000002</v>
      </c>
      <c r="C394" s="95">
        <v>4786712.5630000001</v>
      </c>
      <c r="D394" s="95">
        <v>60.816000000000003</v>
      </c>
      <c r="E394" s="91" t="s">
        <v>93</v>
      </c>
    </row>
    <row r="395" spans="1:5" x14ac:dyDescent="0.25">
      <c r="A395" s="94">
        <v>45901</v>
      </c>
      <c r="B395" s="95">
        <v>511660.66600000003</v>
      </c>
      <c r="C395" s="95">
        <v>4786683.47</v>
      </c>
      <c r="D395" s="95">
        <v>55.404000000000003</v>
      </c>
      <c r="E395" s="91" t="s">
        <v>94</v>
      </c>
    </row>
    <row r="396" spans="1:5" x14ac:dyDescent="0.25">
      <c r="A396" s="94">
        <v>45901</v>
      </c>
      <c r="B396" s="95">
        <v>511670.87400000001</v>
      </c>
      <c r="C396" s="95">
        <v>4786685.9210000001</v>
      </c>
      <c r="D396" s="95">
        <v>54.820999999999998</v>
      </c>
      <c r="E396" s="91" t="s">
        <v>95</v>
      </c>
    </row>
    <row r="397" spans="1:5" x14ac:dyDescent="0.25">
      <c r="A397" s="94">
        <v>45901</v>
      </c>
      <c r="B397" s="95">
        <v>511649.80099999998</v>
      </c>
      <c r="C397" s="95">
        <v>4786669.5010000002</v>
      </c>
      <c r="D397" s="95">
        <v>51.057000000000002</v>
      </c>
      <c r="E397" s="91" t="s">
        <v>99</v>
      </c>
    </row>
    <row r="398" spans="1:5" x14ac:dyDescent="0.25">
      <c r="A398" s="94">
        <v>45901</v>
      </c>
      <c r="B398" s="95">
        <v>511607.55599999998</v>
      </c>
      <c r="C398" s="95">
        <v>4786691.9929999998</v>
      </c>
      <c r="D398" s="95">
        <v>51.061999999999998</v>
      </c>
      <c r="E398" s="91" t="s">
        <v>100</v>
      </c>
    </row>
    <row r="399" spans="1:5" x14ac:dyDescent="0.25">
      <c r="A399" s="94">
        <v>45901</v>
      </c>
      <c r="B399" s="95">
        <v>511607.27600000001</v>
      </c>
      <c r="C399" s="95">
        <v>4786692.1809999999</v>
      </c>
      <c r="D399" s="95">
        <v>51.063000000000002</v>
      </c>
      <c r="E399" s="91" t="s">
        <v>101</v>
      </c>
    </row>
    <row r="400" spans="1:5" x14ac:dyDescent="0.25">
      <c r="A400" s="94">
        <v>45901</v>
      </c>
      <c r="B400" s="95">
        <v>511601.12</v>
      </c>
      <c r="C400" s="95">
        <v>4786695.4280000003</v>
      </c>
      <c r="D400" s="95">
        <v>51.042999999999999</v>
      </c>
      <c r="E400" s="91" t="s">
        <v>102</v>
      </c>
    </row>
    <row r="401" spans="1:5" x14ac:dyDescent="0.25">
      <c r="A401" s="94">
        <v>45902</v>
      </c>
      <c r="B401" s="95">
        <v>511615.10200000001</v>
      </c>
      <c r="C401" s="95">
        <v>4786687.9939999999</v>
      </c>
      <c r="D401" s="95">
        <v>51.043999999999997</v>
      </c>
      <c r="E401" s="91" t="s">
        <v>96</v>
      </c>
    </row>
    <row r="402" spans="1:5" x14ac:dyDescent="0.25">
      <c r="A402" s="94">
        <v>45902</v>
      </c>
      <c r="B402" s="95">
        <v>511628.88799999998</v>
      </c>
      <c r="C402" s="95">
        <v>4786680.6550000003</v>
      </c>
      <c r="D402" s="95">
        <v>51.05</v>
      </c>
      <c r="E402" s="91" t="s">
        <v>97</v>
      </c>
    </row>
    <row r="403" spans="1:5" x14ac:dyDescent="0.25">
      <c r="A403" s="94">
        <v>45902</v>
      </c>
      <c r="B403" s="95">
        <v>511642.58600000001</v>
      </c>
      <c r="C403" s="95">
        <v>4786673.3569999998</v>
      </c>
      <c r="D403" s="95">
        <v>51.057000000000002</v>
      </c>
      <c r="E403" s="91" t="s">
        <v>98</v>
      </c>
    </row>
    <row r="404" spans="1:5" x14ac:dyDescent="0.25">
      <c r="A404" s="94">
        <v>45902</v>
      </c>
      <c r="B404" s="95">
        <v>511649.70799999998</v>
      </c>
      <c r="C404" s="95">
        <v>4786682.1670000004</v>
      </c>
      <c r="D404" s="95">
        <v>56.183999999999997</v>
      </c>
      <c r="E404" s="91" t="s">
        <v>89</v>
      </c>
    </row>
    <row r="405" spans="1:5" x14ac:dyDescent="0.25">
      <c r="A405" s="94">
        <v>45902</v>
      </c>
      <c r="B405" s="95">
        <v>511630.76500000001</v>
      </c>
      <c r="C405" s="95">
        <v>4786689.8669999996</v>
      </c>
      <c r="D405" s="95">
        <v>55.945999999999998</v>
      </c>
      <c r="E405" s="91" t="s">
        <v>90</v>
      </c>
    </row>
    <row r="406" spans="1:5" x14ac:dyDescent="0.25">
      <c r="A406" s="94">
        <v>45902</v>
      </c>
      <c r="B406" s="95">
        <v>511623.43699999998</v>
      </c>
      <c r="C406" s="95">
        <v>4786694.0789999999</v>
      </c>
      <c r="D406" s="95">
        <v>54.777000000000001</v>
      </c>
      <c r="E406" s="91" t="s">
        <v>91</v>
      </c>
    </row>
    <row r="407" spans="1:5" x14ac:dyDescent="0.25">
      <c r="A407" s="94">
        <v>45902</v>
      </c>
      <c r="B407" s="95">
        <v>511613.321</v>
      </c>
      <c r="C407" s="95">
        <v>4786695.3080000002</v>
      </c>
      <c r="D407" s="95">
        <v>60.572000000000003</v>
      </c>
      <c r="E407" s="91" t="s">
        <v>92</v>
      </c>
    </row>
    <row r="408" spans="1:5" x14ac:dyDescent="0.25">
      <c r="A408" s="94">
        <v>45902</v>
      </c>
      <c r="B408" s="95">
        <v>511614.755</v>
      </c>
      <c r="C408" s="95">
        <v>4786712.5630000001</v>
      </c>
      <c r="D408" s="95">
        <v>60.814999999999998</v>
      </c>
      <c r="E408" s="91" t="s">
        <v>93</v>
      </c>
    </row>
    <row r="409" spans="1:5" x14ac:dyDescent="0.25">
      <c r="A409" s="94">
        <v>45902</v>
      </c>
      <c r="B409" s="95">
        <v>511660.66600000003</v>
      </c>
      <c r="C409" s="95">
        <v>4786683.4709999999</v>
      </c>
      <c r="D409" s="95">
        <v>55.401000000000003</v>
      </c>
      <c r="E409" s="91" t="s">
        <v>94</v>
      </c>
    </row>
    <row r="410" spans="1:5" x14ac:dyDescent="0.25">
      <c r="A410" s="94">
        <v>45902</v>
      </c>
      <c r="B410" s="95">
        <v>511670.875</v>
      </c>
      <c r="C410" s="95">
        <v>4786685.9220000003</v>
      </c>
      <c r="D410" s="95">
        <v>54.820999999999998</v>
      </c>
      <c r="E410" s="91" t="s">
        <v>95</v>
      </c>
    </row>
    <row r="411" spans="1:5" x14ac:dyDescent="0.25">
      <c r="A411" s="94">
        <v>45902</v>
      </c>
      <c r="B411" s="95">
        <v>511649.80200000003</v>
      </c>
      <c r="C411" s="95">
        <v>4786669.5020000003</v>
      </c>
      <c r="D411" s="95">
        <v>51.057000000000002</v>
      </c>
      <c r="E411" s="91" t="s">
        <v>99</v>
      </c>
    </row>
    <row r="412" spans="1:5" x14ac:dyDescent="0.25">
      <c r="A412" s="94">
        <v>45902</v>
      </c>
      <c r="B412" s="95">
        <v>511607.55599999998</v>
      </c>
      <c r="C412" s="95">
        <v>4786691.9929999998</v>
      </c>
      <c r="D412" s="95">
        <v>51.061999999999998</v>
      </c>
      <c r="E412" s="91" t="s">
        <v>100</v>
      </c>
    </row>
    <row r="413" spans="1:5" x14ac:dyDescent="0.25">
      <c r="A413" s="94">
        <v>45902</v>
      </c>
      <c r="B413" s="95">
        <v>511607.277</v>
      </c>
      <c r="C413" s="95">
        <v>4786692.182</v>
      </c>
      <c r="D413" s="95">
        <v>51.063000000000002</v>
      </c>
      <c r="E413" s="91" t="s">
        <v>101</v>
      </c>
    </row>
    <row r="414" spans="1:5" x14ac:dyDescent="0.25">
      <c r="A414" s="94">
        <v>45902</v>
      </c>
      <c r="B414" s="95">
        <v>511601.12</v>
      </c>
      <c r="C414" s="95">
        <v>4786695.4280000003</v>
      </c>
      <c r="D414" s="95">
        <v>51.042999999999999</v>
      </c>
      <c r="E414" s="91" t="s">
        <v>102</v>
      </c>
    </row>
    <row r="415" spans="1:5" x14ac:dyDescent="0.25">
      <c r="A415" s="94">
        <v>45903</v>
      </c>
      <c r="B415" s="95">
        <v>511615.10200000001</v>
      </c>
      <c r="C415" s="95">
        <v>4786687.9939999999</v>
      </c>
      <c r="D415" s="95">
        <v>51.045000000000002</v>
      </c>
      <c r="E415" s="91" t="s">
        <v>96</v>
      </c>
    </row>
    <row r="416" spans="1:5" x14ac:dyDescent="0.25">
      <c r="A416" s="94">
        <v>45903</v>
      </c>
      <c r="B416" s="95">
        <v>511628.88799999998</v>
      </c>
      <c r="C416" s="95">
        <v>4786680.6550000003</v>
      </c>
      <c r="D416" s="95">
        <v>51.052</v>
      </c>
      <c r="E416" s="91" t="s">
        <v>97</v>
      </c>
    </row>
    <row r="417" spans="1:5" x14ac:dyDescent="0.25">
      <c r="A417" s="94">
        <v>45903</v>
      </c>
      <c r="B417" s="95">
        <v>511642.587</v>
      </c>
      <c r="C417" s="95">
        <v>4786673.3559999997</v>
      </c>
      <c r="D417" s="95">
        <v>51.06</v>
      </c>
      <c r="E417" s="91" t="s">
        <v>98</v>
      </c>
    </row>
    <row r="418" spans="1:5" x14ac:dyDescent="0.25">
      <c r="A418" s="94">
        <v>45903</v>
      </c>
      <c r="B418" s="95">
        <v>511649.70600000001</v>
      </c>
      <c r="C418" s="95">
        <v>4786682.165</v>
      </c>
      <c r="D418" s="95">
        <v>56.186999999999998</v>
      </c>
      <c r="E418" s="91" t="s">
        <v>89</v>
      </c>
    </row>
    <row r="419" spans="1:5" x14ac:dyDescent="0.25">
      <c r="A419" s="94">
        <v>45903</v>
      </c>
      <c r="B419" s="95">
        <v>511630.76500000001</v>
      </c>
      <c r="C419" s="95">
        <v>4786689.8669999996</v>
      </c>
      <c r="D419" s="95">
        <v>55.948</v>
      </c>
      <c r="E419" s="91" t="s">
        <v>90</v>
      </c>
    </row>
    <row r="420" spans="1:5" x14ac:dyDescent="0.25">
      <c r="A420" s="94">
        <v>45903</v>
      </c>
      <c r="B420" s="95">
        <v>511623.43599999999</v>
      </c>
      <c r="C420" s="95">
        <v>4786694.0779999997</v>
      </c>
      <c r="D420" s="95">
        <v>54.78</v>
      </c>
      <c r="E420" s="91" t="s">
        <v>91</v>
      </c>
    </row>
    <row r="421" spans="1:5" x14ac:dyDescent="0.25">
      <c r="A421" s="94">
        <v>45903</v>
      </c>
      <c r="B421" s="95">
        <v>511613.32</v>
      </c>
      <c r="C421" s="95">
        <v>4786695.307</v>
      </c>
      <c r="D421" s="95">
        <v>60.573999999999998</v>
      </c>
      <c r="E421" s="91" t="s">
        <v>92</v>
      </c>
    </row>
    <row r="422" spans="1:5" x14ac:dyDescent="0.25">
      <c r="A422" s="94">
        <v>45903</v>
      </c>
      <c r="B422" s="95">
        <v>511614.75400000002</v>
      </c>
      <c r="C422" s="95">
        <v>4786712.5609999998</v>
      </c>
      <c r="D422" s="95">
        <v>60.817</v>
      </c>
      <c r="E422" s="91" t="s">
        <v>93</v>
      </c>
    </row>
    <row r="423" spans="1:5" x14ac:dyDescent="0.25">
      <c r="A423" s="94">
        <v>45903</v>
      </c>
      <c r="B423" s="95">
        <v>511660.66499999998</v>
      </c>
      <c r="C423" s="95">
        <v>4786683.47</v>
      </c>
      <c r="D423" s="95">
        <v>55.404000000000003</v>
      </c>
      <c r="E423" s="91" t="s">
        <v>94</v>
      </c>
    </row>
    <row r="424" spans="1:5" x14ac:dyDescent="0.25">
      <c r="A424" s="94">
        <v>45903</v>
      </c>
      <c r="B424" s="95">
        <v>511670.87599999999</v>
      </c>
      <c r="C424" s="95">
        <v>4786685.9220000003</v>
      </c>
      <c r="D424" s="95">
        <v>54.820999999999998</v>
      </c>
      <c r="E424" s="91" t="s">
        <v>95</v>
      </c>
    </row>
    <row r="425" spans="1:5" x14ac:dyDescent="0.25">
      <c r="A425" s="94">
        <v>45903</v>
      </c>
      <c r="B425" s="95">
        <v>511649.80200000003</v>
      </c>
      <c r="C425" s="95">
        <v>4786669.5020000003</v>
      </c>
      <c r="D425" s="95">
        <v>51.057000000000002</v>
      </c>
      <c r="E425" s="91" t="s">
        <v>99</v>
      </c>
    </row>
    <row r="426" spans="1:5" x14ac:dyDescent="0.25">
      <c r="A426" s="94">
        <v>45903</v>
      </c>
      <c r="B426" s="95">
        <v>511607.55699999997</v>
      </c>
      <c r="C426" s="95">
        <v>4786691.9919999996</v>
      </c>
      <c r="D426" s="95">
        <v>51.067</v>
      </c>
      <c r="E426" s="91" t="s">
        <v>100</v>
      </c>
    </row>
    <row r="427" spans="1:5" x14ac:dyDescent="0.25">
      <c r="A427" s="94">
        <v>45903</v>
      </c>
      <c r="B427" s="95">
        <v>511607.27600000001</v>
      </c>
      <c r="C427" s="95">
        <v>4786692.1809999999</v>
      </c>
      <c r="D427" s="95">
        <v>51.063000000000002</v>
      </c>
      <c r="E427" s="91" t="s">
        <v>101</v>
      </c>
    </row>
    <row r="428" spans="1:5" x14ac:dyDescent="0.25">
      <c r="A428" s="94">
        <v>45903</v>
      </c>
      <c r="B428" s="95">
        <v>511601.12</v>
      </c>
      <c r="C428" s="95">
        <v>4786695.43</v>
      </c>
      <c r="D428" s="95">
        <v>51.048000000000002</v>
      </c>
      <c r="E428" s="91" t="s">
        <v>102</v>
      </c>
    </row>
    <row r="429" spans="1:5" x14ac:dyDescent="0.25">
      <c r="A429" s="94">
        <v>45904</v>
      </c>
      <c r="B429" s="95">
        <v>511615.10100000002</v>
      </c>
      <c r="C429" s="95">
        <v>4786687.9939999999</v>
      </c>
      <c r="D429" s="95">
        <v>51.045000000000002</v>
      </c>
      <c r="E429" s="91" t="s">
        <v>96</v>
      </c>
    </row>
    <row r="430" spans="1:5" x14ac:dyDescent="0.25">
      <c r="A430" s="94">
        <v>45904</v>
      </c>
      <c r="B430" s="95">
        <v>511628.88699999999</v>
      </c>
      <c r="C430" s="95">
        <v>4786680.6550000003</v>
      </c>
      <c r="D430" s="95">
        <v>51.052</v>
      </c>
      <c r="E430" s="91" t="s">
        <v>97</v>
      </c>
    </row>
    <row r="431" spans="1:5" x14ac:dyDescent="0.25">
      <c r="A431" s="94">
        <v>45904</v>
      </c>
      <c r="B431" s="95">
        <v>511642.587</v>
      </c>
      <c r="C431" s="95">
        <v>4786673.3559999997</v>
      </c>
      <c r="D431" s="95">
        <v>51.058999999999997</v>
      </c>
      <c r="E431" s="91" t="s">
        <v>98</v>
      </c>
    </row>
    <row r="432" spans="1:5" x14ac:dyDescent="0.25">
      <c r="A432" s="94">
        <v>45904</v>
      </c>
      <c r="B432" s="95">
        <v>511649.70500000002</v>
      </c>
      <c r="C432" s="95">
        <v>4786682.1660000002</v>
      </c>
      <c r="D432" s="95">
        <v>56.186</v>
      </c>
      <c r="E432" s="91" t="s">
        <v>89</v>
      </c>
    </row>
    <row r="433" spans="1:5" x14ac:dyDescent="0.25">
      <c r="A433" s="94">
        <v>45904</v>
      </c>
      <c r="B433" s="95">
        <v>511630.76400000002</v>
      </c>
      <c r="C433" s="95">
        <v>4786689.8669999996</v>
      </c>
      <c r="D433" s="95">
        <v>55.947000000000003</v>
      </c>
      <c r="E433" s="91" t="s">
        <v>90</v>
      </c>
    </row>
    <row r="434" spans="1:5" x14ac:dyDescent="0.25">
      <c r="A434" s="94">
        <v>45904</v>
      </c>
      <c r="B434" s="95">
        <v>511623.43599999999</v>
      </c>
      <c r="C434" s="95">
        <v>4786694.0789999999</v>
      </c>
      <c r="D434" s="95">
        <v>54.779000000000003</v>
      </c>
      <c r="E434" s="91" t="s">
        <v>91</v>
      </c>
    </row>
    <row r="435" spans="1:5" x14ac:dyDescent="0.25">
      <c r="A435" s="94">
        <v>45904</v>
      </c>
      <c r="B435" s="95">
        <v>511613.32</v>
      </c>
      <c r="C435" s="95">
        <v>4786695.3080000002</v>
      </c>
      <c r="D435" s="95">
        <v>60.573</v>
      </c>
      <c r="E435" s="91" t="s">
        <v>92</v>
      </c>
    </row>
    <row r="436" spans="1:5" x14ac:dyDescent="0.25">
      <c r="A436" s="94">
        <v>45904</v>
      </c>
      <c r="B436" s="95">
        <v>511614.75400000002</v>
      </c>
      <c r="C436" s="95">
        <v>4786712.5619999999</v>
      </c>
      <c r="D436" s="95">
        <v>60.816000000000003</v>
      </c>
      <c r="E436" s="91" t="s">
        <v>93</v>
      </c>
    </row>
    <row r="437" spans="1:5" x14ac:dyDescent="0.25">
      <c r="A437" s="94">
        <v>45904</v>
      </c>
      <c r="B437" s="95">
        <v>511660.66399999999</v>
      </c>
      <c r="C437" s="95">
        <v>4786683.47</v>
      </c>
      <c r="D437" s="95">
        <v>55.402999999999999</v>
      </c>
      <c r="E437" s="91" t="s">
        <v>94</v>
      </c>
    </row>
    <row r="438" spans="1:5" x14ac:dyDescent="0.25">
      <c r="A438" s="94">
        <v>45904</v>
      </c>
      <c r="B438" s="95">
        <v>511670.87400000001</v>
      </c>
      <c r="C438" s="95">
        <v>4786685.9210000001</v>
      </c>
      <c r="D438" s="95">
        <v>54.819000000000003</v>
      </c>
      <c r="E438" s="91" t="s">
        <v>95</v>
      </c>
    </row>
    <row r="439" spans="1:5" x14ac:dyDescent="0.25">
      <c r="A439" s="94">
        <v>45904</v>
      </c>
      <c r="B439" s="95">
        <v>511649.80300000001</v>
      </c>
      <c r="C439" s="95">
        <v>4786669.5010000002</v>
      </c>
      <c r="D439" s="95">
        <v>51.061999999999998</v>
      </c>
      <c r="E439" s="91" t="s">
        <v>99</v>
      </c>
    </row>
    <row r="440" spans="1:5" x14ac:dyDescent="0.25">
      <c r="A440" s="94">
        <v>45904</v>
      </c>
      <c r="B440" s="95">
        <v>511607.55599999998</v>
      </c>
      <c r="C440" s="95">
        <v>4786691.9910000004</v>
      </c>
      <c r="D440" s="95">
        <v>51.066000000000003</v>
      </c>
      <c r="E440" s="91" t="s">
        <v>100</v>
      </c>
    </row>
    <row r="441" spans="1:5" x14ac:dyDescent="0.25">
      <c r="A441" s="94">
        <v>45904</v>
      </c>
      <c r="B441" s="95">
        <v>511607.27399999998</v>
      </c>
      <c r="C441" s="95">
        <v>4786692.1859999998</v>
      </c>
      <c r="D441" s="95">
        <v>51.066000000000003</v>
      </c>
      <c r="E441" s="91" t="s">
        <v>101</v>
      </c>
    </row>
    <row r="442" spans="1:5" x14ac:dyDescent="0.25">
      <c r="A442" s="94">
        <v>45904</v>
      </c>
      <c r="B442" s="95">
        <v>511601.11900000001</v>
      </c>
      <c r="C442" s="95">
        <v>4786695.43</v>
      </c>
      <c r="D442" s="95">
        <v>51.046999999999997</v>
      </c>
      <c r="E442" s="91" t="s">
        <v>102</v>
      </c>
    </row>
    <row r="443" spans="1:5" x14ac:dyDescent="0.25">
      <c r="A443" s="94">
        <v>45905</v>
      </c>
      <c r="B443" s="95">
        <v>511615.10200000001</v>
      </c>
      <c r="C443" s="95">
        <v>4786687.9939999999</v>
      </c>
      <c r="D443" s="95">
        <v>51.043999999999997</v>
      </c>
      <c r="E443" s="91" t="s">
        <v>96</v>
      </c>
    </row>
    <row r="444" spans="1:5" x14ac:dyDescent="0.25">
      <c r="A444" s="94">
        <v>45905</v>
      </c>
      <c r="B444" s="95">
        <v>511628.88699999999</v>
      </c>
      <c r="C444" s="95">
        <v>4786680.6540000001</v>
      </c>
      <c r="D444" s="95">
        <v>51.051000000000002</v>
      </c>
      <c r="E444" s="91" t="s">
        <v>97</v>
      </c>
    </row>
    <row r="445" spans="1:5" x14ac:dyDescent="0.25">
      <c r="A445" s="94">
        <v>45905</v>
      </c>
      <c r="B445" s="95">
        <v>511642.58799999999</v>
      </c>
      <c r="C445" s="95">
        <v>4786673.3569999998</v>
      </c>
      <c r="D445" s="95">
        <v>51.058</v>
      </c>
      <c r="E445" s="91" t="s">
        <v>98</v>
      </c>
    </row>
    <row r="446" spans="1:5" x14ac:dyDescent="0.25">
      <c r="A446" s="94">
        <v>45905</v>
      </c>
      <c r="B446" s="95">
        <v>511649.70600000001</v>
      </c>
      <c r="C446" s="95">
        <v>4786682.165</v>
      </c>
      <c r="D446" s="95">
        <v>56.185000000000002</v>
      </c>
      <c r="E446" s="91" t="s">
        <v>89</v>
      </c>
    </row>
    <row r="447" spans="1:5" x14ac:dyDescent="0.25">
      <c r="A447" s="94">
        <v>45905</v>
      </c>
      <c r="B447" s="95">
        <v>511630.76500000001</v>
      </c>
      <c r="C447" s="95">
        <v>4786689.8660000004</v>
      </c>
      <c r="D447" s="95">
        <v>55.947000000000003</v>
      </c>
      <c r="E447" s="91" t="s">
        <v>90</v>
      </c>
    </row>
    <row r="448" spans="1:5" x14ac:dyDescent="0.25">
      <c r="A448" s="94">
        <v>45905</v>
      </c>
      <c r="B448" s="95">
        <v>511623.43699999998</v>
      </c>
      <c r="C448" s="95">
        <v>4786694.0779999997</v>
      </c>
      <c r="D448" s="95">
        <v>54.777999999999999</v>
      </c>
      <c r="E448" s="91" t="s">
        <v>91</v>
      </c>
    </row>
    <row r="449" spans="1:5" x14ac:dyDescent="0.25">
      <c r="A449" s="94">
        <v>45905</v>
      </c>
      <c r="B449" s="95">
        <v>511613.321</v>
      </c>
      <c r="C449" s="95">
        <v>4786695.307</v>
      </c>
      <c r="D449" s="95">
        <v>60.573</v>
      </c>
      <c r="E449" s="91" t="s">
        <v>92</v>
      </c>
    </row>
    <row r="450" spans="1:5" x14ac:dyDescent="0.25">
      <c r="A450" s="94">
        <v>45905</v>
      </c>
      <c r="B450" s="95">
        <v>511614.755</v>
      </c>
      <c r="C450" s="95">
        <v>4786712.5609999998</v>
      </c>
      <c r="D450" s="95">
        <v>60.816000000000003</v>
      </c>
      <c r="E450" s="91" t="s">
        <v>93</v>
      </c>
    </row>
    <row r="451" spans="1:5" x14ac:dyDescent="0.25">
      <c r="A451" s="94">
        <v>45905</v>
      </c>
      <c r="B451" s="95">
        <v>511660.66499999998</v>
      </c>
      <c r="C451" s="95">
        <v>4786683.4689999996</v>
      </c>
      <c r="D451" s="95">
        <v>55.401000000000003</v>
      </c>
      <c r="E451" s="91" t="s">
        <v>94</v>
      </c>
    </row>
    <row r="452" spans="1:5" x14ac:dyDescent="0.25">
      <c r="A452" s="94">
        <v>45905</v>
      </c>
      <c r="B452" s="95">
        <v>511670.875</v>
      </c>
      <c r="C452" s="95">
        <v>4786685.9220000003</v>
      </c>
      <c r="D452" s="95">
        <v>54.820999999999998</v>
      </c>
      <c r="E452" s="91" t="s">
        <v>95</v>
      </c>
    </row>
    <row r="453" spans="1:5" x14ac:dyDescent="0.25">
      <c r="A453" s="94">
        <v>45905</v>
      </c>
      <c r="B453" s="95">
        <v>511649.80200000003</v>
      </c>
      <c r="C453" s="95">
        <v>4786669.4989999998</v>
      </c>
      <c r="D453" s="95">
        <v>51.061999999999998</v>
      </c>
      <c r="E453" s="91" t="s">
        <v>99</v>
      </c>
    </row>
    <row r="454" spans="1:5" x14ac:dyDescent="0.25">
      <c r="A454" s="94">
        <v>45905</v>
      </c>
      <c r="B454" s="95">
        <v>511607.55800000002</v>
      </c>
      <c r="C454" s="95">
        <v>4786691.9919999996</v>
      </c>
      <c r="D454" s="95">
        <v>51.064999999999998</v>
      </c>
      <c r="E454" s="91" t="s">
        <v>100</v>
      </c>
    </row>
    <row r="455" spans="1:5" x14ac:dyDescent="0.25">
      <c r="A455" s="94">
        <v>45905</v>
      </c>
      <c r="B455" s="95">
        <v>511607.27399999998</v>
      </c>
      <c r="C455" s="95">
        <v>4786692.1869999999</v>
      </c>
      <c r="D455" s="95">
        <v>51.066000000000003</v>
      </c>
      <c r="E455" s="91" t="s">
        <v>101</v>
      </c>
    </row>
    <row r="456" spans="1:5" x14ac:dyDescent="0.25">
      <c r="A456" s="94">
        <v>45905</v>
      </c>
      <c r="B456" s="95">
        <v>511601.12</v>
      </c>
      <c r="C456" s="95">
        <v>4786695.43</v>
      </c>
      <c r="D456" s="95">
        <v>51.046999999999997</v>
      </c>
      <c r="E456" s="91" t="s">
        <v>102</v>
      </c>
    </row>
    <row r="457" spans="1:5" x14ac:dyDescent="0.25">
      <c r="A457" s="94">
        <v>45908</v>
      </c>
      <c r="B457" s="95">
        <v>511615.10100000002</v>
      </c>
      <c r="C457" s="95">
        <v>4786687.9929999998</v>
      </c>
      <c r="D457" s="95">
        <v>51.043999999999997</v>
      </c>
      <c r="E457" s="91" t="s">
        <v>96</v>
      </c>
    </row>
    <row r="458" spans="1:5" x14ac:dyDescent="0.25">
      <c r="A458" s="94">
        <v>45908</v>
      </c>
      <c r="B458" s="95">
        <v>511642.587</v>
      </c>
      <c r="C458" s="95">
        <v>4786673.3569999998</v>
      </c>
      <c r="D458" s="95">
        <v>51.057000000000002</v>
      </c>
      <c r="E458" s="91" t="s">
        <v>98</v>
      </c>
    </row>
    <row r="459" spans="1:5" x14ac:dyDescent="0.25">
      <c r="A459" s="94">
        <v>45908</v>
      </c>
      <c r="B459" s="95">
        <v>511649.70500000002</v>
      </c>
      <c r="C459" s="95">
        <v>4786682.165</v>
      </c>
      <c r="D459" s="95">
        <v>56.183999999999997</v>
      </c>
      <c r="E459" s="91" t="s">
        <v>89</v>
      </c>
    </row>
    <row r="460" spans="1:5" x14ac:dyDescent="0.25">
      <c r="A460" s="94">
        <v>45908</v>
      </c>
      <c r="B460" s="95">
        <v>511630.76400000002</v>
      </c>
      <c r="C460" s="95">
        <v>4786689.8669999996</v>
      </c>
      <c r="D460" s="95">
        <v>55.945</v>
      </c>
      <c r="E460" s="91" t="s">
        <v>90</v>
      </c>
    </row>
    <row r="461" spans="1:5" x14ac:dyDescent="0.25">
      <c r="A461" s="94">
        <v>45908</v>
      </c>
      <c r="B461" s="95">
        <v>511623.43599999999</v>
      </c>
      <c r="C461" s="95">
        <v>4786694.0779999997</v>
      </c>
      <c r="D461" s="95">
        <v>54.777000000000001</v>
      </c>
      <c r="E461" s="91" t="s">
        <v>91</v>
      </c>
    </row>
    <row r="462" spans="1:5" x14ac:dyDescent="0.25">
      <c r="A462" s="94">
        <v>45908</v>
      </c>
      <c r="B462" s="95">
        <v>511613.32</v>
      </c>
      <c r="C462" s="95">
        <v>4786695.3080000002</v>
      </c>
      <c r="D462" s="95">
        <v>60.572000000000003</v>
      </c>
      <c r="E462" s="91" t="s">
        <v>92</v>
      </c>
    </row>
    <row r="463" spans="1:5" x14ac:dyDescent="0.25">
      <c r="A463" s="94">
        <v>45908</v>
      </c>
      <c r="B463" s="95">
        <v>511614.75400000002</v>
      </c>
      <c r="C463" s="95">
        <v>4786712.5619999999</v>
      </c>
      <c r="D463" s="95">
        <v>60.814</v>
      </c>
      <c r="E463" s="91" t="s">
        <v>93</v>
      </c>
    </row>
    <row r="464" spans="1:5" x14ac:dyDescent="0.25">
      <c r="A464" s="94">
        <v>45908</v>
      </c>
      <c r="B464" s="95">
        <v>511660.66399999999</v>
      </c>
      <c r="C464" s="95">
        <v>4786683.47</v>
      </c>
      <c r="D464" s="95">
        <v>55.401000000000003</v>
      </c>
      <c r="E464" s="91" t="s">
        <v>94</v>
      </c>
    </row>
    <row r="465" spans="1:5" x14ac:dyDescent="0.25">
      <c r="A465" s="94">
        <v>45908</v>
      </c>
      <c r="B465" s="95">
        <v>511670.87400000001</v>
      </c>
      <c r="C465" s="95">
        <v>4786685.9210000001</v>
      </c>
      <c r="D465" s="95">
        <v>54.820999999999998</v>
      </c>
      <c r="E465" s="91" t="s">
        <v>95</v>
      </c>
    </row>
    <row r="466" spans="1:5" x14ac:dyDescent="0.25">
      <c r="A466" s="94">
        <v>45908</v>
      </c>
      <c r="B466" s="95">
        <v>511649.80200000003</v>
      </c>
      <c r="C466" s="95">
        <v>4786669.5020000003</v>
      </c>
      <c r="D466" s="95">
        <v>51.057000000000002</v>
      </c>
      <c r="E466" s="91" t="s">
        <v>99</v>
      </c>
    </row>
    <row r="467" spans="1:5" x14ac:dyDescent="0.25">
      <c r="A467" s="94">
        <v>45908</v>
      </c>
      <c r="B467" s="95">
        <v>511607.55599999998</v>
      </c>
      <c r="C467" s="95">
        <v>4786691.9929999998</v>
      </c>
      <c r="D467" s="95">
        <v>51.061999999999998</v>
      </c>
      <c r="E467" s="91" t="s">
        <v>100</v>
      </c>
    </row>
    <row r="468" spans="1:5" x14ac:dyDescent="0.25">
      <c r="A468" s="94">
        <v>45908</v>
      </c>
      <c r="B468" s="95">
        <v>511607.277</v>
      </c>
      <c r="C468" s="95">
        <v>4786692.182</v>
      </c>
      <c r="D468" s="95">
        <v>51.063000000000002</v>
      </c>
      <c r="E468" s="91" t="s">
        <v>101</v>
      </c>
    </row>
    <row r="469" spans="1:5" x14ac:dyDescent="0.25">
      <c r="A469" s="94">
        <v>45908</v>
      </c>
      <c r="B469" s="95">
        <v>511601.12099999998</v>
      </c>
      <c r="C469" s="95">
        <v>4786695.4289999995</v>
      </c>
      <c r="D469" s="95">
        <v>51.042999999999999</v>
      </c>
      <c r="E469" s="91" t="s">
        <v>102</v>
      </c>
    </row>
    <row r="470" spans="1:5" x14ac:dyDescent="0.25">
      <c r="A470" s="94">
        <v>45909</v>
      </c>
      <c r="B470" s="95">
        <v>511615.1</v>
      </c>
      <c r="C470" s="95">
        <v>4786687.9939999999</v>
      </c>
      <c r="D470" s="95">
        <v>51.043999999999997</v>
      </c>
      <c r="E470" s="91" t="s">
        <v>96</v>
      </c>
    </row>
    <row r="471" spans="1:5" x14ac:dyDescent="0.25">
      <c r="A471" s="94">
        <v>45909</v>
      </c>
      <c r="B471" s="95">
        <v>511628.88699999999</v>
      </c>
      <c r="C471" s="95">
        <v>4786680.6560000004</v>
      </c>
      <c r="D471" s="95">
        <v>51.05</v>
      </c>
      <c r="E471" s="91" t="s">
        <v>97</v>
      </c>
    </row>
    <row r="472" spans="1:5" x14ac:dyDescent="0.25">
      <c r="A472" s="94">
        <v>45909</v>
      </c>
      <c r="B472" s="95">
        <v>511642.587</v>
      </c>
      <c r="C472" s="95">
        <v>4786673.358</v>
      </c>
      <c r="D472" s="95">
        <v>51.058</v>
      </c>
      <c r="E472" s="91" t="s">
        <v>98</v>
      </c>
    </row>
    <row r="473" spans="1:5" x14ac:dyDescent="0.25">
      <c r="A473" s="94">
        <v>45909</v>
      </c>
      <c r="B473" s="95">
        <v>511649.70600000001</v>
      </c>
      <c r="C473" s="95">
        <v>4786682.1660000002</v>
      </c>
      <c r="D473" s="95">
        <v>56.185000000000002</v>
      </c>
      <c r="E473" s="91" t="s">
        <v>89</v>
      </c>
    </row>
    <row r="474" spans="1:5" x14ac:dyDescent="0.25">
      <c r="A474" s="94">
        <v>45909</v>
      </c>
      <c r="B474" s="95">
        <v>511630.76500000001</v>
      </c>
      <c r="C474" s="95">
        <v>4786689.8679999998</v>
      </c>
      <c r="D474" s="95">
        <v>55.945999999999998</v>
      </c>
      <c r="E474" s="91" t="s">
        <v>90</v>
      </c>
    </row>
    <row r="475" spans="1:5" x14ac:dyDescent="0.25">
      <c r="A475" s="94">
        <v>45909</v>
      </c>
      <c r="B475" s="95">
        <v>511623.435</v>
      </c>
      <c r="C475" s="95">
        <v>4786694.0789999999</v>
      </c>
      <c r="D475" s="95">
        <v>54.777999999999999</v>
      </c>
      <c r="E475" s="91" t="s">
        <v>91</v>
      </c>
    </row>
    <row r="476" spans="1:5" x14ac:dyDescent="0.25">
      <c r="A476" s="94">
        <v>45909</v>
      </c>
      <c r="B476" s="95">
        <v>511613.32</v>
      </c>
      <c r="C476" s="95">
        <v>4786695.3080000002</v>
      </c>
      <c r="D476" s="95">
        <v>60.572000000000003</v>
      </c>
      <c r="E476" s="91" t="s">
        <v>92</v>
      </c>
    </row>
    <row r="477" spans="1:5" x14ac:dyDescent="0.25">
      <c r="A477" s="94">
        <v>45909</v>
      </c>
      <c r="B477" s="95">
        <v>511614.75400000002</v>
      </c>
      <c r="C477" s="95">
        <v>4786712.5609999998</v>
      </c>
      <c r="D477" s="95">
        <v>60.814</v>
      </c>
      <c r="E477" s="91" t="s">
        <v>93</v>
      </c>
    </row>
    <row r="478" spans="1:5" x14ac:dyDescent="0.25">
      <c r="A478" s="94">
        <v>45909</v>
      </c>
      <c r="B478" s="95">
        <v>511660.66499999998</v>
      </c>
      <c r="C478" s="95">
        <v>4786683.4709999999</v>
      </c>
      <c r="D478" s="95">
        <v>55.401000000000003</v>
      </c>
      <c r="E478" s="91" t="s">
        <v>94</v>
      </c>
    </row>
    <row r="479" spans="1:5" x14ac:dyDescent="0.25">
      <c r="A479" s="94">
        <v>45909</v>
      </c>
      <c r="B479" s="95">
        <v>511670.87599999999</v>
      </c>
      <c r="C479" s="95">
        <v>4786685.9220000003</v>
      </c>
      <c r="D479" s="95">
        <v>54.820999999999998</v>
      </c>
      <c r="E479" s="91" t="s">
        <v>95</v>
      </c>
    </row>
    <row r="480" spans="1:5" x14ac:dyDescent="0.25">
      <c r="A480" s="94">
        <v>45909</v>
      </c>
      <c r="B480" s="95">
        <v>511649.80300000001</v>
      </c>
      <c r="C480" s="95">
        <v>4786669.5020000003</v>
      </c>
      <c r="D480" s="95">
        <v>51.057000000000002</v>
      </c>
      <c r="E480" s="91" t="s">
        <v>99</v>
      </c>
    </row>
    <row r="481" spans="1:5" x14ac:dyDescent="0.25">
      <c r="A481" s="94">
        <v>45909</v>
      </c>
      <c r="B481" s="95">
        <v>511607.55699999997</v>
      </c>
      <c r="C481" s="95">
        <v>4786691.9929999998</v>
      </c>
      <c r="D481" s="95">
        <v>51.061999999999998</v>
      </c>
      <c r="E481" s="91" t="s">
        <v>100</v>
      </c>
    </row>
    <row r="482" spans="1:5" x14ac:dyDescent="0.25">
      <c r="A482" s="94">
        <v>45909</v>
      </c>
      <c r="B482" s="95">
        <v>511607.277</v>
      </c>
      <c r="C482" s="95">
        <v>4786692.1809999999</v>
      </c>
      <c r="D482" s="95">
        <v>51.063000000000002</v>
      </c>
      <c r="E482" s="91" t="s">
        <v>101</v>
      </c>
    </row>
    <row r="483" spans="1:5" x14ac:dyDescent="0.25">
      <c r="A483" s="94">
        <v>45909</v>
      </c>
      <c r="B483" s="95">
        <v>511601.12099999998</v>
      </c>
      <c r="C483" s="95">
        <v>4786695.4289999995</v>
      </c>
      <c r="D483" s="95">
        <v>51.042999999999999</v>
      </c>
      <c r="E483" s="91" t="s">
        <v>102</v>
      </c>
    </row>
    <row r="484" spans="1:5" x14ac:dyDescent="0.25">
      <c r="A484" s="94">
        <v>45910</v>
      </c>
      <c r="B484" s="95">
        <v>511615.10200000001</v>
      </c>
      <c r="C484" s="95">
        <v>4786687.9939999999</v>
      </c>
      <c r="D484" s="95">
        <v>51.042999999999999</v>
      </c>
      <c r="E484" s="91" t="s">
        <v>96</v>
      </c>
    </row>
    <row r="485" spans="1:5" x14ac:dyDescent="0.25">
      <c r="A485" s="94">
        <v>45910</v>
      </c>
      <c r="B485" s="95">
        <v>511628.88799999998</v>
      </c>
      <c r="C485" s="95">
        <v>4786680.6560000004</v>
      </c>
      <c r="D485" s="95">
        <v>51.05</v>
      </c>
      <c r="E485" s="91" t="s">
        <v>97</v>
      </c>
    </row>
    <row r="486" spans="1:5" x14ac:dyDescent="0.25">
      <c r="A486" s="94">
        <v>45910</v>
      </c>
      <c r="B486" s="95">
        <v>511642.58799999999</v>
      </c>
      <c r="C486" s="95">
        <v>4786673.3569999998</v>
      </c>
      <c r="D486" s="95">
        <v>51.057000000000002</v>
      </c>
      <c r="E486" s="91" t="s">
        <v>98</v>
      </c>
    </row>
    <row r="487" spans="1:5" x14ac:dyDescent="0.25">
      <c r="A487" s="94">
        <v>45910</v>
      </c>
      <c r="B487" s="95">
        <v>511649.70600000001</v>
      </c>
      <c r="C487" s="95">
        <v>4786682.1660000002</v>
      </c>
      <c r="D487" s="95">
        <v>56.183999999999997</v>
      </c>
      <c r="E487" s="91" t="s">
        <v>89</v>
      </c>
    </row>
    <row r="488" spans="1:5" x14ac:dyDescent="0.25">
      <c r="A488" s="94">
        <v>45910</v>
      </c>
      <c r="B488" s="95">
        <v>511630.76500000001</v>
      </c>
      <c r="C488" s="95">
        <v>4786689.8679999998</v>
      </c>
      <c r="D488" s="95">
        <v>55.945</v>
      </c>
      <c r="E488" s="91" t="s">
        <v>90</v>
      </c>
    </row>
    <row r="489" spans="1:5" x14ac:dyDescent="0.25">
      <c r="A489" s="94">
        <v>45910</v>
      </c>
      <c r="B489" s="95">
        <v>511623.43599999999</v>
      </c>
      <c r="C489" s="95">
        <v>4786694.0789999999</v>
      </c>
      <c r="D489" s="95">
        <v>54.777000000000001</v>
      </c>
      <c r="E489" s="91" t="s">
        <v>91</v>
      </c>
    </row>
    <row r="490" spans="1:5" x14ac:dyDescent="0.25">
      <c r="A490" s="94">
        <v>45910</v>
      </c>
      <c r="B490" s="95">
        <v>511613.321</v>
      </c>
      <c r="C490" s="95">
        <v>4786695.3090000004</v>
      </c>
      <c r="D490" s="95">
        <v>60.570999999999998</v>
      </c>
      <c r="E490" s="91" t="s">
        <v>92</v>
      </c>
    </row>
    <row r="491" spans="1:5" x14ac:dyDescent="0.25">
      <c r="A491" s="94">
        <v>45910</v>
      </c>
      <c r="B491" s="95">
        <v>511614.755</v>
      </c>
      <c r="C491" s="95">
        <v>4786712.5630000001</v>
      </c>
      <c r="D491" s="95">
        <v>60.814</v>
      </c>
      <c r="E491" s="91" t="s">
        <v>93</v>
      </c>
    </row>
    <row r="492" spans="1:5" x14ac:dyDescent="0.25">
      <c r="A492" s="94">
        <v>45910</v>
      </c>
      <c r="B492" s="95">
        <v>511660.66399999999</v>
      </c>
      <c r="C492" s="95">
        <v>4786683.47</v>
      </c>
      <c r="D492" s="95">
        <v>55.4</v>
      </c>
      <c r="E492" s="91" t="s">
        <v>94</v>
      </c>
    </row>
    <row r="493" spans="1:5" x14ac:dyDescent="0.25">
      <c r="A493" s="94">
        <v>45910</v>
      </c>
      <c r="B493" s="95">
        <v>511670.87599999999</v>
      </c>
      <c r="C493" s="95">
        <v>4786685.9220000003</v>
      </c>
      <c r="D493" s="95">
        <v>54.820999999999998</v>
      </c>
      <c r="E493" s="91" t="s">
        <v>95</v>
      </c>
    </row>
    <row r="494" spans="1:5" x14ac:dyDescent="0.25">
      <c r="A494" s="94">
        <v>45910</v>
      </c>
      <c r="B494" s="95">
        <v>511649.80200000003</v>
      </c>
      <c r="C494" s="95">
        <v>4786669.5020000003</v>
      </c>
      <c r="D494" s="95">
        <v>51.057000000000002</v>
      </c>
      <c r="E494" s="91" t="s">
        <v>99</v>
      </c>
    </row>
    <row r="495" spans="1:5" x14ac:dyDescent="0.25">
      <c r="A495" s="94">
        <v>45910</v>
      </c>
      <c r="B495" s="95">
        <v>511607.55699999997</v>
      </c>
      <c r="C495" s="95">
        <v>4786691.9939999999</v>
      </c>
      <c r="D495" s="95">
        <v>51.061999999999998</v>
      </c>
      <c r="E495" s="91" t="s">
        <v>100</v>
      </c>
    </row>
    <row r="496" spans="1:5" x14ac:dyDescent="0.25">
      <c r="A496" s="94">
        <v>45910</v>
      </c>
      <c r="B496" s="95">
        <v>511607.277</v>
      </c>
      <c r="C496" s="95">
        <v>4786692.1809999999</v>
      </c>
      <c r="D496" s="95">
        <v>51.063000000000002</v>
      </c>
      <c r="E496" s="91" t="s">
        <v>101</v>
      </c>
    </row>
    <row r="497" spans="1:5" x14ac:dyDescent="0.25">
      <c r="A497" s="94">
        <v>45910</v>
      </c>
      <c r="B497" s="95">
        <v>511601.12099999998</v>
      </c>
      <c r="C497" s="95">
        <v>4786695.4289999995</v>
      </c>
      <c r="D497" s="95">
        <v>51.042999999999999</v>
      </c>
      <c r="E497" s="91" t="s">
        <v>102</v>
      </c>
    </row>
    <row r="498" spans="1:5" x14ac:dyDescent="0.25">
      <c r="A498" s="94">
        <v>45911</v>
      </c>
      <c r="B498" s="95">
        <v>511615.10200000001</v>
      </c>
      <c r="C498" s="95">
        <v>4786687.9939999999</v>
      </c>
      <c r="D498" s="95">
        <v>51.042999999999999</v>
      </c>
      <c r="E498" s="91" t="s">
        <v>96</v>
      </c>
    </row>
    <row r="499" spans="1:5" x14ac:dyDescent="0.25">
      <c r="A499" s="94">
        <v>45911</v>
      </c>
      <c r="B499" s="95">
        <v>511628.88699999999</v>
      </c>
      <c r="C499" s="95">
        <v>4786680.6560000004</v>
      </c>
      <c r="D499" s="95">
        <v>51.05</v>
      </c>
      <c r="E499" s="91" t="s">
        <v>97</v>
      </c>
    </row>
    <row r="500" spans="1:5" x14ac:dyDescent="0.25">
      <c r="A500" s="94">
        <v>45911</v>
      </c>
      <c r="B500" s="95">
        <v>511642.58600000001</v>
      </c>
      <c r="C500" s="95">
        <v>4786673.3569999998</v>
      </c>
      <c r="D500" s="95">
        <v>51.057000000000002</v>
      </c>
      <c r="E500" s="91" t="s">
        <v>98</v>
      </c>
    </row>
    <row r="501" spans="1:5" x14ac:dyDescent="0.25">
      <c r="A501" s="94">
        <v>45911</v>
      </c>
      <c r="B501" s="95">
        <v>511649.70600000001</v>
      </c>
      <c r="C501" s="95">
        <v>4786682.1660000002</v>
      </c>
      <c r="D501" s="95">
        <v>56.183999999999997</v>
      </c>
      <c r="E501" s="91" t="s">
        <v>89</v>
      </c>
    </row>
    <row r="502" spans="1:5" x14ac:dyDescent="0.25">
      <c r="A502" s="94">
        <v>45911</v>
      </c>
      <c r="B502" s="95">
        <v>511630.76500000001</v>
      </c>
      <c r="C502" s="95">
        <v>4786689.8679999998</v>
      </c>
      <c r="D502" s="95">
        <v>55.945999999999998</v>
      </c>
      <c r="E502" s="91" t="s">
        <v>90</v>
      </c>
    </row>
    <row r="503" spans="1:5" x14ac:dyDescent="0.25">
      <c r="A503" s="94">
        <v>45911</v>
      </c>
      <c r="B503" s="95">
        <v>511623.43699999998</v>
      </c>
      <c r="C503" s="95">
        <v>4786694.0779999997</v>
      </c>
      <c r="D503" s="95">
        <v>54.777000000000001</v>
      </c>
      <c r="E503" s="91" t="s">
        <v>91</v>
      </c>
    </row>
    <row r="504" spans="1:5" x14ac:dyDescent="0.25">
      <c r="A504" s="94">
        <v>45911</v>
      </c>
      <c r="B504" s="95">
        <v>511613.321</v>
      </c>
      <c r="C504" s="95">
        <v>4786695.307</v>
      </c>
      <c r="D504" s="95">
        <v>60.572000000000003</v>
      </c>
      <c r="E504" s="91" t="s">
        <v>92</v>
      </c>
    </row>
    <row r="505" spans="1:5" x14ac:dyDescent="0.25">
      <c r="A505" s="94">
        <v>45911</v>
      </c>
      <c r="B505" s="95">
        <v>511614.75699999998</v>
      </c>
      <c r="C505" s="95">
        <v>4786712.5630000001</v>
      </c>
      <c r="D505" s="95">
        <v>60.814999999999998</v>
      </c>
      <c r="E505" s="91" t="s">
        <v>93</v>
      </c>
    </row>
    <row r="506" spans="1:5" x14ac:dyDescent="0.25">
      <c r="A506" s="94">
        <v>45911</v>
      </c>
      <c r="B506" s="95">
        <v>511660.66499999998</v>
      </c>
      <c r="C506" s="95">
        <v>4786683.4689999996</v>
      </c>
      <c r="D506" s="95">
        <v>55.401000000000003</v>
      </c>
      <c r="E506" s="91" t="s">
        <v>94</v>
      </c>
    </row>
    <row r="507" spans="1:5" x14ac:dyDescent="0.25">
      <c r="A507" s="94">
        <v>45911</v>
      </c>
      <c r="B507" s="95">
        <v>511670.875</v>
      </c>
      <c r="C507" s="95">
        <v>4786685.9220000003</v>
      </c>
      <c r="D507" s="95">
        <v>54.820999999999998</v>
      </c>
      <c r="E507" s="91" t="s">
        <v>95</v>
      </c>
    </row>
    <row r="508" spans="1:5" x14ac:dyDescent="0.25">
      <c r="A508" s="94">
        <v>45911</v>
      </c>
      <c r="B508" s="95">
        <v>511649.80099999998</v>
      </c>
      <c r="C508" s="95">
        <v>4786669.5020000003</v>
      </c>
      <c r="D508" s="95">
        <v>51.057000000000002</v>
      </c>
      <c r="E508" s="91" t="s">
        <v>99</v>
      </c>
    </row>
    <row r="509" spans="1:5" x14ac:dyDescent="0.25">
      <c r="A509" s="94">
        <v>45911</v>
      </c>
      <c r="B509" s="95">
        <v>511607.55599999998</v>
      </c>
      <c r="C509" s="95">
        <v>4786691.9929999998</v>
      </c>
      <c r="D509" s="95">
        <v>51.061999999999998</v>
      </c>
      <c r="E509" s="91" t="s">
        <v>100</v>
      </c>
    </row>
    <row r="510" spans="1:5" x14ac:dyDescent="0.25">
      <c r="A510" s="94">
        <v>45911</v>
      </c>
      <c r="B510" s="95">
        <v>511607.277</v>
      </c>
      <c r="C510" s="95">
        <v>4786692.1809999999</v>
      </c>
      <c r="D510" s="95">
        <v>51.063000000000002</v>
      </c>
      <c r="E510" s="91" t="s">
        <v>101</v>
      </c>
    </row>
    <row r="511" spans="1:5" x14ac:dyDescent="0.25">
      <c r="A511" s="94">
        <v>45911</v>
      </c>
      <c r="B511" s="95">
        <v>511601.12099999998</v>
      </c>
      <c r="C511" s="95">
        <v>4786695.4289999995</v>
      </c>
      <c r="D511" s="95">
        <v>51.042999999999999</v>
      </c>
      <c r="E511" s="91" t="s">
        <v>102</v>
      </c>
    </row>
    <row r="512" spans="1:5" x14ac:dyDescent="0.25">
      <c r="A512" s="94">
        <v>45912</v>
      </c>
      <c r="B512" s="95">
        <v>511615.10200000001</v>
      </c>
      <c r="C512" s="95">
        <v>4786687.9950000001</v>
      </c>
      <c r="D512" s="95">
        <v>51.043999999999997</v>
      </c>
      <c r="E512" s="91" t="s">
        <v>96</v>
      </c>
    </row>
    <row r="513" spans="1:5" x14ac:dyDescent="0.25">
      <c r="A513" s="94">
        <v>45912</v>
      </c>
      <c r="B513" s="95">
        <v>511628.88799999998</v>
      </c>
      <c r="C513" s="95">
        <v>4786680.6560000004</v>
      </c>
      <c r="D513" s="95">
        <v>51.051000000000002</v>
      </c>
      <c r="E513" s="91" t="s">
        <v>97</v>
      </c>
    </row>
    <row r="514" spans="1:5" x14ac:dyDescent="0.25">
      <c r="A514" s="94">
        <v>45912</v>
      </c>
      <c r="B514" s="95">
        <v>511642.587</v>
      </c>
      <c r="C514" s="95">
        <v>4786673.3569999998</v>
      </c>
      <c r="D514" s="95">
        <v>51.058</v>
      </c>
      <c r="E514" s="91" t="s">
        <v>98</v>
      </c>
    </row>
    <row r="515" spans="1:5" x14ac:dyDescent="0.25">
      <c r="A515" s="94">
        <v>45912</v>
      </c>
      <c r="B515" s="95">
        <v>511649.70500000002</v>
      </c>
      <c r="C515" s="95">
        <v>4786682.165</v>
      </c>
      <c r="D515" s="95">
        <v>56.185000000000002</v>
      </c>
      <c r="E515" s="91" t="s">
        <v>89</v>
      </c>
    </row>
    <row r="516" spans="1:5" x14ac:dyDescent="0.25">
      <c r="A516" s="94">
        <v>45912</v>
      </c>
      <c r="B516" s="95">
        <v>511630.76500000001</v>
      </c>
      <c r="C516" s="95">
        <v>4786689.8669999996</v>
      </c>
      <c r="D516" s="95">
        <v>55.945999999999998</v>
      </c>
      <c r="E516" s="91" t="s">
        <v>90</v>
      </c>
    </row>
    <row r="517" spans="1:5" x14ac:dyDescent="0.25">
      <c r="A517" s="94">
        <v>45912</v>
      </c>
      <c r="B517" s="95">
        <v>511623.43699999998</v>
      </c>
      <c r="C517" s="95">
        <v>4786694.0789999999</v>
      </c>
      <c r="D517" s="95">
        <v>54.777999999999999</v>
      </c>
      <c r="E517" s="91" t="s">
        <v>91</v>
      </c>
    </row>
    <row r="518" spans="1:5" x14ac:dyDescent="0.25">
      <c r="A518" s="94">
        <v>45912</v>
      </c>
      <c r="B518" s="95">
        <v>511613.321</v>
      </c>
      <c r="C518" s="95">
        <v>4786695.3080000002</v>
      </c>
      <c r="D518" s="95">
        <v>60.572000000000003</v>
      </c>
      <c r="E518" s="91" t="s">
        <v>92</v>
      </c>
    </row>
    <row r="519" spans="1:5" x14ac:dyDescent="0.25">
      <c r="A519" s="94">
        <v>45912</v>
      </c>
      <c r="B519" s="95">
        <v>511614.75400000002</v>
      </c>
      <c r="C519" s="95">
        <v>4786712.5609999998</v>
      </c>
      <c r="D519" s="95">
        <v>60.814999999999998</v>
      </c>
      <c r="E519" s="91" t="s">
        <v>93</v>
      </c>
    </row>
    <row r="520" spans="1:5" x14ac:dyDescent="0.25">
      <c r="A520" s="94">
        <v>45912</v>
      </c>
      <c r="B520" s="95">
        <v>511660.66499999998</v>
      </c>
      <c r="C520" s="95">
        <v>4786683.47</v>
      </c>
      <c r="D520" s="95">
        <v>55.402000000000001</v>
      </c>
      <c r="E520" s="91" t="s">
        <v>94</v>
      </c>
    </row>
    <row r="521" spans="1:5" x14ac:dyDescent="0.25">
      <c r="A521" s="94">
        <v>45912</v>
      </c>
      <c r="B521" s="95">
        <v>511670.87599999999</v>
      </c>
      <c r="C521" s="95">
        <v>4786685.9220000003</v>
      </c>
      <c r="D521" s="95">
        <v>54.820999999999998</v>
      </c>
      <c r="E521" s="91" t="s">
        <v>95</v>
      </c>
    </row>
    <row r="522" spans="1:5" x14ac:dyDescent="0.25">
      <c r="A522" s="94">
        <v>45912</v>
      </c>
      <c r="B522" s="95">
        <v>511649.80300000001</v>
      </c>
      <c r="C522" s="95">
        <v>4786669.5020000003</v>
      </c>
      <c r="D522" s="95">
        <v>51.057000000000002</v>
      </c>
      <c r="E522" s="91" t="s">
        <v>99</v>
      </c>
    </row>
    <row r="523" spans="1:5" x14ac:dyDescent="0.25">
      <c r="A523" s="94">
        <v>45912</v>
      </c>
      <c r="B523" s="95">
        <v>511607.55699999997</v>
      </c>
      <c r="C523" s="95">
        <v>4786691.9929999998</v>
      </c>
      <c r="D523" s="95">
        <v>51.061999999999998</v>
      </c>
      <c r="E523" s="91" t="s">
        <v>100</v>
      </c>
    </row>
    <row r="524" spans="1:5" x14ac:dyDescent="0.25">
      <c r="A524" s="94">
        <v>45912</v>
      </c>
      <c r="B524" s="95">
        <v>511607.277</v>
      </c>
      <c r="C524" s="95">
        <v>4786692.182</v>
      </c>
      <c r="D524" s="95">
        <v>51.063000000000002</v>
      </c>
      <c r="E524" s="91" t="s">
        <v>101</v>
      </c>
    </row>
    <row r="525" spans="1:5" x14ac:dyDescent="0.25">
      <c r="A525" s="94">
        <v>45912</v>
      </c>
      <c r="B525" s="95">
        <v>511601.12099999998</v>
      </c>
      <c r="C525" s="95">
        <v>4786695.4289999995</v>
      </c>
      <c r="D525" s="95">
        <v>51.042999999999999</v>
      </c>
      <c r="E525" s="91" t="s">
        <v>102</v>
      </c>
    </row>
    <row r="526" spans="1:5" x14ac:dyDescent="0.25">
      <c r="A526" s="94">
        <v>45915</v>
      </c>
      <c r="B526" s="95">
        <v>511615.10100000002</v>
      </c>
      <c r="C526" s="95">
        <v>4786687.9950000001</v>
      </c>
      <c r="D526" s="95">
        <v>51.043999999999997</v>
      </c>
      <c r="E526" s="91" t="s">
        <v>96</v>
      </c>
    </row>
    <row r="527" spans="1:5" x14ac:dyDescent="0.25">
      <c r="A527" s="94">
        <v>45915</v>
      </c>
      <c r="B527" s="95">
        <v>511628.88699999999</v>
      </c>
      <c r="C527" s="95">
        <v>4786680.6560000004</v>
      </c>
      <c r="D527" s="95">
        <v>51.051000000000002</v>
      </c>
      <c r="E527" s="91" t="s">
        <v>97</v>
      </c>
    </row>
    <row r="528" spans="1:5" x14ac:dyDescent="0.25">
      <c r="A528" s="94">
        <v>45915</v>
      </c>
      <c r="B528" s="95">
        <v>511642.587</v>
      </c>
      <c r="C528" s="95">
        <v>4786673.3569999998</v>
      </c>
      <c r="D528" s="95">
        <v>51.058</v>
      </c>
      <c r="E528" s="91" t="s">
        <v>98</v>
      </c>
    </row>
    <row r="529" spans="1:5" x14ac:dyDescent="0.25">
      <c r="A529" s="94">
        <v>45915</v>
      </c>
      <c r="B529" s="95">
        <v>511649.70500000002</v>
      </c>
      <c r="C529" s="95">
        <v>4786682.165</v>
      </c>
      <c r="D529" s="95">
        <v>56.185000000000002</v>
      </c>
      <c r="E529" s="91" t="s">
        <v>89</v>
      </c>
    </row>
    <row r="530" spans="1:5" x14ac:dyDescent="0.25">
      <c r="A530" s="94">
        <v>45915</v>
      </c>
      <c r="B530" s="95">
        <v>511630.76400000002</v>
      </c>
      <c r="C530" s="95">
        <v>4786689.8669999996</v>
      </c>
      <c r="D530" s="95">
        <v>55.945999999999998</v>
      </c>
      <c r="E530" s="91" t="s">
        <v>90</v>
      </c>
    </row>
    <row r="531" spans="1:5" x14ac:dyDescent="0.25">
      <c r="A531" s="94">
        <v>45915</v>
      </c>
      <c r="B531" s="95">
        <v>511623.435</v>
      </c>
      <c r="C531" s="95">
        <v>4786694.0779999997</v>
      </c>
      <c r="D531" s="95">
        <v>54.777999999999999</v>
      </c>
      <c r="E531" s="91" t="s">
        <v>91</v>
      </c>
    </row>
    <row r="532" spans="1:5" x14ac:dyDescent="0.25">
      <c r="A532" s="94">
        <v>45915</v>
      </c>
      <c r="B532" s="95">
        <v>511613.321</v>
      </c>
      <c r="C532" s="95">
        <v>4786695.3080000002</v>
      </c>
      <c r="D532" s="95">
        <v>60.572000000000003</v>
      </c>
      <c r="E532" s="91" t="s">
        <v>92</v>
      </c>
    </row>
    <row r="533" spans="1:5" x14ac:dyDescent="0.25">
      <c r="A533" s="94">
        <v>45915</v>
      </c>
      <c r="B533" s="95">
        <v>511614.75400000002</v>
      </c>
      <c r="C533" s="95">
        <v>4786712.5619999999</v>
      </c>
      <c r="D533" s="95">
        <v>60.814999999999998</v>
      </c>
      <c r="E533" s="91" t="s">
        <v>93</v>
      </c>
    </row>
    <row r="534" spans="1:5" x14ac:dyDescent="0.25">
      <c r="A534" s="94">
        <v>45915</v>
      </c>
      <c r="B534" s="95">
        <v>511660.663</v>
      </c>
      <c r="C534" s="95">
        <v>4786683.47</v>
      </c>
      <c r="D534" s="95">
        <v>55.402000000000001</v>
      </c>
      <c r="E534" s="91" t="s">
        <v>94</v>
      </c>
    </row>
    <row r="535" spans="1:5" x14ac:dyDescent="0.25">
      <c r="A535" s="94">
        <v>45915</v>
      </c>
      <c r="B535" s="95">
        <v>511670.87599999999</v>
      </c>
      <c r="C535" s="95">
        <v>4786685.9220000003</v>
      </c>
      <c r="D535" s="95">
        <v>54.820999999999998</v>
      </c>
      <c r="E535" s="91" t="s">
        <v>95</v>
      </c>
    </row>
    <row r="536" spans="1:5" x14ac:dyDescent="0.25">
      <c r="A536" s="94">
        <v>45915</v>
      </c>
      <c r="B536" s="95">
        <v>511649.80200000003</v>
      </c>
      <c r="C536" s="95">
        <v>4786669.5020000003</v>
      </c>
      <c r="D536" s="95">
        <v>51.057000000000002</v>
      </c>
      <c r="E536" s="91" t="s">
        <v>99</v>
      </c>
    </row>
    <row r="537" spans="1:5" x14ac:dyDescent="0.25">
      <c r="A537" s="94">
        <v>45915</v>
      </c>
      <c r="B537" s="95">
        <v>511607.55699999997</v>
      </c>
      <c r="C537" s="95">
        <v>4786691.9939999999</v>
      </c>
      <c r="D537" s="95">
        <v>51.061999999999998</v>
      </c>
      <c r="E537" s="91" t="s">
        <v>100</v>
      </c>
    </row>
    <row r="538" spans="1:5" x14ac:dyDescent="0.25">
      <c r="A538" s="94">
        <v>45915</v>
      </c>
      <c r="B538" s="95">
        <v>511607.277</v>
      </c>
      <c r="C538" s="95">
        <v>4786692.1809999999</v>
      </c>
      <c r="D538" s="95">
        <v>51.063000000000002</v>
      </c>
      <c r="E538" s="91" t="s">
        <v>101</v>
      </c>
    </row>
    <row r="539" spans="1:5" x14ac:dyDescent="0.25">
      <c r="A539" s="94">
        <v>45915</v>
      </c>
      <c r="B539" s="95">
        <v>511601.12099999998</v>
      </c>
      <c r="C539" s="95">
        <v>4786695.4289999995</v>
      </c>
      <c r="D539" s="95">
        <v>51.042999999999999</v>
      </c>
      <c r="E539" s="91" t="s">
        <v>102</v>
      </c>
    </row>
    <row r="540" spans="1:5" x14ac:dyDescent="0.25">
      <c r="A540" s="94">
        <v>45916</v>
      </c>
      <c r="B540" s="95">
        <v>511649.70500000002</v>
      </c>
      <c r="C540" s="95">
        <v>4786682.165</v>
      </c>
      <c r="D540" s="95">
        <v>56.185000000000002</v>
      </c>
      <c r="E540" s="91" t="s">
        <v>89</v>
      </c>
    </row>
    <row r="541" spans="1:5" x14ac:dyDescent="0.25">
      <c r="A541" s="94">
        <v>45916</v>
      </c>
      <c r="B541" s="95">
        <v>511630.76400000002</v>
      </c>
      <c r="C541" s="95">
        <v>4786689.8669999996</v>
      </c>
      <c r="D541" s="95">
        <v>55.945999999999998</v>
      </c>
      <c r="E541" s="91" t="s">
        <v>90</v>
      </c>
    </row>
    <row r="542" spans="1:5" x14ac:dyDescent="0.25">
      <c r="A542" s="94">
        <v>45916</v>
      </c>
      <c r="B542" s="95">
        <v>511623.435</v>
      </c>
      <c r="C542" s="95">
        <v>4786694.0779999997</v>
      </c>
      <c r="D542" s="95">
        <v>54.777999999999999</v>
      </c>
      <c r="E542" s="91" t="s">
        <v>91</v>
      </c>
    </row>
    <row r="543" spans="1:5" x14ac:dyDescent="0.25">
      <c r="A543" s="94">
        <v>45916</v>
      </c>
      <c r="B543" s="95">
        <v>511613.32</v>
      </c>
      <c r="C543" s="95">
        <v>4786695.3080000002</v>
      </c>
      <c r="D543" s="95">
        <v>60.572000000000003</v>
      </c>
      <c r="E543" s="91" t="s">
        <v>92</v>
      </c>
    </row>
    <row r="544" spans="1:5" x14ac:dyDescent="0.25">
      <c r="A544" s="94">
        <v>45916</v>
      </c>
      <c r="B544" s="95">
        <v>511614.75400000002</v>
      </c>
      <c r="C544" s="95">
        <v>4786712.5619999999</v>
      </c>
      <c r="D544" s="95">
        <v>60.814999999999998</v>
      </c>
      <c r="E544" s="91" t="s">
        <v>93</v>
      </c>
    </row>
    <row r="545" spans="1:5" x14ac:dyDescent="0.25">
      <c r="A545" s="94">
        <v>45916</v>
      </c>
      <c r="B545" s="95">
        <v>511660.66399999999</v>
      </c>
      <c r="C545" s="95">
        <v>4786683.4689999996</v>
      </c>
      <c r="D545" s="95">
        <v>55.402000000000001</v>
      </c>
      <c r="E545" s="91" t="s">
        <v>94</v>
      </c>
    </row>
    <row r="546" spans="1:5" x14ac:dyDescent="0.25">
      <c r="A546" s="94">
        <v>45916</v>
      </c>
      <c r="B546" s="95">
        <v>511670.87400000001</v>
      </c>
      <c r="C546" s="95">
        <v>4786685.9210000001</v>
      </c>
      <c r="D546" s="95">
        <v>54.820999999999998</v>
      </c>
      <c r="E546" s="91" t="s">
        <v>95</v>
      </c>
    </row>
    <row r="547" spans="1:5" x14ac:dyDescent="0.25">
      <c r="A547" s="94">
        <v>45916</v>
      </c>
      <c r="B547" s="95">
        <v>511649.80300000001</v>
      </c>
      <c r="C547" s="95">
        <v>4786669.5020000003</v>
      </c>
      <c r="D547" s="95">
        <v>51.057000000000002</v>
      </c>
      <c r="E547" s="91" t="s">
        <v>99</v>
      </c>
    </row>
    <row r="548" spans="1:5" x14ac:dyDescent="0.25">
      <c r="A548" s="94">
        <v>45916</v>
      </c>
      <c r="B548" s="95">
        <v>511607.55699999997</v>
      </c>
      <c r="C548" s="95">
        <v>4786691.9929999998</v>
      </c>
      <c r="D548" s="95">
        <v>51.061999999999998</v>
      </c>
      <c r="E548" s="91" t="s">
        <v>100</v>
      </c>
    </row>
    <row r="549" spans="1:5" x14ac:dyDescent="0.25">
      <c r="A549" s="94">
        <v>45916</v>
      </c>
      <c r="B549" s="95">
        <v>511607.27600000001</v>
      </c>
      <c r="C549" s="95">
        <v>4786692.1809999999</v>
      </c>
      <c r="D549" s="95">
        <v>51.063000000000002</v>
      </c>
      <c r="E549" s="91" t="s">
        <v>101</v>
      </c>
    </row>
    <row r="550" spans="1:5" x14ac:dyDescent="0.25">
      <c r="A550" s="94">
        <v>45916</v>
      </c>
      <c r="B550" s="95">
        <v>511601.12199999997</v>
      </c>
      <c r="C550" s="95">
        <v>4786695.43</v>
      </c>
      <c r="D550" s="95">
        <v>51.042999999999999</v>
      </c>
      <c r="E550" s="91" t="s">
        <v>102</v>
      </c>
    </row>
    <row r="551" spans="1:5" x14ac:dyDescent="0.25">
      <c r="A551" s="94">
        <v>45917</v>
      </c>
      <c r="B551" s="95">
        <v>511615.103</v>
      </c>
      <c r="C551" s="95">
        <v>4786687.9950000001</v>
      </c>
      <c r="D551" s="95">
        <v>51.043999999999997</v>
      </c>
      <c r="E551" s="91" t="s">
        <v>96</v>
      </c>
    </row>
    <row r="552" spans="1:5" x14ac:dyDescent="0.25">
      <c r="A552" s="94">
        <v>45917</v>
      </c>
      <c r="B552" s="95">
        <v>511628.88799999998</v>
      </c>
      <c r="C552" s="95">
        <v>4786680.6560000004</v>
      </c>
      <c r="D552" s="95">
        <v>51.051000000000002</v>
      </c>
      <c r="E552" s="91" t="s">
        <v>97</v>
      </c>
    </row>
    <row r="553" spans="1:5" x14ac:dyDescent="0.25">
      <c r="A553" s="94">
        <v>45917</v>
      </c>
      <c r="B553" s="95">
        <v>511642.587</v>
      </c>
      <c r="C553" s="95">
        <v>4786673.3569999998</v>
      </c>
      <c r="D553" s="95">
        <v>51.058</v>
      </c>
      <c r="E553" s="91" t="s">
        <v>98</v>
      </c>
    </row>
    <row r="554" spans="1:5" x14ac:dyDescent="0.25">
      <c r="A554" s="94">
        <v>45917</v>
      </c>
      <c r="B554" s="95">
        <v>511649.70500000002</v>
      </c>
      <c r="C554" s="95">
        <v>4786682.1660000002</v>
      </c>
      <c r="D554" s="95">
        <v>56.185000000000002</v>
      </c>
      <c r="E554" s="91" t="s">
        <v>89</v>
      </c>
    </row>
    <row r="555" spans="1:5" x14ac:dyDescent="0.25">
      <c r="A555" s="94">
        <v>45917</v>
      </c>
      <c r="B555" s="95">
        <v>511630.76500000001</v>
      </c>
      <c r="C555" s="95">
        <v>4786689.8669999996</v>
      </c>
      <c r="D555" s="95">
        <v>55.945999999999998</v>
      </c>
      <c r="E555" s="91" t="s">
        <v>90</v>
      </c>
    </row>
    <row r="556" spans="1:5" x14ac:dyDescent="0.25">
      <c r="A556" s="94">
        <v>45917</v>
      </c>
      <c r="B556" s="95">
        <v>511623.43599999999</v>
      </c>
      <c r="C556" s="95">
        <v>4786694.0789999999</v>
      </c>
      <c r="D556" s="95">
        <v>54.777000000000001</v>
      </c>
      <c r="E556" s="91" t="s">
        <v>91</v>
      </c>
    </row>
    <row r="557" spans="1:5" x14ac:dyDescent="0.25">
      <c r="A557" s="94">
        <v>45917</v>
      </c>
      <c r="B557" s="95">
        <v>511613.32</v>
      </c>
      <c r="C557" s="95">
        <v>4786695.3090000004</v>
      </c>
      <c r="D557" s="95">
        <v>60.570999999999998</v>
      </c>
      <c r="E557" s="91" t="s">
        <v>92</v>
      </c>
    </row>
    <row r="558" spans="1:5" x14ac:dyDescent="0.25">
      <c r="A558" s="94">
        <v>45917</v>
      </c>
      <c r="B558" s="95">
        <v>511614.75400000002</v>
      </c>
      <c r="C558" s="95">
        <v>4786712.5609999998</v>
      </c>
      <c r="D558" s="95">
        <v>60.814</v>
      </c>
      <c r="E558" s="91" t="s">
        <v>93</v>
      </c>
    </row>
    <row r="559" spans="1:5" x14ac:dyDescent="0.25">
      <c r="A559" s="94">
        <v>45917</v>
      </c>
      <c r="B559" s="95">
        <v>511660.66600000003</v>
      </c>
      <c r="C559" s="95">
        <v>4786683.47</v>
      </c>
      <c r="D559" s="95">
        <v>55.401000000000003</v>
      </c>
      <c r="E559" s="91" t="s">
        <v>94</v>
      </c>
    </row>
    <row r="560" spans="1:5" x14ac:dyDescent="0.25">
      <c r="A560" s="94">
        <v>45917</v>
      </c>
      <c r="B560" s="95">
        <v>511670.87599999999</v>
      </c>
      <c r="C560" s="95">
        <v>4786685.9220000003</v>
      </c>
      <c r="D560" s="95">
        <v>54.820999999999998</v>
      </c>
      <c r="E560" s="91" t="s">
        <v>95</v>
      </c>
    </row>
    <row r="561" spans="1:5" x14ac:dyDescent="0.25">
      <c r="A561" s="94">
        <v>45917</v>
      </c>
      <c r="B561" s="95">
        <v>511649.80200000003</v>
      </c>
      <c r="C561" s="95">
        <v>4786669.5020000003</v>
      </c>
      <c r="D561" s="95">
        <v>51.057000000000002</v>
      </c>
      <c r="E561" s="91" t="s">
        <v>99</v>
      </c>
    </row>
    <row r="562" spans="1:5" x14ac:dyDescent="0.25">
      <c r="A562" s="94">
        <v>45917</v>
      </c>
      <c r="B562" s="95">
        <v>511607.55699999997</v>
      </c>
      <c r="C562" s="95">
        <v>4786691.9929999998</v>
      </c>
      <c r="D562" s="95">
        <v>51.061999999999998</v>
      </c>
      <c r="E562" s="91" t="s">
        <v>100</v>
      </c>
    </row>
    <row r="563" spans="1:5" x14ac:dyDescent="0.25">
      <c r="A563" s="94">
        <v>45917</v>
      </c>
      <c r="B563" s="95">
        <v>511607.27600000001</v>
      </c>
      <c r="C563" s="95">
        <v>4786692.1809999999</v>
      </c>
      <c r="D563" s="95">
        <v>51.063000000000002</v>
      </c>
      <c r="E563" s="91" t="s">
        <v>101</v>
      </c>
    </row>
    <row r="564" spans="1:5" x14ac:dyDescent="0.25">
      <c r="A564" s="94">
        <v>45917</v>
      </c>
      <c r="B564" s="95">
        <v>511601.12099999998</v>
      </c>
      <c r="C564" s="95">
        <v>4786695.43</v>
      </c>
      <c r="D564" s="95">
        <v>51.042999999999999</v>
      </c>
      <c r="E564" s="91" t="s">
        <v>102</v>
      </c>
    </row>
    <row r="565" spans="1:5" x14ac:dyDescent="0.25">
      <c r="A565" s="94">
        <v>45918</v>
      </c>
      <c r="B565" s="95">
        <v>511615.103</v>
      </c>
      <c r="C565" s="95">
        <v>4786687.9960000003</v>
      </c>
      <c r="D565" s="95">
        <v>51.043999999999997</v>
      </c>
      <c r="E565" s="91" t="s">
        <v>96</v>
      </c>
    </row>
    <row r="566" spans="1:5" x14ac:dyDescent="0.25">
      <c r="A566" s="94">
        <v>45918</v>
      </c>
      <c r="B566" s="95">
        <v>511628.88799999998</v>
      </c>
      <c r="C566" s="95">
        <v>4786680.6569999997</v>
      </c>
      <c r="D566" s="95">
        <v>51.051000000000002</v>
      </c>
      <c r="E566" s="91" t="s">
        <v>97</v>
      </c>
    </row>
    <row r="567" spans="1:5" x14ac:dyDescent="0.25">
      <c r="A567" s="94">
        <v>45918</v>
      </c>
      <c r="B567" s="95">
        <v>511642.58799999999</v>
      </c>
      <c r="C567" s="95">
        <v>4786673.3569999998</v>
      </c>
      <c r="D567" s="95">
        <v>51.058</v>
      </c>
      <c r="E567" s="91" t="s">
        <v>98</v>
      </c>
    </row>
    <row r="568" spans="1:5" x14ac:dyDescent="0.25">
      <c r="A568" s="94">
        <v>45918</v>
      </c>
      <c r="B568" s="95">
        <v>511649.70500000002</v>
      </c>
      <c r="C568" s="95">
        <v>4786682.165</v>
      </c>
      <c r="D568" s="95">
        <v>56.183999999999997</v>
      </c>
      <c r="E568" s="91" t="s">
        <v>89</v>
      </c>
    </row>
    <row r="569" spans="1:5" x14ac:dyDescent="0.25">
      <c r="A569" s="94">
        <v>45918</v>
      </c>
      <c r="B569" s="95">
        <v>511630.76400000002</v>
      </c>
      <c r="C569" s="95">
        <v>4786689.8669999996</v>
      </c>
      <c r="D569" s="95">
        <v>55.945999999999998</v>
      </c>
      <c r="E569" s="91" t="s">
        <v>90</v>
      </c>
    </row>
    <row r="570" spans="1:5" x14ac:dyDescent="0.25">
      <c r="A570" s="94">
        <v>45918</v>
      </c>
      <c r="B570" s="95">
        <v>511623.435</v>
      </c>
      <c r="C570" s="95">
        <v>4786694.0779999997</v>
      </c>
      <c r="D570" s="95">
        <v>54.777000000000001</v>
      </c>
      <c r="E570" s="91" t="s">
        <v>91</v>
      </c>
    </row>
    <row r="571" spans="1:5" x14ac:dyDescent="0.25">
      <c r="A571" s="94">
        <v>45918</v>
      </c>
      <c r="B571" s="95">
        <v>511613.31900000002</v>
      </c>
      <c r="C571" s="95">
        <v>4786695.307</v>
      </c>
      <c r="D571" s="95">
        <v>60.570999999999998</v>
      </c>
      <c r="E571" s="91" t="s">
        <v>92</v>
      </c>
    </row>
    <row r="572" spans="1:5" x14ac:dyDescent="0.25">
      <c r="A572" s="94">
        <v>45918</v>
      </c>
      <c r="B572" s="95">
        <v>511614.75300000003</v>
      </c>
      <c r="C572" s="95">
        <v>4786712.5609999998</v>
      </c>
      <c r="D572" s="95">
        <v>60.814999999999998</v>
      </c>
      <c r="E572" s="91" t="s">
        <v>93</v>
      </c>
    </row>
    <row r="573" spans="1:5" x14ac:dyDescent="0.25">
      <c r="A573" s="94">
        <v>45918</v>
      </c>
      <c r="B573" s="95">
        <v>511660.66399999999</v>
      </c>
      <c r="C573" s="95">
        <v>4786683.47</v>
      </c>
      <c r="D573" s="95">
        <v>55.402000000000001</v>
      </c>
      <c r="E573" s="91" t="s">
        <v>94</v>
      </c>
    </row>
    <row r="574" spans="1:5" x14ac:dyDescent="0.25">
      <c r="A574" s="94">
        <v>45918</v>
      </c>
      <c r="B574" s="95">
        <v>511670.87400000001</v>
      </c>
      <c r="C574" s="95">
        <v>4786685.9210000001</v>
      </c>
      <c r="D574" s="95">
        <v>54.820999999999998</v>
      </c>
      <c r="E574" s="91" t="s">
        <v>95</v>
      </c>
    </row>
    <row r="575" spans="1:5" x14ac:dyDescent="0.25">
      <c r="A575" s="94">
        <v>45918</v>
      </c>
      <c r="B575" s="95">
        <v>511649.80200000003</v>
      </c>
      <c r="C575" s="95">
        <v>4786669.5020000003</v>
      </c>
      <c r="D575" s="95">
        <v>51.057000000000002</v>
      </c>
      <c r="E575" s="91" t="s">
        <v>99</v>
      </c>
    </row>
    <row r="576" spans="1:5" x14ac:dyDescent="0.25">
      <c r="A576" s="94">
        <v>45918</v>
      </c>
      <c r="B576" s="95">
        <v>511607.55699999997</v>
      </c>
      <c r="C576" s="95">
        <v>4786691.9929999998</v>
      </c>
      <c r="D576" s="95">
        <v>51.061999999999998</v>
      </c>
      <c r="E576" s="91" t="s">
        <v>100</v>
      </c>
    </row>
    <row r="577" spans="1:5" x14ac:dyDescent="0.25">
      <c r="A577" s="94">
        <v>45918</v>
      </c>
      <c r="B577" s="95">
        <v>511607.27500000002</v>
      </c>
      <c r="C577" s="95">
        <v>4786692.18</v>
      </c>
      <c r="D577" s="95">
        <v>51.063000000000002</v>
      </c>
      <c r="E577" s="91" t="s">
        <v>101</v>
      </c>
    </row>
    <row r="578" spans="1:5" x14ac:dyDescent="0.25">
      <c r="A578" s="94">
        <v>45918</v>
      </c>
      <c r="B578" s="95">
        <v>511601.12099999998</v>
      </c>
      <c r="C578" s="95">
        <v>4786695.4289999995</v>
      </c>
      <c r="D578" s="95">
        <v>51.042999999999999</v>
      </c>
      <c r="E578" s="91" t="s">
        <v>102</v>
      </c>
    </row>
    <row r="579" spans="1:5" x14ac:dyDescent="0.25">
      <c r="A579" s="94">
        <v>45919</v>
      </c>
      <c r="B579" s="95">
        <v>511615.1</v>
      </c>
      <c r="C579" s="95">
        <v>4786687.9950000001</v>
      </c>
      <c r="D579" s="95">
        <v>51.045000000000002</v>
      </c>
      <c r="E579" s="91" t="s">
        <v>96</v>
      </c>
    </row>
    <row r="580" spans="1:5" x14ac:dyDescent="0.25">
      <c r="A580" s="94">
        <v>45919</v>
      </c>
      <c r="B580" s="95">
        <v>511628.886</v>
      </c>
      <c r="C580" s="95">
        <v>4786680.6569999997</v>
      </c>
      <c r="D580" s="95">
        <v>51.052</v>
      </c>
      <c r="E580" s="91" t="s">
        <v>97</v>
      </c>
    </row>
    <row r="581" spans="1:5" x14ac:dyDescent="0.25">
      <c r="A581" s="94">
        <v>45919</v>
      </c>
      <c r="B581" s="95">
        <v>511642.58600000001</v>
      </c>
      <c r="C581" s="95">
        <v>4786673.358</v>
      </c>
      <c r="D581" s="95">
        <v>51.058999999999997</v>
      </c>
      <c r="E581" s="91" t="s">
        <v>98</v>
      </c>
    </row>
    <row r="582" spans="1:5" x14ac:dyDescent="0.25">
      <c r="A582" s="94">
        <v>45919</v>
      </c>
      <c r="B582" s="95">
        <v>511649.70699999999</v>
      </c>
      <c r="C582" s="95">
        <v>4786682.1670000004</v>
      </c>
      <c r="D582" s="95">
        <v>56.186</v>
      </c>
      <c r="E582" s="91" t="s">
        <v>89</v>
      </c>
    </row>
    <row r="583" spans="1:5" x14ac:dyDescent="0.25">
      <c r="A583" s="94">
        <v>45919</v>
      </c>
      <c r="B583" s="95">
        <v>511630.76500000001</v>
      </c>
      <c r="C583" s="95">
        <v>4786689.8679999998</v>
      </c>
      <c r="D583" s="95">
        <v>55.947000000000003</v>
      </c>
      <c r="E583" s="91" t="s">
        <v>90</v>
      </c>
    </row>
    <row r="584" spans="1:5" x14ac:dyDescent="0.25">
      <c r="A584" s="94">
        <v>45919</v>
      </c>
      <c r="B584" s="95">
        <v>511623.435</v>
      </c>
      <c r="C584" s="95">
        <v>4786694.0789999999</v>
      </c>
      <c r="D584" s="95">
        <v>54.777999999999999</v>
      </c>
      <c r="E584" s="91" t="s">
        <v>91</v>
      </c>
    </row>
    <row r="585" spans="1:5" x14ac:dyDescent="0.25">
      <c r="A585" s="94">
        <v>45919</v>
      </c>
      <c r="B585" s="95">
        <v>511613.31900000002</v>
      </c>
      <c r="C585" s="95">
        <v>4786695.3080000002</v>
      </c>
      <c r="D585" s="95">
        <v>60.572000000000003</v>
      </c>
      <c r="E585" s="91" t="s">
        <v>92</v>
      </c>
    </row>
    <row r="586" spans="1:5" x14ac:dyDescent="0.25">
      <c r="A586" s="94">
        <v>45919</v>
      </c>
      <c r="B586" s="95">
        <v>511614.75300000003</v>
      </c>
      <c r="C586" s="95">
        <v>4786712.5619999999</v>
      </c>
      <c r="D586" s="95">
        <v>60.816000000000003</v>
      </c>
      <c r="E586" s="91" t="s">
        <v>93</v>
      </c>
    </row>
    <row r="587" spans="1:5" x14ac:dyDescent="0.25">
      <c r="A587" s="94">
        <v>45919</v>
      </c>
      <c r="B587" s="95">
        <v>511660.66499999998</v>
      </c>
      <c r="C587" s="95">
        <v>4786683.4689999996</v>
      </c>
      <c r="D587" s="95">
        <v>55.404000000000003</v>
      </c>
      <c r="E587" s="91" t="s">
        <v>94</v>
      </c>
    </row>
    <row r="588" spans="1:5" x14ac:dyDescent="0.25">
      <c r="A588" s="94">
        <v>45919</v>
      </c>
      <c r="B588" s="95">
        <v>511670.87599999999</v>
      </c>
      <c r="C588" s="95">
        <v>4786685.9220000003</v>
      </c>
      <c r="D588" s="95">
        <v>54.820999999999998</v>
      </c>
      <c r="E588" s="91" t="s">
        <v>95</v>
      </c>
    </row>
    <row r="589" spans="1:5" x14ac:dyDescent="0.25">
      <c r="A589" s="94">
        <v>45919</v>
      </c>
      <c r="B589" s="95">
        <v>511649.80300000001</v>
      </c>
      <c r="C589" s="95">
        <v>4786669.5020000003</v>
      </c>
      <c r="D589" s="95">
        <v>51.057000000000002</v>
      </c>
      <c r="E589" s="91" t="s">
        <v>99</v>
      </c>
    </row>
    <row r="590" spans="1:5" x14ac:dyDescent="0.25">
      <c r="A590" s="94">
        <v>45919</v>
      </c>
      <c r="B590" s="95">
        <v>511607.55699999997</v>
      </c>
      <c r="C590" s="95">
        <v>4786691.9929999998</v>
      </c>
      <c r="D590" s="95">
        <v>51.061999999999998</v>
      </c>
      <c r="E590" s="91" t="s">
        <v>100</v>
      </c>
    </row>
    <row r="591" spans="1:5" x14ac:dyDescent="0.25">
      <c r="A591" s="94">
        <v>45919</v>
      </c>
      <c r="B591" s="95">
        <v>511607.277</v>
      </c>
      <c r="C591" s="95">
        <v>4786692.1809999999</v>
      </c>
      <c r="D591" s="95">
        <v>51.063000000000002</v>
      </c>
      <c r="E591" s="91" t="s">
        <v>101</v>
      </c>
    </row>
    <row r="592" spans="1:5" x14ac:dyDescent="0.25">
      <c r="A592" s="94">
        <v>45919</v>
      </c>
      <c r="B592" s="95">
        <v>511601.12099999998</v>
      </c>
      <c r="C592" s="95">
        <v>4786695.4289999995</v>
      </c>
      <c r="D592" s="95">
        <v>51.042999999999999</v>
      </c>
      <c r="E592" s="91" t="s">
        <v>102</v>
      </c>
    </row>
    <row r="593" spans="1:5" x14ac:dyDescent="0.25">
      <c r="A593" s="94">
        <v>45922</v>
      </c>
      <c r="B593" s="95">
        <v>511615.10200000001</v>
      </c>
      <c r="C593" s="95">
        <v>4786687.9950000001</v>
      </c>
      <c r="D593" s="95">
        <v>51.043999999999997</v>
      </c>
      <c r="E593" s="91" t="s">
        <v>96</v>
      </c>
    </row>
    <row r="594" spans="1:5" x14ac:dyDescent="0.25">
      <c r="A594" s="94">
        <v>45922</v>
      </c>
      <c r="B594" s="95">
        <v>511628.88699999999</v>
      </c>
      <c r="C594" s="95">
        <v>4786680.6569999997</v>
      </c>
      <c r="D594" s="95">
        <v>51.05</v>
      </c>
      <c r="E594" s="91" t="s">
        <v>97</v>
      </c>
    </row>
    <row r="595" spans="1:5" x14ac:dyDescent="0.25">
      <c r="A595" s="94">
        <v>45922</v>
      </c>
      <c r="B595" s="95">
        <v>511642.587</v>
      </c>
      <c r="C595" s="95">
        <v>4786673.3569999998</v>
      </c>
      <c r="D595" s="95">
        <v>51.058</v>
      </c>
      <c r="E595" s="91" t="s">
        <v>98</v>
      </c>
    </row>
    <row r="596" spans="1:5" x14ac:dyDescent="0.25">
      <c r="A596" s="94">
        <v>45922</v>
      </c>
      <c r="B596" s="95">
        <v>511649.70500000002</v>
      </c>
      <c r="C596" s="95">
        <v>4786682.165</v>
      </c>
      <c r="D596" s="95">
        <v>56.183999999999997</v>
      </c>
      <c r="E596" s="91" t="s">
        <v>89</v>
      </c>
    </row>
    <row r="597" spans="1:5" x14ac:dyDescent="0.25">
      <c r="A597" s="94">
        <v>45922</v>
      </c>
      <c r="B597" s="95">
        <v>511630.76299999998</v>
      </c>
      <c r="C597" s="95">
        <v>4786689.8660000004</v>
      </c>
      <c r="D597" s="95">
        <v>55.945</v>
      </c>
      <c r="E597" s="91" t="s">
        <v>90</v>
      </c>
    </row>
    <row r="598" spans="1:5" x14ac:dyDescent="0.25">
      <c r="A598" s="94">
        <v>45922</v>
      </c>
      <c r="B598" s="95">
        <v>511623.43599999999</v>
      </c>
      <c r="C598" s="95">
        <v>4786694.0779999997</v>
      </c>
      <c r="D598" s="95">
        <v>54.777000000000001</v>
      </c>
      <c r="E598" s="91" t="s">
        <v>91</v>
      </c>
    </row>
    <row r="599" spans="1:5" x14ac:dyDescent="0.25">
      <c r="A599" s="94">
        <v>45922</v>
      </c>
      <c r="B599" s="95">
        <v>511613.32</v>
      </c>
      <c r="C599" s="95">
        <v>4786695.3080000002</v>
      </c>
      <c r="D599" s="95">
        <v>60.570999999999998</v>
      </c>
      <c r="E599" s="91" t="s">
        <v>92</v>
      </c>
    </row>
    <row r="600" spans="1:5" x14ac:dyDescent="0.25">
      <c r="A600" s="94">
        <v>45922</v>
      </c>
      <c r="B600" s="95">
        <v>511614.75400000002</v>
      </c>
      <c r="C600" s="95">
        <v>4786712.5609999998</v>
      </c>
      <c r="D600" s="95">
        <v>60.814999999999998</v>
      </c>
      <c r="E600" s="91" t="s">
        <v>93</v>
      </c>
    </row>
    <row r="601" spans="1:5" x14ac:dyDescent="0.25">
      <c r="A601" s="94">
        <v>45922</v>
      </c>
      <c r="B601" s="95">
        <v>511660.66499999998</v>
      </c>
      <c r="C601" s="95">
        <v>4786683.4689999996</v>
      </c>
      <c r="D601" s="95">
        <v>55.404000000000003</v>
      </c>
      <c r="E601" s="91" t="s">
        <v>94</v>
      </c>
    </row>
    <row r="602" spans="1:5" x14ac:dyDescent="0.25">
      <c r="A602" s="94">
        <v>45922</v>
      </c>
      <c r="B602" s="95">
        <v>511670.875</v>
      </c>
      <c r="C602" s="95">
        <v>4786685.9220000003</v>
      </c>
      <c r="D602" s="95">
        <v>54.820999999999998</v>
      </c>
      <c r="E602" s="91" t="s">
        <v>95</v>
      </c>
    </row>
    <row r="603" spans="1:5" x14ac:dyDescent="0.25">
      <c r="A603" s="94">
        <v>45922</v>
      </c>
      <c r="B603" s="95">
        <v>511649.8</v>
      </c>
      <c r="C603" s="95">
        <v>4786669.5010000002</v>
      </c>
      <c r="D603" s="95">
        <v>51.057000000000002</v>
      </c>
      <c r="E603" s="91" t="s">
        <v>99</v>
      </c>
    </row>
    <row r="604" spans="1:5" x14ac:dyDescent="0.25">
      <c r="A604" s="94">
        <v>45922</v>
      </c>
      <c r="B604" s="95">
        <v>511607.55599999998</v>
      </c>
      <c r="C604" s="95">
        <v>4786691.9929999998</v>
      </c>
      <c r="D604" s="95">
        <v>51.061999999999998</v>
      </c>
      <c r="E604" s="91" t="s">
        <v>100</v>
      </c>
    </row>
    <row r="605" spans="1:5" x14ac:dyDescent="0.25">
      <c r="A605" s="94">
        <v>45922</v>
      </c>
      <c r="B605" s="95">
        <v>511607.27500000002</v>
      </c>
      <c r="C605" s="95">
        <v>4786692.18</v>
      </c>
      <c r="D605" s="95">
        <v>51.063000000000002</v>
      </c>
      <c r="E605" s="91" t="s">
        <v>101</v>
      </c>
    </row>
    <row r="606" spans="1:5" x14ac:dyDescent="0.25">
      <c r="A606" s="94">
        <v>45922</v>
      </c>
      <c r="B606" s="95">
        <v>511601.12099999998</v>
      </c>
      <c r="C606" s="95">
        <v>4786695.4289999995</v>
      </c>
      <c r="D606" s="95">
        <v>51.042999999999999</v>
      </c>
      <c r="E606" s="91" t="s">
        <v>102</v>
      </c>
    </row>
    <row r="607" spans="1:5" x14ac:dyDescent="0.25">
      <c r="A607" s="94">
        <v>45923</v>
      </c>
      <c r="B607" s="95">
        <v>511649.70600000001</v>
      </c>
      <c r="C607" s="95">
        <v>4786682.165</v>
      </c>
      <c r="D607" s="95">
        <v>56.183999999999997</v>
      </c>
      <c r="E607" s="91" t="s">
        <v>89</v>
      </c>
    </row>
    <row r="608" spans="1:5" x14ac:dyDescent="0.25">
      <c r="A608" s="94">
        <v>45923</v>
      </c>
      <c r="B608" s="95">
        <v>511630.76400000002</v>
      </c>
      <c r="C608" s="95">
        <v>4786689.8660000004</v>
      </c>
      <c r="D608" s="95">
        <v>55.945</v>
      </c>
      <c r="E608" s="91" t="s">
        <v>90</v>
      </c>
    </row>
    <row r="609" spans="1:5" x14ac:dyDescent="0.25">
      <c r="A609" s="94">
        <v>45923</v>
      </c>
      <c r="B609" s="95">
        <v>511623.435</v>
      </c>
      <c r="C609" s="95">
        <v>4786694.0779999997</v>
      </c>
      <c r="D609" s="95">
        <v>54.777000000000001</v>
      </c>
      <c r="E609" s="91" t="s">
        <v>91</v>
      </c>
    </row>
    <row r="610" spans="1:5" x14ac:dyDescent="0.25">
      <c r="A610" s="94">
        <v>45923</v>
      </c>
      <c r="B610" s="95">
        <v>511613.31900000002</v>
      </c>
      <c r="C610" s="95">
        <v>4786695.307</v>
      </c>
      <c r="D610" s="95">
        <v>60.570999999999998</v>
      </c>
      <c r="E610" s="91" t="s">
        <v>92</v>
      </c>
    </row>
    <row r="611" spans="1:5" x14ac:dyDescent="0.25">
      <c r="A611" s="94">
        <v>45923</v>
      </c>
      <c r="B611" s="95">
        <v>511614.75400000002</v>
      </c>
      <c r="C611" s="95">
        <v>4786712.5609999998</v>
      </c>
      <c r="D611" s="95">
        <v>60.814</v>
      </c>
      <c r="E611" s="91" t="s">
        <v>93</v>
      </c>
    </row>
    <row r="612" spans="1:5" x14ac:dyDescent="0.25">
      <c r="A612" s="94">
        <v>45923</v>
      </c>
      <c r="B612" s="95">
        <v>511660.66399999999</v>
      </c>
      <c r="C612" s="95">
        <v>4786683.47</v>
      </c>
      <c r="D612" s="95">
        <v>55.401000000000003</v>
      </c>
      <c r="E612" s="91" t="s">
        <v>94</v>
      </c>
    </row>
    <row r="613" spans="1:5" x14ac:dyDescent="0.25">
      <c r="A613" s="94">
        <v>45923</v>
      </c>
      <c r="B613" s="95">
        <v>511670.875</v>
      </c>
      <c r="C613" s="95">
        <v>4786685.9220000003</v>
      </c>
      <c r="D613" s="95">
        <v>54.820999999999998</v>
      </c>
      <c r="E613" s="91" t="s">
        <v>95</v>
      </c>
    </row>
    <row r="614" spans="1:5" x14ac:dyDescent="0.25">
      <c r="A614" s="94">
        <v>45924</v>
      </c>
      <c r="B614" s="95">
        <v>511615.103</v>
      </c>
      <c r="C614" s="95">
        <v>4786687.9960000003</v>
      </c>
      <c r="D614" s="95">
        <v>51.043999999999997</v>
      </c>
      <c r="E614" s="91" t="s">
        <v>96</v>
      </c>
    </row>
    <row r="615" spans="1:5" x14ac:dyDescent="0.25">
      <c r="A615" s="94">
        <v>45924</v>
      </c>
      <c r="B615" s="95">
        <v>511628.88900000002</v>
      </c>
      <c r="C615" s="95">
        <v>4786680.6569999997</v>
      </c>
      <c r="D615" s="95">
        <v>51.05</v>
      </c>
      <c r="E615" s="91" t="s">
        <v>97</v>
      </c>
    </row>
    <row r="616" spans="1:5" x14ac:dyDescent="0.25">
      <c r="A616" s="94">
        <v>45924</v>
      </c>
      <c r="B616" s="95">
        <v>511642.58899999998</v>
      </c>
      <c r="C616" s="95">
        <v>4786673.3590000002</v>
      </c>
      <c r="D616" s="95">
        <v>51.057000000000002</v>
      </c>
      <c r="E616" s="91" t="s">
        <v>98</v>
      </c>
    </row>
    <row r="617" spans="1:5" x14ac:dyDescent="0.25">
      <c r="A617" s="94">
        <v>45924</v>
      </c>
      <c r="B617" s="95">
        <v>511649.70699999999</v>
      </c>
      <c r="C617" s="95">
        <v>4786682.1660000002</v>
      </c>
      <c r="D617" s="95">
        <v>56.183999999999997</v>
      </c>
      <c r="E617" s="91" t="s">
        <v>89</v>
      </c>
    </row>
    <row r="618" spans="1:5" x14ac:dyDescent="0.25">
      <c r="A618" s="94">
        <v>45924</v>
      </c>
      <c r="B618" s="95">
        <v>511630.766</v>
      </c>
      <c r="C618" s="95">
        <v>4786689.8669999996</v>
      </c>
      <c r="D618" s="95">
        <v>55.945</v>
      </c>
      <c r="E618" s="91" t="s">
        <v>90</v>
      </c>
    </row>
    <row r="619" spans="1:5" x14ac:dyDescent="0.25">
      <c r="A619" s="94">
        <v>45924</v>
      </c>
      <c r="B619" s="95">
        <v>511623.435</v>
      </c>
      <c r="C619" s="95">
        <v>4786694.0779999997</v>
      </c>
      <c r="D619" s="95">
        <v>54.777000000000001</v>
      </c>
      <c r="E619" s="91" t="s">
        <v>91</v>
      </c>
    </row>
    <row r="620" spans="1:5" x14ac:dyDescent="0.25">
      <c r="A620" s="94">
        <v>45924</v>
      </c>
      <c r="B620" s="95">
        <v>511613.321</v>
      </c>
      <c r="C620" s="95">
        <v>4786695.3090000004</v>
      </c>
      <c r="D620" s="95">
        <v>60.570999999999998</v>
      </c>
      <c r="E620" s="91" t="s">
        <v>92</v>
      </c>
    </row>
    <row r="621" spans="1:5" x14ac:dyDescent="0.25">
      <c r="A621" s="94">
        <v>45924</v>
      </c>
      <c r="B621" s="95">
        <v>511614.75400000002</v>
      </c>
      <c r="C621" s="95">
        <v>4786712.5619999999</v>
      </c>
      <c r="D621" s="95">
        <v>60.814</v>
      </c>
      <c r="E621" s="91" t="s">
        <v>93</v>
      </c>
    </row>
    <row r="622" spans="1:5" x14ac:dyDescent="0.25">
      <c r="A622" s="94">
        <v>45924</v>
      </c>
      <c r="B622" s="95">
        <v>511660.66600000003</v>
      </c>
      <c r="C622" s="95">
        <v>4786683.47</v>
      </c>
      <c r="D622" s="95">
        <v>55.404000000000003</v>
      </c>
      <c r="E622" s="91" t="s">
        <v>94</v>
      </c>
    </row>
    <row r="623" spans="1:5" x14ac:dyDescent="0.25">
      <c r="A623" s="94">
        <v>45924</v>
      </c>
      <c r="B623" s="95">
        <v>511670.875</v>
      </c>
      <c r="C623" s="95">
        <v>4786685.9220000003</v>
      </c>
      <c r="D623" s="95">
        <v>54.820999999999998</v>
      </c>
      <c r="E623" s="91" t="s">
        <v>95</v>
      </c>
    </row>
    <row r="624" spans="1:5" x14ac:dyDescent="0.25">
      <c r="A624" s="94">
        <v>45924</v>
      </c>
      <c r="B624" s="95">
        <v>511649.80200000003</v>
      </c>
      <c r="C624" s="95">
        <v>4786669.5020000003</v>
      </c>
      <c r="D624" s="95">
        <v>51.055999999999997</v>
      </c>
      <c r="E624" s="91" t="s">
        <v>99</v>
      </c>
    </row>
    <row r="625" spans="1:5" x14ac:dyDescent="0.25">
      <c r="A625" s="94">
        <v>45924</v>
      </c>
      <c r="B625" s="95">
        <v>511607.55599999998</v>
      </c>
      <c r="C625" s="95">
        <v>4786691.9929999998</v>
      </c>
      <c r="D625" s="95">
        <v>51.061999999999998</v>
      </c>
      <c r="E625" s="91" t="s">
        <v>100</v>
      </c>
    </row>
    <row r="626" spans="1:5" x14ac:dyDescent="0.25">
      <c r="A626" s="94">
        <v>45924</v>
      </c>
      <c r="B626" s="95">
        <v>511607.277</v>
      </c>
      <c r="C626" s="95">
        <v>4786692.1809999999</v>
      </c>
      <c r="D626" s="95">
        <v>51.063000000000002</v>
      </c>
      <c r="E626" s="91" t="s">
        <v>101</v>
      </c>
    </row>
    <row r="627" spans="1:5" x14ac:dyDescent="0.25">
      <c r="A627" s="94">
        <v>45924</v>
      </c>
      <c r="B627" s="95">
        <v>511601.12099999998</v>
      </c>
      <c r="C627" s="95">
        <v>4786695.4289999995</v>
      </c>
      <c r="D627" s="95">
        <v>51.042999999999999</v>
      </c>
      <c r="E627" s="91" t="s">
        <v>102</v>
      </c>
    </row>
    <row r="628" spans="1:5" x14ac:dyDescent="0.25">
      <c r="A628" s="94">
        <v>45925</v>
      </c>
      <c r="B628" s="95">
        <v>511615.10200000001</v>
      </c>
      <c r="C628" s="95">
        <v>4786687.9960000003</v>
      </c>
      <c r="D628" s="95">
        <v>51.042999999999999</v>
      </c>
      <c r="E628" s="91" t="s">
        <v>96</v>
      </c>
    </row>
    <row r="629" spans="1:5" x14ac:dyDescent="0.25">
      <c r="A629" s="94">
        <v>45925</v>
      </c>
      <c r="B629" s="95">
        <v>511628.88900000002</v>
      </c>
      <c r="C629" s="95">
        <v>4786680.6569999997</v>
      </c>
      <c r="D629" s="95">
        <v>51.05</v>
      </c>
      <c r="E629" s="91" t="s">
        <v>97</v>
      </c>
    </row>
    <row r="630" spans="1:5" x14ac:dyDescent="0.25">
      <c r="A630" s="94">
        <v>45925</v>
      </c>
      <c r="B630" s="95">
        <v>511642.587</v>
      </c>
      <c r="C630" s="95">
        <v>4786673.3590000002</v>
      </c>
      <c r="D630" s="95">
        <v>51.057000000000002</v>
      </c>
      <c r="E630" s="91" t="s">
        <v>98</v>
      </c>
    </row>
    <row r="631" spans="1:5" x14ac:dyDescent="0.25">
      <c r="A631" s="94">
        <v>45925</v>
      </c>
      <c r="B631" s="95">
        <v>511649.70500000002</v>
      </c>
      <c r="C631" s="95">
        <v>4786682.165</v>
      </c>
      <c r="D631" s="95">
        <v>56.183999999999997</v>
      </c>
      <c r="E631" s="91" t="s">
        <v>89</v>
      </c>
    </row>
    <row r="632" spans="1:5" x14ac:dyDescent="0.25">
      <c r="A632" s="94">
        <v>45925</v>
      </c>
      <c r="B632" s="95">
        <v>511630.76400000002</v>
      </c>
      <c r="C632" s="95">
        <v>4786689.8669999996</v>
      </c>
      <c r="D632" s="95">
        <v>55.945</v>
      </c>
      <c r="E632" s="91" t="s">
        <v>90</v>
      </c>
    </row>
    <row r="633" spans="1:5" x14ac:dyDescent="0.25">
      <c r="A633" s="94">
        <v>45925</v>
      </c>
      <c r="B633" s="95">
        <v>511623.43599999999</v>
      </c>
      <c r="C633" s="95">
        <v>4786694.08</v>
      </c>
      <c r="D633" s="95">
        <v>54.777000000000001</v>
      </c>
      <c r="E633" s="91" t="s">
        <v>91</v>
      </c>
    </row>
    <row r="634" spans="1:5" x14ac:dyDescent="0.25">
      <c r="A634" s="94">
        <v>45925</v>
      </c>
      <c r="B634" s="95">
        <v>511613.31900000002</v>
      </c>
      <c r="C634" s="95">
        <v>4786695.307</v>
      </c>
      <c r="D634" s="95">
        <v>60.57</v>
      </c>
      <c r="E634" s="91" t="s">
        <v>92</v>
      </c>
    </row>
    <row r="635" spans="1:5" x14ac:dyDescent="0.25">
      <c r="A635" s="94">
        <v>45925</v>
      </c>
      <c r="B635" s="95">
        <v>511614.75400000002</v>
      </c>
      <c r="C635" s="95">
        <v>4786712.5619999999</v>
      </c>
      <c r="D635" s="95">
        <v>60.814999999999998</v>
      </c>
      <c r="E635" s="91" t="s">
        <v>93</v>
      </c>
    </row>
    <row r="636" spans="1:5" x14ac:dyDescent="0.25">
      <c r="A636" s="94">
        <v>45925</v>
      </c>
      <c r="B636" s="95">
        <v>511660.66600000003</v>
      </c>
      <c r="C636" s="95">
        <v>4786683.47</v>
      </c>
      <c r="D636" s="95">
        <v>55.404000000000003</v>
      </c>
      <c r="E636" s="91" t="s">
        <v>94</v>
      </c>
    </row>
    <row r="637" spans="1:5" x14ac:dyDescent="0.25">
      <c r="A637" s="94">
        <v>45925</v>
      </c>
      <c r="B637" s="95">
        <v>511670.87599999999</v>
      </c>
      <c r="C637" s="95">
        <v>4786685.9220000003</v>
      </c>
      <c r="D637" s="95">
        <v>54.820999999999998</v>
      </c>
      <c r="E637" s="91" t="s">
        <v>95</v>
      </c>
    </row>
    <row r="638" spans="1:5" x14ac:dyDescent="0.25">
      <c r="A638" s="94">
        <v>45925</v>
      </c>
      <c r="B638" s="95">
        <v>511649.80300000001</v>
      </c>
      <c r="C638" s="95">
        <v>4786669.5020000003</v>
      </c>
      <c r="D638" s="95">
        <v>51.057000000000002</v>
      </c>
      <c r="E638" s="91" t="s">
        <v>99</v>
      </c>
    </row>
    <row r="639" spans="1:5" x14ac:dyDescent="0.25">
      <c r="A639" s="94">
        <v>45925</v>
      </c>
      <c r="B639" s="95">
        <v>511607.55599999998</v>
      </c>
      <c r="C639" s="95">
        <v>4786691.9929999998</v>
      </c>
      <c r="D639" s="95">
        <v>51.061999999999998</v>
      </c>
      <c r="E639" s="91" t="s">
        <v>100</v>
      </c>
    </row>
    <row r="640" spans="1:5" x14ac:dyDescent="0.25">
      <c r="A640" s="94">
        <v>45925</v>
      </c>
      <c r="B640" s="95">
        <v>511607.27500000002</v>
      </c>
      <c r="C640" s="95">
        <v>4786692.18</v>
      </c>
      <c r="D640" s="95">
        <v>51.063000000000002</v>
      </c>
      <c r="E640" s="91" t="s">
        <v>101</v>
      </c>
    </row>
    <row r="641" spans="1:5" x14ac:dyDescent="0.25">
      <c r="A641" s="94">
        <v>45925</v>
      </c>
      <c r="B641" s="95">
        <v>511601.12</v>
      </c>
      <c r="C641" s="95">
        <v>4786695.4280000003</v>
      </c>
      <c r="D641" s="95">
        <v>51.042999999999999</v>
      </c>
      <c r="E641" s="91" t="s">
        <v>102</v>
      </c>
    </row>
    <row r="642" spans="1:5" x14ac:dyDescent="0.25">
      <c r="A642" s="94">
        <v>45926</v>
      </c>
      <c r="B642" s="95">
        <v>511615.103</v>
      </c>
      <c r="C642" s="95">
        <v>4786687.9950000001</v>
      </c>
      <c r="D642" s="95">
        <v>51.042999999999999</v>
      </c>
      <c r="E642" s="91" t="s">
        <v>96</v>
      </c>
    </row>
    <row r="643" spans="1:5" x14ac:dyDescent="0.25">
      <c r="A643" s="94">
        <v>45926</v>
      </c>
      <c r="B643" s="95">
        <v>511628.88699999999</v>
      </c>
      <c r="C643" s="95">
        <v>4786680.6569999997</v>
      </c>
      <c r="D643" s="95">
        <v>51.05</v>
      </c>
      <c r="E643" s="91" t="s">
        <v>97</v>
      </c>
    </row>
    <row r="644" spans="1:5" x14ac:dyDescent="0.25">
      <c r="A644" s="94">
        <v>45926</v>
      </c>
      <c r="B644" s="95">
        <v>511642.587</v>
      </c>
      <c r="C644" s="95">
        <v>4786673.3600000003</v>
      </c>
      <c r="D644" s="95">
        <v>51.057000000000002</v>
      </c>
      <c r="E644" s="91" t="s">
        <v>98</v>
      </c>
    </row>
    <row r="645" spans="1:5" x14ac:dyDescent="0.25">
      <c r="A645" s="94">
        <v>45926</v>
      </c>
      <c r="B645" s="95">
        <v>511649.70600000001</v>
      </c>
      <c r="C645" s="95">
        <v>4786682.1660000002</v>
      </c>
      <c r="D645" s="95">
        <v>56.183999999999997</v>
      </c>
      <c r="E645" s="91" t="s">
        <v>89</v>
      </c>
    </row>
    <row r="646" spans="1:5" x14ac:dyDescent="0.25">
      <c r="A646" s="94">
        <v>45926</v>
      </c>
      <c r="B646" s="95">
        <v>511630.76500000001</v>
      </c>
      <c r="C646" s="95">
        <v>4786689.8669999996</v>
      </c>
      <c r="D646" s="95">
        <v>55.945</v>
      </c>
      <c r="E646" s="91" t="s">
        <v>90</v>
      </c>
    </row>
    <row r="647" spans="1:5" x14ac:dyDescent="0.25">
      <c r="A647" s="94">
        <v>45926</v>
      </c>
      <c r="B647" s="95">
        <v>511623.43599999999</v>
      </c>
      <c r="C647" s="95">
        <v>4786694.0789999999</v>
      </c>
      <c r="D647" s="95">
        <v>54.777000000000001</v>
      </c>
      <c r="E647" s="91" t="s">
        <v>91</v>
      </c>
    </row>
    <row r="648" spans="1:5" x14ac:dyDescent="0.25">
      <c r="A648" s="94">
        <v>45926</v>
      </c>
      <c r="B648" s="95">
        <v>511613.32</v>
      </c>
      <c r="C648" s="95">
        <v>4786695.3090000004</v>
      </c>
      <c r="D648" s="95">
        <v>60.570999999999998</v>
      </c>
      <c r="E648" s="91" t="s">
        <v>92</v>
      </c>
    </row>
    <row r="649" spans="1:5" x14ac:dyDescent="0.25">
      <c r="A649" s="94">
        <v>45926</v>
      </c>
      <c r="B649" s="95">
        <v>511614.75300000003</v>
      </c>
      <c r="C649" s="95">
        <v>4786712.5619999999</v>
      </c>
      <c r="D649" s="95">
        <v>60.814</v>
      </c>
      <c r="E649" s="91" t="s">
        <v>93</v>
      </c>
    </row>
    <row r="650" spans="1:5" x14ac:dyDescent="0.25">
      <c r="A650" s="94">
        <v>45926</v>
      </c>
      <c r="B650" s="95">
        <v>511660.66800000001</v>
      </c>
      <c r="C650" s="95">
        <v>4786683.47</v>
      </c>
      <c r="D650" s="95">
        <v>55.404000000000003</v>
      </c>
      <c r="E650" s="91" t="s">
        <v>94</v>
      </c>
    </row>
    <row r="651" spans="1:5" x14ac:dyDescent="0.25">
      <c r="A651" s="94">
        <v>45926</v>
      </c>
      <c r="B651" s="95">
        <v>511670.875</v>
      </c>
      <c r="C651" s="95">
        <v>4786685.9220000003</v>
      </c>
      <c r="D651" s="95">
        <v>54.820999999999998</v>
      </c>
      <c r="E651" s="91" t="s">
        <v>95</v>
      </c>
    </row>
    <row r="652" spans="1:5" x14ac:dyDescent="0.25">
      <c r="A652" s="94">
        <v>45926</v>
      </c>
      <c r="B652" s="95">
        <v>511649.804</v>
      </c>
      <c r="C652" s="95">
        <v>4786669.5020000003</v>
      </c>
      <c r="D652" s="95">
        <v>51.057000000000002</v>
      </c>
      <c r="E652" s="91" t="s">
        <v>99</v>
      </c>
    </row>
    <row r="653" spans="1:5" x14ac:dyDescent="0.25">
      <c r="A653" s="94">
        <v>45926</v>
      </c>
      <c r="B653" s="95">
        <v>511607.55699999997</v>
      </c>
      <c r="C653" s="95">
        <v>4786691.9939999999</v>
      </c>
      <c r="D653" s="95">
        <v>51.061999999999998</v>
      </c>
      <c r="E653" s="91" t="s">
        <v>100</v>
      </c>
    </row>
    <row r="654" spans="1:5" x14ac:dyDescent="0.25">
      <c r="A654" s="94">
        <v>45926</v>
      </c>
      <c r="B654" s="95">
        <v>511607.27600000001</v>
      </c>
      <c r="C654" s="95">
        <v>4786692.1809999999</v>
      </c>
      <c r="D654" s="95">
        <v>51.063000000000002</v>
      </c>
      <c r="E654" s="91" t="s">
        <v>101</v>
      </c>
    </row>
    <row r="655" spans="1:5" x14ac:dyDescent="0.25">
      <c r="A655" s="94">
        <v>45926</v>
      </c>
      <c r="B655" s="95">
        <v>511601.12099999998</v>
      </c>
      <c r="C655" s="95">
        <v>4786695.4289999995</v>
      </c>
      <c r="D655" s="95">
        <v>51.042999999999999</v>
      </c>
      <c r="E655" s="91" t="s">
        <v>102</v>
      </c>
    </row>
    <row r="656" spans="1:5" x14ac:dyDescent="0.25">
      <c r="A656" s="94">
        <v>45929</v>
      </c>
      <c r="B656" s="95">
        <v>511615.103</v>
      </c>
      <c r="C656" s="95">
        <v>4786687.9960000003</v>
      </c>
      <c r="D656" s="95">
        <v>51.042999999999999</v>
      </c>
      <c r="E656" s="91" t="s">
        <v>96</v>
      </c>
    </row>
    <row r="657" spans="1:5" x14ac:dyDescent="0.25">
      <c r="A657" s="94">
        <v>45929</v>
      </c>
      <c r="B657" s="95">
        <v>511628.88799999998</v>
      </c>
      <c r="C657" s="95">
        <v>4786680.6569999997</v>
      </c>
      <c r="D657" s="95">
        <v>51.05</v>
      </c>
      <c r="E657" s="91" t="s">
        <v>97</v>
      </c>
    </row>
    <row r="658" spans="1:5" x14ac:dyDescent="0.25">
      <c r="A658" s="94">
        <v>45929</v>
      </c>
      <c r="B658" s="95">
        <v>511642.58899999998</v>
      </c>
      <c r="C658" s="95">
        <v>4786673.3600000003</v>
      </c>
      <c r="D658" s="95">
        <v>51.058</v>
      </c>
      <c r="E658" s="91" t="s">
        <v>98</v>
      </c>
    </row>
    <row r="659" spans="1:5" x14ac:dyDescent="0.25">
      <c r="A659" s="94">
        <v>45929</v>
      </c>
      <c r="B659" s="95">
        <v>511649.70500000002</v>
      </c>
      <c r="C659" s="95">
        <v>4786682.165</v>
      </c>
      <c r="D659" s="95">
        <v>56.183999999999997</v>
      </c>
      <c r="E659" s="91" t="s">
        <v>89</v>
      </c>
    </row>
    <row r="660" spans="1:5" x14ac:dyDescent="0.25">
      <c r="A660" s="94">
        <v>45929</v>
      </c>
      <c r="B660" s="95">
        <v>511630.76500000001</v>
      </c>
      <c r="C660" s="95">
        <v>4786689.8660000004</v>
      </c>
      <c r="D660" s="95">
        <v>55.945</v>
      </c>
      <c r="E660" s="91" t="s">
        <v>90</v>
      </c>
    </row>
    <row r="661" spans="1:5" x14ac:dyDescent="0.25">
      <c r="A661" s="94">
        <v>45929</v>
      </c>
      <c r="B661" s="95">
        <v>511623.43599999999</v>
      </c>
      <c r="C661" s="95">
        <v>4786694.0789999999</v>
      </c>
      <c r="D661" s="95">
        <v>54.777000000000001</v>
      </c>
      <c r="E661" s="91" t="s">
        <v>91</v>
      </c>
    </row>
    <row r="662" spans="1:5" x14ac:dyDescent="0.25">
      <c r="A662" s="94">
        <v>45929</v>
      </c>
      <c r="B662" s="95">
        <v>511613.32</v>
      </c>
      <c r="C662" s="95">
        <v>4786695.3080000002</v>
      </c>
      <c r="D662" s="95">
        <v>60.570999999999998</v>
      </c>
      <c r="E662" s="91" t="s">
        <v>92</v>
      </c>
    </row>
    <row r="663" spans="1:5" x14ac:dyDescent="0.25">
      <c r="A663" s="94">
        <v>45929</v>
      </c>
      <c r="B663" s="95">
        <v>511614.75400000002</v>
      </c>
      <c r="C663" s="95">
        <v>4786712.5619999999</v>
      </c>
      <c r="D663" s="95">
        <v>60.814999999999998</v>
      </c>
      <c r="E663" s="91" t="s">
        <v>93</v>
      </c>
    </row>
    <row r="664" spans="1:5" x14ac:dyDescent="0.25">
      <c r="A664" s="94">
        <v>45929</v>
      </c>
      <c r="B664" s="95">
        <v>511660.66499999998</v>
      </c>
      <c r="C664" s="95">
        <v>4786683.4689999996</v>
      </c>
      <c r="D664" s="95">
        <v>55.404000000000003</v>
      </c>
      <c r="E664" s="91" t="s">
        <v>94</v>
      </c>
    </row>
    <row r="665" spans="1:5" x14ac:dyDescent="0.25">
      <c r="A665" s="94">
        <v>45929</v>
      </c>
      <c r="B665" s="95">
        <v>511670.875</v>
      </c>
      <c r="C665" s="95">
        <v>4786685.9220000003</v>
      </c>
      <c r="D665" s="95">
        <v>54.820999999999998</v>
      </c>
      <c r="E665" s="91" t="s">
        <v>95</v>
      </c>
    </row>
    <row r="666" spans="1:5" x14ac:dyDescent="0.25">
      <c r="A666" s="94">
        <v>45929</v>
      </c>
      <c r="B666" s="95">
        <v>511649.80499999999</v>
      </c>
      <c r="C666" s="95">
        <v>4786669.5020000003</v>
      </c>
      <c r="D666" s="95">
        <v>51.057000000000002</v>
      </c>
      <c r="E666" s="91" t="s">
        <v>99</v>
      </c>
    </row>
    <row r="667" spans="1:5" x14ac:dyDescent="0.25">
      <c r="A667" s="94">
        <v>45929</v>
      </c>
      <c r="B667" s="95">
        <v>511607.55599999998</v>
      </c>
      <c r="C667" s="95">
        <v>4786691.9929999998</v>
      </c>
      <c r="D667" s="95">
        <v>51.061999999999998</v>
      </c>
      <c r="E667" s="91" t="s">
        <v>100</v>
      </c>
    </row>
    <row r="668" spans="1:5" x14ac:dyDescent="0.25">
      <c r="A668" s="94">
        <v>45929</v>
      </c>
      <c r="B668" s="95">
        <v>511607.27500000002</v>
      </c>
      <c r="C668" s="95">
        <v>4786692.18</v>
      </c>
      <c r="D668" s="95">
        <v>51.063000000000002</v>
      </c>
      <c r="E668" s="91" t="s">
        <v>101</v>
      </c>
    </row>
    <row r="669" spans="1:5" x14ac:dyDescent="0.25">
      <c r="A669" s="94">
        <v>45929</v>
      </c>
      <c r="B669" s="95">
        <v>511601.12</v>
      </c>
      <c r="C669" s="95">
        <v>4786695.4280000003</v>
      </c>
      <c r="D669" s="95">
        <v>51.042999999999999</v>
      </c>
      <c r="E669" s="91" t="s">
        <v>102</v>
      </c>
    </row>
    <row r="670" spans="1:5" x14ac:dyDescent="0.25">
      <c r="A670" s="94">
        <v>45930</v>
      </c>
      <c r="B670" s="95">
        <v>511615.10200000001</v>
      </c>
      <c r="C670" s="95">
        <v>4786687.9950000001</v>
      </c>
      <c r="D670" s="95">
        <v>51.042999999999999</v>
      </c>
      <c r="E670" s="91" t="s">
        <v>96</v>
      </c>
    </row>
    <row r="671" spans="1:5" x14ac:dyDescent="0.25">
      <c r="A671" s="94">
        <v>45930</v>
      </c>
      <c r="B671" s="95">
        <v>511628.88799999998</v>
      </c>
      <c r="C671" s="95">
        <v>4786680.6579999998</v>
      </c>
      <c r="D671" s="95">
        <v>51.05</v>
      </c>
      <c r="E671" s="91" t="s">
        <v>97</v>
      </c>
    </row>
    <row r="672" spans="1:5" x14ac:dyDescent="0.25">
      <c r="A672" s="94">
        <v>45930</v>
      </c>
      <c r="B672" s="95">
        <v>511649.70500000002</v>
      </c>
      <c r="C672" s="95">
        <v>4786682.1660000002</v>
      </c>
      <c r="D672" s="95">
        <v>56.183999999999997</v>
      </c>
      <c r="E672" s="91" t="s">
        <v>89</v>
      </c>
    </row>
    <row r="673" spans="1:5" x14ac:dyDescent="0.25">
      <c r="A673" s="94">
        <v>45930</v>
      </c>
      <c r="B673" s="95">
        <v>511630.76400000002</v>
      </c>
      <c r="C673" s="95">
        <v>4786689.8660000004</v>
      </c>
      <c r="D673" s="95">
        <v>55.945</v>
      </c>
      <c r="E673" s="91" t="s">
        <v>90</v>
      </c>
    </row>
    <row r="674" spans="1:5" x14ac:dyDescent="0.25">
      <c r="A674" s="94">
        <v>45930</v>
      </c>
      <c r="B674" s="95">
        <v>511623.435</v>
      </c>
      <c r="C674" s="95">
        <v>4786694.0779999997</v>
      </c>
      <c r="D674" s="95">
        <v>54.777000000000001</v>
      </c>
      <c r="E674" s="91" t="s">
        <v>91</v>
      </c>
    </row>
    <row r="675" spans="1:5" x14ac:dyDescent="0.25">
      <c r="A675" s="94">
        <v>45930</v>
      </c>
      <c r="B675" s="95">
        <v>511613.32</v>
      </c>
      <c r="C675" s="95">
        <v>4786695.3090000004</v>
      </c>
      <c r="D675" s="95">
        <v>60.570999999999998</v>
      </c>
      <c r="E675" s="91" t="s">
        <v>92</v>
      </c>
    </row>
    <row r="676" spans="1:5" x14ac:dyDescent="0.25">
      <c r="A676" s="94">
        <v>45930</v>
      </c>
      <c r="B676" s="95">
        <v>511614.75400000002</v>
      </c>
      <c r="C676" s="95">
        <v>4786712.5619999999</v>
      </c>
      <c r="D676" s="95">
        <v>60.814999999999998</v>
      </c>
      <c r="E676" s="91" t="s">
        <v>93</v>
      </c>
    </row>
    <row r="677" spans="1:5" x14ac:dyDescent="0.25">
      <c r="A677" s="94">
        <v>45930</v>
      </c>
      <c r="B677" s="95">
        <v>511660.66600000003</v>
      </c>
      <c r="C677" s="95">
        <v>4786683.47</v>
      </c>
      <c r="D677" s="95">
        <v>55.404000000000003</v>
      </c>
      <c r="E677" s="91" t="s">
        <v>94</v>
      </c>
    </row>
    <row r="678" spans="1:5" x14ac:dyDescent="0.25">
      <c r="A678" s="94">
        <v>45930</v>
      </c>
      <c r="B678" s="95">
        <v>511670.87599999999</v>
      </c>
      <c r="C678" s="95">
        <v>4786685.9220000003</v>
      </c>
      <c r="D678" s="95">
        <v>54.820999999999998</v>
      </c>
      <c r="E678" s="91" t="s">
        <v>95</v>
      </c>
    </row>
    <row r="679" spans="1:5" x14ac:dyDescent="0.25">
      <c r="A679" s="94">
        <v>45930</v>
      </c>
      <c r="B679" s="95">
        <v>511607.55800000002</v>
      </c>
      <c r="C679" s="95">
        <v>4786691.9939999999</v>
      </c>
      <c r="D679" s="95">
        <v>51.061999999999998</v>
      </c>
      <c r="E679" s="91" t="s">
        <v>100</v>
      </c>
    </row>
    <row r="680" spans="1:5" x14ac:dyDescent="0.25">
      <c r="A680" s="94">
        <v>45930</v>
      </c>
      <c r="B680" s="95">
        <v>511607.27600000001</v>
      </c>
      <c r="C680" s="95">
        <v>4786692.1809999999</v>
      </c>
      <c r="D680" s="95">
        <v>51.063000000000002</v>
      </c>
      <c r="E680" s="91" t="s">
        <v>101</v>
      </c>
    </row>
    <row r="681" spans="1:5" x14ac:dyDescent="0.25">
      <c r="A681" s="94">
        <v>45930</v>
      </c>
      <c r="B681" s="95">
        <v>511601.12099999998</v>
      </c>
      <c r="C681" s="95">
        <v>4786695.4289999995</v>
      </c>
      <c r="D681" s="95">
        <v>51.042999999999999</v>
      </c>
      <c r="E681" s="91" t="s">
        <v>102</v>
      </c>
    </row>
    <row r="682" spans="1:5" x14ac:dyDescent="0.25">
      <c r="A682" s="94">
        <v>45931</v>
      </c>
      <c r="B682" s="95">
        <v>511615.10200000001</v>
      </c>
      <c r="C682" s="95">
        <v>4786687.9960000003</v>
      </c>
      <c r="D682" s="95">
        <v>51.042999999999999</v>
      </c>
      <c r="E682" s="91" t="s">
        <v>96</v>
      </c>
    </row>
    <row r="683" spans="1:5" x14ac:dyDescent="0.25">
      <c r="A683" s="94">
        <v>45931</v>
      </c>
      <c r="B683" s="95">
        <v>511628.886</v>
      </c>
      <c r="C683" s="95">
        <v>4786680.6569999997</v>
      </c>
      <c r="D683" s="95">
        <v>51.048999999999999</v>
      </c>
      <c r="E683" s="91" t="s">
        <v>97</v>
      </c>
    </row>
    <row r="684" spans="1:5" x14ac:dyDescent="0.25">
      <c r="A684" s="94">
        <v>45931</v>
      </c>
      <c r="B684" s="95">
        <v>511642.587</v>
      </c>
      <c r="C684" s="95">
        <v>4786673.3600000003</v>
      </c>
      <c r="D684" s="95">
        <v>51.057000000000002</v>
      </c>
      <c r="E684" s="91" t="s">
        <v>98</v>
      </c>
    </row>
    <row r="685" spans="1:5" x14ac:dyDescent="0.25">
      <c r="A685" s="94">
        <v>45931</v>
      </c>
      <c r="B685" s="95">
        <v>511649.70400000003</v>
      </c>
      <c r="C685" s="95">
        <v>4786682.165</v>
      </c>
      <c r="D685" s="95">
        <v>56.183</v>
      </c>
      <c r="E685" s="91" t="s">
        <v>89</v>
      </c>
    </row>
    <row r="686" spans="1:5" x14ac:dyDescent="0.25">
      <c r="A686" s="94">
        <v>45931</v>
      </c>
      <c r="B686" s="95">
        <v>511630.76400000002</v>
      </c>
      <c r="C686" s="95">
        <v>4786689.8669999996</v>
      </c>
      <c r="D686" s="95">
        <v>55.944000000000003</v>
      </c>
      <c r="E686" s="91" t="s">
        <v>90</v>
      </c>
    </row>
    <row r="687" spans="1:5" x14ac:dyDescent="0.25">
      <c r="A687" s="94">
        <v>45931</v>
      </c>
      <c r="B687" s="95">
        <v>511623.43400000001</v>
      </c>
      <c r="C687" s="95">
        <v>4786694.0779999997</v>
      </c>
      <c r="D687" s="95">
        <v>54.776000000000003</v>
      </c>
      <c r="E687" s="91" t="s">
        <v>91</v>
      </c>
    </row>
    <row r="688" spans="1:5" x14ac:dyDescent="0.25">
      <c r="A688" s="94">
        <v>45931</v>
      </c>
      <c r="B688" s="95">
        <v>511613.31900000002</v>
      </c>
      <c r="C688" s="95">
        <v>4786695.3080000002</v>
      </c>
      <c r="D688" s="95">
        <v>60.57</v>
      </c>
      <c r="E688" s="91" t="s">
        <v>92</v>
      </c>
    </row>
    <row r="689" spans="1:5" x14ac:dyDescent="0.25">
      <c r="A689" s="94">
        <v>45931</v>
      </c>
      <c r="B689" s="95">
        <v>511614.75300000003</v>
      </c>
      <c r="C689" s="95">
        <v>4786712.5619999999</v>
      </c>
      <c r="D689" s="95">
        <v>60.813000000000002</v>
      </c>
      <c r="E689" s="91" t="s">
        <v>93</v>
      </c>
    </row>
    <row r="690" spans="1:5" x14ac:dyDescent="0.25">
      <c r="A690" s="94">
        <v>45931</v>
      </c>
      <c r="B690" s="95">
        <v>511660.66600000003</v>
      </c>
      <c r="C690" s="95">
        <v>4786683.47</v>
      </c>
      <c r="D690" s="95">
        <v>55.404000000000003</v>
      </c>
      <c r="E690" s="91" t="s">
        <v>94</v>
      </c>
    </row>
    <row r="691" spans="1:5" x14ac:dyDescent="0.25">
      <c r="A691" s="94">
        <v>45931</v>
      </c>
      <c r="B691" s="95">
        <v>511670.87400000001</v>
      </c>
      <c r="C691" s="95">
        <v>4786685.9210000001</v>
      </c>
      <c r="D691" s="95">
        <v>54.820999999999998</v>
      </c>
      <c r="E691" s="91" t="s">
        <v>95</v>
      </c>
    </row>
    <row r="692" spans="1:5" x14ac:dyDescent="0.25">
      <c r="A692" s="94">
        <v>45931</v>
      </c>
      <c r="B692" s="95">
        <v>511649.80200000003</v>
      </c>
      <c r="C692" s="95">
        <v>4786669.5020000003</v>
      </c>
      <c r="D692" s="95">
        <v>51.057000000000002</v>
      </c>
      <c r="E692" s="91" t="s">
        <v>99</v>
      </c>
    </row>
    <row r="693" spans="1:5" x14ac:dyDescent="0.25">
      <c r="A693" s="94">
        <v>45931</v>
      </c>
      <c r="B693" s="95">
        <v>511607.55699999997</v>
      </c>
      <c r="C693" s="95">
        <v>4786691.9929999998</v>
      </c>
      <c r="D693" s="95">
        <v>51.061999999999998</v>
      </c>
      <c r="E693" s="91" t="s">
        <v>100</v>
      </c>
    </row>
    <row r="694" spans="1:5" x14ac:dyDescent="0.25">
      <c r="A694" s="94">
        <v>45931</v>
      </c>
      <c r="B694" s="95">
        <v>511607.27500000002</v>
      </c>
      <c r="C694" s="95">
        <v>4786692.18</v>
      </c>
      <c r="D694" s="95">
        <v>51.063000000000002</v>
      </c>
      <c r="E694" s="91" t="s">
        <v>101</v>
      </c>
    </row>
    <row r="695" spans="1:5" x14ac:dyDescent="0.25">
      <c r="A695" s="94">
        <v>45931</v>
      </c>
      <c r="B695" s="95">
        <v>511601.12099999998</v>
      </c>
      <c r="C695" s="95">
        <v>4786695.43</v>
      </c>
      <c r="D695" s="95">
        <v>51.042999999999999</v>
      </c>
      <c r="E695" s="91" t="s">
        <v>102</v>
      </c>
    </row>
    <row r="696" spans="1:5" x14ac:dyDescent="0.25">
      <c r="A696" s="94">
        <v>45932</v>
      </c>
      <c r="B696" s="95">
        <v>511615.10200000001</v>
      </c>
      <c r="C696" s="95">
        <v>4786687.9950000001</v>
      </c>
      <c r="D696" s="95">
        <v>51.042999999999999</v>
      </c>
      <c r="E696" s="91" t="s">
        <v>96</v>
      </c>
    </row>
    <row r="697" spans="1:5" x14ac:dyDescent="0.25">
      <c r="A697" s="94">
        <v>45932</v>
      </c>
      <c r="B697" s="95">
        <v>511628.88699999999</v>
      </c>
      <c r="C697" s="95">
        <v>4786680.6560000004</v>
      </c>
      <c r="D697" s="95">
        <v>51.048999999999999</v>
      </c>
      <c r="E697" s="91" t="s">
        <v>97</v>
      </c>
    </row>
    <row r="698" spans="1:5" x14ac:dyDescent="0.25">
      <c r="A698" s="94">
        <v>45932</v>
      </c>
      <c r="B698" s="95">
        <v>511642.587</v>
      </c>
      <c r="C698" s="95">
        <v>4786673.3590000002</v>
      </c>
      <c r="D698" s="95">
        <v>51.057000000000002</v>
      </c>
      <c r="E698" s="91" t="s">
        <v>98</v>
      </c>
    </row>
    <row r="699" spans="1:5" x14ac:dyDescent="0.25">
      <c r="A699" s="94">
        <v>45932</v>
      </c>
      <c r="B699" s="95">
        <v>511649.70500000002</v>
      </c>
      <c r="C699" s="95">
        <v>4786682.1639999999</v>
      </c>
      <c r="D699" s="95">
        <v>56.183999999999997</v>
      </c>
      <c r="E699" s="91" t="s">
        <v>89</v>
      </c>
    </row>
    <row r="700" spans="1:5" x14ac:dyDescent="0.25">
      <c r="A700" s="94">
        <v>45932</v>
      </c>
      <c r="B700" s="95">
        <v>511630.76400000002</v>
      </c>
      <c r="C700" s="95">
        <v>4786689.8660000004</v>
      </c>
      <c r="D700" s="95">
        <v>55.945</v>
      </c>
      <c r="E700" s="91" t="s">
        <v>90</v>
      </c>
    </row>
    <row r="701" spans="1:5" x14ac:dyDescent="0.25">
      <c r="A701" s="94">
        <v>45932</v>
      </c>
      <c r="B701" s="95">
        <v>511623.435</v>
      </c>
      <c r="C701" s="95">
        <v>4786694.0789999999</v>
      </c>
      <c r="D701" s="95">
        <v>54.777000000000001</v>
      </c>
      <c r="E701" s="91" t="s">
        <v>91</v>
      </c>
    </row>
    <row r="702" spans="1:5" x14ac:dyDescent="0.25">
      <c r="A702" s="94">
        <v>45932</v>
      </c>
      <c r="B702" s="95">
        <v>511613.31900000002</v>
      </c>
      <c r="C702" s="95">
        <v>4786695.3080000002</v>
      </c>
      <c r="D702" s="95">
        <v>60.57</v>
      </c>
      <c r="E702" s="91" t="s">
        <v>92</v>
      </c>
    </row>
    <row r="703" spans="1:5" x14ac:dyDescent="0.25">
      <c r="A703" s="94">
        <v>45932</v>
      </c>
      <c r="B703" s="95">
        <v>511614.75400000002</v>
      </c>
      <c r="C703" s="95">
        <v>4786712.5619999999</v>
      </c>
      <c r="D703" s="95">
        <v>60.814</v>
      </c>
      <c r="E703" s="91" t="s">
        <v>93</v>
      </c>
    </row>
    <row r="704" spans="1:5" x14ac:dyDescent="0.25">
      <c r="A704" s="94">
        <v>45932</v>
      </c>
      <c r="B704" s="95">
        <v>511660.66600000003</v>
      </c>
      <c r="C704" s="95">
        <v>4786683.47</v>
      </c>
      <c r="D704" s="95">
        <v>55.404000000000003</v>
      </c>
      <c r="E704" s="91" t="s">
        <v>94</v>
      </c>
    </row>
    <row r="705" spans="1:5" x14ac:dyDescent="0.25">
      <c r="A705" s="94">
        <v>45932</v>
      </c>
      <c r="B705" s="95">
        <v>511670.87599999999</v>
      </c>
      <c r="C705" s="95">
        <v>4786685.9220000003</v>
      </c>
      <c r="D705" s="95">
        <v>54.820999999999998</v>
      </c>
      <c r="E705" s="91" t="s">
        <v>95</v>
      </c>
    </row>
    <row r="706" spans="1:5" x14ac:dyDescent="0.25">
      <c r="A706" s="94">
        <v>45932</v>
      </c>
      <c r="B706" s="95">
        <v>511649.80200000003</v>
      </c>
      <c r="C706" s="95">
        <v>4786669.5020000003</v>
      </c>
      <c r="D706" s="95">
        <v>51.057000000000002</v>
      </c>
      <c r="E706" s="91" t="s">
        <v>99</v>
      </c>
    </row>
    <row r="707" spans="1:5" x14ac:dyDescent="0.25">
      <c r="A707" s="94">
        <v>45932</v>
      </c>
      <c r="B707" s="95">
        <v>511607.55699999997</v>
      </c>
      <c r="C707" s="95">
        <v>4786691.9929999998</v>
      </c>
      <c r="D707" s="95">
        <v>51.061999999999998</v>
      </c>
      <c r="E707" s="91" t="s">
        <v>100</v>
      </c>
    </row>
    <row r="708" spans="1:5" x14ac:dyDescent="0.25">
      <c r="A708" s="94">
        <v>45932</v>
      </c>
      <c r="B708" s="95">
        <v>511607.27600000001</v>
      </c>
      <c r="C708" s="95">
        <v>4786692.1809999999</v>
      </c>
      <c r="D708" s="95">
        <v>51.063000000000002</v>
      </c>
      <c r="E708" s="91" t="s">
        <v>101</v>
      </c>
    </row>
    <row r="709" spans="1:5" x14ac:dyDescent="0.25">
      <c r="A709" s="94">
        <v>45932</v>
      </c>
      <c r="B709" s="95">
        <v>511601.12199999997</v>
      </c>
      <c r="C709" s="95">
        <v>4786695.43</v>
      </c>
      <c r="D709" s="95">
        <v>51.042999999999999</v>
      </c>
      <c r="E709" s="91" t="s">
        <v>102</v>
      </c>
    </row>
    <row r="710" spans="1:5" x14ac:dyDescent="0.25">
      <c r="A710" s="94">
        <v>45933</v>
      </c>
      <c r="B710" s="95">
        <v>511615.10200000001</v>
      </c>
      <c r="C710" s="95">
        <v>4786687.9950000001</v>
      </c>
      <c r="D710" s="95">
        <v>51.043999999999997</v>
      </c>
      <c r="E710" s="91" t="s">
        <v>96</v>
      </c>
    </row>
    <row r="711" spans="1:5" x14ac:dyDescent="0.25">
      <c r="A711" s="94">
        <v>45933</v>
      </c>
      <c r="B711" s="95">
        <v>511628.886</v>
      </c>
      <c r="C711" s="95">
        <v>4786680.6550000003</v>
      </c>
      <c r="D711" s="95">
        <v>51.05</v>
      </c>
      <c r="E711" s="91" t="s">
        <v>97</v>
      </c>
    </row>
    <row r="712" spans="1:5" x14ac:dyDescent="0.25">
      <c r="A712" s="94">
        <v>45933</v>
      </c>
      <c r="B712" s="95">
        <v>511642.58799999999</v>
      </c>
      <c r="C712" s="95">
        <v>4786673.3590000002</v>
      </c>
      <c r="D712" s="95">
        <v>51.058</v>
      </c>
      <c r="E712" s="91" t="s">
        <v>98</v>
      </c>
    </row>
    <row r="713" spans="1:5" x14ac:dyDescent="0.25">
      <c r="A713" s="94">
        <v>45933</v>
      </c>
      <c r="B713" s="95">
        <v>511649.70400000003</v>
      </c>
      <c r="C713" s="95">
        <v>4786682.1629999997</v>
      </c>
      <c r="D713" s="95">
        <v>56.183999999999997</v>
      </c>
      <c r="E713" s="91" t="s">
        <v>89</v>
      </c>
    </row>
    <row r="714" spans="1:5" x14ac:dyDescent="0.25">
      <c r="A714" s="94">
        <v>45933</v>
      </c>
      <c r="B714" s="95">
        <v>511630.76299999998</v>
      </c>
      <c r="C714" s="95">
        <v>4786689.8650000002</v>
      </c>
      <c r="D714" s="95">
        <v>55.945</v>
      </c>
      <c r="E714" s="91" t="s">
        <v>90</v>
      </c>
    </row>
    <row r="715" spans="1:5" x14ac:dyDescent="0.25">
      <c r="A715" s="94">
        <v>45933</v>
      </c>
      <c r="B715" s="95">
        <v>511623.435</v>
      </c>
      <c r="C715" s="95">
        <v>4786694.0779999997</v>
      </c>
      <c r="D715" s="95">
        <v>54.777000000000001</v>
      </c>
      <c r="E715" s="91" t="s">
        <v>91</v>
      </c>
    </row>
    <row r="716" spans="1:5" x14ac:dyDescent="0.25">
      <c r="A716" s="94">
        <v>45933</v>
      </c>
      <c r="B716" s="95">
        <v>511613.31900000002</v>
      </c>
      <c r="C716" s="95">
        <v>4786695.307</v>
      </c>
      <c r="D716" s="95">
        <v>60.570999999999998</v>
      </c>
      <c r="E716" s="91" t="s">
        <v>92</v>
      </c>
    </row>
    <row r="717" spans="1:5" x14ac:dyDescent="0.25">
      <c r="A717" s="94">
        <v>45933</v>
      </c>
      <c r="B717" s="95">
        <v>511614.75400000002</v>
      </c>
      <c r="C717" s="95">
        <v>4786712.5609999998</v>
      </c>
      <c r="D717" s="95">
        <v>60.814999999999998</v>
      </c>
      <c r="E717" s="91" t="s">
        <v>93</v>
      </c>
    </row>
    <row r="718" spans="1:5" x14ac:dyDescent="0.25">
      <c r="A718" s="94">
        <v>45933</v>
      </c>
      <c r="B718" s="95">
        <v>511660.66499999998</v>
      </c>
      <c r="C718" s="95">
        <v>4786683.4689999996</v>
      </c>
      <c r="D718" s="95">
        <v>55.404000000000003</v>
      </c>
      <c r="E718" s="91" t="s">
        <v>94</v>
      </c>
    </row>
    <row r="719" spans="1:5" x14ac:dyDescent="0.25">
      <c r="A719" s="94">
        <v>45933</v>
      </c>
      <c r="B719" s="95">
        <v>511670.87400000001</v>
      </c>
      <c r="C719" s="95">
        <v>4786685.9210000001</v>
      </c>
      <c r="D719" s="95">
        <v>54.820999999999998</v>
      </c>
      <c r="E719" s="91" t="s">
        <v>95</v>
      </c>
    </row>
    <row r="720" spans="1:5" x14ac:dyDescent="0.25">
      <c r="A720" s="94">
        <v>45933</v>
      </c>
      <c r="B720" s="95">
        <v>511649.799</v>
      </c>
      <c r="C720" s="95">
        <v>4786669.5010000002</v>
      </c>
      <c r="D720" s="95">
        <v>51.057000000000002</v>
      </c>
      <c r="E720" s="91" t="s">
        <v>99</v>
      </c>
    </row>
    <row r="721" spans="1:5" x14ac:dyDescent="0.25">
      <c r="A721" s="94">
        <v>45933</v>
      </c>
      <c r="B721" s="95">
        <v>511607.55699999997</v>
      </c>
      <c r="C721" s="95">
        <v>4786691.9929999998</v>
      </c>
      <c r="D721" s="95">
        <v>51.061999999999998</v>
      </c>
      <c r="E721" s="91" t="s">
        <v>100</v>
      </c>
    </row>
    <row r="722" spans="1:5" x14ac:dyDescent="0.25">
      <c r="A722" s="94">
        <v>45933</v>
      </c>
      <c r="B722" s="95">
        <v>511607.27500000002</v>
      </c>
      <c r="C722" s="95">
        <v>4786692.18</v>
      </c>
      <c r="D722" s="95">
        <v>51.063000000000002</v>
      </c>
      <c r="E722" s="91" t="s">
        <v>101</v>
      </c>
    </row>
    <row r="723" spans="1:5" x14ac:dyDescent="0.25">
      <c r="A723" s="94">
        <v>45933</v>
      </c>
      <c r="B723" s="95">
        <v>511601.12099999998</v>
      </c>
      <c r="C723" s="95">
        <v>4786695.4289999995</v>
      </c>
      <c r="D723" s="95">
        <v>51.042999999999999</v>
      </c>
      <c r="E723" s="91" t="s">
        <v>102</v>
      </c>
    </row>
    <row r="724" spans="1:5" x14ac:dyDescent="0.25">
      <c r="A724" s="94">
        <v>45936</v>
      </c>
      <c r="B724" s="95">
        <v>511615.103</v>
      </c>
      <c r="C724" s="95">
        <v>4786687.9960000003</v>
      </c>
      <c r="D724" s="95">
        <v>51.042999999999999</v>
      </c>
      <c r="E724" s="91" t="s">
        <v>96</v>
      </c>
    </row>
    <row r="725" spans="1:5" x14ac:dyDescent="0.25">
      <c r="A725" s="94">
        <v>45936</v>
      </c>
      <c r="B725" s="95">
        <v>511628.88699999999</v>
      </c>
      <c r="C725" s="95">
        <v>4786680.6569999997</v>
      </c>
      <c r="D725" s="95">
        <v>51.048999999999999</v>
      </c>
      <c r="E725" s="91" t="s">
        <v>97</v>
      </c>
    </row>
    <row r="726" spans="1:5" x14ac:dyDescent="0.25">
      <c r="A726" s="94">
        <v>45936</v>
      </c>
      <c r="B726" s="95">
        <v>511642.58799999999</v>
      </c>
      <c r="C726" s="95">
        <v>4786673.3600000003</v>
      </c>
      <c r="D726" s="95">
        <v>51.057000000000002</v>
      </c>
      <c r="E726" s="91" t="s">
        <v>98</v>
      </c>
    </row>
    <row r="727" spans="1:5" x14ac:dyDescent="0.25">
      <c r="A727" s="94">
        <v>45936</v>
      </c>
      <c r="B727" s="95">
        <v>511649.70600000001</v>
      </c>
      <c r="C727" s="95">
        <v>4786682.1660000002</v>
      </c>
      <c r="D727" s="95">
        <v>56.183999999999997</v>
      </c>
      <c r="E727" s="91" t="s">
        <v>89</v>
      </c>
    </row>
    <row r="728" spans="1:5" x14ac:dyDescent="0.25">
      <c r="A728" s="94">
        <v>45936</v>
      </c>
      <c r="B728" s="95">
        <v>511630.76400000002</v>
      </c>
      <c r="C728" s="95">
        <v>4786689.8679999998</v>
      </c>
      <c r="D728" s="95">
        <v>55.945</v>
      </c>
      <c r="E728" s="91" t="s">
        <v>90</v>
      </c>
    </row>
    <row r="729" spans="1:5" x14ac:dyDescent="0.25">
      <c r="A729" s="94">
        <v>45936</v>
      </c>
      <c r="B729" s="95">
        <v>511623.43599999999</v>
      </c>
      <c r="C729" s="95">
        <v>4786694.08</v>
      </c>
      <c r="D729" s="95">
        <v>54.777000000000001</v>
      </c>
      <c r="E729" s="91" t="s">
        <v>91</v>
      </c>
    </row>
    <row r="730" spans="1:5" x14ac:dyDescent="0.25">
      <c r="A730" s="94">
        <v>45936</v>
      </c>
      <c r="B730" s="95">
        <v>511613.31900000002</v>
      </c>
      <c r="C730" s="95">
        <v>4786695.3090000004</v>
      </c>
      <c r="D730" s="95">
        <v>60.570999999999998</v>
      </c>
      <c r="E730" s="91" t="s">
        <v>92</v>
      </c>
    </row>
    <row r="731" spans="1:5" x14ac:dyDescent="0.25">
      <c r="A731" s="94">
        <v>45936</v>
      </c>
      <c r="B731" s="95">
        <v>511614.75400000002</v>
      </c>
      <c r="C731" s="95">
        <v>4786712.5630000001</v>
      </c>
      <c r="D731" s="95">
        <v>60.814</v>
      </c>
      <c r="E731" s="91" t="s">
        <v>93</v>
      </c>
    </row>
    <row r="732" spans="1:5" x14ac:dyDescent="0.25">
      <c r="A732" s="94">
        <v>45936</v>
      </c>
      <c r="B732" s="95">
        <v>511660.66600000003</v>
      </c>
      <c r="C732" s="95">
        <v>4786683.47</v>
      </c>
      <c r="D732" s="95">
        <v>55.404000000000003</v>
      </c>
      <c r="E732" s="91" t="s">
        <v>94</v>
      </c>
    </row>
    <row r="733" spans="1:5" x14ac:dyDescent="0.25">
      <c r="A733" s="94">
        <v>45936</v>
      </c>
      <c r="B733" s="95">
        <v>511670.875</v>
      </c>
      <c r="C733" s="95">
        <v>4786685.9220000003</v>
      </c>
      <c r="D733" s="95">
        <v>54.820999999999998</v>
      </c>
      <c r="E733" s="91" t="s">
        <v>95</v>
      </c>
    </row>
    <row r="734" spans="1:5" x14ac:dyDescent="0.25">
      <c r="A734" s="94">
        <v>45936</v>
      </c>
      <c r="B734" s="95">
        <v>511649.8</v>
      </c>
      <c r="C734" s="95">
        <v>4786669.5010000002</v>
      </c>
      <c r="D734" s="95">
        <v>51.057000000000002</v>
      </c>
      <c r="E734" s="91" t="s">
        <v>99</v>
      </c>
    </row>
    <row r="735" spans="1:5" x14ac:dyDescent="0.25">
      <c r="A735" s="94">
        <v>45936</v>
      </c>
      <c r="B735" s="95">
        <v>511607.55699999997</v>
      </c>
      <c r="C735" s="95">
        <v>4786691.9939999999</v>
      </c>
      <c r="D735" s="95">
        <v>51.061999999999998</v>
      </c>
      <c r="E735" s="91" t="s">
        <v>100</v>
      </c>
    </row>
    <row r="736" spans="1:5" x14ac:dyDescent="0.25">
      <c r="A736" s="94">
        <v>45936</v>
      </c>
      <c r="B736" s="95">
        <v>511607.277</v>
      </c>
      <c r="C736" s="95">
        <v>4786692.1809999999</v>
      </c>
      <c r="D736" s="95">
        <v>51.063000000000002</v>
      </c>
      <c r="E736" s="91" t="s">
        <v>101</v>
      </c>
    </row>
    <row r="737" spans="1:5" x14ac:dyDescent="0.25">
      <c r="A737" s="94">
        <v>45936</v>
      </c>
      <c r="B737" s="95">
        <v>511601.12099999998</v>
      </c>
      <c r="C737" s="95">
        <v>4786695.4289999995</v>
      </c>
      <c r="D737" s="95">
        <v>51.042999999999999</v>
      </c>
      <c r="E737" s="91" t="s">
        <v>102</v>
      </c>
    </row>
    <row r="738" spans="1:5" x14ac:dyDescent="0.25">
      <c r="A738" s="94">
        <v>45937</v>
      </c>
      <c r="B738" s="95">
        <v>511615.10200000001</v>
      </c>
      <c r="C738" s="95">
        <v>4786687.9950000001</v>
      </c>
      <c r="D738" s="95">
        <v>51.043999999999997</v>
      </c>
      <c r="E738" s="91" t="s">
        <v>96</v>
      </c>
    </row>
    <row r="739" spans="1:5" x14ac:dyDescent="0.25">
      <c r="A739" s="94">
        <v>45937</v>
      </c>
      <c r="B739" s="95">
        <v>511628.88699999999</v>
      </c>
      <c r="C739" s="95">
        <v>4786680.6550000003</v>
      </c>
      <c r="D739" s="95">
        <v>51.05</v>
      </c>
      <c r="E739" s="91" t="s">
        <v>97</v>
      </c>
    </row>
    <row r="740" spans="1:5" x14ac:dyDescent="0.25">
      <c r="A740" s="94">
        <v>45937</v>
      </c>
      <c r="B740" s="95">
        <v>511642.58600000001</v>
      </c>
      <c r="C740" s="95">
        <v>4786673.3590000002</v>
      </c>
      <c r="D740" s="95">
        <v>51.057000000000002</v>
      </c>
      <c r="E740" s="91" t="s">
        <v>98</v>
      </c>
    </row>
    <row r="741" spans="1:5" x14ac:dyDescent="0.25">
      <c r="A741" s="94">
        <v>45937</v>
      </c>
      <c r="B741" s="95">
        <v>511649.70500000002</v>
      </c>
      <c r="C741" s="95">
        <v>4786682.1639999999</v>
      </c>
      <c r="D741" s="95">
        <v>56.183999999999997</v>
      </c>
      <c r="E741" s="91" t="s">
        <v>89</v>
      </c>
    </row>
    <row r="742" spans="1:5" x14ac:dyDescent="0.25">
      <c r="A742" s="94">
        <v>45937</v>
      </c>
      <c r="B742" s="95">
        <v>511630.76500000001</v>
      </c>
      <c r="C742" s="95">
        <v>4786689.8660000004</v>
      </c>
      <c r="D742" s="95">
        <v>55.945</v>
      </c>
      <c r="E742" s="91" t="s">
        <v>90</v>
      </c>
    </row>
    <row r="743" spans="1:5" x14ac:dyDescent="0.25">
      <c r="A743" s="94">
        <v>45937</v>
      </c>
      <c r="B743" s="95">
        <v>511623.43599999999</v>
      </c>
      <c r="C743" s="95">
        <v>4786694.0789999999</v>
      </c>
      <c r="D743" s="95">
        <v>54.777999999999999</v>
      </c>
      <c r="E743" s="91" t="s">
        <v>91</v>
      </c>
    </row>
    <row r="744" spans="1:5" x14ac:dyDescent="0.25">
      <c r="A744" s="94">
        <v>45937</v>
      </c>
      <c r="B744" s="95">
        <v>511613.31900000002</v>
      </c>
      <c r="C744" s="95">
        <v>4786695.3080000002</v>
      </c>
      <c r="D744" s="95">
        <v>60.570999999999998</v>
      </c>
      <c r="E744" s="91" t="s">
        <v>92</v>
      </c>
    </row>
    <row r="745" spans="1:5" x14ac:dyDescent="0.25">
      <c r="A745" s="94">
        <v>45937</v>
      </c>
      <c r="B745" s="95">
        <v>511614.75400000002</v>
      </c>
      <c r="C745" s="95">
        <v>4786712.5619999999</v>
      </c>
      <c r="D745" s="95">
        <v>60.814999999999998</v>
      </c>
      <c r="E745" s="91" t="s">
        <v>93</v>
      </c>
    </row>
    <row r="746" spans="1:5" x14ac:dyDescent="0.25">
      <c r="A746" s="94">
        <v>45937</v>
      </c>
      <c r="B746" s="95">
        <v>511660.66499999998</v>
      </c>
      <c r="C746" s="95">
        <v>4786683.4689999996</v>
      </c>
      <c r="D746" s="95">
        <v>55.404000000000003</v>
      </c>
      <c r="E746" s="91" t="s">
        <v>94</v>
      </c>
    </row>
    <row r="747" spans="1:5" x14ac:dyDescent="0.25">
      <c r="A747" s="94">
        <v>45937</v>
      </c>
      <c r="B747" s="95">
        <v>511670.87599999999</v>
      </c>
      <c r="C747" s="95">
        <v>4786685.9220000003</v>
      </c>
      <c r="D747" s="95">
        <v>54.820999999999998</v>
      </c>
      <c r="E747" s="91" t="s">
        <v>95</v>
      </c>
    </row>
    <row r="748" spans="1:5" x14ac:dyDescent="0.25">
      <c r="A748" s="94">
        <v>45937</v>
      </c>
      <c r="B748" s="95">
        <v>511649.8</v>
      </c>
      <c r="C748" s="95">
        <v>4786669.5010000002</v>
      </c>
      <c r="D748" s="95">
        <v>51.055999999999997</v>
      </c>
      <c r="E748" s="91" t="s">
        <v>99</v>
      </c>
    </row>
    <row r="749" spans="1:5" x14ac:dyDescent="0.25">
      <c r="A749" s="94">
        <v>45937</v>
      </c>
      <c r="B749" s="95">
        <v>511607.55599999998</v>
      </c>
      <c r="C749" s="95">
        <v>4786691.9929999998</v>
      </c>
      <c r="D749" s="95">
        <v>51.061999999999998</v>
      </c>
      <c r="E749" s="91" t="s">
        <v>100</v>
      </c>
    </row>
    <row r="750" spans="1:5" x14ac:dyDescent="0.25">
      <c r="A750" s="94">
        <v>45937</v>
      </c>
      <c r="B750" s="95">
        <v>511607.27600000001</v>
      </c>
      <c r="C750" s="95">
        <v>4786692.1809999999</v>
      </c>
      <c r="D750" s="95">
        <v>51.063000000000002</v>
      </c>
      <c r="E750" s="91" t="s">
        <v>101</v>
      </c>
    </row>
    <row r="751" spans="1:5" x14ac:dyDescent="0.25">
      <c r="A751" s="94">
        <v>45937</v>
      </c>
      <c r="B751" s="95">
        <v>511601.12099999998</v>
      </c>
      <c r="C751" s="95">
        <v>4786695.4289999995</v>
      </c>
      <c r="D751" s="95">
        <v>51.042999999999999</v>
      </c>
      <c r="E751" s="91" t="s">
        <v>102</v>
      </c>
    </row>
    <row r="752" spans="1:5" x14ac:dyDescent="0.25">
      <c r="A752" s="94">
        <v>45938</v>
      </c>
      <c r="B752" s="95">
        <v>511615.103</v>
      </c>
      <c r="C752" s="95">
        <v>4786687.9950000001</v>
      </c>
      <c r="D752" s="95">
        <v>51.043999999999997</v>
      </c>
      <c r="E752" s="91" t="s">
        <v>96</v>
      </c>
    </row>
    <row r="753" spans="1:5" x14ac:dyDescent="0.25">
      <c r="A753" s="94">
        <v>45938</v>
      </c>
      <c r="B753" s="95">
        <v>511628.88699999999</v>
      </c>
      <c r="C753" s="95">
        <v>4786680.6560000004</v>
      </c>
      <c r="D753" s="95">
        <v>51.05</v>
      </c>
      <c r="E753" s="91" t="s">
        <v>97</v>
      </c>
    </row>
    <row r="754" spans="1:5" x14ac:dyDescent="0.25">
      <c r="A754" s="94">
        <v>45938</v>
      </c>
      <c r="B754" s="95">
        <v>511642.58799999999</v>
      </c>
      <c r="C754" s="95">
        <v>4786673.3590000002</v>
      </c>
      <c r="D754" s="95">
        <v>51.058</v>
      </c>
      <c r="E754" s="91" t="s">
        <v>98</v>
      </c>
    </row>
    <row r="755" spans="1:5" x14ac:dyDescent="0.25">
      <c r="A755" s="94">
        <v>45938</v>
      </c>
      <c r="B755" s="95">
        <v>511649.70500000002</v>
      </c>
      <c r="C755" s="95">
        <v>4786682.165</v>
      </c>
      <c r="D755" s="95">
        <v>56.185000000000002</v>
      </c>
      <c r="E755" s="91" t="s">
        <v>89</v>
      </c>
    </row>
    <row r="756" spans="1:5" x14ac:dyDescent="0.25">
      <c r="A756" s="94">
        <v>45938</v>
      </c>
      <c r="B756" s="95">
        <v>511630.76400000002</v>
      </c>
      <c r="C756" s="95">
        <v>4786689.8660000004</v>
      </c>
      <c r="D756" s="95">
        <v>55.945</v>
      </c>
      <c r="E756" s="91" t="s">
        <v>90</v>
      </c>
    </row>
    <row r="757" spans="1:5" x14ac:dyDescent="0.25">
      <c r="A757" s="94">
        <v>45938</v>
      </c>
      <c r="B757" s="95">
        <v>511623.435</v>
      </c>
      <c r="C757" s="95">
        <v>4786694.0779999997</v>
      </c>
      <c r="D757" s="95">
        <v>54.777000000000001</v>
      </c>
      <c r="E757" s="91" t="s">
        <v>91</v>
      </c>
    </row>
    <row r="758" spans="1:5" x14ac:dyDescent="0.25">
      <c r="A758" s="94">
        <v>45938</v>
      </c>
      <c r="B758" s="95">
        <v>511613.31900000002</v>
      </c>
      <c r="C758" s="95">
        <v>4786695.3080000002</v>
      </c>
      <c r="D758" s="95">
        <v>60.570999999999998</v>
      </c>
      <c r="E758" s="91" t="s">
        <v>92</v>
      </c>
    </row>
    <row r="759" spans="1:5" x14ac:dyDescent="0.25">
      <c r="A759" s="94">
        <v>45938</v>
      </c>
      <c r="B759" s="95">
        <v>511614.75300000003</v>
      </c>
      <c r="C759" s="95">
        <v>4786712.5609999998</v>
      </c>
      <c r="D759" s="95">
        <v>60.814999999999998</v>
      </c>
      <c r="E759" s="91" t="s">
        <v>93</v>
      </c>
    </row>
    <row r="760" spans="1:5" x14ac:dyDescent="0.25">
      <c r="A760" s="94">
        <v>45938</v>
      </c>
      <c r="B760" s="95">
        <v>511660.66600000003</v>
      </c>
      <c r="C760" s="95">
        <v>4786683.47</v>
      </c>
      <c r="D760" s="95">
        <v>55.404000000000003</v>
      </c>
      <c r="E760" s="91" t="s">
        <v>94</v>
      </c>
    </row>
    <row r="761" spans="1:5" x14ac:dyDescent="0.25">
      <c r="A761" s="94">
        <v>45938</v>
      </c>
      <c r="B761" s="95">
        <v>511670.875</v>
      </c>
      <c r="C761" s="95">
        <v>4786685.9220000003</v>
      </c>
      <c r="D761" s="95">
        <v>54.820999999999998</v>
      </c>
      <c r="E761" s="91" t="s">
        <v>95</v>
      </c>
    </row>
    <row r="762" spans="1:5" x14ac:dyDescent="0.25">
      <c r="A762" s="94">
        <v>45938</v>
      </c>
      <c r="B762" s="95">
        <v>511649.80099999998</v>
      </c>
      <c r="C762" s="95">
        <v>4786669.5010000002</v>
      </c>
      <c r="D762" s="95">
        <v>51.057000000000002</v>
      </c>
      <c r="E762" s="91" t="s">
        <v>99</v>
      </c>
    </row>
    <row r="763" spans="1:5" x14ac:dyDescent="0.25">
      <c r="A763" s="94">
        <v>45938</v>
      </c>
      <c r="B763" s="95">
        <v>511607.55699999997</v>
      </c>
      <c r="C763" s="95">
        <v>4786691.9939999999</v>
      </c>
      <c r="D763" s="95">
        <v>51.061999999999998</v>
      </c>
      <c r="E763" s="91" t="s">
        <v>100</v>
      </c>
    </row>
    <row r="764" spans="1:5" x14ac:dyDescent="0.25">
      <c r="A764" s="94">
        <v>45938</v>
      </c>
      <c r="B764" s="95">
        <v>511607.27600000001</v>
      </c>
      <c r="C764" s="95">
        <v>4786692.1809999999</v>
      </c>
      <c r="D764" s="95">
        <v>51.063000000000002</v>
      </c>
      <c r="E764" s="91" t="s">
        <v>101</v>
      </c>
    </row>
    <row r="765" spans="1:5" x14ac:dyDescent="0.25">
      <c r="A765" s="94">
        <v>45938</v>
      </c>
      <c r="B765" s="95">
        <v>511601.12</v>
      </c>
      <c r="C765" s="95">
        <v>4786695.4280000003</v>
      </c>
      <c r="D765" s="95">
        <v>51.042999999999999</v>
      </c>
      <c r="E765" s="91" t="s">
        <v>102</v>
      </c>
    </row>
    <row r="766" spans="1:5" x14ac:dyDescent="0.25">
      <c r="A766" s="94">
        <v>45938</v>
      </c>
      <c r="B766" s="95">
        <v>511615.25799999997</v>
      </c>
      <c r="C766" s="95">
        <v>4786687.4419999998</v>
      </c>
      <c r="D766" s="95">
        <v>48.460999999999999</v>
      </c>
      <c r="E766" s="91" t="s">
        <v>103</v>
      </c>
    </row>
    <row r="767" spans="1:5" x14ac:dyDescent="0.25">
      <c r="A767" s="94">
        <v>45938</v>
      </c>
      <c r="B767" s="95">
        <v>511615.22899999999</v>
      </c>
      <c r="C767" s="95">
        <v>4786687.3629999999</v>
      </c>
      <c r="D767" s="95">
        <v>45.953000000000003</v>
      </c>
      <c r="E767" s="91" t="s">
        <v>104</v>
      </c>
    </row>
    <row r="768" spans="1:5" x14ac:dyDescent="0.25">
      <c r="A768" s="94">
        <v>45939</v>
      </c>
      <c r="B768" s="95">
        <v>511615.103</v>
      </c>
      <c r="C768" s="95">
        <v>4786687.9950000001</v>
      </c>
      <c r="D768" s="95">
        <v>51.043999999999997</v>
      </c>
      <c r="E768" s="91" t="s">
        <v>96</v>
      </c>
    </row>
    <row r="769" spans="1:5" x14ac:dyDescent="0.25">
      <c r="A769" s="94">
        <v>45939</v>
      </c>
      <c r="B769" s="95">
        <v>511628.88699999999</v>
      </c>
      <c r="C769" s="95">
        <v>4786680.6560000004</v>
      </c>
      <c r="D769" s="95">
        <v>51.05</v>
      </c>
      <c r="E769" s="91" t="s">
        <v>97</v>
      </c>
    </row>
    <row r="770" spans="1:5" x14ac:dyDescent="0.25">
      <c r="A770" s="94">
        <v>45939</v>
      </c>
      <c r="B770" s="95">
        <v>511642.58799999999</v>
      </c>
      <c r="C770" s="95">
        <v>4786673.3590000002</v>
      </c>
      <c r="D770" s="95">
        <v>51.058</v>
      </c>
      <c r="E770" s="91" t="s">
        <v>98</v>
      </c>
    </row>
    <row r="771" spans="1:5" x14ac:dyDescent="0.25">
      <c r="A771" s="94">
        <v>45939</v>
      </c>
      <c r="B771" s="95">
        <v>511649.70500000002</v>
      </c>
      <c r="C771" s="95">
        <v>4786682.1639999999</v>
      </c>
      <c r="D771" s="95">
        <v>56.185000000000002</v>
      </c>
      <c r="E771" s="91" t="s">
        <v>89</v>
      </c>
    </row>
    <row r="772" spans="1:5" x14ac:dyDescent="0.25">
      <c r="A772" s="94">
        <v>45939</v>
      </c>
      <c r="B772" s="95">
        <v>511630.76500000001</v>
      </c>
      <c r="C772" s="95">
        <v>4786689.8660000004</v>
      </c>
      <c r="D772" s="95">
        <v>55.945999999999998</v>
      </c>
      <c r="E772" s="91" t="s">
        <v>90</v>
      </c>
    </row>
    <row r="773" spans="1:5" x14ac:dyDescent="0.25">
      <c r="A773" s="94">
        <v>45939</v>
      </c>
      <c r="B773" s="95">
        <v>511623.43599999999</v>
      </c>
      <c r="C773" s="95">
        <v>4786694.0789999999</v>
      </c>
      <c r="D773" s="95">
        <v>54.777999999999999</v>
      </c>
      <c r="E773" s="91" t="s">
        <v>91</v>
      </c>
    </row>
    <row r="774" spans="1:5" x14ac:dyDescent="0.25">
      <c r="A774" s="94">
        <v>45939</v>
      </c>
      <c r="B774" s="95">
        <v>511613.32</v>
      </c>
      <c r="C774" s="95">
        <v>4786695.3080000002</v>
      </c>
      <c r="D774" s="95">
        <v>60.570999999999998</v>
      </c>
      <c r="E774" s="91" t="s">
        <v>92</v>
      </c>
    </row>
    <row r="775" spans="1:5" x14ac:dyDescent="0.25">
      <c r="A775" s="94">
        <v>45939</v>
      </c>
      <c r="B775" s="95">
        <v>511614.75400000002</v>
      </c>
      <c r="C775" s="95">
        <v>4786712.5609999998</v>
      </c>
      <c r="D775" s="95">
        <v>60.816000000000003</v>
      </c>
      <c r="E775" s="91" t="s">
        <v>93</v>
      </c>
    </row>
    <row r="776" spans="1:5" x14ac:dyDescent="0.25">
      <c r="A776" s="94">
        <v>45939</v>
      </c>
      <c r="B776" s="95">
        <v>511660.66499999998</v>
      </c>
      <c r="C776" s="95">
        <v>4786683.4689999996</v>
      </c>
      <c r="D776" s="95">
        <v>55.404000000000003</v>
      </c>
      <c r="E776" s="91" t="s">
        <v>94</v>
      </c>
    </row>
    <row r="777" spans="1:5" x14ac:dyDescent="0.25">
      <c r="A777" s="94">
        <v>45939</v>
      </c>
      <c r="B777" s="95">
        <v>511670.875</v>
      </c>
      <c r="C777" s="95">
        <v>4786685.9220000003</v>
      </c>
      <c r="D777" s="95">
        <v>54.820999999999998</v>
      </c>
      <c r="E777" s="91" t="s">
        <v>95</v>
      </c>
    </row>
    <row r="778" spans="1:5" x14ac:dyDescent="0.25">
      <c r="A778" s="94">
        <v>45939</v>
      </c>
      <c r="B778" s="95">
        <v>511649.80099999998</v>
      </c>
      <c r="C778" s="95">
        <v>4786669.5020000003</v>
      </c>
      <c r="D778" s="95">
        <v>51.057000000000002</v>
      </c>
      <c r="E778" s="91" t="s">
        <v>99</v>
      </c>
    </row>
    <row r="779" spans="1:5" x14ac:dyDescent="0.25">
      <c r="A779" s="94">
        <v>45939</v>
      </c>
      <c r="B779" s="95">
        <v>511607.55599999998</v>
      </c>
      <c r="C779" s="95">
        <v>4786691.9929999998</v>
      </c>
      <c r="D779" s="95">
        <v>51.061999999999998</v>
      </c>
      <c r="E779" s="91" t="s">
        <v>100</v>
      </c>
    </row>
    <row r="780" spans="1:5" x14ac:dyDescent="0.25">
      <c r="A780" s="94">
        <v>45939</v>
      </c>
      <c r="B780" s="95">
        <v>511607.27500000002</v>
      </c>
      <c r="C780" s="95">
        <v>4786692.18</v>
      </c>
      <c r="D780" s="95">
        <v>51.063000000000002</v>
      </c>
      <c r="E780" s="91" t="s">
        <v>101</v>
      </c>
    </row>
    <row r="781" spans="1:5" x14ac:dyDescent="0.25">
      <c r="A781" s="94">
        <v>45939</v>
      </c>
      <c r="B781" s="95">
        <v>511601.12099999998</v>
      </c>
      <c r="C781" s="95">
        <v>4786695.4280000003</v>
      </c>
      <c r="D781" s="95">
        <v>51.042999999999999</v>
      </c>
      <c r="E781" s="91" t="s">
        <v>102</v>
      </c>
    </row>
    <row r="782" spans="1:5" x14ac:dyDescent="0.25">
      <c r="A782" s="94">
        <v>45939</v>
      </c>
      <c r="B782" s="95">
        <v>511615.25799999997</v>
      </c>
      <c r="C782" s="95">
        <v>4786687.4419999998</v>
      </c>
      <c r="D782" s="95">
        <v>48.460999999999999</v>
      </c>
      <c r="E782" s="91" t="s">
        <v>103</v>
      </c>
    </row>
    <row r="783" spans="1:5" x14ac:dyDescent="0.25">
      <c r="A783" s="94">
        <v>45939</v>
      </c>
      <c r="B783" s="95">
        <v>511615.22899999999</v>
      </c>
      <c r="C783" s="95">
        <v>4786687.3640000001</v>
      </c>
      <c r="D783" s="95">
        <v>45.953000000000003</v>
      </c>
      <c r="E783" s="91" t="s">
        <v>104</v>
      </c>
    </row>
    <row r="784" spans="1:5" x14ac:dyDescent="0.25">
      <c r="A784" s="94">
        <v>45940</v>
      </c>
      <c r="B784" s="95">
        <v>511615.10399999999</v>
      </c>
      <c r="C784" s="95">
        <v>4786687.9970000004</v>
      </c>
      <c r="D784" s="95">
        <v>51.043999999999997</v>
      </c>
      <c r="E784" s="91" t="s">
        <v>96</v>
      </c>
    </row>
    <row r="785" spans="1:5" x14ac:dyDescent="0.25">
      <c r="A785" s="94">
        <v>45940</v>
      </c>
      <c r="B785" s="95">
        <v>511628.88699999999</v>
      </c>
      <c r="C785" s="95">
        <v>4786680.6560000004</v>
      </c>
      <c r="D785" s="95">
        <v>51.05</v>
      </c>
      <c r="E785" s="91" t="s">
        <v>97</v>
      </c>
    </row>
    <row r="786" spans="1:5" x14ac:dyDescent="0.25">
      <c r="A786" s="94">
        <v>45940</v>
      </c>
      <c r="B786" s="95">
        <v>511642.587</v>
      </c>
      <c r="C786" s="95">
        <v>4786673.3590000002</v>
      </c>
      <c r="D786" s="95">
        <v>51.058</v>
      </c>
      <c r="E786" s="91" t="s">
        <v>98</v>
      </c>
    </row>
    <row r="787" spans="1:5" x14ac:dyDescent="0.25">
      <c r="A787" s="94">
        <v>45940</v>
      </c>
      <c r="B787" s="95">
        <v>511649.70500000002</v>
      </c>
      <c r="C787" s="95">
        <v>4786682.1639999999</v>
      </c>
      <c r="D787" s="95">
        <v>56.185000000000002</v>
      </c>
      <c r="E787" s="91" t="s">
        <v>89</v>
      </c>
    </row>
    <row r="788" spans="1:5" x14ac:dyDescent="0.25">
      <c r="A788" s="94">
        <v>45940</v>
      </c>
      <c r="B788" s="95">
        <v>511630.76400000002</v>
      </c>
      <c r="C788" s="95">
        <v>4786689.8660000004</v>
      </c>
      <c r="D788" s="95">
        <v>55.945999999999998</v>
      </c>
      <c r="E788" s="91" t="s">
        <v>90</v>
      </c>
    </row>
    <row r="789" spans="1:5" x14ac:dyDescent="0.25">
      <c r="A789" s="94">
        <v>45940</v>
      </c>
      <c r="B789" s="95">
        <v>511623.43599999999</v>
      </c>
      <c r="C789" s="95">
        <v>4786694.0789999999</v>
      </c>
      <c r="D789" s="95">
        <v>54.777999999999999</v>
      </c>
      <c r="E789" s="91" t="s">
        <v>91</v>
      </c>
    </row>
    <row r="790" spans="1:5" x14ac:dyDescent="0.25">
      <c r="A790" s="94">
        <v>45940</v>
      </c>
      <c r="B790" s="95">
        <v>511613.32</v>
      </c>
      <c r="C790" s="95">
        <v>4786695.3080000002</v>
      </c>
      <c r="D790" s="95">
        <v>60.570999999999998</v>
      </c>
      <c r="E790" s="91" t="s">
        <v>92</v>
      </c>
    </row>
    <row r="791" spans="1:5" x14ac:dyDescent="0.25">
      <c r="A791" s="94">
        <v>45940</v>
      </c>
      <c r="B791" s="95">
        <v>511614.755</v>
      </c>
      <c r="C791" s="95">
        <v>4786712.5619999999</v>
      </c>
      <c r="D791" s="95">
        <v>60.814999999999998</v>
      </c>
      <c r="E791" s="91" t="s">
        <v>93</v>
      </c>
    </row>
    <row r="792" spans="1:5" x14ac:dyDescent="0.25">
      <c r="A792" s="94">
        <v>45940</v>
      </c>
      <c r="B792" s="95">
        <v>511660.66499999998</v>
      </c>
      <c r="C792" s="95">
        <v>4786683.4689999996</v>
      </c>
      <c r="D792" s="95">
        <v>55.404000000000003</v>
      </c>
      <c r="E792" s="91" t="s">
        <v>94</v>
      </c>
    </row>
    <row r="793" spans="1:5" x14ac:dyDescent="0.25">
      <c r="A793" s="94">
        <v>45940</v>
      </c>
      <c r="B793" s="95">
        <v>511670.87599999999</v>
      </c>
      <c r="C793" s="95">
        <v>4786685.9220000003</v>
      </c>
      <c r="D793" s="95">
        <v>54.820999999999998</v>
      </c>
      <c r="E793" s="91" t="s">
        <v>95</v>
      </c>
    </row>
    <row r="794" spans="1:5" x14ac:dyDescent="0.25">
      <c r="A794" s="94">
        <v>45940</v>
      </c>
      <c r="B794" s="95">
        <v>511649.8</v>
      </c>
      <c r="C794" s="95">
        <v>4786669.5010000002</v>
      </c>
      <c r="D794" s="95">
        <v>51.057000000000002</v>
      </c>
      <c r="E794" s="91" t="s">
        <v>99</v>
      </c>
    </row>
    <row r="795" spans="1:5" x14ac:dyDescent="0.25">
      <c r="A795" s="94">
        <v>45940</v>
      </c>
      <c r="B795" s="95">
        <v>511607.55800000002</v>
      </c>
      <c r="C795" s="95">
        <v>4786691.9939999999</v>
      </c>
      <c r="D795" s="95">
        <v>51.061999999999998</v>
      </c>
      <c r="E795" s="91" t="s">
        <v>100</v>
      </c>
    </row>
    <row r="796" spans="1:5" x14ac:dyDescent="0.25">
      <c r="A796" s="94">
        <v>45940</v>
      </c>
      <c r="B796" s="95">
        <v>511607.27600000001</v>
      </c>
      <c r="C796" s="95">
        <v>4786692.1809999999</v>
      </c>
      <c r="D796" s="95">
        <v>51.063000000000002</v>
      </c>
      <c r="E796" s="91" t="s">
        <v>101</v>
      </c>
    </row>
    <row r="797" spans="1:5" x14ac:dyDescent="0.25">
      <c r="A797" s="94">
        <v>45940</v>
      </c>
      <c r="B797" s="95">
        <v>511601.12099999998</v>
      </c>
      <c r="C797" s="95">
        <v>4786695.4289999995</v>
      </c>
      <c r="D797" s="95">
        <v>51.042999999999999</v>
      </c>
      <c r="E797" s="91" t="s">
        <v>102</v>
      </c>
    </row>
    <row r="798" spans="1:5" x14ac:dyDescent="0.25">
      <c r="A798" s="94">
        <v>45940</v>
      </c>
      <c r="B798" s="95">
        <v>511615.25799999997</v>
      </c>
      <c r="C798" s="95">
        <v>4786687.4419999998</v>
      </c>
      <c r="D798" s="95">
        <v>48.460999999999999</v>
      </c>
      <c r="E798" s="91" t="s">
        <v>103</v>
      </c>
    </row>
    <row r="799" spans="1:5" x14ac:dyDescent="0.25">
      <c r="A799" s="94">
        <v>45940</v>
      </c>
      <c r="B799" s="95">
        <v>511615.23</v>
      </c>
      <c r="C799" s="95">
        <v>4786687.3640000001</v>
      </c>
      <c r="D799" s="95">
        <v>45.953000000000003</v>
      </c>
      <c r="E799" s="91" t="s">
        <v>104</v>
      </c>
    </row>
    <row r="800" spans="1:5" x14ac:dyDescent="0.25">
      <c r="A800" s="94">
        <v>45943</v>
      </c>
      <c r="B800" s="95">
        <v>511615.10200000001</v>
      </c>
      <c r="C800" s="95">
        <v>4786687.9960000003</v>
      </c>
      <c r="D800" s="95">
        <v>51.042999999999999</v>
      </c>
      <c r="E800" s="91" t="s">
        <v>96</v>
      </c>
    </row>
    <row r="801" spans="1:5" x14ac:dyDescent="0.25">
      <c r="A801" s="94">
        <v>45943</v>
      </c>
      <c r="B801" s="95">
        <v>511628.886</v>
      </c>
      <c r="C801" s="95">
        <v>4786680.6560000004</v>
      </c>
      <c r="D801" s="95">
        <v>51.05</v>
      </c>
      <c r="E801" s="91" t="s">
        <v>97</v>
      </c>
    </row>
    <row r="802" spans="1:5" x14ac:dyDescent="0.25">
      <c r="A802" s="94">
        <v>45943</v>
      </c>
      <c r="B802" s="95">
        <v>511642.587</v>
      </c>
      <c r="C802" s="95">
        <v>4786673.3590000002</v>
      </c>
      <c r="D802" s="95">
        <v>51.058</v>
      </c>
      <c r="E802" s="91" t="s">
        <v>98</v>
      </c>
    </row>
    <row r="803" spans="1:5" x14ac:dyDescent="0.25">
      <c r="A803" s="94">
        <v>45943</v>
      </c>
      <c r="B803" s="95">
        <v>511649.70500000002</v>
      </c>
      <c r="C803" s="95">
        <v>4786682.165</v>
      </c>
      <c r="D803" s="95">
        <v>56.183</v>
      </c>
      <c r="E803" s="91" t="s">
        <v>89</v>
      </c>
    </row>
    <row r="804" spans="1:5" x14ac:dyDescent="0.25">
      <c r="A804" s="94">
        <v>45943</v>
      </c>
      <c r="B804" s="95">
        <v>511630.76299999998</v>
      </c>
      <c r="C804" s="95">
        <v>4786689.8660000004</v>
      </c>
      <c r="D804" s="95">
        <v>55.945</v>
      </c>
      <c r="E804" s="91" t="s">
        <v>90</v>
      </c>
    </row>
    <row r="805" spans="1:5" x14ac:dyDescent="0.25">
      <c r="A805" s="94">
        <v>45943</v>
      </c>
      <c r="B805" s="95">
        <v>511623.435</v>
      </c>
      <c r="C805" s="95">
        <v>4786694.0789999999</v>
      </c>
      <c r="D805" s="95">
        <v>54.777000000000001</v>
      </c>
      <c r="E805" s="91" t="s">
        <v>91</v>
      </c>
    </row>
    <row r="806" spans="1:5" x14ac:dyDescent="0.25">
      <c r="A806" s="94">
        <v>45943</v>
      </c>
      <c r="B806" s="95">
        <v>511613.31900000002</v>
      </c>
      <c r="C806" s="95">
        <v>4786695.3080000002</v>
      </c>
      <c r="D806" s="95">
        <v>60.57</v>
      </c>
      <c r="E806" s="91" t="s">
        <v>92</v>
      </c>
    </row>
    <row r="807" spans="1:5" x14ac:dyDescent="0.25">
      <c r="A807" s="94">
        <v>45943</v>
      </c>
      <c r="B807" s="95">
        <v>511614.75300000003</v>
      </c>
      <c r="C807" s="95">
        <v>4786712.5609999998</v>
      </c>
      <c r="D807" s="95">
        <v>60.814999999999998</v>
      </c>
      <c r="E807" s="91" t="s">
        <v>93</v>
      </c>
    </row>
    <row r="808" spans="1:5" x14ac:dyDescent="0.25">
      <c r="A808" s="94">
        <v>45943</v>
      </c>
      <c r="B808" s="95">
        <v>511660.66399999999</v>
      </c>
      <c r="C808" s="95">
        <v>4786683.4689999996</v>
      </c>
      <c r="D808" s="95">
        <v>55.404000000000003</v>
      </c>
      <c r="E808" s="91" t="s">
        <v>94</v>
      </c>
    </row>
    <row r="809" spans="1:5" x14ac:dyDescent="0.25">
      <c r="A809" s="94">
        <v>45943</v>
      </c>
      <c r="B809" s="95">
        <v>511670.87599999999</v>
      </c>
      <c r="C809" s="95">
        <v>4786685.9220000003</v>
      </c>
      <c r="D809" s="95">
        <v>54.820999999999998</v>
      </c>
      <c r="E809" s="91" t="s">
        <v>95</v>
      </c>
    </row>
    <row r="810" spans="1:5" x14ac:dyDescent="0.25">
      <c r="A810" s="94">
        <v>45943</v>
      </c>
      <c r="B810" s="95">
        <v>511649.80099999998</v>
      </c>
      <c r="C810" s="95">
        <v>4786669.5010000002</v>
      </c>
      <c r="D810" s="95">
        <v>51.055999999999997</v>
      </c>
      <c r="E810" s="91" t="s">
        <v>99</v>
      </c>
    </row>
    <row r="811" spans="1:5" x14ac:dyDescent="0.25">
      <c r="A811" s="94">
        <v>45943</v>
      </c>
      <c r="B811" s="95">
        <v>511607.55599999998</v>
      </c>
      <c r="C811" s="95">
        <v>4786691.9929999998</v>
      </c>
      <c r="D811" s="95">
        <v>51.061999999999998</v>
      </c>
      <c r="E811" s="91" t="s">
        <v>100</v>
      </c>
    </row>
    <row r="812" spans="1:5" x14ac:dyDescent="0.25">
      <c r="A812" s="94">
        <v>45943</v>
      </c>
      <c r="B812" s="95">
        <v>511607.27500000002</v>
      </c>
      <c r="C812" s="95">
        <v>4786692.18</v>
      </c>
      <c r="D812" s="95">
        <v>51.063000000000002</v>
      </c>
      <c r="E812" s="91" t="s">
        <v>101</v>
      </c>
    </row>
    <row r="813" spans="1:5" x14ac:dyDescent="0.25">
      <c r="A813" s="94">
        <v>45943</v>
      </c>
      <c r="B813" s="95">
        <v>511601.12</v>
      </c>
      <c r="C813" s="95">
        <v>4786695.4280000003</v>
      </c>
      <c r="D813" s="95">
        <v>51.042999999999999</v>
      </c>
      <c r="E813" s="91" t="s">
        <v>102</v>
      </c>
    </row>
    <row r="814" spans="1:5" x14ac:dyDescent="0.25">
      <c r="A814" s="94">
        <v>45943</v>
      </c>
      <c r="B814" s="95">
        <v>511615.25799999997</v>
      </c>
      <c r="C814" s="95">
        <v>4786687.4419999998</v>
      </c>
      <c r="D814" s="95">
        <v>48.460999999999999</v>
      </c>
      <c r="E814" s="91" t="s">
        <v>103</v>
      </c>
    </row>
    <row r="815" spans="1:5" x14ac:dyDescent="0.25">
      <c r="A815" s="94">
        <v>45943</v>
      </c>
      <c r="B815" s="95">
        <v>511615.22899999999</v>
      </c>
      <c r="C815" s="95">
        <v>4786687.3629999999</v>
      </c>
      <c r="D815" s="95">
        <v>45.953000000000003</v>
      </c>
      <c r="E815" s="91" t="s">
        <v>104</v>
      </c>
    </row>
    <row r="816" spans="1:5" x14ac:dyDescent="0.25">
      <c r="A816" s="94">
        <v>45943</v>
      </c>
      <c r="B816" s="95">
        <v>511629.18800000002</v>
      </c>
      <c r="C816" s="95">
        <v>4786680.0719999997</v>
      </c>
      <c r="D816" s="95">
        <v>48.472999999999999</v>
      </c>
      <c r="E816" s="91" t="s">
        <v>105</v>
      </c>
    </row>
    <row r="817" spans="1:5" x14ac:dyDescent="0.25">
      <c r="A817" s="94">
        <v>45943</v>
      </c>
      <c r="B817" s="95">
        <v>511629.31</v>
      </c>
      <c r="C817" s="95">
        <v>4786680.0319999997</v>
      </c>
      <c r="D817" s="95">
        <v>45.954999999999998</v>
      </c>
      <c r="E817" s="91" t="s">
        <v>106</v>
      </c>
    </row>
    <row r="818" spans="1:5" x14ac:dyDescent="0.25">
      <c r="A818" s="94">
        <v>45943</v>
      </c>
      <c r="B818" s="95">
        <v>511642.28899999999</v>
      </c>
      <c r="C818" s="95">
        <v>4786673.1310000001</v>
      </c>
      <c r="D818" s="95">
        <v>48.454000000000001</v>
      </c>
      <c r="E818" s="91" t="s">
        <v>107</v>
      </c>
    </row>
    <row r="819" spans="1:5" x14ac:dyDescent="0.25">
      <c r="A819" s="94">
        <v>45943</v>
      </c>
      <c r="B819" s="95">
        <v>511642.44199999998</v>
      </c>
      <c r="C819" s="95">
        <v>4786673.0190000003</v>
      </c>
      <c r="D819" s="95">
        <v>45.948999999999998</v>
      </c>
      <c r="E819" s="91" t="s">
        <v>108</v>
      </c>
    </row>
    <row r="820" spans="1:5" x14ac:dyDescent="0.25">
      <c r="A820" s="94">
        <v>45944</v>
      </c>
      <c r="B820" s="95">
        <v>511615.10200000001</v>
      </c>
      <c r="C820" s="95">
        <v>4786687.9950000001</v>
      </c>
      <c r="D820" s="95">
        <v>51.043999999999997</v>
      </c>
      <c r="E820" s="91" t="s">
        <v>96</v>
      </c>
    </row>
    <row r="821" spans="1:5" x14ac:dyDescent="0.25">
      <c r="A821" s="94">
        <v>45944</v>
      </c>
      <c r="B821" s="95">
        <v>511628.88699999999</v>
      </c>
      <c r="C821" s="95">
        <v>4786680.6569999997</v>
      </c>
      <c r="D821" s="95">
        <v>51.05</v>
      </c>
      <c r="E821" s="91" t="s">
        <v>97</v>
      </c>
    </row>
    <row r="822" spans="1:5" x14ac:dyDescent="0.25">
      <c r="A822" s="94">
        <v>45944</v>
      </c>
      <c r="B822" s="95">
        <v>511642.587</v>
      </c>
      <c r="C822" s="95">
        <v>4786673.3590000002</v>
      </c>
      <c r="D822" s="95">
        <v>51.058</v>
      </c>
      <c r="E822" s="91" t="s">
        <v>98</v>
      </c>
    </row>
    <row r="823" spans="1:5" x14ac:dyDescent="0.25">
      <c r="A823" s="94">
        <v>45944</v>
      </c>
      <c r="B823" s="95">
        <v>511649.70400000003</v>
      </c>
      <c r="C823" s="95">
        <v>4786682.165</v>
      </c>
      <c r="D823" s="95">
        <v>56.183999999999997</v>
      </c>
      <c r="E823" s="91" t="s">
        <v>89</v>
      </c>
    </row>
    <row r="824" spans="1:5" x14ac:dyDescent="0.25">
      <c r="A824" s="94">
        <v>45944</v>
      </c>
      <c r="B824" s="95">
        <v>511630.76400000002</v>
      </c>
      <c r="C824" s="95">
        <v>4786689.8660000004</v>
      </c>
      <c r="D824" s="95">
        <v>55.945999999999998</v>
      </c>
      <c r="E824" s="91" t="s">
        <v>90</v>
      </c>
    </row>
    <row r="825" spans="1:5" x14ac:dyDescent="0.25">
      <c r="A825" s="94">
        <v>45944</v>
      </c>
      <c r="B825" s="95">
        <v>511623.43599999999</v>
      </c>
      <c r="C825" s="95">
        <v>4786694.0789999999</v>
      </c>
      <c r="D825" s="95">
        <v>54.777000000000001</v>
      </c>
      <c r="E825" s="91" t="s">
        <v>91</v>
      </c>
    </row>
    <row r="826" spans="1:5" x14ac:dyDescent="0.25">
      <c r="A826" s="94">
        <v>45944</v>
      </c>
      <c r="B826" s="95">
        <v>511613.31900000002</v>
      </c>
      <c r="C826" s="95">
        <v>4786695.3090000004</v>
      </c>
      <c r="D826" s="95">
        <v>60.570999999999998</v>
      </c>
      <c r="E826" s="91" t="s">
        <v>92</v>
      </c>
    </row>
    <row r="827" spans="1:5" x14ac:dyDescent="0.25">
      <c r="A827" s="94">
        <v>45944</v>
      </c>
      <c r="B827" s="95">
        <v>511614.75400000002</v>
      </c>
      <c r="C827" s="95">
        <v>4786712.5630000001</v>
      </c>
      <c r="D827" s="95">
        <v>60.816000000000003</v>
      </c>
      <c r="E827" s="91" t="s">
        <v>93</v>
      </c>
    </row>
    <row r="828" spans="1:5" x14ac:dyDescent="0.25">
      <c r="A828" s="94">
        <v>45944</v>
      </c>
      <c r="B828" s="95">
        <v>511660.66399999999</v>
      </c>
      <c r="C828" s="95">
        <v>4786683.47</v>
      </c>
      <c r="D828" s="95">
        <v>55.401000000000003</v>
      </c>
      <c r="E828" s="91" t="s">
        <v>94</v>
      </c>
    </row>
    <row r="829" spans="1:5" x14ac:dyDescent="0.25">
      <c r="A829" s="94">
        <v>45944</v>
      </c>
      <c r="B829" s="95">
        <v>511670.87599999999</v>
      </c>
      <c r="C829" s="95">
        <v>4786685.9220000003</v>
      </c>
      <c r="D829" s="95">
        <v>54.820999999999998</v>
      </c>
      <c r="E829" s="91" t="s">
        <v>95</v>
      </c>
    </row>
    <row r="830" spans="1:5" x14ac:dyDescent="0.25">
      <c r="A830" s="94">
        <v>45944</v>
      </c>
      <c r="B830" s="95">
        <v>511649.8</v>
      </c>
      <c r="C830" s="95">
        <v>4786669.5010000002</v>
      </c>
      <c r="D830" s="95">
        <v>51.057000000000002</v>
      </c>
      <c r="E830" s="91" t="s">
        <v>99</v>
      </c>
    </row>
    <row r="831" spans="1:5" x14ac:dyDescent="0.25">
      <c r="A831" s="94">
        <v>45944</v>
      </c>
      <c r="B831" s="95">
        <v>511607.55599999998</v>
      </c>
      <c r="C831" s="95">
        <v>4786691.9929999998</v>
      </c>
      <c r="D831" s="95">
        <v>51.061999999999998</v>
      </c>
      <c r="E831" s="91" t="s">
        <v>100</v>
      </c>
    </row>
    <row r="832" spans="1:5" x14ac:dyDescent="0.25">
      <c r="A832" s="94">
        <v>45944</v>
      </c>
      <c r="B832" s="95">
        <v>511607.27600000001</v>
      </c>
      <c r="C832" s="95">
        <v>4786692.1809999999</v>
      </c>
      <c r="D832" s="95">
        <v>51.063000000000002</v>
      </c>
      <c r="E832" s="91" t="s">
        <v>101</v>
      </c>
    </row>
    <row r="833" spans="1:5" x14ac:dyDescent="0.25">
      <c r="A833" s="94">
        <v>45944</v>
      </c>
      <c r="B833" s="95">
        <v>511601.12</v>
      </c>
      <c r="C833" s="95">
        <v>4786695.4280000003</v>
      </c>
      <c r="D833" s="95">
        <v>51.042999999999999</v>
      </c>
      <c r="E833" s="91" t="s">
        <v>102</v>
      </c>
    </row>
    <row r="834" spans="1:5" x14ac:dyDescent="0.25">
      <c r="A834" s="94">
        <v>45944</v>
      </c>
      <c r="B834" s="95">
        <v>511615.25799999997</v>
      </c>
      <c r="C834" s="95">
        <v>4786687.4419999998</v>
      </c>
      <c r="D834" s="95">
        <v>48.460999999999999</v>
      </c>
      <c r="E834" s="91" t="s">
        <v>103</v>
      </c>
    </row>
    <row r="835" spans="1:5" x14ac:dyDescent="0.25">
      <c r="A835" s="94">
        <v>45944</v>
      </c>
      <c r="B835" s="95">
        <v>511615.23</v>
      </c>
      <c r="C835" s="95">
        <v>4786687.3629999999</v>
      </c>
      <c r="D835" s="95">
        <v>45.953000000000003</v>
      </c>
      <c r="E835" s="91" t="s">
        <v>104</v>
      </c>
    </row>
    <row r="836" spans="1:5" x14ac:dyDescent="0.25">
      <c r="A836" s="94">
        <v>45944</v>
      </c>
      <c r="B836" s="95">
        <v>511629.18800000002</v>
      </c>
      <c r="C836" s="95">
        <v>4786680.0719999997</v>
      </c>
      <c r="D836" s="95">
        <v>48.472999999999999</v>
      </c>
      <c r="E836" s="91" t="s">
        <v>105</v>
      </c>
    </row>
    <row r="837" spans="1:5" x14ac:dyDescent="0.25">
      <c r="A837" s="94">
        <v>45944</v>
      </c>
      <c r="B837" s="95">
        <v>511629.31099999999</v>
      </c>
      <c r="C837" s="95">
        <v>4786680.0319999997</v>
      </c>
      <c r="D837" s="95">
        <v>45.954999999999998</v>
      </c>
      <c r="E837" s="91" t="s">
        <v>106</v>
      </c>
    </row>
    <row r="838" spans="1:5" x14ac:dyDescent="0.25">
      <c r="A838" s="94">
        <v>45944</v>
      </c>
      <c r="B838" s="95">
        <v>511642.29</v>
      </c>
      <c r="C838" s="95">
        <v>4786673.1310000001</v>
      </c>
      <c r="D838" s="95">
        <v>48.454000000000001</v>
      </c>
      <c r="E838" s="91" t="s">
        <v>107</v>
      </c>
    </row>
    <row r="839" spans="1:5" x14ac:dyDescent="0.25">
      <c r="A839" s="94">
        <v>45944</v>
      </c>
      <c r="B839" s="95">
        <v>511642.44400000002</v>
      </c>
      <c r="C839" s="95">
        <v>4786673.0190000003</v>
      </c>
      <c r="D839" s="95">
        <v>45.948999999999998</v>
      </c>
      <c r="E839" s="91" t="s">
        <v>108</v>
      </c>
    </row>
    <row r="840" spans="1:5" x14ac:dyDescent="0.25">
      <c r="A840" s="94">
        <v>45946</v>
      </c>
      <c r="B840" s="95">
        <v>511615.10399999999</v>
      </c>
      <c r="C840" s="95">
        <v>4786687.9929999998</v>
      </c>
      <c r="D840" s="95">
        <v>51.042000000000002</v>
      </c>
      <c r="E840" s="91" t="s">
        <v>96</v>
      </c>
    </row>
    <row r="841" spans="1:5" x14ac:dyDescent="0.25">
      <c r="A841" s="94">
        <v>45946</v>
      </c>
      <c r="B841" s="95">
        <v>511628.88699999999</v>
      </c>
      <c r="C841" s="95">
        <v>4786680.6529999999</v>
      </c>
      <c r="D841" s="95">
        <v>51.048000000000002</v>
      </c>
      <c r="E841" s="91" t="s">
        <v>97</v>
      </c>
    </row>
    <row r="842" spans="1:5" x14ac:dyDescent="0.25">
      <c r="A842" s="94">
        <v>45946</v>
      </c>
      <c r="B842" s="95">
        <v>511642.587</v>
      </c>
      <c r="C842" s="95">
        <v>4786673.3550000004</v>
      </c>
      <c r="D842" s="95">
        <v>51.057000000000002</v>
      </c>
      <c r="E842" s="91" t="s">
        <v>98</v>
      </c>
    </row>
    <row r="843" spans="1:5" x14ac:dyDescent="0.25">
      <c r="A843" s="94">
        <v>45946</v>
      </c>
      <c r="B843" s="95">
        <v>511649.70500000002</v>
      </c>
      <c r="C843" s="95">
        <v>4786682.165</v>
      </c>
      <c r="D843" s="95">
        <v>56.185000000000002</v>
      </c>
      <c r="E843" s="91" t="s">
        <v>89</v>
      </c>
    </row>
    <row r="844" spans="1:5" x14ac:dyDescent="0.25">
      <c r="A844" s="94">
        <v>45946</v>
      </c>
      <c r="B844" s="95">
        <v>511630.76199999999</v>
      </c>
      <c r="C844" s="95">
        <v>4786689.8669999996</v>
      </c>
      <c r="D844" s="95">
        <v>55.948</v>
      </c>
      <c r="E844" s="91" t="s">
        <v>90</v>
      </c>
    </row>
    <row r="845" spans="1:5" x14ac:dyDescent="0.25">
      <c r="A845" s="94">
        <v>45946</v>
      </c>
      <c r="B845" s="95">
        <v>511623.43599999999</v>
      </c>
      <c r="C845" s="95">
        <v>4786694.0779999997</v>
      </c>
      <c r="D845" s="95">
        <v>54.776000000000003</v>
      </c>
      <c r="E845" s="91" t="s">
        <v>91</v>
      </c>
    </row>
    <row r="846" spans="1:5" x14ac:dyDescent="0.25">
      <c r="A846" s="94">
        <v>45946</v>
      </c>
      <c r="B846" s="95">
        <v>511613.31900000002</v>
      </c>
      <c r="C846" s="95">
        <v>4786695.307</v>
      </c>
      <c r="D846" s="95">
        <v>60.57</v>
      </c>
      <c r="E846" s="91" t="s">
        <v>92</v>
      </c>
    </row>
    <row r="847" spans="1:5" x14ac:dyDescent="0.25">
      <c r="A847" s="94">
        <v>45946</v>
      </c>
      <c r="B847" s="95">
        <v>511614.755</v>
      </c>
      <c r="C847" s="95">
        <v>4786712.5619999999</v>
      </c>
      <c r="D847" s="95">
        <v>60.814</v>
      </c>
      <c r="E847" s="91" t="s">
        <v>93</v>
      </c>
    </row>
    <row r="848" spans="1:5" x14ac:dyDescent="0.25">
      <c r="A848" s="94">
        <v>45946</v>
      </c>
      <c r="B848" s="95">
        <v>511660.66499999998</v>
      </c>
      <c r="C848" s="95">
        <v>4786683.4689999996</v>
      </c>
      <c r="D848" s="95">
        <v>55.404000000000003</v>
      </c>
      <c r="E848" s="91" t="s">
        <v>94</v>
      </c>
    </row>
    <row r="849" spans="1:5" x14ac:dyDescent="0.25">
      <c r="A849" s="94">
        <v>45946</v>
      </c>
      <c r="B849" s="95">
        <v>511670.875</v>
      </c>
      <c r="C849" s="95">
        <v>4786685.9220000003</v>
      </c>
      <c r="D849" s="95">
        <v>54.820999999999998</v>
      </c>
      <c r="E849" s="91" t="s">
        <v>95</v>
      </c>
    </row>
    <row r="850" spans="1:5" x14ac:dyDescent="0.25">
      <c r="A850" s="94">
        <v>45946</v>
      </c>
      <c r="B850" s="95">
        <v>511649.80099999998</v>
      </c>
      <c r="C850" s="95">
        <v>4786669.5010000002</v>
      </c>
      <c r="D850" s="95">
        <v>51.057000000000002</v>
      </c>
      <c r="E850" s="91" t="s">
        <v>99</v>
      </c>
    </row>
    <row r="851" spans="1:5" x14ac:dyDescent="0.25">
      <c r="A851" s="94">
        <v>45946</v>
      </c>
      <c r="B851" s="95">
        <v>511601.12099999998</v>
      </c>
      <c r="C851" s="95">
        <v>4786695.4289999995</v>
      </c>
      <c r="D851" s="95">
        <v>51.042999999999999</v>
      </c>
      <c r="E851" s="91" t="s">
        <v>102</v>
      </c>
    </row>
    <row r="852" spans="1:5" x14ac:dyDescent="0.25">
      <c r="A852" s="94">
        <v>45947</v>
      </c>
      <c r="B852" s="95">
        <v>511615.103</v>
      </c>
      <c r="C852" s="95">
        <v>4786687.9950000001</v>
      </c>
      <c r="D852" s="95">
        <v>51.042999999999999</v>
      </c>
      <c r="E852" s="91" t="s">
        <v>96</v>
      </c>
    </row>
    <row r="853" spans="1:5" x14ac:dyDescent="0.25">
      <c r="A853" s="94">
        <v>45947</v>
      </c>
      <c r="B853" s="95">
        <v>511628.88699999999</v>
      </c>
      <c r="C853" s="95">
        <v>4786680.6560000004</v>
      </c>
      <c r="D853" s="95">
        <v>51.048999999999999</v>
      </c>
      <c r="E853" s="91" t="s">
        <v>97</v>
      </c>
    </row>
    <row r="854" spans="1:5" x14ac:dyDescent="0.25">
      <c r="A854" s="94">
        <v>45947</v>
      </c>
      <c r="B854" s="95">
        <v>511642.58799999999</v>
      </c>
      <c r="C854" s="95">
        <v>4786673.358</v>
      </c>
      <c r="D854" s="95">
        <v>51.057000000000002</v>
      </c>
      <c r="E854" s="91" t="s">
        <v>98</v>
      </c>
    </row>
    <row r="855" spans="1:5" x14ac:dyDescent="0.25">
      <c r="A855" s="94">
        <v>45947</v>
      </c>
      <c r="B855" s="95">
        <v>511649.70500000002</v>
      </c>
      <c r="C855" s="95">
        <v>4786682.1639999999</v>
      </c>
      <c r="D855" s="95">
        <v>56.183</v>
      </c>
      <c r="E855" s="91" t="s">
        <v>89</v>
      </c>
    </row>
    <row r="856" spans="1:5" x14ac:dyDescent="0.25">
      <c r="A856" s="94">
        <v>45947</v>
      </c>
      <c r="B856" s="95">
        <v>511630.76400000002</v>
      </c>
      <c r="C856" s="95">
        <v>4786689.8650000002</v>
      </c>
      <c r="D856" s="95">
        <v>55.944000000000003</v>
      </c>
      <c r="E856" s="91" t="s">
        <v>90</v>
      </c>
    </row>
    <row r="857" spans="1:5" x14ac:dyDescent="0.25">
      <c r="A857" s="94">
        <v>45947</v>
      </c>
      <c r="B857" s="95">
        <v>511623.43599999999</v>
      </c>
      <c r="C857" s="95">
        <v>4786694.0779999997</v>
      </c>
      <c r="D857" s="95">
        <v>54.776000000000003</v>
      </c>
      <c r="E857" s="91" t="s">
        <v>91</v>
      </c>
    </row>
    <row r="858" spans="1:5" x14ac:dyDescent="0.25">
      <c r="A858" s="94">
        <v>45947</v>
      </c>
      <c r="B858" s="95">
        <v>511613.31900000002</v>
      </c>
      <c r="C858" s="95">
        <v>4786695.307</v>
      </c>
      <c r="D858" s="95">
        <v>60.57</v>
      </c>
      <c r="E858" s="91" t="s">
        <v>92</v>
      </c>
    </row>
    <row r="859" spans="1:5" x14ac:dyDescent="0.25">
      <c r="A859" s="94">
        <v>45947</v>
      </c>
      <c r="B859" s="95">
        <v>511614.75400000002</v>
      </c>
      <c r="C859" s="95">
        <v>4786712.5609999998</v>
      </c>
      <c r="D859" s="95">
        <v>60.814999999999998</v>
      </c>
      <c r="E859" s="91" t="s">
        <v>93</v>
      </c>
    </row>
    <row r="860" spans="1:5" x14ac:dyDescent="0.25">
      <c r="A860" s="94">
        <v>45947</v>
      </c>
      <c r="B860" s="95">
        <v>511660.66499999998</v>
      </c>
      <c r="C860" s="95">
        <v>4786683.4689999996</v>
      </c>
      <c r="D860" s="95">
        <v>55.404000000000003</v>
      </c>
      <c r="E860" s="91" t="s">
        <v>94</v>
      </c>
    </row>
    <row r="861" spans="1:5" x14ac:dyDescent="0.25">
      <c r="A861" s="94">
        <v>45947</v>
      </c>
      <c r="B861" s="95">
        <v>511670.875</v>
      </c>
      <c r="C861" s="95">
        <v>4786685.9220000003</v>
      </c>
      <c r="D861" s="95">
        <v>54.820999999999998</v>
      </c>
      <c r="E861" s="91" t="s">
        <v>95</v>
      </c>
    </row>
    <row r="862" spans="1:5" x14ac:dyDescent="0.25">
      <c r="A862" s="94">
        <v>45947</v>
      </c>
      <c r="B862" s="95">
        <v>511649.80099999998</v>
      </c>
      <c r="C862" s="95">
        <v>4786669.5010000002</v>
      </c>
      <c r="D862" s="95">
        <v>51.057000000000002</v>
      </c>
      <c r="E862" s="91" t="s">
        <v>99</v>
      </c>
    </row>
    <row r="863" spans="1:5" x14ac:dyDescent="0.25">
      <c r="A863" s="94">
        <v>45947</v>
      </c>
      <c r="B863" s="95">
        <v>511607.55699999997</v>
      </c>
      <c r="C863" s="95">
        <v>4786691.9929999998</v>
      </c>
      <c r="D863" s="95">
        <v>51.061999999999998</v>
      </c>
      <c r="E863" s="91" t="s">
        <v>100</v>
      </c>
    </row>
    <row r="864" spans="1:5" x14ac:dyDescent="0.25">
      <c r="A864" s="94">
        <v>45947</v>
      </c>
      <c r="B864" s="95">
        <v>511607.27500000002</v>
      </c>
      <c r="C864" s="95">
        <v>4786692.18</v>
      </c>
      <c r="D864" s="95">
        <v>51.063000000000002</v>
      </c>
      <c r="E864" s="91" t="s">
        <v>101</v>
      </c>
    </row>
    <row r="865" spans="1:5" x14ac:dyDescent="0.25">
      <c r="A865" s="94">
        <v>45947</v>
      </c>
      <c r="B865" s="95">
        <v>511601.12</v>
      </c>
      <c r="C865" s="95">
        <v>4786695.4280000003</v>
      </c>
      <c r="D865" s="95">
        <v>51.042999999999999</v>
      </c>
      <c r="E865" s="91" t="s">
        <v>102</v>
      </c>
    </row>
    <row r="866" spans="1:5" x14ac:dyDescent="0.25">
      <c r="A866" s="94">
        <v>45947</v>
      </c>
      <c r="B866" s="95">
        <v>511615.25699999998</v>
      </c>
      <c r="C866" s="95">
        <v>4786687.4419999998</v>
      </c>
      <c r="D866" s="95">
        <v>48.46</v>
      </c>
      <c r="E866" s="91" t="s">
        <v>103</v>
      </c>
    </row>
    <row r="867" spans="1:5" x14ac:dyDescent="0.25">
      <c r="A867" s="94">
        <v>45947</v>
      </c>
      <c r="B867" s="95">
        <v>511615.23</v>
      </c>
      <c r="C867" s="95">
        <v>4786687.3660000004</v>
      </c>
      <c r="D867" s="95">
        <v>45.951000000000001</v>
      </c>
      <c r="E867" s="91" t="s">
        <v>104</v>
      </c>
    </row>
    <row r="868" spans="1:5" x14ac:dyDescent="0.25">
      <c r="A868" s="94">
        <v>45947</v>
      </c>
      <c r="B868" s="95">
        <v>511629.18800000002</v>
      </c>
      <c r="C868" s="95">
        <v>4786680.0710000005</v>
      </c>
      <c r="D868" s="95">
        <v>48.472999999999999</v>
      </c>
      <c r="E868" s="91" t="s">
        <v>105</v>
      </c>
    </row>
    <row r="869" spans="1:5" x14ac:dyDescent="0.25">
      <c r="A869" s="94">
        <v>45947</v>
      </c>
      <c r="B869" s="95">
        <v>511629.31</v>
      </c>
      <c r="C869" s="95">
        <v>4786680.0310000004</v>
      </c>
      <c r="D869" s="95">
        <v>45.954000000000001</v>
      </c>
      <c r="E869" s="91" t="s">
        <v>106</v>
      </c>
    </row>
    <row r="870" spans="1:5" x14ac:dyDescent="0.25">
      <c r="A870" s="94">
        <v>45947</v>
      </c>
      <c r="B870" s="95">
        <v>511642.288</v>
      </c>
      <c r="C870" s="95">
        <v>4786673.13</v>
      </c>
      <c r="D870" s="95">
        <v>48.453000000000003</v>
      </c>
      <c r="E870" s="91" t="s">
        <v>107</v>
      </c>
    </row>
    <row r="871" spans="1:5" x14ac:dyDescent="0.25">
      <c r="A871" s="94">
        <v>45947</v>
      </c>
      <c r="B871" s="95">
        <v>511642.44099999999</v>
      </c>
      <c r="C871" s="95">
        <v>4786673.0180000002</v>
      </c>
      <c r="D871" s="95">
        <v>45.948</v>
      </c>
      <c r="E871" s="91" t="s">
        <v>108</v>
      </c>
    </row>
    <row r="872" spans="1:5" x14ac:dyDescent="0.25">
      <c r="A872" s="94">
        <v>45950</v>
      </c>
      <c r="B872" s="95">
        <v>511615.10100000002</v>
      </c>
      <c r="C872" s="95">
        <v>4786687.9939999999</v>
      </c>
      <c r="D872" s="95">
        <v>51.042999999999999</v>
      </c>
      <c r="E872" s="91" t="s">
        <v>96</v>
      </c>
    </row>
    <row r="873" spans="1:5" x14ac:dyDescent="0.25">
      <c r="A873" s="94">
        <v>45950</v>
      </c>
      <c r="B873" s="95">
        <v>511628.886</v>
      </c>
      <c r="C873" s="95">
        <v>4786680.6550000003</v>
      </c>
      <c r="D873" s="95">
        <v>51.048999999999999</v>
      </c>
      <c r="E873" s="91" t="s">
        <v>97</v>
      </c>
    </row>
    <row r="874" spans="1:5" x14ac:dyDescent="0.25">
      <c r="A874" s="94">
        <v>45950</v>
      </c>
      <c r="B874" s="95">
        <v>511642.587</v>
      </c>
      <c r="C874" s="95">
        <v>4786673.3590000002</v>
      </c>
      <c r="D874" s="95">
        <v>51.057000000000002</v>
      </c>
      <c r="E874" s="91" t="s">
        <v>98</v>
      </c>
    </row>
    <row r="875" spans="1:5" x14ac:dyDescent="0.25">
      <c r="A875" s="94">
        <v>45950</v>
      </c>
      <c r="B875" s="95">
        <v>511649.70500000002</v>
      </c>
      <c r="C875" s="95">
        <v>4786682.1639999999</v>
      </c>
      <c r="D875" s="95">
        <v>56.183</v>
      </c>
      <c r="E875" s="91" t="s">
        <v>89</v>
      </c>
    </row>
    <row r="876" spans="1:5" x14ac:dyDescent="0.25">
      <c r="A876" s="94">
        <v>45950</v>
      </c>
      <c r="B876" s="95">
        <v>511630.76400000002</v>
      </c>
      <c r="C876" s="95">
        <v>4786689.8650000002</v>
      </c>
      <c r="D876" s="95">
        <v>55.945</v>
      </c>
      <c r="E876" s="91" t="s">
        <v>90</v>
      </c>
    </row>
    <row r="877" spans="1:5" x14ac:dyDescent="0.25">
      <c r="A877" s="94">
        <v>45950</v>
      </c>
      <c r="B877" s="95">
        <v>511623.435</v>
      </c>
      <c r="C877" s="95">
        <v>4786694.0779999997</v>
      </c>
      <c r="D877" s="95">
        <v>54.776000000000003</v>
      </c>
      <c r="E877" s="91" t="s">
        <v>91</v>
      </c>
    </row>
    <row r="878" spans="1:5" x14ac:dyDescent="0.25">
      <c r="A878" s="94">
        <v>45950</v>
      </c>
      <c r="B878" s="95">
        <v>511613.31800000003</v>
      </c>
      <c r="C878" s="95">
        <v>4786695.3059999999</v>
      </c>
      <c r="D878" s="95">
        <v>60.57</v>
      </c>
      <c r="E878" s="91" t="s">
        <v>92</v>
      </c>
    </row>
    <row r="879" spans="1:5" x14ac:dyDescent="0.25">
      <c r="A879" s="94">
        <v>45950</v>
      </c>
      <c r="B879" s="95">
        <v>511614.75300000003</v>
      </c>
      <c r="C879" s="95">
        <v>4786712.5609999998</v>
      </c>
      <c r="D879" s="95">
        <v>60.814999999999998</v>
      </c>
      <c r="E879" s="91" t="s">
        <v>93</v>
      </c>
    </row>
    <row r="880" spans="1:5" x14ac:dyDescent="0.25">
      <c r="A880" s="94">
        <v>45950</v>
      </c>
      <c r="B880" s="95">
        <v>511660.66399999999</v>
      </c>
      <c r="C880" s="95">
        <v>4786683.4689999996</v>
      </c>
      <c r="D880" s="95">
        <v>55.404000000000003</v>
      </c>
      <c r="E880" s="91" t="s">
        <v>94</v>
      </c>
    </row>
    <row r="881" spans="1:5" x14ac:dyDescent="0.25">
      <c r="A881" s="94">
        <v>45950</v>
      </c>
      <c r="B881" s="95">
        <v>511670.87400000001</v>
      </c>
      <c r="C881" s="95">
        <v>4786685.9210000001</v>
      </c>
      <c r="D881" s="95">
        <v>54.820999999999998</v>
      </c>
      <c r="E881" s="91" t="s">
        <v>95</v>
      </c>
    </row>
    <row r="882" spans="1:5" x14ac:dyDescent="0.25">
      <c r="A882" s="94">
        <v>45950</v>
      </c>
      <c r="B882" s="95">
        <v>511649.8</v>
      </c>
      <c r="C882" s="95">
        <v>4786669.5010000002</v>
      </c>
      <c r="D882" s="95">
        <v>51.057000000000002</v>
      </c>
      <c r="E882" s="91" t="s">
        <v>99</v>
      </c>
    </row>
    <row r="883" spans="1:5" x14ac:dyDescent="0.25">
      <c r="A883" s="94">
        <v>45950</v>
      </c>
      <c r="B883" s="95">
        <v>511607.55499999999</v>
      </c>
      <c r="C883" s="95">
        <v>4786691.9919999996</v>
      </c>
      <c r="D883" s="95">
        <v>51.061999999999998</v>
      </c>
      <c r="E883" s="91" t="s">
        <v>100</v>
      </c>
    </row>
    <row r="884" spans="1:5" x14ac:dyDescent="0.25">
      <c r="A884" s="94">
        <v>45950</v>
      </c>
      <c r="B884" s="95">
        <v>511607.27500000002</v>
      </c>
      <c r="C884" s="95">
        <v>4786692.18</v>
      </c>
      <c r="D884" s="95">
        <v>51.063000000000002</v>
      </c>
      <c r="E884" s="91" t="s">
        <v>101</v>
      </c>
    </row>
    <row r="885" spans="1:5" x14ac:dyDescent="0.25">
      <c r="A885" s="94">
        <v>45950</v>
      </c>
      <c r="B885" s="95">
        <v>511601.12099999998</v>
      </c>
      <c r="C885" s="95">
        <v>4786695.4289999995</v>
      </c>
      <c r="D885" s="95">
        <v>51.042999999999999</v>
      </c>
      <c r="E885" s="91" t="s">
        <v>102</v>
      </c>
    </row>
    <row r="886" spans="1:5" x14ac:dyDescent="0.25">
      <c r="A886" s="94">
        <v>45950</v>
      </c>
      <c r="B886" s="95">
        <v>511615.25799999997</v>
      </c>
      <c r="C886" s="95">
        <v>4786687.4419999998</v>
      </c>
      <c r="D886" s="95">
        <v>48.460999999999999</v>
      </c>
      <c r="E886" s="91" t="s">
        <v>103</v>
      </c>
    </row>
    <row r="887" spans="1:5" x14ac:dyDescent="0.25">
      <c r="A887" s="94">
        <v>45950</v>
      </c>
      <c r="B887" s="95">
        <v>511615.23100000003</v>
      </c>
      <c r="C887" s="95">
        <v>4786687.3640000001</v>
      </c>
      <c r="D887" s="95">
        <v>45.953000000000003</v>
      </c>
      <c r="E887" s="91" t="s">
        <v>104</v>
      </c>
    </row>
    <row r="888" spans="1:5" x14ac:dyDescent="0.25">
      <c r="A888" s="94">
        <v>45950</v>
      </c>
      <c r="B888" s="95">
        <v>511629.18699999998</v>
      </c>
      <c r="C888" s="95">
        <v>4786680.0710000005</v>
      </c>
      <c r="D888" s="95">
        <v>48.472999999999999</v>
      </c>
      <c r="E888" s="91" t="s">
        <v>105</v>
      </c>
    </row>
    <row r="889" spans="1:5" x14ac:dyDescent="0.25">
      <c r="A889" s="94">
        <v>45950</v>
      </c>
      <c r="B889" s="95">
        <v>511629.31099999999</v>
      </c>
      <c r="C889" s="95">
        <v>4786680.0319999997</v>
      </c>
      <c r="D889" s="95">
        <v>45.954999999999998</v>
      </c>
      <c r="E889" s="91" t="s">
        <v>106</v>
      </c>
    </row>
    <row r="890" spans="1:5" x14ac:dyDescent="0.25">
      <c r="A890" s="94">
        <v>45950</v>
      </c>
      <c r="B890" s="95">
        <v>511642.28899999999</v>
      </c>
      <c r="C890" s="95">
        <v>4786673.1310000001</v>
      </c>
      <c r="D890" s="95">
        <v>48.454000000000001</v>
      </c>
      <c r="E890" s="91" t="s">
        <v>107</v>
      </c>
    </row>
    <row r="891" spans="1:5" x14ac:dyDescent="0.25">
      <c r="A891" s="94">
        <v>45950</v>
      </c>
      <c r="B891" s="95">
        <v>511642.44099999999</v>
      </c>
      <c r="C891" s="95">
        <v>4786673.0190000003</v>
      </c>
      <c r="D891" s="95">
        <v>45.948999999999998</v>
      </c>
      <c r="E891" s="91" t="s">
        <v>108</v>
      </c>
    </row>
    <row r="892" spans="1:5" x14ac:dyDescent="0.25">
      <c r="A892" s="94">
        <v>45951</v>
      </c>
      <c r="B892" s="95">
        <v>511615.1</v>
      </c>
      <c r="C892" s="95">
        <v>4786687.9929999998</v>
      </c>
      <c r="D892" s="95">
        <v>51.042000000000002</v>
      </c>
      <c r="E892" s="91" t="s">
        <v>96</v>
      </c>
    </row>
    <row r="893" spans="1:5" x14ac:dyDescent="0.25">
      <c r="A893" s="94">
        <v>45951</v>
      </c>
      <c r="B893" s="95">
        <v>511628.886</v>
      </c>
      <c r="C893" s="95">
        <v>4786680.6550000003</v>
      </c>
      <c r="D893" s="95">
        <v>51.048999999999999</v>
      </c>
      <c r="E893" s="91" t="s">
        <v>97</v>
      </c>
    </row>
    <row r="894" spans="1:5" x14ac:dyDescent="0.25">
      <c r="A894" s="94">
        <v>45951</v>
      </c>
      <c r="B894" s="95">
        <v>511642.587</v>
      </c>
      <c r="C894" s="95">
        <v>4786673.358</v>
      </c>
      <c r="D894" s="95">
        <v>51.057000000000002</v>
      </c>
      <c r="E894" s="91" t="s">
        <v>98</v>
      </c>
    </row>
    <row r="895" spans="1:5" x14ac:dyDescent="0.25">
      <c r="A895" s="94">
        <v>45951</v>
      </c>
      <c r="B895" s="95">
        <v>511649.70600000001</v>
      </c>
      <c r="C895" s="95">
        <v>4786682.1639999999</v>
      </c>
      <c r="D895" s="95">
        <v>56.183</v>
      </c>
      <c r="E895" s="91" t="s">
        <v>89</v>
      </c>
    </row>
    <row r="896" spans="1:5" x14ac:dyDescent="0.25">
      <c r="A896" s="94">
        <v>45951</v>
      </c>
      <c r="B896" s="95">
        <v>511630.76400000002</v>
      </c>
      <c r="C896" s="95">
        <v>4786689.8660000004</v>
      </c>
      <c r="D896" s="95">
        <v>55.945</v>
      </c>
      <c r="E896" s="91" t="s">
        <v>90</v>
      </c>
    </row>
    <row r="897" spans="1:5" x14ac:dyDescent="0.25">
      <c r="A897" s="94">
        <v>45951</v>
      </c>
      <c r="B897" s="95">
        <v>511623.435</v>
      </c>
      <c r="C897" s="95">
        <v>4786694.0779999997</v>
      </c>
      <c r="D897" s="95">
        <v>54.777000000000001</v>
      </c>
      <c r="E897" s="91" t="s">
        <v>91</v>
      </c>
    </row>
    <row r="898" spans="1:5" x14ac:dyDescent="0.25">
      <c r="A898" s="94">
        <v>45951</v>
      </c>
      <c r="B898" s="95">
        <v>511613.31800000003</v>
      </c>
      <c r="C898" s="95">
        <v>4786695.307</v>
      </c>
      <c r="D898" s="95">
        <v>60.57</v>
      </c>
      <c r="E898" s="91" t="s">
        <v>92</v>
      </c>
    </row>
    <row r="899" spans="1:5" x14ac:dyDescent="0.25">
      <c r="A899" s="94">
        <v>45951</v>
      </c>
      <c r="B899" s="95">
        <v>511614.75400000002</v>
      </c>
      <c r="C899" s="95">
        <v>4786712.5619999999</v>
      </c>
      <c r="D899" s="95">
        <v>60.814999999999998</v>
      </c>
      <c r="E899" s="91" t="s">
        <v>93</v>
      </c>
    </row>
    <row r="900" spans="1:5" x14ac:dyDescent="0.25">
      <c r="A900" s="94">
        <v>45951</v>
      </c>
      <c r="B900" s="95">
        <v>511660.66399999999</v>
      </c>
      <c r="C900" s="95">
        <v>4786683.4689999996</v>
      </c>
      <c r="D900" s="95">
        <v>55.404000000000003</v>
      </c>
      <c r="E900" s="91" t="s">
        <v>94</v>
      </c>
    </row>
    <row r="901" spans="1:5" x14ac:dyDescent="0.25">
      <c r="A901" s="94">
        <v>45951</v>
      </c>
      <c r="B901" s="95">
        <v>511670.875</v>
      </c>
      <c r="C901" s="95">
        <v>4786685.9210000001</v>
      </c>
      <c r="D901" s="95">
        <v>54.820999999999998</v>
      </c>
      <c r="E901" s="91" t="s">
        <v>95</v>
      </c>
    </row>
    <row r="902" spans="1:5" x14ac:dyDescent="0.25">
      <c r="A902" s="94">
        <v>45951</v>
      </c>
      <c r="B902" s="95">
        <v>511649.80200000003</v>
      </c>
      <c r="C902" s="95">
        <v>4786669.5020000003</v>
      </c>
      <c r="D902" s="95">
        <v>51.057000000000002</v>
      </c>
      <c r="E902" s="91" t="s">
        <v>99</v>
      </c>
    </row>
    <row r="903" spans="1:5" x14ac:dyDescent="0.25">
      <c r="A903" s="94">
        <v>45951</v>
      </c>
      <c r="B903" s="95">
        <v>511607.55599999998</v>
      </c>
      <c r="C903" s="95">
        <v>4786691.9929999998</v>
      </c>
      <c r="D903" s="95">
        <v>51.061999999999998</v>
      </c>
      <c r="E903" s="91" t="s">
        <v>100</v>
      </c>
    </row>
    <row r="904" spans="1:5" x14ac:dyDescent="0.25">
      <c r="A904" s="94">
        <v>45951</v>
      </c>
      <c r="B904" s="95">
        <v>511607.27500000002</v>
      </c>
      <c r="C904" s="95">
        <v>4786692.18</v>
      </c>
      <c r="D904" s="95">
        <v>51.063000000000002</v>
      </c>
      <c r="E904" s="91" t="s">
        <v>101</v>
      </c>
    </row>
    <row r="905" spans="1:5" x14ac:dyDescent="0.25">
      <c r="A905" s="94">
        <v>45951</v>
      </c>
      <c r="B905" s="95">
        <v>511601.12</v>
      </c>
      <c r="C905" s="95">
        <v>4786695.4280000003</v>
      </c>
      <c r="D905" s="95">
        <v>51.042999999999999</v>
      </c>
      <c r="E905" s="91" t="s">
        <v>102</v>
      </c>
    </row>
    <row r="906" spans="1:5" x14ac:dyDescent="0.25">
      <c r="A906" s="94">
        <v>45951</v>
      </c>
      <c r="B906" s="95">
        <v>511615.25699999998</v>
      </c>
      <c r="C906" s="95">
        <v>4786687.4409999996</v>
      </c>
      <c r="D906" s="95">
        <v>48.460999999999999</v>
      </c>
      <c r="E906" s="91" t="s">
        <v>103</v>
      </c>
    </row>
    <row r="907" spans="1:5" x14ac:dyDescent="0.25">
      <c r="A907" s="94">
        <v>45951</v>
      </c>
      <c r="B907" s="95">
        <v>511615.23100000003</v>
      </c>
      <c r="C907" s="95">
        <v>4786687.3640000001</v>
      </c>
      <c r="D907" s="95">
        <v>45.953000000000003</v>
      </c>
      <c r="E907" s="91" t="s">
        <v>104</v>
      </c>
    </row>
    <row r="908" spans="1:5" x14ac:dyDescent="0.25">
      <c r="A908" s="94">
        <v>45951</v>
      </c>
      <c r="B908" s="95">
        <v>511629.18900000001</v>
      </c>
      <c r="C908" s="95">
        <v>4786680.0719999997</v>
      </c>
      <c r="D908" s="95">
        <v>48.472999999999999</v>
      </c>
      <c r="E908" s="91" t="s">
        <v>105</v>
      </c>
    </row>
    <row r="909" spans="1:5" x14ac:dyDescent="0.25">
      <c r="A909" s="94">
        <v>45951</v>
      </c>
      <c r="B909" s="95">
        <v>511629.31</v>
      </c>
      <c r="C909" s="95">
        <v>4786680.0319999997</v>
      </c>
      <c r="D909" s="95">
        <v>45.954999999999998</v>
      </c>
      <c r="E909" s="91" t="s">
        <v>106</v>
      </c>
    </row>
    <row r="910" spans="1:5" x14ac:dyDescent="0.25">
      <c r="A910" s="94">
        <v>45951</v>
      </c>
      <c r="B910" s="95">
        <v>511642.29</v>
      </c>
      <c r="C910" s="95">
        <v>4786673.1310000001</v>
      </c>
      <c r="D910" s="95">
        <v>48.454000000000001</v>
      </c>
      <c r="E910" s="91" t="s">
        <v>107</v>
      </c>
    </row>
    <row r="911" spans="1:5" x14ac:dyDescent="0.25">
      <c r="A911" s="94">
        <v>45952</v>
      </c>
      <c r="B911" s="95">
        <v>511615.1</v>
      </c>
      <c r="C911" s="95">
        <v>4786687.9919999996</v>
      </c>
      <c r="D911" s="95">
        <v>51.040999999999997</v>
      </c>
      <c r="E911" s="91" t="s">
        <v>96</v>
      </c>
    </row>
    <row r="912" spans="1:5" x14ac:dyDescent="0.25">
      <c r="A912" s="94">
        <v>45952</v>
      </c>
      <c r="B912" s="95">
        <v>511628.886</v>
      </c>
      <c r="C912" s="95">
        <v>4786680.6540000001</v>
      </c>
      <c r="D912" s="95">
        <v>51.048000000000002</v>
      </c>
      <c r="E912" s="91" t="s">
        <v>97</v>
      </c>
    </row>
    <row r="913" spans="1:5" x14ac:dyDescent="0.25">
      <c r="A913" s="94">
        <v>45952</v>
      </c>
      <c r="B913" s="95">
        <v>511642.58600000001</v>
      </c>
      <c r="C913" s="95">
        <v>4786673.358</v>
      </c>
      <c r="D913" s="95">
        <v>51.055999999999997</v>
      </c>
      <c r="E913" s="91" t="s">
        <v>98</v>
      </c>
    </row>
    <row r="914" spans="1:5" x14ac:dyDescent="0.25">
      <c r="A914" s="94">
        <v>45952</v>
      </c>
      <c r="B914" s="95">
        <v>511649.70400000003</v>
      </c>
      <c r="C914" s="95">
        <v>4786682.1639999999</v>
      </c>
      <c r="D914" s="95">
        <v>56.183</v>
      </c>
      <c r="E914" s="91" t="s">
        <v>89</v>
      </c>
    </row>
    <row r="915" spans="1:5" x14ac:dyDescent="0.25">
      <c r="A915" s="94">
        <v>45952</v>
      </c>
      <c r="B915" s="95">
        <v>511630.76299999998</v>
      </c>
      <c r="C915" s="95">
        <v>4786689.8650000002</v>
      </c>
      <c r="D915" s="95">
        <v>55.945</v>
      </c>
      <c r="E915" s="91" t="s">
        <v>90</v>
      </c>
    </row>
    <row r="916" spans="1:5" x14ac:dyDescent="0.25">
      <c r="A916" s="94">
        <v>45952</v>
      </c>
      <c r="B916" s="95">
        <v>511623.43400000001</v>
      </c>
      <c r="C916" s="95">
        <v>4786694.0779999997</v>
      </c>
      <c r="D916" s="95">
        <v>54.776000000000003</v>
      </c>
      <c r="E916" s="91" t="s">
        <v>91</v>
      </c>
    </row>
    <row r="917" spans="1:5" x14ac:dyDescent="0.25">
      <c r="A917" s="94">
        <v>45952</v>
      </c>
      <c r="B917" s="95">
        <v>511613.31699999998</v>
      </c>
      <c r="C917" s="95">
        <v>4786695.3059999999</v>
      </c>
      <c r="D917" s="95">
        <v>60.569000000000003</v>
      </c>
      <c r="E917" s="91" t="s">
        <v>92</v>
      </c>
    </row>
    <row r="918" spans="1:5" x14ac:dyDescent="0.25">
      <c r="A918" s="94">
        <v>45952</v>
      </c>
      <c r="B918" s="95">
        <v>511614.75300000003</v>
      </c>
      <c r="C918" s="95">
        <v>4786712.5609999998</v>
      </c>
      <c r="D918" s="95">
        <v>60.814999999999998</v>
      </c>
      <c r="E918" s="91" t="s">
        <v>93</v>
      </c>
    </row>
    <row r="919" spans="1:5" x14ac:dyDescent="0.25">
      <c r="A919" s="94">
        <v>45952</v>
      </c>
      <c r="B919" s="95">
        <v>511660.66399999999</v>
      </c>
      <c r="C919" s="95">
        <v>4786683.4689999996</v>
      </c>
      <c r="D919" s="95">
        <v>55.404000000000003</v>
      </c>
      <c r="E919" s="91" t="s">
        <v>94</v>
      </c>
    </row>
    <row r="920" spans="1:5" x14ac:dyDescent="0.25">
      <c r="A920" s="94">
        <v>45952</v>
      </c>
      <c r="B920" s="95">
        <v>511670.875</v>
      </c>
      <c r="C920" s="95">
        <v>4786685.9220000003</v>
      </c>
      <c r="D920" s="95">
        <v>54.820999999999998</v>
      </c>
      <c r="E920" s="91" t="s">
        <v>95</v>
      </c>
    </row>
    <row r="921" spans="1:5" x14ac:dyDescent="0.25">
      <c r="A921" s="94">
        <v>45952</v>
      </c>
      <c r="B921" s="95">
        <v>511649.8</v>
      </c>
      <c r="C921" s="95">
        <v>4786669.5010000002</v>
      </c>
      <c r="D921" s="95">
        <v>51.057000000000002</v>
      </c>
      <c r="E921" s="91" t="s">
        <v>99</v>
      </c>
    </row>
    <row r="922" spans="1:5" x14ac:dyDescent="0.25">
      <c r="A922" s="94">
        <v>45952</v>
      </c>
      <c r="B922" s="95">
        <v>511607.55499999999</v>
      </c>
      <c r="C922" s="95">
        <v>4786691.9919999996</v>
      </c>
      <c r="D922" s="95">
        <v>51.061999999999998</v>
      </c>
      <c r="E922" s="91" t="s">
        <v>100</v>
      </c>
    </row>
    <row r="923" spans="1:5" x14ac:dyDescent="0.25">
      <c r="A923" s="94">
        <v>45952</v>
      </c>
      <c r="B923" s="95">
        <v>511607.27399999998</v>
      </c>
      <c r="C923" s="95">
        <v>4786692.1789999995</v>
      </c>
      <c r="D923" s="95">
        <v>51.063000000000002</v>
      </c>
      <c r="E923" s="91" t="s">
        <v>101</v>
      </c>
    </row>
    <row r="924" spans="1:5" x14ac:dyDescent="0.25">
      <c r="A924" s="94">
        <v>45952</v>
      </c>
      <c r="B924" s="95">
        <v>511601.12</v>
      </c>
      <c r="C924" s="95">
        <v>4786695.4280000003</v>
      </c>
      <c r="D924" s="95">
        <v>51.042999999999999</v>
      </c>
      <c r="E924" s="91" t="s">
        <v>102</v>
      </c>
    </row>
    <row r="925" spans="1:5" x14ac:dyDescent="0.25">
      <c r="A925" s="94">
        <v>45952</v>
      </c>
      <c r="B925" s="95">
        <v>511615.255</v>
      </c>
      <c r="C925" s="95">
        <v>4786687.4400000004</v>
      </c>
      <c r="D925" s="95">
        <v>48.457000000000001</v>
      </c>
      <c r="E925" s="91" t="s">
        <v>103</v>
      </c>
    </row>
    <row r="926" spans="1:5" x14ac:dyDescent="0.25">
      <c r="A926" s="94">
        <v>45952</v>
      </c>
      <c r="B926" s="95">
        <v>511615.22700000001</v>
      </c>
      <c r="C926" s="95">
        <v>4786687.3640000001</v>
      </c>
      <c r="D926" s="95">
        <v>45.95</v>
      </c>
      <c r="E926" s="91" t="s">
        <v>104</v>
      </c>
    </row>
    <row r="927" spans="1:5" x14ac:dyDescent="0.25">
      <c r="A927" s="94">
        <v>45952</v>
      </c>
      <c r="B927" s="95">
        <v>511629.18699999998</v>
      </c>
      <c r="C927" s="95">
        <v>4786680.07</v>
      </c>
      <c r="D927" s="95">
        <v>48.472999999999999</v>
      </c>
      <c r="E927" s="91" t="s">
        <v>105</v>
      </c>
    </row>
    <row r="928" spans="1:5" x14ac:dyDescent="0.25">
      <c r="A928" s="94">
        <v>45952</v>
      </c>
      <c r="B928" s="95">
        <v>511629.31</v>
      </c>
      <c r="C928" s="95">
        <v>4786680.0310000004</v>
      </c>
      <c r="D928" s="95">
        <v>45.954000000000001</v>
      </c>
      <c r="E928" s="91" t="s">
        <v>106</v>
      </c>
    </row>
    <row r="929" spans="1:5" x14ac:dyDescent="0.25">
      <c r="A929" s="94">
        <v>45952</v>
      </c>
      <c r="B929" s="95">
        <v>511642.288</v>
      </c>
      <c r="C929" s="95">
        <v>4786673.1310000001</v>
      </c>
      <c r="D929" s="95">
        <v>48.451999999999998</v>
      </c>
      <c r="E929" s="91" t="s">
        <v>107</v>
      </c>
    </row>
    <row r="930" spans="1:5" x14ac:dyDescent="0.25">
      <c r="A930" s="94">
        <v>45953</v>
      </c>
      <c r="B930" s="95">
        <v>511615.1</v>
      </c>
      <c r="C930" s="95">
        <v>4786687.9919999996</v>
      </c>
      <c r="D930" s="95">
        <v>51.04</v>
      </c>
      <c r="E930" s="91" t="s">
        <v>96</v>
      </c>
    </row>
    <row r="931" spans="1:5" x14ac:dyDescent="0.25">
      <c r="A931" s="94">
        <v>45953</v>
      </c>
      <c r="B931" s="95">
        <v>511628.88500000001</v>
      </c>
      <c r="C931" s="95">
        <v>4786680.6550000003</v>
      </c>
      <c r="D931" s="95">
        <v>51.046999999999997</v>
      </c>
      <c r="E931" s="91" t="s">
        <v>97</v>
      </c>
    </row>
    <row r="932" spans="1:5" x14ac:dyDescent="0.25">
      <c r="A932" s="94">
        <v>45953</v>
      </c>
      <c r="B932" s="95">
        <v>511642.58500000002</v>
      </c>
      <c r="C932" s="95">
        <v>4786673.3590000002</v>
      </c>
      <c r="D932" s="95">
        <v>51.057000000000002</v>
      </c>
      <c r="E932" s="91" t="s">
        <v>98</v>
      </c>
    </row>
    <row r="933" spans="1:5" x14ac:dyDescent="0.25">
      <c r="A933" s="94">
        <v>45953</v>
      </c>
      <c r="B933" s="95">
        <v>511649.70500000002</v>
      </c>
      <c r="C933" s="95">
        <v>4786682.1639999999</v>
      </c>
      <c r="D933" s="95">
        <v>56.183999999999997</v>
      </c>
      <c r="E933" s="91" t="s">
        <v>89</v>
      </c>
    </row>
    <row r="934" spans="1:5" x14ac:dyDescent="0.25">
      <c r="A934" s="94">
        <v>45953</v>
      </c>
      <c r="B934" s="95">
        <v>511630.76400000002</v>
      </c>
      <c r="C934" s="95">
        <v>4786689.8660000004</v>
      </c>
      <c r="D934" s="95">
        <v>55.945</v>
      </c>
      <c r="E934" s="91" t="s">
        <v>90</v>
      </c>
    </row>
    <row r="935" spans="1:5" x14ac:dyDescent="0.25">
      <c r="A935" s="94">
        <v>45953</v>
      </c>
      <c r="B935" s="95">
        <v>511623.435</v>
      </c>
      <c r="C935" s="95">
        <v>4786694.0779999997</v>
      </c>
      <c r="D935" s="95">
        <v>54.776000000000003</v>
      </c>
      <c r="E935" s="91" t="s">
        <v>91</v>
      </c>
    </row>
    <row r="936" spans="1:5" x14ac:dyDescent="0.25">
      <c r="A936" s="94">
        <v>45953</v>
      </c>
      <c r="B936" s="95">
        <v>511613.31800000003</v>
      </c>
      <c r="C936" s="95">
        <v>4786695.307</v>
      </c>
      <c r="D936" s="95">
        <v>60.57</v>
      </c>
      <c r="E936" s="91" t="s">
        <v>92</v>
      </c>
    </row>
    <row r="937" spans="1:5" x14ac:dyDescent="0.25">
      <c r="A937" s="94">
        <v>45953</v>
      </c>
      <c r="B937" s="95">
        <v>511614.75099999999</v>
      </c>
      <c r="C937" s="95">
        <v>4786712.5590000004</v>
      </c>
      <c r="D937" s="95">
        <v>60.814999999999998</v>
      </c>
      <c r="E937" s="91" t="s">
        <v>93</v>
      </c>
    </row>
    <row r="938" spans="1:5" x14ac:dyDescent="0.25">
      <c r="A938" s="94">
        <v>45953</v>
      </c>
      <c r="B938" s="95">
        <v>511660.66399999999</v>
      </c>
      <c r="C938" s="95">
        <v>4786683.4689999996</v>
      </c>
      <c r="D938" s="95">
        <v>55.404000000000003</v>
      </c>
      <c r="E938" s="91" t="s">
        <v>94</v>
      </c>
    </row>
    <row r="939" spans="1:5" x14ac:dyDescent="0.25">
      <c r="A939" s="94">
        <v>45953</v>
      </c>
      <c r="B939" s="95">
        <v>511670.87400000001</v>
      </c>
      <c r="C939" s="95">
        <v>4786685.9210000001</v>
      </c>
      <c r="D939" s="95">
        <v>54.820999999999998</v>
      </c>
      <c r="E939" s="91" t="s">
        <v>95</v>
      </c>
    </row>
    <row r="940" spans="1:5" x14ac:dyDescent="0.25">
      <c r="A940" s="94">
        <v>45953</v>
      </c>
      <c r="B940" s="95">
        <v>511649.80099999998</v>
      </c>
      <c r="C940" s="95">
        <v>4786669.5010000002</v>
      </c>
      <c r="D940" s="95">
        <v>51.057000000000002</v>
      </c>
      <c r="E940" s="91" t="s">
        <v>99</v>
      </c>
    </row>
    <row r="941" spans="1:5" x14ac:dyDescent="0.25">
      <c r="A941" s="94">
        <v>45953</v>
      </c>
      <c r="B941" s="95">
        <v>511607.55599999998</v>
      </c>
      <c r="C941" s="95">
        <v>4786691.9929999998</v>
      </c>
      <c r="D941" s="95">
        <v>51.061999999999998</v>
      </c>
      <c r="E941" s="91" t="s">
        <v>100</v>
      </c>
    </row>
    <row r="942" spans="1:5" x14ac:dyDescent="0.25">
      <c r="A942" s="94">
        <v>45953</v>
      </c>
      <c r="B942" s="95">
        <v>511607.27399999998</v>
      </c>
      <c r="C942" s="95">
        <v>4786692.1789999995</v>
      </c>
      <c r="D942" s="95">
        <v>51.063000000000002</v>
      </c>
      <c r="E942" s="91" t="s">
        <v>101</v>
      </c>
    </row>
    <row r="943" spans="1:5" x14ac:dyDescent="0.25">
      <c r="A943" s="94">
        <v>45953</v>
      </c>
      <c r="B943" s="95">
        <v>511601.11800000002</v>
      </c>
      <c r="C943" s="95">
        <v>4786695.432</v>
      </c>
      <c r="D943" s="95">
        <v>51.045999999999999</v>
      </c>
      <c r="E943" s="91" t="s">
        <v>102</v>
      </c>
    </row>
    <row r="944" spans="1:5" x14ac:dyDescent="0.25">
      <c r="A944" s="94">
        <v>45953</v>
      </c>
      <c r="B944" s="95">
        <v>511615.25599999999</v>
      </c>
      <c r="C944" s="95">
        <v>4786687.4409999996</v>
      </c>
      <c r="D944" s="95">
        <v>48.460999999999999</v>
      </c>
      <c r="E944" s="91" t="s">
        <v>103</v>
      </c>
    </row>
    <row r="945" spans="1:5" x14ac:dyDescent="0.25">
      <c r="A945" s="94">
        <v>45953</v>
      </c>
      <c r="B945" s="95">
        <v>511615.228</v>
      </c>
      <c r="C945" s="95">
        <v>4786687.3619999997</v>
      </c>
      <c r="D945" s="95">
        <v>45.953000000000003</v>
      </c>
      <c r="E945" s="91" t="s">
        <v>104</v>
      </c>
    </row>
    <row r="946" spans="1:5" x14ac:dyDescent="0.25">
      <c r="A946" s="94">
        <v>45953</v>
      </c>
      <c r="B946" s="95">
        <v>511629.18699999998</v>
      </c>
      <c r="C946" s="95">
        <v>4786680.0719999997</v>
      </c>
      <c r="D946" s="95">
        <v>48.472999999999999</v>
      </c>
      <c r="E946" s="91" t="s">
        <v>105</v>
      </c>
    </row>
    <row r="947" spans="1:5" x14ac:dyDescent="0.25">
      <c r="A947" s="94">
        <v>45953</v>
      </c>
      <c r="B947" s="95">
        <v>511629.31</v>
      </c>
      <c r="C947" s="95">
        <v>4786680.0319999997</v>
      </c>
      <c r="D947" s="95">
        <v>45.954999999999998</v>
      </c>
      <c r="E947" s="91" t="s">
        <v>106</v>
      </c>
    </row>
    <row r="948" spans="1:5" x14ac:dyDescent="0.25">
      <c r="A948" s="94">
        <v>45953</v>
      </c>
      <c r="B948" s="95">
        <v>511642.288</v>
      </c>
      <c r="C948" s="95">
        <v>4786673.1310000001</v>
      </c>
      <c r="D948" s="95">
        <v>48.454999999999998</v>
      </c>
      <c r="E948" s="91" t="s">
        <v>107</v>
      </c>
    </row>
    <row r="949" spans="1:5" x14ac:dyDescent="0.25">
      <c r="A949" s="94">
        <v>45953</v>
      </c>
      <c r="B949" s="95">
        <v>511642.44199999998</v>
      </c>
      <c r="C949" s="95">
        <v>4786673.0190000003</v>
      </c>
      <c r="D949" s="95">
        <v>45.948999999999998</v>
      </c>
      <c r="E949" s="91" t="s">
        <v>108</v>
      </c>
    </row>
    <row r="950" spans="1:5" x14ac:dyDescent="0.25">
      <c r="A950" s="94">
        <v>45954</v>
      </c>
      <c r="B950" s="95">
        <v>511615.10100000002</v>
      </c>
      <c r="C950" s="95">
        <v>4786687.9919999996</v>
      </c>
      <c r="D950" s="95">
        <v>51.039000000000001</v>
      </c>
      <c r="E950" s="91" t="s">
        <v>96</v>
      </c>
    </row>
    <row r="951" spans="1:5" x14ac:dyDescent="0.25">
      <c r="A951" s="94">
        <v>45954</v>
      </c>
      <c r="B951" s="95">
        <v>511628.88400000002</v>
      </c>
      <c r="C951" s="95">
        <v>4786680.6540000001</v>
      </c>
      <c r="D951" s="95">
        <v>51.045999999999999</v>
      </c>
      <c r="E951" s="91" t="s">
        <v>97</v>
      </c>
    </row>
    <row r="952" spans="1:5" x14ac:dyDescent="0.25">
      <c r="A952" s="94">
        <v>45954</v>
      </c>
      <c r="B952" s="95">
        <v>511642.587</v>
      </c>
      <c r="C952" s="95">
        <v>4786673.3590000002</v>
      </c>
      <c r="D952" s="95">
        <v>51.055</v>
      </c>
      <c r="E952" s="91" t="s">
        <v>98</v>
      </c>
    </row>
    <row r="953" spans="1:5" x14ac:dyDescent="0.25">
      <c r="A953" s="94">
        <v>45954</v>
      </c>
      <c r="B953" s="95">
        <v>511649.70500000002</v>
      </c>
      <c r="C953" s="95">
        <v>4786682.1639999999</v>
      </c>
      <c r="D953" s="95">
        <v>56.182000000000002</v>
      </c>
      <c r="E953" s="91" t="s">
        <v>89</v>
      </c>
    </row>
    <row r="954" spans="1:5" x14ac:dyDescent="0.25">
      <c r="A954" s="94">
        <v>45954</v>
      </c>
      <c r="B954" s="95">
        <v>511630.76299999998</v>
      </c>
      <c r="C954" s="95">
        <v>4786689.8650000002</v>
      </c>
      <c r="D954" s="95">
        <v>55.944000000000003</v>
      </c>
      <c r="E954" s="91" t="s">
        <v>90</v>
      </c>
    </row>
    <row r="955" spans="1:5" x14ac:dyDescent="0.25">
      <c r="A955" s="94">
        <v>45954</v>
      </c>
      <c r="B955" s="95">
        <v>511623.43400000001</v>
      </c>
      <c r="C955" s="95">
        <v>4786694.0779999997</v>
      </c>
      <c r="D955" s="95">
        <v>54.774999999999999</v>
      </c>
      <c r="E955" s="91" t="s">
        <v>91</v>
      </c>
    </row>
    <row r="956" spans="1:5" x14ac:dyDescent="0.25">
      <c r="A956" s="94">
        <v>45954</v>
      </c>
      <c r="B956" s="95">
        <v>511613.31800000003</v>
      </c>
      <c r="C956" s="95">
        <v>4786695.307</v>
      </c>
      <c r="D956" s="95">
        <v>60.567999999999998</v>
      </c>
      <c r="E956" s="91" t="s">
        <v>92</v>
      </c>
    </row>
    <row r="957" spans="1:5" x14ac:dyDescent="0.25">
      <c r="A957" s="94">
        <v>45954</v>
      </c>
      <c r="B957" s="95">
        <v>511614.75300000003</v>
      </c>
      <c r="C957" s="95">
        <v>4786712.5599999996</v>
      </c>
      <c r="D957" s="95">
        <v>60.814</v>
      </c>
      <c r="E957" s="91" t="s">
        <v>93</v>
      </c>
    </row>
    <row r="958" spans="1:5" x14ac:dyDescent="0.25">
      <c r="A958" s="94">
        <v>45954</v>
      </c>
      <c r="B958" s="95">
        <v>511670.87400000001</v>
      </c>
      <c r="C958" s="95">
        <v>4786685.9210000001</v>
      </c>
      <c r="D958" s="95">
        <v>54.820999999999998</v>
      </c>
      <c r="E958" s="91" t="s">
        <v>95</v>
      </c>
    </row>
    <row r="959" spans="1:5" x14ac:dyDescent="0.25">
      <c r="A959" s="94">
        <v>45954</v>
      </c>
      <c r="B959" s="95">
        <v>511649.80099999998</v>
      </c>
      <c r="C959" s="95">
        <v>4786669.5010000002</v>
      </c>
      <c r="D959" s="95">
        <v>51.057000000000002</v>
      </c>
      <c r="E959" s="91" t="s">
        <v>99</v>
      </c>
    </row>
    <row r="960" spans="1:5" x14ac:dyDescent="0.25">
      <c r="A960" s="94">
        <v>45954</v>
      </c>
      <c r="B960" s="95">
        <v>511607.55499999999</v>
      </c>
      <c r="C960" s="95">
        <v>4786691.9919999996</v>
      </c>
      <c r="D960" s="95">
        <v>51.061999999999998</v>
      </c>
      <c r="E960" s="91" t="s">
        <v>100</v>
      </c>
    </row>
    <row r="961" spans="1:5" x14ac:dyDescent="0.25">
      <c r="A961" s="94">
        <v>45954</v>
      </c>
      <c r="B961" s="95">
        <v>511607.27500000002</v>
      </c>
      <c r="C961" s="95">
        <v>4786692.18</v>
      </c>
      <c r="D961" s="95">
        <v>51.063000000000002</v>
      </c>
      <c r="E961" s="91" t="s">
        <v>101</v>
      </c>
    </row>
    <row r="962" spans="1:5" x14ac:dyDescent="0.25">
      <c r="A962" s="94">
        <v>45954</v>
      </c>
      <c r="B962" s="95">
        <v>511601.12099999998</v>
      </c>
      <c r="C962" s="95">
        <v>4786695.4289999995</v>
      </c>
      <c r="D962" s="95">
        <v>51.042999999999999</v>
      </c>
      <c r="E962" s="91" t="s">
        <v>102</v>
      </c>
    </row>
    <row r="963" spans="1:5" x14ac:dyDescent="0.25">
      <c r="A963" s="94">
        <v>45954</v>
      </c>
      <c r="B963" s="95">
        <v>511615.255</v>
      </c>
      <c r="C963" s="95">
        <v>4786687.4400000004</v>
      </c>
      <c r="D963" s="95">
        <v>48.460999999999999</v>
      </c>
      <c r="E963" s="91" t="s">
        <v>103</v>
      </c>
    </row>
    <row r="964" spans="1:5" x14ac:dyDescent="0.25">
      <c r="A964" s="94">
        <v>45954</v>
      </c>
      <c r="B964" s="95">
        <v>511615.228</v>
      </c>
      <c r="C964" s="95">
        <v>4786687.3619999997</v>
      </c>
      <c r="D964" s="95">
        <v>45.953000000000003</v>
      </c>
      <c r="E964" s="91" t="s">
        <v>104</v>
      </c>
    </row>
    <row r="965" spans="1:5" x14ac:dyDescent="0.25">
      <c r="A965" s="94">
        <v>45954</v>
      </c>
      <c r="B965" s="95">
        <v>511629.185</v>
      </c>
      <c r="C965" s="95">
        <v>4786680.0710000005</v>
      </c>
      <c r="D965" s="95">
        <v>48.473999999999997</v>
      </c>
      <c r="E965" s="91" t="s">
        <v>105</v>
      </c>
    </row>
    <row r="966" spans="1:5" x14ac:dyDescent="0.25">
      <c r="A966" s="94">
        <v>45954</v>
      </c>
      <c r="B966" s="95">
        <v>511629.30900000001</v>
      </c>
      <c r="C966" s="95">
        <v>4786680.0319999997</v>
      </c>
      <c r="D966" s="95">
        <v>45.954999999999998</v>
      </c>
      <c r="E966" s="91" t="s">
        <v>106</v>
      </c>
    </row>
    <row r="967" spans="1:5" x14ac:dyDescent="0.25">
      <c r="A967" s="94">
        <v>45954</v>
      </c>
      <c r="B967" s="95">
        <v>511642.28700000001</v>
      </c>
      <c r="C967" s="95">
        <v>4786673.13</v>
      </c>
      <c r="D967" s="95">
        <v>48.454999999999998</v>
      </c>
      <c r="E967" s="91" t="s">
        <v>107</v>
      </c>
    </row>
    <row r="968" spans="1:5" x14ac:dyDescent="0.25">
      <c r="A968" s="94">
        <v>45954</v>
      </c>
      <c r="B968" s="95">
        <v>511642.44099999999</v>
      </c>
      <c r="C968" s="95">
        <v>4786673.0190000003</v>
      </c>
      <c r="D968" s="95">
        <v>45.95</v>
      </c>
      <c r="E968" s="91" t="s">
        <v>108</v>
      </c>
    </row>
    <row r="969" spans="1:5" x14ac:dyDescent="0.25">
      <c r="A969" s="94">
        <v>45957</v>
      </c>
      <c r="B969" s="95">
        <v>511615.10100000002</v>
      </c>
      <c r="C969" s="95">
        <v>4786687.9929999998</v>
      </c>
      <c r="D969" s="95">
        <v>51.04</v>
      </c>
      <c r="E969" s="91" t="s">
        <v>96</v>
      </c>
    </row>
    <row r="970" spans="1:5" x14ac:dyDescent="0.25">
      <c r="A970" s="94">
        <v>45957</v>
      </c>
      <c r="B970" s="95">
        <v>511628.88500000001</v>
      </c>
      <c r="C970" s="95">
        <v>4786680.6529999999</v>
      </c>
      <c r="D970" s="95">
        <v>51.045999999999999</v>
      </c>
      <c r="E970" s="91" t="s">
        <v>97</v>
      </c>
    </row>
    <row r="971" spans="1:5" x14ac:dyDescent="0.25">
      <c r="A971" s="94">
        <v>45957</v>
      </c>
      <c r="B971" s="95">
        <v>511642.58500000002</v>
      </c>
      <c r="C971" s="95">
        <v>4786673.3569999998</v>
      </c>
      <c r="D971" s="95">
        <v>51.054000000000002</v>
      </c>
      <c r="E971" s="91" t="s">
        <v>98</v>
      </c>
    </row>
    <row r="972" spans="1:5" x14ac:dyDescent="0.25">
      <c r="A972" s="94">
        <v>45957</v>
      </c>
      <c r="B972" s="95">
        <v>511649.70600000001</v>
      </c>
      <c r="C972" s="95">
        <v>4786682.1629999997</v>
      </c>
      <c r="D972" s="95">
        <v>56.183999999999997</v>
      </c>
      <c r="E972" s="91" t="s">
        <v>89</v>
      </c>
    </row>
    <row r="973" spans="1:5" x14ac:dyDescent="0.25">
      <c r="A973" s="94">
        <v>45957</v>
      </c>
      <c r="B973" s="95">
        <v>511630.76400000002</v>
      </c>
      <c r="C973" s="95">
        <v>4786689.8650000002</v>
      </c>
      <c r="D973" s="95">
        <v>55.944000000000003</v>
      </c>
      <c r="E973" s="91" t="s">
        <v>90</v>
      </c>
    </row>
    <row r="974" spans="1:5" x14ac:dyDescent="0.25">
      <c r="A974" s="94">
        <v>45957</v>
      </c>
      <c r="B974" s="95">
        <v>511623.43699999998</v>
      </c>
      <c r="C974" s="95">
        <v>4786694.08</v>
      </c>
      <c r="D974" s="95">
        <v>54.776000000000003</v>
      </c>
      <c r="E974" s="91" t="s">
        <v>91</v>
      </c>
    </row>
    <row r="975" spans="1:5" x14ac:dyDescent="0.25">
      <c r="A975" s="94">
        <v>45957</v>
      </c>
      <c r="B975" s="95">
        <v>511613.31800000003</v>
      </c>
      <c r="C975" s="95">
        <v>4786695.307</v>
      </c>
      <c r="D975" s="95">
        <v>60.569000000000003</v>
      </c>
      <c r="E975" s="91" t="s">
        <v>92</v>
      </c>
    </row>
    <row r="976" spans="1:5" x14ac:dyDescent="0.25">
      <c r="A976" s="94">
        <v>45957</v>
      </c>
      <c r="B976" s="95">
        <v>511614.75300000003</v>
      </c>
      <c r="C976" s="95">
        <v>4786712.5609999998</v>
      </c>
      <c r="D976" s="95">
        <v>60.814</v>
      </c>
      <c r="E976" s="91" t="s">
        <v>93</v>
      </c>
    </row>
    <row r="977" spans="1:5" x14ac:dyDescent="0.25">
      <c r="A977" s="94">
        <v>45957</v>
      </c>
      <c r="B977" s="95">
        <v>511660.66499999998</v>
      </c>
      <c r="C977" s="95">
        <v>4786683.4689999996</v>
      </c>
      <c r="D977" s="95">
        <v>55.404000000000003</v>
      </c>
      <c r="E977" s="91" t="s">
        <v>94</v>
      </c>
    </row>
    <row r="978" spans="1:5" x14ac:dyDescent="0.25">
      <c r="A978" s="94">
        <v>45957</v>
      </c>
      <c r="B978" s="95">
        <v>511670.875</v>
      </c>
      <c r="C978" s="95">
        <v>4786685.9220000003</v>
      </c>
      <c r="D978" s="95">
        <v>54.820999999999998</v>
      </c>
      <c r="E978" s="91" t="s">
        <v>95</v>
      </c>
    </row>
    <row r="979" spans="1:5" x14ac:dyDescent="0.25">
      <c r="A979" s="94">
        <v>45957</v>
      </c>
      <c r="B979" s="95">
        <v>511649.8</v>
      </c>
      <c r="C979" s="95">
        <v>4786669.5010000002</v>
      </c>
      <c r="D979" s="95">
        <v>51.057000000000002</v>
      </c>
      <c r="E979" s="91" t="s">
        <v>99</v>
      </c>
    </row>
    <row r="980" spans="1:5" x14ac:dyDescent="0.25">
      <c r="A980" s="94">
        <v>45957</v>
      </c>
      <c r="B980" s="95">
        <v>511607.55499999999</v>
      </c>
      <c r="C980" s="95">
        <v>4786691.9919999996</v>
      </c>
      <c r="D980" s="95">
        <v>51.061999999999998</v>
      </c>
      <c r="E980" s="91" t="s">
        <v>100</v>
      </c>
    </row>
    <row r="981" spans="1:5" x14ac:dyDescent="0.25">
      <c r="A981" s="94">
        <v>45957</v>
      </c>
      <c r="B981" s="95">
        <v>511607.27500000002</v>
      </c>
      <c r="C981" s="95">
        <v>4786692.18</v>
      </c>
      <c r="D981" s="95">
        <v>51.063000000000002</v>
      </c>
      <c r="E981" s="91" t="s">
        <v>101</v>
      </c>
    </row>
    <row r="982" spans="1:5" x14ac:dyDescent="0.25">
      <c r="A982" s="94">
        <v>45957</v>
      </c>
      <c r="B982" s="95">
        <v>511601.12099999998</v>
      </c>
      <c r="C982" s="95">
        <v>4786695.4289999995</v>
      </c>
      <c r="D982" s="95">
        <v>51.042999999999999</v>
      </c>
      <c r="E982" s="91" t="s">
        <v>102</v>
      </c>
    </row>
    <row r="983" spans="1:5" x14ac:dyDescent="0.25">
      <c r="A983" s="94">
        <v>45957</v>
      </c>
      <c r="B983" s="95">
        <v>511615.25599999999</v>
      </c>
      <c r="C983" s="95">
        <v>4786687.4400000004</v>
      </c>
      <c r="D983" s="95">
        <v>48.456000000000003</v>
      </c>
      <c r="E983" s="91" t="s">
        <v>103</v>
      </c>
    </row>
    <row r="984" spans="1:5" x14ac:dyDescent="0.25">
      <c r="A984" s="94">
        <v>45957</v>
      </c>
      <c r="B984" s="95">
        <v>511615.22700000001</v>
      </c>
      <c r="C984" s="95">
        <v>4786687.3629999999</v>
      </c>
      <c r="D984" s="95">
        <v>45.948</v>
      </c>
      <c r="E984" s="91" t="s">
        <v>104</v>
      </c>
    </row>
    <row r="985" spans="1:5" x14ac:dyDescent="0.25">
      <c r="A985" s="94">
        <v>45957</v>
      </c>
      <c r="B985" s="95">
        <v>511629.185</v>
      </c>
      <c r="C985" s="95">
        <v>4786680.0690000001</v>
      </c>
      <c r="D985" s="95">
        <v>48.470999999999997</v>
      </c>
      <c r="E985" s="91" t="s">
        <v>105</v>
      </c>
    </row>
    <row r="986" spans="1:5" x14ac:dyDescent="0.25">
      <c r="A986" s="94">
        <v>45957</v>
      </c>
      <c r="B986" s="95">
        <v>511629.30900000001</v>
      </c>
      <c r="C986" s="95">
        <v>4786680.03</v>
      </c>
      <c r="D986" s="95">
        <v>45.951000000000001</v>
      </c>
      <c r="E986" s="91" t="s">
        <v>106</v>
      </c>
    </row>
    <row r="987" spans="1:5" x14ac:dyDescent="0.25">
      <c r="A987" s="94">
        <v>45957</v>
      </c>
      <c r="B987" s="95">
        <v>511642.28700000001</v>
      </c>
      <c r="C987" s="95">
        <v>4786673.1289999997</v>
      </c>
      <c r="D987" s="95">
        <v>48.45</v>
      </c>
      <c r="E987" s="91" t="s">
        <v>107</v>
      </c>
    </row>
    <row r="988" spans="1:5" x14ac:dyDescent="0.25">
      <c r="A988" s="94">
        <v>45957</v>
      </c>
      <c r="B988" s="95">
        <v>511642.44</v>
      </c>
      <c r="C988" s="95">
        <v>4786673.0159999998</v>
      </c>
      <c r="D988" s="95">
        <v>45.945</v>
      </c>
      <c r="E988" s="91" t="s">
        <v>108</v>
      </c>
    </row>
    <row r="989" spans="1:5" x14ac:dyDescent="0.25">
      <c r="A989" s="94">
        <v>45958</v>
      </c>
      <c r="B989" s="95">
        <v>511615.1</v>
      </c>
      <c r="C989" s="95">
        <v>4786687.9929999998</v>
      </c>
      <c r="D989" s="95">
        <v>51.039000000000001</v>
      </c>
      <c r="E989" s="91" t="s">
        <v>96</v>
      </c>
    </row>
    <row r="990" spans="1:5" x14ac:dyDescent="0.25">
      <c r="A990" s="94">
        <v>45958</v>
      </c>
      <c r="B990" s="95">
        <v>511628.88299999997</v>
      </c>
      <c r="C990" s="95">
        <v>4786680.6529999999</v>
      </c>
      <c r="D990" s="95">
        <v>51.045999999999999</v>
      </c>
      <c r="E990" s="91" t="s">
        <v>97</v>
      </c>
    </row>
    <row r="991" spans="1:5" x14ac:dyDescent="0.25">
      <c r="A991" s="94">
        <v>45958</v>
      </c>
      <c r="B991" s="95">
        <v>511642.58500000002</v>
      </c>
      <c r="C991" s="95">
        <v>4786673.3559999997</v>
      </c>
      <c r="D991" s="95">
        <v>51.052999999999997</v>
      </c>
      <c r="E991" s="91" t="s">
        <v>98</v>
      </c>
    </row>
    <row r="992" spans="1:5" x14ac:dyDescent="0.25">
      <c r="A992" s="94">
        <v>45958</v>
      </c>
      <c r="B992" s="95">
        <v>511649.70400000003</v>
      </c>
      <c r="C992" s="95">
        <v>4786682.1629999997</v>
      </c>
      <c r="D992" s="95">
        <v>56.183</v>
      </c>
      <c r="E992" s="91" t="s">
        <v>89</v>
      </c>
    </row>
    <row r="993" spans="1:5" x14ac:dyDescent="0.25">
      <c r="A993" s="94">
        <v>45958</v>
      </c>
      <c r="B993" s="95">
        <v>511630.76299999998</v>
      </c>
      <c r="C993" s="95">
        <v>4786689.8650000002</v>
      </c>
      <c r="D993" s="95">
        <v>55.944000000000003</v>
      </c>
      <c r="E993" s="91" t="s">
        <v>90</v>
      </c>
    </row>
    <row r="994" spans="1:5" x14ac:dyDescent="0.25">
      <c r="A994" s="94">
        <v>45958</v>
      </c>
      <c r="B994" s="95">
        <v>511623.43400000001</v>
      </c>
      <c r="C994" s="95">
        <v>4786694.0779999997</v>
      </c>
      <c r="D994" s="95">
        <v>54.776000000000003</v>
      </c>
      <c r="E994" s="91" t="s">
        <v>91</v>
      </c>
    </row>
    <row r="995" spans="1:5" x14ac:dyDescent="0.25">
      <c r="A995" s="94">
        <v>45958</v>
      </c>
      <c r="B995" s="95">
        <v>511613.31699999998</v>
      </c>
      <c r="C995" s="95">
        <v>4786695.307</v>
      </c>
      <c r="D995" s="95">
        <v>60.567999999999998</v>
      </c>
      <c r="E995" s="91" t="s">
        <v>92</v>
      </c>
    </row>
    <row r="996" spans="1:5" x14ac:dyDescent="0.25">
      <c r="A996" s="94">
        <v>45958</v>
      </c>
      <c r="B996" s="95">
        <v>511614.75300000003</v>
      </c>
      <c r="C996" s="95">
        <v>4786712.5609999998</v>
      </c>
      <c r="D996" s="95">
        <v>60.814</v>
      </c>
      <c r="E996" s="91" t="s">
        <v>93</v>
      </c>
    </row>
    <row r="997" spans="1:5" x14ac:dyDescent="0.25">
      <c r="A997" s="94">
        <v>45958</v>
      </c>
      <c r="B997" s="95">
        <v>511660.66499999998</v>
      </c>
      <c r="C997" s="95">
        <v>4786683.4689999996</v>
      </c>
      <c r="D997" s="95">
        <v>55.404000000000003</v>
      </c>
      <c r="E997" s="91" t="s">
        <v>94</v>
      </c>
    </row>
    <row r="998" spans="1:5" x14ac:dyDescent="0.25">
      <c r="A998" s="94">
        <v>45958</v>
      </c>
      <c r="B998" s="95">
        <v>511670.875</v>
      </c>
      <c r="C998" s="95">
        <v>4786685.9210000001</v>
      </c>
      <c r="D998" s="95">
        <v>54.820999999999998</v>
      </c>
      <c r="E998" s="91" t="s">
        <v>95</v>
      </c>
    </row>
    <row r="999" spans="1:5" x14ac:dyDescent="0.25">
      <c r="A999" s="94">
        <v>45958</v>
      </c>
      <c r="B999" s="95">
        <v>511649.79800000001</v>
      </c>
      <c r="C999" s="95">
        <v>4786669.5010000002</v>
      </c>
      <c r="D999" s="95">
        <v>51.055999999999997</v>
      </c>
      <c r="E999" s="91" t="s">
        <v>99</v>
      </c>
    </row>
    <row r="1000" spans="1:5" x14ac:dyDescent="0.25">
      <c r="A1000" s="94">
        <v>45958</v>
      </c>
      <c r="B1000" s="95">
        <v>511607.554</v>
      </c>
      <c r="C1000" s="95">
        <v>4786691.9910000004</v>
      </c>
      <c r="D1000" s="95">
        <v>51.061999999999998</v>
      </c>
      <c r="E1000" s="91" t="s">
        <v>100</v>
      </c>
    </row>
    <row r="1001" spans="1:5" x14ac:dyDescent="0.25">
      <c r="A1001" s="94">
        <v>45958</v>
      </c>
      <c r="B1001" s="95">
        <v>511607.27399999998</v>
      </c>
      <c r="C1001" s="95">
        <v>4786692.1789999995</v>
      </c>
      <c r="D1001" s="95">
        <v>51.063000000000002</v>
      </c>
      <c r="E1001" s="91" t="s">
        <v>101</v>
      </c>
    </row>
    <row r="1002" spans="1:5" x14ac:dyDescent="0.25">
      <c r="A1002" s="94">
        <v>45958</v>
      </c>
      <c r="B1002" s="95">
        <v>511601.11800000002</v>
      </c>
      <c r="C1002" s="95">
        <v>4786695.426</v>
      </c>
      <c r="D1002" s="95">
        <v>51.042999999999999</v>
      </c>
      <c r="E1002" s="91" t="s">
        <v>102</v>
      </c>
    </row>
    <row r="1003" spans="1:5" x14ac:dyDescent="0.25">
      <c r="A1003" s="94">
        <v>45958</v>
      </c>
      <c r="B1003" s="95">
        <v>511615.255</v>
      </c>
      <c r="C1003" s="95">
        <v>4786687.4400000004</v>
      </c>
      <c r="D1003" s="95">
        <v>48.460999999999999</v>
      </c>
      <c r="E1003" s="91" t="s">
        <v>103</v>
      </c>
    </row>
    <row r="1004" spans="1:5" x14ac:dyDescent="0.25">
      <c r="A1004" s="94">
        <v>45958</v>
      </c>
      <c r="B1004" s="95">
        <v>511615.228</v>
      </c>
      <c r="C1004" s="95">
        <v>4786687.3619999997</v>
      </c>
      <c r="D1004" s="95">
        <v>45.953000000000003</v>
      </c>
      <c r="E1004" s="91" t="s">
        <v>104</v>
      </c>
    </row>
    <row r="1005" spans="1:5" x14ac:dyDescent="0.25">
      <c r="A1005" s="94">
        <v>45958</v>
      </c>
      <c r="B1005" s="95">
        <v>511629.18400000001</v>
      </c>
      <c r="C1005" s="95">
        <v>4786680.0710000005</v>
      </c>
      <c r="D1005" s="95">
        <v>48.473999999999997</v>
      </c>
      <c r="E1005" s="91" t="s">
        <v>105</v>
      </c>
    </row>
    <row r="1006" spans="1:5" x14ac:dyDescent="0.25">
      <c r="A1006" s="94">
        <v>45958</v>
      </c>
      <c r="B1006" s="95">
        <v>511629.30800000002</v>
      </c>
      <c r="C1006" s="95">
        <v>4786680.0310000004</v>
      </c>
      <c r="D1006" s="95">
        <v>45.954999999999998</v>
      </c>
      <c r="E1006" s="91" t="s">
        <v>106</v>
      </c>
    </row>
    <row r="1007" spans="1:5" x14ac:dyDescent="0.25">
      <c r="A1007" s="94">
        <v>45958</v>
      </c>
      <c r="B1007" s="95">
        <v>511642.28399999999</v>
      </c>
      <c r="C1007" s="95">
        <v>4786673.13</v>
      </c>
      <c r="D1007" s="95">
        <v>48.454999999999998</v>
      </c>
      <c r="E1007" s="91" t="s">
        <v>107</v>
      </c>
    </row>
    <row r="1008" spans="1:5" x14ac:dyDescent="0.25">
      <c r="A1008" s="94">
        <v>45958</v>
      </c>
      <c r="B1008" s="95">
        <v>511642.43900000001</v>
      </c>
      <c r="C1008" s="95">
        <v>4786673.0180000002</v>
      </c>
      <c r="D1008" s="95">
        <v>45.95</v>
      </c>
      <c r="E1008" s="91" t="s">
        <v>108</v>
      </c>
    </row>
    <row r="1009" spans="1:5" x14ac:dyDescent="0.25">
      <c r="A1009" s="94">
        <v>45959</v>
      </c>
      <c r="B1009" s="95">
        <v>511615.09899999999</v>
      </c>
      <c r="C1009" s="95">
        <v>4786687.9910000004</v>
      </c>
      <c r="D1009" s="95">
        <v>51.04</v>
      </c>
      <c r="E1009" s="91" t="s">
        <v>96</v>
      </c>
    </row>
    <row r="1010" spans="1:5" x14ac:dyDescent="0.25">
      <c r="A1010" s="94">
        <v>45959</v>
      </c>
      <c r="B1010" s="95">
        <v>511628.88500000001</v>
      </c>
      <c r="C1010" s="95">
        <v>4786680.6529999999</v>
      </c>
      <c r="D1010" s="95">
        <v>51.046999999999997</v>
      </c>
      <c r="E1010" s="91" t="s">
        <v>97</v>
      </c>
    </row>
    <row r="1011" spans="1:5" x14ac:dyDescent="0.25">
      <c r="A1011" s="94">
        <v>45959</v>
      </c>
      <c r="B1011" s="95">
        <v>511642.58500000002</v>
      </c>
      <c r="C1011" s="95">
        <v>4786673.3550000004</v>
      </c>
      <c r="D1011" s="95">
        <v>51.054000000000002</v>
      </c>
      <c r="E1011" s="91" t="s">
        <v>98</v>
      </c>
    </row>
    <row r="1012" spans="1:5" x14ac:dyDescent="0.25">
      <c r="A1012" s="94">
        <v>45959</v>
      </c>
      <c r="B1012" s="95">
        <v>511649.70400000003</v>
      </c>
      <c r="C1012" s="95">
        <v>4786682.1629999997</v>
      </c>
      <c r="D1012" s="95">
        <v>56.183999999999997</v>
      </c>
      <c r="E1012" s="91" t="s">
        <v>89</v>
      </c>
    </row>
    <row r="1013" spans="1:5" x14ac:dyDescent="0.25">
      <c r="A1013" s="94">
        <v>45959</v>
      </c>
      <c r="B1013" s="95">
        <v>511630.76199999999</v>
      </c>
      <c r="C1013" s="95">
        <v>4786689.8629999999</v>
      </c>
      <c r="D1013" s="95">
        <v>55.945</v>
      </c>
      <c r="E1013" s="91" t="s">
        <v>90</v>
      </c>
    </row>
    <row r="1014" spans="1:5" x14ac:dyDescent="0.25">
      <c r="A1014" s="94">
        <v>45959</v>
      </c>
      <c r="B1014" s="95">
        <v>511623.43300000002</v>
      </c>
      <c r="C1014" s="95">
        <v>4786694.0769999996</v>
      </c>
      <c r="D1014" s="95">
        <v>54.777000000000001</v>
      </c>
      <c r="E1014" s="91" t="s">
        <v>91</v>
      </c>
    </row>
    <row r="1015" spans="1:5" x14ac:dyDescent="0.25">
      <c r="A1015" s="94">
        <v>45959</v>
      </c>
      <c r="B1015" s="95">
        <v>511613.31699999998</v>
      </c>
      <c r="C1015" s="95">
        <v>4786695.3059999999</v>
      </c>
      <c r="D1015" s="95">
        <v>60.569000000000003</v>
      </c>
      <c r="E1015" s="91" t="s">
        <v>92</v>
      </c>
    </row>
    <row r="1016" spans="1:5" x14ac:dyDescent="0.25">
      <c r="A1016" s="94">
        <v>45959</v>
      </c>
      <c r="B1016" s="95">
        <v>511614.75300000003</v>
      </c>
      <c r="C1016" s="95">
        <v>4786712.5599999996</v>
      </c>
      <c r="D1016" s="95">
        <v>60.814999999999998</v>
      </c>
      <c r="E1016" s="91" t="s">
        <v>93</v>
      </c>
    </row>
    <row r="1017" spans="1:5" x14ac:dyDescent="0.25">
      <c r="A1017" s="94">
        <v>45959</v>
      </c>
      <c r="B1017" s="95">
        <v>511660.66399999999</v>
      </c>
      <c r="C1017" s="95">
        <v>4786683.4689999996</v>
      </c>
      <c r="D1017" s="95">
        <v>55.402999999999999</v>
      </c>
      <c r="E1017" s="91" t="s">
        <v>94</v>
      </c>
    </row>
    <row r="1018" spans="1:5" x14ac:dyDescent="0.25">
      <c r="A1018" s="94">
        <v>45959</v>
      </c>
      <c r="B1018" s="95">
        <v>511670.87400000001</v>
      </c>
      <c r="C1018" s="95">
        <v>4786685.9210000001</v>
      </c>
      <c r="D1018" s="95">
        <v>54.820999999999998</v>
      </c>
      <c r="E1018" s="91" t="s">
        <v>95</v>
      </c>
    </row>
    <row r="1019" spans="1:5" x14ac:dyDescent="0.25">
      <c r="A1019" s="94">
        <v>45959</v>
      </c>
      <c r="B1019" s="95">
        <v>511649.79700000002</v>
      </c>
      <c r="C1019" s="95">
        <v>4786669.5010000002</v>
      </c>
      <c r="D1019" s="95">
        <v>51.055999999999997</v>
      </c>
      <c r="E1019" s="91" t="s">
        <v>99</v>
      </c>
    </row>
    <row r="1020" spans="1:5" x14ac:dyDescent="0.25">
      <c r="A1020" s="94">
        <v>45959</v>
      </c>
      <c r="B1020" s="95">
        <v>511607.554</v>
      </c>
      <c r="C1020" s="95">
        <v>4786691.9910000004</v>
      </c>
      <c r="D1020" s="95">
        <v>51.061999999999998</v>
      </c>
      <c r="E1020" s="91" t="s">
        <v>100</v>
      </c>
    </row>
    <row r="1021" spans="1:5" x14ac:dyDescent="0.25">
      <c r="A1021" s="94">
        <v>45959</v>
      </c>
      <c r="B1021" s="95">
        <v>511607.27299999999</v>
      </c>
      <c r="C1021" s="95">
        <v>4786692.1780000003</v>
      </c>
      <c r="D1021" s="95">
        <v>51.063000000000002</v>
      </c>
      <c r="E1021" s="91" t="s">
        <v>101</v>
      </c>
    </row>
    <row r="1022" spans="1:5" x14ac:dyDescent="0.25">
      <c r="A1022" s="94">
        <v>45959</v>
      </c>
      <c r="B1022" s="95">
        <v>511601.11900000001</v>
      </c>
      <c r="C1022" s="95">
        <v>4786695.426</v>
      </c>
      <c r="D1022" s="95">
        <v>51.042999999999999</v>
      </c>
      <c r="E1022" s="91" t="s">
        <v>102</v>
      </c>
    </row>
    <row r="1023" spans="1:5" x14ac:dyDescent="0.25">
      <c r="A1023" s="94">
        <v>45959</v>
      </c>
      <c r="B1023" s="95">
        <v>511615.255</v>
      </c>
      <c r="C1023" s="95">
        <v>4786687.4400000004</v>
      </c>
      <c r="D1023" s="95">
        <v>48.460999999999999</v>
      </c>
      <c r="E1023" s="91" t="s">
        <v>103</v>
      </c>
    </row>
    <row r="1024" spans="1:5" x14ac:dyDescent="0.25">
      <c r="A1024" s="94">
        <v>45959</v>
      </c>
      <c r="B1024" s="95">
        <v>511629.185</v>
      </c>
      <c r="C1024" s="95">
        <v>4786680.0710000005</v>
      </c>
      <c r="D1024" s="95">
        <v>48.472999999999999</v>
      </c>
      <c r="E1024" s="91" t="s">
        <v>105</v>
      </c>
    </row>
    <row r="1025" spans="1:5" x14ac:dyDescent="0.25">
      <c r="A1025" s="94">
        <v>45959</v>
      </c>
      <c r="B1025" s="95">
        <v>511629.30900000001</v>
      </c>
      <c r="C1025" s="95">
        <v>4786680.0310000004</v>
      </c>
      <c r="D1025" s="95">
        <v>45.954999999999998</v>
      </c>
      <c r="E1025" s="91" t="s">
        <v>106</v>
      </c>
    </row>
    <row r="1026" spans="1:5" x14ac:dyDescent="0.25">
      <c r="A1026" s="94">
        <v>45959</v>
      </c>
      <c r="B1026" s="95">
        <v>511642.28600000002</v>
      </c>
      <c r="C1026" s="95">
        <v>4786673.13</v>
      </c>
      <c r="D1026" s="95">
        <v>48.454999999999998</v>
      </c>
      <c r="E1026" s="91" t="s">
        <v>107</v>
      </c>
    </row>
    <row r="1027" spans="1:5" x14ac:dyDescent="0.25">
      <c r="A1027" s="94">
        <v>45959</v>
      </c>
      <c r="B1027" s="95">
        <v>511642.44</v>
      </c>
      <c r="C1027" s="95">
        <v>4786673.0180000002</v>
      </c>
      <c r="D1027" s="95">
        <v>45.95</v>
      </c>
      <c r="E1027" s="91" t="s">
        <v>108</v>
      </c>
    </row>
    <row r="1028" spans="1:5" x14ac:dyDescent="0.25">
      <c r="A1028" s="94">
        <v>45960</v>
      </c>
      <c r="B1028" s="95">
        <v>511615.1</v>
      </c>
      <c r="C1028" s="95">
        <v>4786687.9929999998</v>
      </c>
      <c r="D1028" s="95">
        <v>51.04</v>
      </c>
      <c r="E1028" s="91" t="s">
        <v>96</v>
      </c>
    </row>
    <row r="1029" spans="1:5" x14ac:dyDescent="0.25">
      <c r="A1029" s="94">
        <v>45960</v>
      </c>
      <c r="B1029" s="95">
        <v>511628.88400000002</v>
      </c>
      <c r="C1029" s="95">
        <v>4786680.6540000001</v>
      </c>
      <c r="D1029" s="95">
        <v>51.046999999999997</v>
      </c>
      <c r="E1029" s="91" t="s">
        <v>97</v>
      </c>
    </row>
    <row r="1030" spans="1:5" x14ac:dyDescent="0.25">
      <c r="A1030" s="94">
        <v>45960</v>
      </c>
      <c r="B1030" s="95">
        <v>511642.58600000001</v>
      </c>
      <c r="C1030" s="95">
        <v>4786673.3569999998</v>
      </c>
      <c r="D1030" s="95">
        <v>51.055</v>
      </c>
      <c r="E1030" s="91" t="s">
        <v>98</v>
      </c>
    </row>
    <row r="1031" spans="1:5" x14ac:dyDescent="0.25">
      <c r="A1031" s="94">
        <v>45960</v>
      </c>
      <c r="B1031" s="95">
        <v>511649.70299999998</v>
      </c>
      <c r="C1031" s="95">
        <v>4786682.1629999997</v>
      </c>
      <c r="D1031" s="95">
        <v>56.183999999999997</v>
      </c>
      <c r="E1031" s="91" t="s">
        <v>89</v>
      </c>
    </row>
    <row r="1032" spans="1:5" x14ac:dyDescent="0.25">
      <c r="A1032" s="94">
        <v>45960</v>
      </c>
      <c r="B1032" s="95">
        <v>511630.76299999998</v>
      </c>
      <c r="C1032" s="95">
        <v>4786689.8660000004</v>
      </c>
      <c r="D1032" s="95">
        <v>55.945999999999998</v>
      </c>
      <c r="E1032" s="91" t="s">
        <v>90</v>
      </c>
    </row>
    <row r="1033" spans="1:5" x14ac:dyDescent="0.25">
      <c r="A1033" s="94">
        <v>45960</v>
      </c>
      <c r="B1033" s="95">
        <v>511623.43300000002</v>
      </c>
      <c r="C1033" s="95">
        <v>4786694.0779999997</v>
      </c>
      <c r="D1033" s="95">
        <v>54.777000000000001</v>
      </c>
      <c r="E1033" s="91" t="s">
        <v>91</v>
      </c>
    </row>
    <row r="1034" spans="1:5" x14ac:dyDescent="0.25">
      <c r="A1034" s="94">
        <v>45960</v>
      </c>
      <c r="B1034" s="95">
        <v>511613.31599999999</v>
      </c>
      <c r="C1034" s="95">
        <v>4786695.307</v>
      </c>
      <c r="D1034" s="95">
        <v>60.57</v>
      </c>
      <c r="E1034" s="91" t="s">
        <v>92</v>
      </c>
    </row>
    <row r="1035" spans="1:5" x14ac:dyDescent="0.25">
      <c r="A1035" s="94">
        <v>45960</v>
      </c>
      <c r="B1035" s="95">
        <v>511614.75199999998</v>
      </c>
      <c r="C1035" s="95">
        <v>4786712.5599999996</v>
      </c>
      <c r="D1035" s="95">
        <v>60.816000000000003</v>
      </c>
      <c r="E1035" s="91" t="s">
        <v>93</v>
      </c>
    </row>
    <row r="1036" spans="1:5" x14ac:dyDescent="0.25">
      <c r="A1036" s="94">
        <v>45960</v>
      </c>
      <c r="B1036" s="95">
        <v>511660.66399999999</v>
      </c>
      <c r="C1036" s="95">
        <v>4786683.4689999996</v>
      </c>
      <c r="D1036" s="95">
        <v>55.404000000000003</v>
      </c>
      <c r="E1036" s="91" t="s">
        <v>94</v>
      </c>
    </row>
    <row r="1037" spans="1:5" x14ac:dyDescent="0.25">
      <c r="A1037" s="94">
        <v>45960</v>
      </c>
      <c r="B1037" s="95">
        <v>511670.87599999999</v>
      </c>
      <c r="C1037" s="95">
        <v>4786685.9220000003</v>
      </c>
      <c r="D1037" s="95">
        <v>54.820999999999998</v>
      </c>
      <c r="E1037" s="91" t="s">
        <v>95</v>
      </c>
    </row>
    <row r="1038" spans="1:5" x14ac:dyDescent="0.25">
      <c r="A1038" s="94">
        <v>45960</v>
      </c>
      <c r="B1038" s="95">
        <v>511649.79800000001</v>
      </c>
      <c r="C1038" s="95">
        <v>4786669.5010000002</v>
      </c>
      <c r="D1038" s="95">
        <v>51.055999999999997</v>
      </c>
      <c r="E1038" s="91" t="s">
        <v>99</v>
      </c>
    </row>
    <row r="1039" spans="1:5" x14ac:dyDescent="0.25">
      <c r="A1039" s="94">
        <v>45960</v>
      </c>
      <c r="B1039" s="95">
        <v>511607.55300000001</v>
      </c>
      <c r="C1039" s="95">
        <v>4786691.99</v>
      </c>
      <c r="D1039" s="95">
        <v>51.061999999999998</v>
      </c>
      <c r="E1039" s="91" t="s">
        <v>100</v>
      </c>
    </row>
    <row r="1040" spans="1:5" x14ac:dyDescent="0.25">
      <c r="A1040" s="94">
        <v>45960</v>
      </c>
      <c r="B1040" s="95">
        <v>511607.272</v>
      </c>
      <c r="C1040" s="95">
        <v>4786692.1780000003</v>
      </c>
      <c r="D1040" s="95">
        <v>51.063000000000002</v>
      </c>
      <c r="E1040" s="91" t="s">
        <v>101</v>
      </c>
    </row>
    <row r="1041" spans="1:5" x14ac:dyDescent="0.25">
      <c r="A1041" s="94">
        <v>45960</v>
      </c>
      <c r="B1041" s="95">
        <v>511601.11800000002</v>
      </c>
      <c r="C1041" s="95">
        <v>4786695.4249999998</v>
      </c>
      <c r="D1041" s="95">
        <v>51.042999999999999</v>
      </c>
      <c r="E1041" s="91" t="s">
        <v>102</v>
      </c>
    </row>
    <row r="1042" spans="1:5" x14ac:dyDescent="0.25">
      <c r="A1042" s="94">
        <v>45960</v>
      </c>
      <c r="B1042" s="95">
        <v>511615.255</v>
      </c>
      <c r="C1042" s="95">
        <v>4786687.4400000004</v>
      </c>
      <c r="D1042" s="95">
        <v>48.460999999999999</v>
      </c>
      <c r="E1042" s="91" t="s">
        <v>103</v>
      </c>
    </row>
    <row r="1043" spans="1:5" x14ac:dyDescent="0.25">
      <c r="A1043" s="94">
        <v>45960</v>
      </c>
      <c r="B1043" s="95">
        <v>511615.228</v>
      </c>
      <c r="C1043" s="95">
        <v>4786687.3619999997</v>
      </c>
      <c r="D1043" s="95">
        <v>45.953000000000003</v>
      </c>
      <c r="E1043" s="91" t="s">
        <v>104</v>
      </c>
    </row>
    <row r="1044" spans="1:5" x14ac:dyDescent="0.25">
      <c r="A1044" s="94">
        <v>45960</v>
      </c>
      <c r="B1044" s="95">
        <v>511629.185</v>
      </c>
      <c r="C1044" s="95">
        <v>4786680.0710000005</v>
      </c>
      <c r="D1044" s="95">
        <v>48.472999999999999</v>
      </c>
      <c r="E1044" s="91" t="s">
        <v>105</v>
      </c>
    </row>
    <row r="1045" spans="1:5" x14ac:dyDescent="0.25">
      <c r="A1045" s="94">
        <v>45960</v>
      </c>
      <c r="B1045" s="95">
        <v>511629.30900000001</v>
      </c>
      <c r="C1045" s="95">
        <v>4786680.0319999997</v>
      </c>
      <c r="D1045" s="95">
        <v>45.954999999999998</v>
      </c>
      <c r="E1045" s="91" t="s">
        <v>106</v>
      </c>
    </row>
    <row r="1046" spans="1:5" x14ac:dyDescent="0.25">
      <c r="A1046" s="94">
        <v>45960</v>
      </c>
      <c r="B1046" s="95">
        <v>511642.28600000002</v>
      </c>
      <c r="C1046" s="95">
        <v>4786673.13</v>
      </c>
      <c r="D1046" s="95">
        <v>48.454999999999998</v>
      </c>
      <c r="E1046" s="91" t="s">
        <v>107</v>
      </c>
    </row>
    <row r="1047" spans="1:5" x14ac:dyDescent="0.25">
      <c r="A1047" s="94">
        <v>45960</v>
      </c>
      <c r="B1047" s="95">
        <v>511642.43800000002</v>
      </c>
      <c r="C1047" s="95">
        <v>4786673.0180000002</v>
      </c>
      <c r="D1047" s="95">
        <v>45.95</v>
      </c>
      <c r="E1047" s="91" t="s">
        <v>108</v>
      </c>
    </row>
    <row r="1048" spans="1:5" x14ac:dyDescent="0.25">
      <c r="A1048" s="94">
        <v>45961</v>
      </c>
      <c r="B1048" s="95">
        <v>511615.1</v>
      </c>
      <c r="C1048" s="95">
        <v>4786687.9919999996</v>
      </c>
      <c r="D1048" s="95">
        <v>51.04</v>
      </c>
      <c r="E1048" s="91" t="s">
        <v>96</v>
      </c>
    </row>
    <row r="1049" spans="1:5" x14ac:dyDescent="0.25">
      <c r="A1049" s="94">
        <v>45961</v>
      </c>
      <c r="B1049" s="95">
        <v>511628.88400000002</v>
      </c>
      <c r="C1049" s="95">
        <v>4786680.6519999998</v>
      </c>
      <c r="D1049" s="95">
        <v>51.048000000000002</v>
      </c>
      <c r="E1049" s="91" t="s">
        <v>97</v>
      </c>
    </row>
    <row r="1050" spans="1:5" x14ac:dyDescent="0.25">
      <c r="A1050" s="94">
        <v>45961</v>
      </c>
      <c r="B1050" s="95">
        <v>511642.58299999998</v>
      </c>
      <c r="C1050" s="95">
        <v>4786673.3540000003</v>
      </c>
      <c r="D1050" s="95">
        <v>51.055999999999997</v>
      </c>
      <c r="E1050" s="91" t="s">
        <v>98</v>
      </c>
    </row>
    <row r="1051" spans="1:5" x14ac:dyDescent="0.25">
      <c r="A1051" s="94">
        <v>45961</v>
      </c>
      <c r="B1051" s="95">
        <v>511649.70299999998</v>
      </c>
      <c r="C1051" s="95">
        <v>4786682.1619999995</v>
      </c>
      <c r="D1051" s="95">
        <v>56.183999999999997</v>
      </c>
      <c r="E1051" s="91" t="s">
        <v>89</v>
      </c>
    </row>
    <row r="1052" spans="1:5" x14ac:dyDescent="0.25">
      <c r="A1052" s="94">
        <v>45961</v>
      </c>
      <c r="B1052" s="95">
        <v>511630.76400000002</v>
      </c>
      <c r="C1052" s="95">
        <v>4786689.8640000001</v>
      </c>
      <c r="D1052" s="95">
        <v>55.945999999999998</v>
      </c>
      <c r="E1052" s="91" t="s">
        <v>90</v>
      </c>
    </row>
    <row r="1053" spans="1:5" x14ac:dyDescent="0.25">
      <c r="A1053" s="94">
        <v>45961</v>
      </c>
      <c r="B1053" s="95">
        <v>511623.43400000001</v>
      </c>
      <c r="C1053" s="95">
        <v>4786694.0769999996</v>
      </c>
      <c r="D1053" s="95">
        <v>54.777000000000001</v>
      </c>
      <c r="E1053" s="91" t="s">
        <v>91</v>
      </c>
    </row>
    <row r="1054" spans="1:5" x14ac:dyDescent="0.25">
      <c r="A1054" s="94">
        <v>45961</v>
      </c>
      <c r="B1054" s="95">
        <v>511613.31800000003</v>
      </c>
      <c r="C1054" s="95">
        <v>4786695.307</v>
      </c>
      <c r="D1054" s="95">
        <v>60.57</v>
      </c>
      <c r="E1054" s="91" t="s">
        <v>92</v>
      </c>
    </row>
    <row r="1055" spans="1:5" x14ac:dyDescent="0.25">
      <c r="A1055" s="94">
        <v>45961</v>
      </c>
      <c r="B1055" s="95">
        <v>511614.75300000003</v>
      </c>
      <c r="C1055" s="95">
        <v>4786712.5599999996</v>
      </c>
      <c r="D1055" s="95">
        <v>60.816000000000003</v>
      </c>
      <c r="E1055" s="91" t="s">
        <v>93</v>
      </c>
    </row>
    <row r="1056" spans="1:5" x14ac:dyDescent="0.25">
      <c r="A1056" s="94">
        <v>45961</v>
      </c>
      <c r="B1056" s="95">
        <v>511660.66499999998</v>
      </c>
      <c r="C1056" s="95">
        <v>4786683.4689999996</v>
      </c>
      <c r="D1056" s="95">
        <v>55.404000000000003</v>
      </c>
      <c r="E1056" s="91" t="s">
        <v>94</v>
      </c>
    </row>
    <row r="1057" spans="1:5" x14ac:dyDescent="0.25">
      <c r="A1057" s="94">
        <v>45961</v>
      </c>
      <c r="B1057" s="95">
        <v>511670.87400000001</v>
      </c>
      <c r="C1057" s="95">
        <v>4786685.9210000001</v>
      </c>
      <c r="D1057" s="95">
        <v>54.820999999999998</v>
      </c>
      <c r="E1057" s="91" t="s">
        <v>95</v>
      </c>
    </row>
    <row r="1058" spans="1:5" x14ac:dyDescent="0.25">
      <c r="A1058" s="94">
        <v>45961</v>
      </c>
      <c r="B1058" s="95">
        <v>511649.799</v>
      </c>
      <c r="C1058" s="95">
        <v>4786669.5010000002</v>
      </c>
      <c r="D1058" s="95">
        <v>51.057000000000002</v>
      </c>
      <c r="E1058" s="91" t="s">
        <v>99</v>
      </c>
    </row>
    <row r="1059" spans="1:5" x14ac:dyDescent="0.25">
      <c r="A1059" s="94">
        <v>45961</v>
      </c>
      <c r="B1059" s="95">
        <v>511607.55499999999</v>
      </c>
      <c r="C1059" s="95">
        <v>4786691.9919999996</v>
      </c>
      <c r="D1059" s="95">
        <v>51.061999999999998</v>
      </c>
      <c r="E1059" s="91" t="s">
        <v>100</v>
      </c>
    </row>
    <row r="1060" spans="1:5" x14ac:dyDescent="0.25">
      <c r="A1060" s="94">
        <v>45961</v>
      </c>
      <c r="B1060" s="95">
        <v>511607.27299999999</v>
      </c>
      <c r="C1060" s="95">
        <v>4786692.1780000003</v>
      </c>
      <c r="D1060" s="95">
        <v>51.063000000000002</v>
      </c>
      <c r="E1060" s="91" t="s">
        <v>101</v>
      </c>
    </row>
    <row r="1061" spans="1:5" x14ac:dyDescent="0.25">
      <c r="A1061" s="94">
        <v>45961</v>
      </c>
      <c r="B1061" s="95">
        <v>511601.11800000002</v>
      </c>
      <c r="C1061" s="95">
        <v>4786695.426</v>
      </c>
      <c r="D1061" s="95">
        <v>51.042999999999999</v>
      </c>
      <c r="E1061" s="91" t="s">
        <v>102</v>
      </c>
    </row>
    <row r="1062" spans="1:5" x14ac:dyDescent="0.25">
      <c r="A1062" s="94">
        <v>45961</v>
      </c>
      <c r="B1062" s="95">
        <v>511615.25300000003</v>
      </c>
      <c r="C1062" s="95">
        <v>4786687.4390000002</v>
      </c>
      <c r="D1062" s="95">
        <v>48.460999999999999</v>
      </c>
      <c r="E1062" s="91" t="s">
        <v>103</v>
      </c>
    </row>
    <row r="1063" spans="1:5" x14ac:dyDescent="0.25">
      <c r="A1063" s="94">
        <v>45961</v>
      </c>
      <c r="B1063" s="95">
        <v>511615.22700000001</v>
      </c>
      <c r="C1063" s="95">
        <v>4786687.3619999997</v>
      </c>
      <c r="D1063" s="95">
        <v>45.953000000000003</v>
      </c>
      <c r="E1063" s="91" t="s">
        <v>104</v>
      </c>
    </row>
    <row r="1064" spans="1:5" x14ac:dyDescent="0.25">
      <c r="A1064" s="94">
        <v>45961</v>
      </c>
      <c r="B1064" s="95">
        <v>511629.18400000001</v>
      </c>
      <c r="C1064" s="95">
        <v>4786680.0710000005</v>
      </c>
      <c r="D1064" s="95">
        <v>48.473999999999997</v>
      </c>
      <c r="E1064" s="91" t="s">
        <v>105</v>
      </c>
    </row>
    <row r="1065" spans="1:5" x14ac:dyDescent="0.25">
      <c r="A1065" s="94">
        <v>45961</v>
      </c>
      <c r="B1065" s="95">
        <v>511629.30900000001</v>
      </c>
      <c r="C1065" s="95">
        <v>4786680.0319999997</v>
      </c>
      <c r="D1065" s="95">
        <v>45.954999999999998</v>
      </c>
      <c r="E1065" s="91" t="s">
        <v>106</v>
      </c>
    </row>
    <row r="1066" spans="1:5" x14ac:dyDescent="0.25">
      <c r="A1066" s="94">
        <v>45961</v>
      </c>
      <c r="B1066" s="95">
        <v>511642.28399999999</v>
      </c>
      <c r="C1066" s="95">
        <v>4786673.13</v>
      </c>
      <c r="D1066" s="95">
        <v>48.454999999999998</v>
      </c>
      <c r="E1066" s="91" t="s">
        <v>107</v>
      </c>
    </row>
    <row r="1067" spans="1:5" x14ac:dyDescent="0.25">
      <c r="A1067" s="94">
        <v>45961</v>
      </c>
      <c r="B1067" s="95">
        <v>511642.43800000002</v>
      </c>
      <c r="C1067" s="95">
        <v>4786673.0180000002</v>
      </c>
      <c r="D1067" s="95">
        <v>45.95</v>
      </c>
      <c r="E1067" s="91" t="s">
        <v>108</v>
      </c>
    </row>
    <row r="1068" spans="1:5" x14ac:dyDescent="0.25">
      <c r="A1068" s="94">
        <v>45964</v>
      </c>
      <c r="B1068" s="95">
        <v>511615.1</v>
      </c>
      <c r="C1068" s="95">
        <v>4786687.9929999998</v>
      </c>
      <c r="D1068" s="95">
        <v>51.039000000000001</v>
      </c>
      <c r="E1068" s="91" t="s">
        <v>96</v>
      </c>
    </row>
    <row r="1069" spans="1:5" x14ac:dyDescent="0.25">
      <c r="A1069" s="94">
        <v>45964</v>
      </c>
      <c r="B1069" s="95">
        <v>511628.88400000002</v>
      </c>
      <c r="C1069" s="95">
        <v>4786680.6529999999</v>
      </c>
      <c r="D1069" s="95">
        <v>51.045999999999999</v>
      </c>
      <c r="E1069" s="91" t="s">
        <v>97</v>
      </c>
    </row>
    <row r="1070" spans="1:5" x14ac:dyDescent="0.25">
      <c r="A1070" s="94">
        <v>45964</v>
      </c>
      <c r="B1070" s="95">
        <v>511642.58500000002</v>
      </c>
      <c r="C1070" s="95">
        <v>4786673.3559999997</v>
      </c>
      <c r="D1070" s="95">
        <v>51.054000000000002</v>
      </c>
      <c r="E1070" s="91" t="s">
        <v>98</v>
      </c>
    </row>
    <row r="1071" spans="1:5" x14ac:dyDescent="0.25">
      <c r="A1071" s="94">
        <v>45964</v>
      </c>
      <c r="B1071" s="95">
        <v>511649.70400000003</v>
      </c>
      <c r="C1071" s="95">
        <v>4786682.1619999995</v>
      </c>
      <c r="D1071" s="95">
        <v>56.183</v>
      </c>
      <c r="E1071" s="91" t="s">
        <v>89</v>
      </c>
    </row>
    <row r="1072" spans="1:5" x14ac:dyDescent="0.25">
      <c r="A1072" s="94">
        <v>45964</v>
      </c>
      <c r="B1072" s="95">
        <v>511630.76299999998</v>
      </c>
      <c r="C1072" s="95">
        <v>4786689.8650000002</v>
      </c>
      <c r="D1072" s="95">
        <v>55.944000000000003</v>
      </c>
      <c r="E1072" s="91" t="s">
        <v>90</v>
      </c>
    </row>
    <row r="1073" spans="1:5" x14ac:dyDescent="0.25">
      <c r="A1073" s="94">
        <v>45964</v>
      </c>
      <c r="B1073" s="95">
        <v>511623.43300000002</v>
      </c>
      <c r="C1073" s="95">
        <v>4786694.0779999997</v>
      </c>
      <c r="D1073" s="95">
        <v>54.776000000000003</v>
      </c>
      <c r="E1073" s="91" t="s">
        <v>91</v>
      </c>
    </row>
    <row r="1074" spans="1:5" x14ac:dyDescent="0.25">
      <c r="A1074" s="94">
        <v>45964</v>
      </c>
      <c r="B1074" s="95">
        <v>511613.31699999998</v>
      </c>
      <c r="C1074" s="95">
        <v>4786695.307</v>
      </c>
      <c r="D1074" s="95">
        <v>60.567999999999998</v>
      </c>
      <c r="E1074" s="91" t="s">
        <v>92</v>
      </c>
    </row>
    <row r="1075" spans="1:5" x14ac:dyDescent="0.25">
      <c r="A1075" s="94">
        <v>45964</v>
      </c>
      <c r="B1075" s="95">
        <v>511614.75300000003</v>
      </c>
      <c r="C1075" s="95">
        <v>4786712.5609999998</v>
      </c>
      <c r="D1075" s="95">
        <v>60.814</v>
      </c>
      <c r="E1075" s="91" t="s">
        <v>93</v>
      </c>
    </row>
    <row r="1076" spans="1:5" x14ac:dyDescent="0.25">
      <c r="A1076" s="94">
        <v>45964</v>
      </c>
      <c r="B1076" s="95">
        <v>511660.66499999998</v>
      </c>
      <c r="C1076" s="95">
        <v>4786683.4689999996</v>
      </c>
      <c r="D1076" s="95">
        <v>55.404000000000003</v>
      </c>
      <c r="E1076" s="91" t="s">
        <v>94</v>
      </c>
    </row>
    <row r="1077" spans="1:5" x14ac:dyDescent="0.25">
      <c r="A1077" s="94">
        <v>45964</v>
      </c>
      <c r="B1077" s="95">
        <v>511670.875</v>
      </c>
      <c r="C1077" s="95">
        <v>4786685.9220000003</v>
      </c>
      <c r="D1077" s="95">
        <v>54.820999999999998</v>
      </c>
      <c r="E1077" s="91" t="s">
        <v>95</v>
      </c>
    </row>
    <row r="1078" spans="1:5" x14ac:dyDescent="0.25">
      <c r="A1078" s="94">
        <v>45964</v>
      </c>
      <c r="B1078" s="95">
        <v>511649.8</v>
      </c>
      <c r="C1078" s="95">
        <v>4786669.5010000002</v>
      </c>
      <c r="D1078" s="95">
        <v>51.057000000000002</v>
      </c>
      <c r="E1078" s="91" t="s">
        <v>99</v>
      </c>
    </row>
    <row r="1079" spans="1:5" x14ac:dyDescent="0.25">
      <c r="A1079" s="94">
        <v>45964</v>
      </c>
      <c r="B1079" s="95">
        <v>511607.554</v>
      </c>
      <c r="C1079" s="95">
        <v>4786691.9910000004</v>
      </c>
      <c r="D1079" s="95">
        <v>51.061999999999998</v>
      </c>
      <c r="E1079" s="91" t="s">
        <v>100</v>
      </c>
    </row>
    <row r="1080" spans="1:5" x14ac:dyDescent="0.25">
      <c r="A1080" s="94">
        <v>45964</v>
      </c>
      <c r="B1080" s="95">
        <v>511607.272</v>
      </c>
      <c r="C1080" s="95">
        <v>4786692.1770000001</v>
      </c>
      <c r="D1080" s="95">
        <v>51.063000000000002</v>
      </c>
      <c r="E1080" s="91" t="s">
        <v>101</v>
      </c>
    </row>
    <row r="1081" spans="1:5" x14ac:dyDescent="0.25">
      <c r="A1081" s="94">
        <v>45964</v>
      </c>
      <c r="B1081" s="95">
        <v>511601.11700000003</v>
      </c>
      <c r="C1081" s="95">
        <v>4786695.4249999998</v>
      </c>
      <c r="D1081" s="95">
        <v>51.042999999999999</v>
      </c>
      <c r="E1081" s="91" t="s">
        <v>102</v>
      </c>
    </row>
    <row r="1082" spans="1:5" x14ac:dyDescent="0.25">
      <c r="A1082" s="94">
        <v>45964</v>
      </c>
      <c r="B1082" s="95">
        <v>511615.255</v>
      </c>
      <c r="C1082" s="95">
        <v>4786687.4400000004</v>
      </c>
      <c r="D1082" s="95">
        <v>48.460999999999999</v>
      </c>
      <c r="E1082" s="91" t="s">
        <v>103</v>
      </c>
    </row>
    <row r="1083" spans="1:5" x14ac:dyDescent="0.25">
      <c r="A1083" s="94">
        <v>45964</v>
      </c>
      <c r="B1083" s="95">
        <v>511615.228</v>
      </c>
      <c r="C1083" s="95">
        <v>4786687.3619999997</v>
      </c>
      <c r="D1083" s="95">
        <v>45.953000000000003</v>
      </c>
      <c r="E1083" s="91" t="s">
        <v>104</v>
      </c>
    </row>
    <row r="1084" spans="1:5" x14ac:dyDescent="0.25">
      <c r="A1084" s="94">
        <v>45964</v>
      </c>
      <c r="B1084" s="95">
        <v>511629.185</v>
      </c>
      <c r="C1084" s="95">
        <v>4786680.0710000005</v>
      </c>
      <c r="D1084" s="95">
        <v>48.473999999999997</v>
      </c>
      <c r="E1084" s="91" t="s">
        <v>105</v>
      </c>
    </row>
    <row r="1085" spans="1:5" x14ac:dyDescent="0.25">
      <c r="A1085" s="94">
        <v>45964</v>
      </c>
      <c r="B1085" s="95">
        <v>511629.30900000001</v>
      </c>
      <c r="C1085" s="95">
        <v>4786680.0310000004</v>
      </c>
      <c r="D1085" s="95">
        <v>45.954999999999998</v>
      </c>
      <c r="E1085" s="91" t="s">
        <v>106</v>
      </c>
    </row>
    <row r="1086" spans="1:5" x14ac:dyDescent="0.25">
      <c r="A1086" s="94">
        <v>45964</v>
      </c>
      <c r="B1086" s="95">
        <v>511642.28600000002</v>
      </c>
      <c r="C1086" s="95">
        <v>4786673.13</v>
      </c>
      <c r="D1086" s="95">
        <v>48.454999999999998</v>
      </c>
      <c r="E1086" s="91" t="s">
        <v>107</v>
      </c>
    </row>
    <row r="1087" spans="1:5" x14ac:dyDescent="0.25">
      <c r="A1087" s="94">
        <v>45964</v>
      </c>
      <c r="B1087" s="95">
        <v>511642.43800000002</v>
      </c>
      <c r="C1087" s="95">
        <v>4786673.0180000002</v>
      </c>
      <c r="D1087" s="95">
        <v>45.95</v>
      </c>
      <c r="E1087" s="91" t="s">
        <v>108</v>
      </c>
    </row>
    <row r="1088" spans="1:5" x14ac:dyDescent="0.25">
      <c r="A1088" s="94">
        <v>45965</v>
      </c>
      <c r="B1088" s="95">
        <v>511615.1</v>
      </c>
      <c r="C1088" s="95">
        <v>4786687.9910000004</v>
      </c>
      <c r="D1088" s="95">
        <v>51.04</v>
      </c>
      <c r="E1088" s="91" t="s">
        <v>96</v>
      </c>
    </row>
    <row r="1089" spans="1:5" x14ac:dyDescent="0.25">
      <c r="A1089" s="94">
        <v>45965</v>
      </c>
      <c r="B1089" s="95">
        <v>511628.886</v>
      </c>
      <c r="C1089" s="95">
        <v>4786680.6529999999</v>
      </c>
      <c r="D1089" s="95">
        <v>51.048000000000002</v>
      </c>
      <c r="E1089" s="91" t="s">
        <v>97</v>
      </c>
    </row>
    <row r="1090" spans="1:5" x14ac:dyDescent="0.25">
      <c r="A1090" s="94">
        <v>45965</v>
      </c>
      <c r="B1090" s="95">
        <v>511642.58500000002</v>
      </c>
      <c r="C1090" s="95">
        <v>4786673.3550000004</v>
      </c>
      <c r="D1090" s="95">
        <v>51.055</v>
      </c>
      <c r="E1090" s="91" t="s">
        <v>98</v>
      </c>
    </row>
    <row r="1091" spans="1:5" x14ac:dyDescent="0.25">
      <c r="A1091" s="94">
        <v>45965</v>
      </c>
      <c r="B1091" s="95">
        <v>511649.70500000002</v>
      </c>
      <c r="C1091" s="95">
        <v>4786682.1629999997</v>
      </c>
      <c r="D1091" s="95">
        <v>56.183999999999997</v>
      </c>
      <c r="E1091" s="91" t="s">
        <v>89</v>
      </c>
    </row>
    <row r="1092" spans="1:5" x14ac:dyDescent="0.25">
      <c r="A1092" s="94">
        <v>45965</v>
      </c>
      <c r="B1092" s="95">
        <v>511630.76400000002</v>
      </c>
      <c r="C1092" s="95">
        <v>4786689.8640000001</v>
      </c>
      <c r="D1092" s="95">
        <v>55.945999999999998</v>
      </c>
      <c r="E1092" s="91" t="s">
        <v>90</v>
      </c>
    </row>
    <row r="1093" spans="1:5" x14ac:dyDescent="0.25">
      <c r="A1093" s="94">
        <v>45965</v>
      </c>
      <c r="B1093" s="95">
        <v>511623.43400000001</v>
      </c>
      <c r="C1093" s="95">
        <v>4786694.0769999996</v>
      </c>
      <c r="D1093" s="95">
        <v>54.777000000000001</v>
      </c>
      <c r="E1093" s="91" t="s">
        <v>91</v>
      </c>
    </row>
    <row r="1094" spans="1:5" x14ac:dyDescent="0.25">
      <c r="A1094" s="94">
        <v>45965</v>
      </c>
      <c r="B1094" s="95">
        <v>511613.31900000002</v>
      </c>
      <c r="C1094" s="95">
        <v>4786695.307</v>
      </c>
      <c r="D1094" s="95">
        <v>60.57</v>
      </c>
      <c r="E1094" s="91" t="s">
        <v>92</v>
      </c>
    </row>
    <row r="1095" spans="1:5" x14ac:dyDescent="0.25">
      <c r="A1095" s="94">
        <v>45965</v>
      </c>
      <c r="B1095" s="95">
        <v>511614.75199999998</v>
      </c>
      <c r="C1095" s="95">
        <v>4786712.5590000004</v>
      </c>
      <c r="D1095" s="95">
        <v>60.816000000000003</v>
      </c>
      <c r="E1095" s="91" t="s">
        <v>93</v>
      </c>
    </row>
    <row r="1096" spans="1:5" x14ac:dyDescent="0.25">
      <c r="A1096" s="94">
        <v>45965</v>
      </c>
      <c r="B1096" s="95">
        <v>511660.66499999998</v>
      </c>
      <c r="C1096" s="95">
        <v>4786683.4689999996</v>
      </c>
      <c r="D1096" s="95">
        <v>55.404000000000003</v>
      </c>
      <c r="E1096" s="91" t="s">
        <v>94</v>
      </c>
    </row>
    <row r="1097" spans="1:5" x14ac:dyDescent="0.25">
      <c r="A1097" s="94">
        <v>45965</v>
      </c>
      <c r="B1097" s="95">
        <v>511670.875</v>
      </c>
      <c r="C1097" s="95">
        <v>4786685.9220000003</v>
      </c>
      <c r="D1097" s="95">
        <v>54.820999999999998</v>
      </c>
      <c r="E1097" s="91" t="s">
        <v>95</v>
      </c>
    </row>
    <row r="1098" spans="1:5" x14ac:dyDescent="0.25">
      <c r="A1098" s="94">
        <v>45965</v>
      </c>
      <c r="B1098" s="95">
        <v>511649.79700000002</v>
      </c>
      <c r="C1098" s="95">
        <v>4786669.5010000002</v>
      </c>
      <c r="D1098" s="95">
        <v>51.055999999999997</v>
      </c>
      <c r="E1098" s="91" t="s">
        <v>99</v>
      </c>
    </row>
    <row r="1099" spans="1:5" x14ac:dyDescent="0.25">
      <c r="A1099" s="94">
        <v>45965</v>
      </c>
      <c r="B1099" s="95">
        <v>511607.55300000001</v>
      </c>
      <c r="C1099" s="95">
        <v>4786691.99</v>
      </c>
      <c r="D1099" s="95">
        <v>51.061999999999998</v>
      </c>
      <c r="E1099" s="91" t="s">
        <v>100</v>
      </c>
    </row>
    <row r="1100" spans="1:5" x14ac:dyDescent="0.25">
      <c r="A1100" s="94">
        <v>45965</v>
      </c>
      <c r="B1100" s="95">
        <v>511607.27399999998</v>
      </c>
      <c r="C1100" s="95">
        <v>4786692.1789999995</v>
      </c>
      <c r="D1100" s="95">
        <v>51.063000000000002</v>
      </c>
      <c r="E1100" s="91" t="s">
        <v>101</v>
      </c>
    </row>
    <row r="1101" spans="1:5" x14ac:dyDescent="0.25">
      <c r="A1101" s="94">
        <v>45965</v>
      </c>
      <c r="B1101" s="95">
        <v>511601.11800000002</v>
      </c>
      <c r="C1101" s="95">
        <v>4786695.4249999998</v>
      </c>
      <c r="D1101" s="95">
        <v>51.042999999999999</v>
      </c>
      <c r="E1101" s="91" t="s">
        <v>102</v>
      </c>
    </row>
    <row r="1102" spans="1:5" x14ac:dyDescent="0.25">
      <c r="A1102" s="94">
        <v>45965</v>
      </c>
      <c r="B1102" s="95">
        <v>511615.25300000003</v>
      </c>
      <c r="C1102" s="95">
        <v>4786687.4390000002</v>
      </c>
      <c r="D1102" s="95">
        <v>48.460999999999999</v>
      </c>
      <c r="E1102" s="91" t="s">
        <v>103</v>
      </c>
    </row>
    <row r="1103" spans="1:5" x14ac:dyDescent="0.25">
      <c r="A1103" s="94">
        <v>45965</v>
      </c>
      <c r="B1103" s="95">
        <v>511615.22700000001</v>
      </c>
      <c r="C1103" s="95">
        <v>4786687.3619999997</v>
      </c>
      <c r="D1103" s="95">
        <v>45.953000000000003</v>
      </c>
      <c r="E1103" s="91" t="s">
        <v>104</v>
      </c>
    </row>
    <row r="1104" spans="1:5" x14ac:dyDescent="0.25">
      <c r="A1104" s="94">
        <v>45965</v>
      </c>
      <c r="B1104" s="95">
        <v>511629.185</v>
      </c>
      <c r="C1104" s="95">
        <v>4786680.0710000005</v>
      </c>
      <c r="D1104" s="95">
        <v>48.473999999999997</v>
      </c>
      <c r="E1104" s="91" t="s">
        <v>105</v>
      </c>
    </row>
    <row r="1105" spans="1:5" x14ac:dyDescent="0.25">
      <c r="A1105" s="94">
        <v>45965</v>
      </c>
      <c r="B1105" s="95">
        <v>511629.30800000002</v>
      </c>
      <c r="C1105" s="95">
        <v>4786680.0310000004</v>
      </c>
      <c r="D1105" s="95">
        <v>45.954999999999998</v>
      </c>
      <c r="E1105" s="91" t="s">
        <v>106</v>
      </c>
    </row>
    <row r="1106" spans="1:5" x14ac:dyDescent="0.25">
      <c r="A1106" s="94">
        <v>45965</v>
      </c>
      <c r="B1106" s="95">
        <v>511642.28600000002</v>
      </c>
      <c r="C1106" s="95">
        <v>4786673.13</v>
      </c>
      <c r="D1106" s="95">
        <v>48.454999999999998</v>
      </c>
      <c r="E1106" s="91" t="s">
        <v>107</v>
      </c>
    </row>
    <row r="1107" spans="1:5" x14ac:dyDescent="0.25">
      <c r="A1107" s="94">
        <v>45965</v>
      </c>
      <c r="B1107" s="95">
        <v>511642.43699999998</v>
      </c>
      <c r="C1107" s="95">
        <v>4786673.0180000002</v>
      </c>
      <c r="D1107" s="95">
        <v>45.95</v>
      </c>
      <c r="E1107" s="91" t="s">
        <v>108</v>
      </c>
    </row>
    <row r="1108" spans="1:5" x14ac:dyDescent="0.25">
      <c r="A1108" s="94">
        <v>45966</v>
      </c>
      <c r="B1108" s="95">
        <v>511615.1</v>
      </c>
      <c r="C1108" s="95">
        <v>4786687.9910000004</v>
      </c>
      <c r="D1108" s="95">
        <v>51.04</v>
      </c>
      <c r="E1108" s="91" t="s">
        <v>96</v>
      </c>
    </row>
    <row r="1109" spans="1:5" x14ac:dyDescent="0.25">
      <c r="A1109" s="94">
        <v>45966</v>
      </c>
      <c r="B1109" s="95">
        <v>511628.88500000001</v>
      </c>
      <c r="C1109" s="95">
        <v>4786680.6519999998</v>
      </c>
      <c r="D1109" s="95">
        <v>51.046999999999997</v>
      </c>
      <c r="E1109" s="91" t="s">
        <v>97</v>
      </c>
    </row>
    <row r="1110" spans="1:5" x14ac:dyDescent="0.25">
      <c r="A1110" s="94">
        <v>45966</v>
      </c>
      <c r="B1110" s="95">
        <v>511642.58600000001</v>
      </c>
      <c r="C1110" s="95">
        <v>4786673.3540000003</v>
      </c>
      <c r="D1110" s="95">
        <v>51.054000000000002</v>
      </c>
      <c r="E1110" s="91" t="s">
        <v>98</v>
      </c>
    </row>
    <row r="1111" spans="1:5" x14ac:dyDescent="0.25">
      <c r="A1111" s="94">
        <v>45966</v>
      </c>
      <c r="B1111" s="95">
        <v>511649.70400000003</v>
      </c>
      <c r="C1111" s="95">
        <v>4786682.1619999995</v>
      </c>
      <c r="D1111" s="95">
        <v>56.183999999999997</v>
      </c>
      <c r="E1111" s="91" t="s">
        <v>89</v>
      </c>
    </row>
    <row r="1112" spans="1:5" x14ac:dyDescent="0.25">
      <c r="A1112" s="94">
        <v>45966</v>
      </c>
      <c r="B1112" s="95">
        <v>511630.76500000001</v>
      </c>
      <c r="C1112" s="95">
        <v>4786689.8640000001</v>
      </c>
      <c r="D1112" s="95">
        <v>55.945</v>
      </c>
      <c r="E1112" s="91" t="s">
        <v>90</v>
      </c>
    </row>
    <row r="1113" spans="1:5" x14ac:dyDescent="0.25">
      <c r="A1113" s="94">
        <v>45966</v>
      </c>
      <c r="B1113" s="95">
        <v>511623.43400000001</v>
      </c>
      <c r="C1113" s="95">
        <v>4786694.0769999996</v>
      </c>
      <c r="D1113" s="95">
        <v>54.777000000000001</v>
      </c>
      <c r="E1113" s="91" t="s">
        <v>91</v>
      </c>
    </row>
    <row r="1114" spans="1:5" x14ac:dyDescent="0.25">
      <c r="A1114" s="94">
        <v>45966</v>
      </c>
      <c r="B1114" s="95">
        <v>511613.31800000003</v>
      </c>
      <c r="C1114" s="95">
        <v>4786695.3059999999</v>
      </c>
      <c r="D1114" s="95">
        <v>60.569000000000003</v>
      </c>
      <c r="E1114" s="91" t="s">
        <v>92</v>
      </c>
    </row>
    <row r="1115" spans="1:5" x14ac:dyDescent="0.25">
      <c r="A1115" s="94">
        <v>45966</v>
      </c>
      <c r="B1115" s="95">
        <v>511614.75300000003</v>
      </c>
      <c r="C1115" s="95">
        <v>4786712.5590000004</v>
      </c>
      <c r="D1115" s="95">
        <v>60.816000000000003</v>
      </c>
      <c r="E1115" s="91" t="s">
        <v>93</v>
      </c>
    </row>
    <row r="1116" spans="1:5" x14ac:dyDescent="0.25">
      <c r="A1116" s="94">
        <v>45966</v>
      </c>
      <c r="B1116" s="95">
        <v>511660.66399999999</v>
      </c>
      <c r="C1116" s="95">
        <v>4786683.4689999996</v>
      </c>
      <c r="D1116" s="95">
        <v>55.404000000000003</v>
      </c>
      <c r="E1116" s="91" t="s">
        <v>94</v>
      </c>
    </row>
    <row r="1117" spans="1:5" x14ac:dyDescent="0.25">
      <c r="A1117" s="94">
        <v>45966</v>
      </c>
      <c r="B1117" s="95">
        <v>511670.87400000001</v>
      </c>
      <c r="C1117" s="95">
        <v>4786685.9210000001</v>
      </c>
      <c r="D1117" s="95">
        <v>54.820999999999998</v>
      </c>
      <c r="E1117" s="91" t="s">
        <v>95</v>
      </c>
    </row>
    <row r="1118" spans="1:5" x14ac:dyDescent="0.25">
      <c r="A1118" s="94">
        <v>45966</v>
      </c>
      <c r="B1118" s="95">
        <v>511649.79700000002</v>
      </c>
      <c r="C1118" s="95">
        <v>4786669.5010000002</v>
      </c>
      <c r="D1118" s="95">
        <v>51.055999999999997</v>
      </c>
      <c r="E1118" s="91" t="s">
        <v>99</v>
      </c>
    </row>
    <row r="1119" spans="1:5" x14ac:dyDescent="0.25">
      <c r="A1119" s="94">
        <v>45966</v>
      </c>
      <c r="B1119" s="95">
        <v>511607.554</v>
      </c>
      <c r="C1119" s="95">
        <v>4786691.9910000004</v>
      </c>
      <c r="D1119" s="95">
        <v>51.061999999999998</v>
      </c>
      <c r="E1119" s="91" t="s">
        <v>100</v>
      </c>
    </row>
    <row r="1120" spans="1:5" x14ac:dyDescent="0.25">
      <c r="A1120" s="94">
        <v>45966</v>
      </c>
      <c r="B1120" s="95">
        <v>511607.272</v>
      </c>
      <c r="C1120" s="95">
        <v>4786692.1780000003</v>
      </c>
      <c r="D1120" s="95">
        <v>51.063000000000002</v>
      </c>
      <c r="E1120" s="91" t="s">
        <v>101</v>
      </c>
    </row>
    <row r="1121" spans="1:5" x14ac:dyDescent="0.25">
      <c r="A1121" s="94">
        <v>45966</v>
      </c>
      <c r="B1121" s="95">
        <v>511601.11800000002</v>
      </c>
      <c r="C1121" s="95">
        <v>4786695.426</v>
      </c>
      <c r="D1121" s="95">
        <v>51.042999999999999</v>
      </c>
      <c r="E1121" s="91" t="s">
        <v>102</v>
      </c>
    </row>
    <row r="1122" spans="1:5" x14ac:dyDescent="0.25">
      <c r="A1122" s="94">
        <v>45966</v>
      </c>
      <c r="B1122" s="95">
        <v>511615.255</v>
      </c>
      <c r="C1122" s="95">
        <v>4786687.4400000004</v>
      </c>
      <c r="D1122" s="95">
        <v>48.460999999999999</v>
      </c>
      <c r="E1122" s="91" t="s">
        <v>103</v>
      </c>
    </row>
    <row r="1123" spans="1:5" x14ac:dyDescent="0.25">
      <c r="A1123" s="94">
        <v>45966</v>
      </c>
      <c r="B1123" s="95">
        <v>511615.228</v>
      </c>
      <c r="C1123" s="95">
        <v>4786687.3619999997</v>
      </c>
      <c r="D1123" s="95">
        <v>45.953000000000003</v>
      </c>
      <c r="E1123" s="91" t="s">
        <v>104</v>
      </c>
    </row>
    <row r="1124" spans="1:5" x14ac:dyDescent="0.25">
      <c r="A1124" s="94">
        <v>45966</v>
      </c>
      <c r="B1124" s="95">
        <v>511629.18400000001</v>
      </c>
      <c r="C1124" s="95">
        <v>4786680.07</v>
      </c>
      <c r="D1124" s="95">
        <v>48.473999999999997</v>
      </c>
      <c r="E1124" s="91" t="s">
        <v>105</v>
      </c>
    </row>
    <row r="1125" spans="1:5" x14ac:dyDescent="0.25">
      <c r="A1125" s="94">
        <v>45966</v>
      </c>
      <c r="B1125" s="95">
        <v>511629.30699999997</v>
      </c>
      <c r="C1125" s="95">
        <v>4786680.0310000004</v>
      </c>
      <c r="D1125" s="95">
        <v>45.956000000000003</v>
      </c>
      <c r="E1125" s="91" t="s">
        <v>106</v>
      </c>
    </row>
    <row r="1126" spans="1:5" x14ac:dyDescent="0.25">
      <c r="A1126" s="94">
        <v>45966</v>
      </c>
      <c r="B1126" s="95">
        <v>511642.28600000002</v>
      </c>
      <c r="C1126" s="95">
        <v>4786673.13</v>
      </c>
      <c r="D1126" s="95">
        <v>48.454999999999998</v>
      </c>
      <c r="E1126" s="91" t="s">
        <v>107</v>
      </c>
    </row>
    <row r="1127" spans="1:5" x14ac:dyDescent="0.25">
      <c r="A1127" s="94">
        <v>45966</v>
      </c>
      <c r="B1127" s="95">
        <v>511642.43800000002</v>
      </c>
      <c r="C1127" s="95">
        <v>4786673.0180000002</v>
      </c>
      <c r="D1127" s="95">
        <v>45.95</v>
      </c>
      <c r="E1127" s="91" t="s">
        <v>108</v>
      </c>
    </row>
    <row r="1128" spans="1:5" x14ac:dyDescent="0.25">
      <c r="A1128" s="94">
        <v>45967</v>
      </c>
      <c r="B1128" s="95">
        <v>511615.1</v>
      </c>
      <c r="C1128" s="95">
        <v>4786687.9910000004</v>
      </c>
      <c r="D1128" s="95">
        <v>51.04</v>
      </c>
      <c r="E1128" s="91" t="s">
        <v>96</v>
      </c>
    </row>
    <row r="1129" spans="1:5" x14ac:dyDescent="0.25">
      <c r="A1129" s="94">
        <v>45967</v>
      </c>
      <c r="B1129" s="95">
        <v>511628.88500000001</v>
      </c>
      <c r="C1129" s="95">
        <v>4786680.6529999999</v>
      </c>
      <c r="D1129" s="95">
        <v>51.046999999999997</v>
      </c>
      <c r="E1129" s="91" t="s">
        <v>97</v>
      </c>
    </row>
    <row r="1130" spans="1:5" x14ac:dyDescent="0.25">
      <c r="A1130" s="94">
        <v>45967</v>
      </c>
      <c r="B1130" s="95">
        <v>511642.58399999997</v>
      </c>
      <c r="C1130" s="95">
        <v>4786673.3550000004</v>
      </c>
      <c r="D1130" s="95">
        <v>51.054000000000002</v>
      </c>
      <c r="E1130" s="91" t="s">
        <v>98</v>
      </c>
    </row>
    <row r="1131" spans="1:5" x14ac:dyDescent="0.25">
      <c r="A1131" s="94">
        <v>45967</v>
      </c>
      <c r="B1131" s="95">
        <v>511649.70400000003</v>
      </c>
      <c r="C1131" s="95">
        <v>4786682.1619999995</v>
      </c>
      <c r="D1131" s="95">
        <v>56.183999999999997</v>
      </c>
      <c r="E1131" s="91" t="s">
        <v>89</v>
      </c>
    </row>
    <row r="1132" spans="1:5" x14ac:dyDescent="0.25">
      <c r="A1132" s="94">
        <v>45967</v>
      </c>
      <c r="B1132" s="95">
        <v>511630.76299999998</v>
      </c>
      <c r="C1132" s="95">
        <v>4786689.8629999999</v>
      </c>
      <c r="D1132" s="95">
        <v>55.945999999999998</v>
      </c>
      <c r="E1132" s="91" t="s">
        <v>90</v>
      </c>
    </row>
    <row r="1133" spans="1:5" x14ac:dyDescent="0.25">
      <c r="A1133" s="94">
        <v>45967</v>
      </c>
      <c r="B1133" s="95">
        <v>511623.435</v>
      </c>
      <c r="C1133" s="95">
        <v>4786694.0779999997</v>
      </c>
      <c r="D1133" s="95">
        <v>54.777999999999999</v>
      </c>
      <c r="E1133" s="91" t="s">
        <v>91</v>
      </c>
    </row>
    <row r="1134" spans="1:5" x14ac:dyDescent="0.25">
      <c r="A1134" s="94">
        <v>45967</v>
      </c>
      <c r="B1134" s="95">
        <v>511613.31699999998</v>
      </c>
      <c r="C1134" s="95">
        <v>4786695.3059999999</v>
      </c>
      <c r="D1134" s="95">
        <v>60.569000000000003</v>
      </c>
      <c r="E1134" s="91" t="s">
        <v>92</v>
      </c>
    </row>
    <row r="1135" spans="1:5" x14ac:dyDescent="0.25">
      <c r="A1135" s="94">
        <v>45967</v>
      </c>
      <c r="B1135" s="95">
        <v>511614.75300000003</v>
      </c>
      <c r="C1135" s="95">
        <v>4786712.5609999998</v>
      </c>
      <c r="D1135" s="95">
        <v>60.816000000000003</v>
      </c>
      <c r="E1135" s="91" t="s">
        <v>93</v>
      </c>
    </row>
    <row r="1136" spans="1:5" x14ac:dyDescent="0.25">
      <c r="A1136" s="94">
        <v>45967</v>
      </c>
      <c r="B1136" s="95">
        <v>511660.66499999998</v>
      </c>
      <c r="C1136" s="95">
        <v>4786683.4689999996</v>
      </c>
      <c r="D1136" s="95">
        <v>55.402999999999999</v>
      </c>
      <c r="E1136" s="91" t="s">
        <v>94</v>
      </c>
    </row>
    <row r="1137" spans="1:5" x14ac:dyDescent="0.25">
      <c r="A1137" s="94">
        <v>45967</v>
      </c>
      <c r="B1137" s="95">
        <v>511670.875</v>
      </c>
      <c r="C1137" s="95">
        <v>4786685.9220000003</v>
      </c>
      <c r="D1137" s="95">
        <v>54.820999999999998</v>
      </c>
      <c r="E1137" s="91" t="s">
        <v>95</v>
      </c>
    </row>
    <row r="1138" spans="1:5" x14ac:dyDescent="0.25">
      <c r="A1138" s="94">
        <v>45967</v>
      </c>
      <c r="B1138" s="95">
        <v>511649.79800000001</v>
      </c>
      <c r="C1138" s="95">
        <v>4786669.5010000002</v>
      </c>
      <c r="D1138" s="95">
        <v>51.055999999999997</v>
      </c>
      <c r="E1138" s="91" t="s">
        <v>99</v>
      </c>
    </row>
    <row r="1139" spans="1:5" x14ac:dyDescent="0.25">
      <c r="A1139" s="94">
        <v>45967</v>
      </c>
      <c r="B1139" s="95">
        <v>511607.554</v>
      </c>
      <c r="C1139" s="95">
        <v>4786691.9910000004</v>
      </c>
      <c r="D1139" s="95">
        <v>51.061999999999998</v>
      </c>
      <c r="E1139" s="91" t="s">
        <v>100</v>
      </c>
    </row>
    <row r="1140" spans="1:5" x14ac:dyDescent="0.25">
      <c r="A1140" s="94">
        <v>45967</v>
      </c>
      <c r="B1140" s="95">
        <v>511607.27299999999</v>
      </c>
      <c r="C1140" s="95">
        <v>4786692.1780000003</v>
      </c>
      <c r="D1140" s="95">
        <v>51.063000000000002</v>
      </c>
      <c r="E1140" s="91" t="s">
        <v>101</v>
      </c>
    </row>
    <row r="1141" spans="1:5" x14ac:dyDescent="0.25">
      <c r="A1141" s="94">
        <v>45967</v>
      </c>
      <c r="B1141" s="95">
        <v>511601.11800000002</v>
      </c>
      <c r="C1141" s="95">
        <v>4786695.426</v>
      </c>
      <c r="D1141" s="95">
        <v>51.042999999999999</v>
      </c>
      <c r="E1141" s="91" t="s">
        <v>102</v>
      </c>
    </row>
    <row r="1142" spans="1:5" x14ac:dyDescent="0.25">
      <c r="A1142" s="94">
        <v>45967</v>
      </c>
      <c r="B1142" s="95">
        <v>511615.255</v>
      </c>
      <c r="C1142" s="95">
        <v>4786687.4400000004</v>
      </c>
      <c r="D1142" s="95">
        <v>48.460999999999999</v>
      </c>
      <c r="E1142" s="91" t="s">
        <v>103</v>
      </c>
    </row>
    <row r="1143" spans="1:5" x14ac:dyDescent="0.25">
      <c r="A1143" s="94">
        <v>45967</v>
      </c>
      <c r="B1143" s="95">
        <v>511615.22700000001</v>
      </c>
      <c r="C1143" s="95">
        <v>4786687.3619999997</v>
      </c>
      <c r="D1143" s="95">
        <v>45.953000000000003</v>
      </c>
      <c r="E1143" s="91" t="s">
        <v>104</v>
      </c>
    </row>
    <row r="1144" spans="1:5" x14ac:dyDescent="0.25">
      <c r="A1144" s="94">
        <v>45967</v>
      </c>
      <c r="B1144" s="95">
        <v>511629.18400000001</v>
      </c>
      <c r="C1144" s="95">
        <v>4786680.0710000005</v>
      </c>
      <c r="D1144" s="95">
        <v>48.472999999999999</v>
      </c>
      <c r="E1144" s="91" t="s">
        <v>105</v>
      </c>
    </row>
    <row r="1145" spans="1:5" x14ac:dyDescent="0.25">
      <c r="A1145" s="94">
        <v>45967</v>
      </c>
      <c r="B1145" s="95">
        <v>511629.30900000001</v>
      </c>
      <c r="C1145" s="95">
        <v>4786680.0319999997</v>
      </c>
      <c r="D1145" s="95">
        <v>45.954999999999998</v>
      </c>
      <c r="E1145" s="91" t="s">
        <v>106</v>
      </c>
    </row>
    <row r="1146" spans="1:5" x14ac:dyDescent="0.25">
      <c r="A1146" s="94">
        <v>45967</v>
      </c>
      <c r="B1146" s="95">
        <v>511642.28600000002</v>
      </c>
      <c r="C1146" s="95">
        <v>4786673.13</v>
      </c>
      <c r="D1146" s="95">
        <v>48.454999999999998</v>
      </c>
      <c r="E1146" s="91" t="s">
        <v>107</v>
      </c>
    </row>
    <row r="1147" spans="1:5" x14ac:dyDescent="0.25">
      <c r="A1147" s="94">
        <v>45967</v>
      </c>
      <c r="B1147" s="95">
        <v>511642.43900000001</v>
      </c>
      <c r="C1147" s="95">
        <v>4786673.0180000002</v>
      </c>
      <c r="D1147" s="95">
        <v>45.95</v>
      </c>
      <c r="E1147" s="91" t="s">
        <v>108</v>
      </c>
    </row>
    <row r="1148" spans="1:5" x14ac:dyDescent="0.25">
      <c r="A1148" s="94">
        <v>45968</v>
      </c>
      <c r="B1148" s="95">
        <v>511615.1</v>
      </c>
      <c r="C1148" s="95">
        <v>4786687.9929999998</v>
      </c>
      <c r="D1148" s="95">
        <v>51.04</v>
      </c>
      <c r="E1148" s="91" t="s">
        <v>96</v>
      </c>
    </row>
    <row r="1149" spans="1:5" x14ac:dyDescent="0.25">
      <c r="A1149" s="94">
        <v>45968</v>
      </c>
      <c r="B1149" s="95">
        <v>511628.88500000001</v>
      </c>
      <c r="C1149" s="95">
        <v>4786680.6529999999</v>
      </c>
      <c r="D1149" s="95">
        <v>51.045999999999999</v>
      </c>
      <c r="E1149" s="91" t="s">
        <v>97</v>
      </c>
    </row>
    <row r="1150" spans="1:5" x14ac:dyDescent="0.25">
      <c r="A1150" s="94">
        <v>45968</v>
      </c>
      <c r="B1150" s="95">
        <v>511642.58500000002</v>
      </c>
      <c r="C1150" s="95">
        <v>4786673.3559999997</v>
      </c>
      <c r="D1150" s="95">
        <v>51.052999999999997</v>
      </c>
      <c r="E1150" s="91" t="s">
        <v>98</v>
      </c>
    </row>
    <row r="1151" spans="1:5" x14ac:dyDescent="0.25">
      <c r="A1151" s="94">
        <v>45968</v>
      </c>
      <c r="B1151" s="95">
        <v>511649.70400000003</v>
      </c>
      <c r="C1151" s="95">
        <v>4786682.1629999997</v>
      </c>
      <c r="D1151" s="95">
        <v>56.183</v>
      </c>
      <c r="E1151" s="91" t="s">
        <v>89</v>
      </c>
    </row>
    <row r="1152" spans="1:5" x14ac:dyDescent="0.25">
      <c r="A1152" s="94">
        <v>45968</v>
      </c>
      <c r="B1152" s="95">
        <v>511630.76299999998</v>
      </c>
      <c r="C1152" s="95">
        <v>4786689.8640000001</v>
      </c>
      <c r="D1152" s="95">
        <v>55.945</v>
      </c>
      <c r="E1152" s="91" t="s">
        <v>90</v>
      </c>
    </row>
    <row r="1153" spans="1:5" x14ac:dyDescent="0.25">
      <c r="A1153" s="94">
        <v>45968</v>
      </c>
      <c r="B1153" s="95">
        <v>511623.43300000002</v>
      </c>
      <c r="C1153" s="95">
        <v>4786694.0769999996</v>
      </c>
      <c r="D1153" s="95">
        <v>54.777000000000001</v>
      </c>
      <c r="E1153" s="91" t="s">
        <v>91</v>
      </c>
    </row>
    <row r="1154" spans="1:5" x14ac:dyDescent="0.25">
      <c r="A1154" s="94">
        <v>45968</v>
      </c>
      <c r="B1154" s="95">
        <v>511613.31699999998</v>
      </c>
      <c r="C1154" s="95">
        <v>4786695.307</v>
      </c>
      <c r="D1154" s="95">
        <v>60.569000000000003</v>
      </c>
      <c r="E1154" s="91" t="s">
        <v>92</v>
      </c>
    </row>
    <row r="1155" spans="1:5" x14ac:dyDescent="0.25">
      <c r="A1155" s="94">
        <v>45968</v>
      </c>
      <c r="B1155" s="95">
        <v>511614.75300000003</v>
      </c>
      <c r="C1155" s="95">
        <v>4786712.5609999998</v>
      </c>
      <c r="D1155" s="95">
        <v>60.814999999999998</v>
      </c>
      <c r="E1155" s="91" t="s">
        <v>93</v>
      </c>
    </row>
    <row r="1156" spans="1:5" x14ac:dyDescent="0.25">
      <c r="A1156" s="94">
        <v>45968</v>
      </c>
      <c r="B1156" s="95">
        <v>511660.66600000003</v>
      </c>
      <c r="C1156" s="95">
        <v>4786683.47</v>
      </c>
      <c r="D1156" s="95">
        <v>55.404000000000003</v>
      </c>
      <c r="E1156" s="91" t="s">
        <v>94</v>
      </c>
    </row>
    <row r="1157" spans="1:5" x14ac:dyDescent="0.25">
      <c r="A1157" s="94">
        <v>45968</v>
      </c>
      <c r="B1157" s="95">
        <v>511670.87599999999</v>
      </c>
      <c r="C1157" s="95">
        <v>4786685.9220000003</v>
      </c>
      <c r="D1157" s="95">
        <v>54.820999999999998</v>
      </c>
      <c r="E1157" s="91" t="s">
        <v>95</v>
      </c>
    </row>
    <row r="1158" spans="1:5" x14ac:dyDescent="0.25">
      <c r="A1158" s="94">
        <v>45968</v>
      </c>
      <c r="B1158" s="95">
        <v>511649.79700000002</v>
      </c>
      <c r="C1158" s="95">
        <v>4786669.5010000002</v>
      </c>
      <c r="D1158" s="95">
        <v>51.055999999999997</v>
      </c>
      <c r="E1158" s="91" t="s">
        <v>99</v>
      </c>
    </row>
    <row r="1159" spans="1:5" x14ac:dyDescent="0.25">
      <c r="A1159" s="94">
        <v>45968</v>
      </c>
      <c r="B1159" s="95">
        <v>511607.554</v>
      </c>
      <c r="C1159" s="95">
        <v>4786691.9910000004</v>
      </c>
      <c r="D1159" s="95">
        <v>51.061999999999998</v>
      </c>
      <c r="E1159" s="91" t="s">
        <v>100</v>
      </c>
    </row>
    <row r="1160" spans="1:5" x14ac:dyDescent="0.25">
      <c r="A1160" s="94">
        <v>45968</v>
      </c>
      <c r="B1160" s="95">
        <v>511607.27299999999</v>
      </c>
      <c r="C1160" s="95">
        <v>4786692.1780000003</v>
      </c>
      <c r="D1160" s="95">
        <v>51.063000000000002</v>
      </c>
      <c r="E1160" s="91" t="s">
        <v>101</v>
      </c>
    </row>
    <row r="1161" spans="1:5" x14ac:dyDescent="0.25">
      <c r="A1161" s="94">
        <v>45968</v>
      </c>
      <c r="B1161" s="95">
        <v>511601.11800000002</v>
      </c>
      <c r="C1161" s="95">
        <v>4786695.4249999998</v>
      </c>
      <c r="D1161" s="95">
        <v>51.042999999999999</v>
      </c>
      <c r="E1161" s="91" t="s">
        <v>102</v>
      </c>
    </row>
    <row r="1162" spans="1:5" x14ac:dyDescent="0.25">
      <c r="A1162" s="94">
        <v>45968</v>
      </c>
      <c r="B1162" s="95">
        <v>511615.255</v>
      </c>
      <c r="C1162" s="95">
        <v>4786687.4400000004</v>
      </c>
      <c r="D1162" s="95">
        <v>48.460999999999999</v>
      </c>
      <c r="E1162" s="91" t="s">
        <v>103</v>
      </c>
    </row>
    <row r="1163" spans="1:5" x14ac:dyDescent="0.25">
      <c r="A1163" s="94">
        <v>45968</v>
      </c>
      <c r="B1163" s="95">
        <v>511615.228</v>
      </c>
      <c r="C1163" s="95">
        <v>4786687.3619999997</v>
      </c>
      <c r="D1163" s="95">
        <v>45.953000000000003</v>
      </c>
      <c r="E1163" s="91" t="s">
        <v>104</v>
      </c>
    </row>
    <row r="1164" spans="1:5" x14ac:dyDescent="0.25">
      <c r="A1164" s="94">
        <v>45968</v>
      </c>
      <c r="B1164" s="95">
        <v>511629.185</v>
      </c>
      <c r="C1164" s="95">
        <v>4786680.0710000005</v>
      </c>
      <c r="D1164" s="95">
        <v>48.473999999999997</v>
      </c>
      <c r="E1164" s="91" t="s">
        <v>105</v>
      </c>
    </row>
    <row r="1165" spans="1:5" x14ac:dyDescent="0.25">
      <c r="A1165" s="94">
        <v>45968</v>
      </c>
      <c r="B1165" s="95">
        <v>511629.30800000002</v>
      </c>
      <c r="C1165" s="95">
        <v>4786680.0310000004</v>
      </c>
      <c r="D1165" s="95">
        <v>45.954999999999998</v>
      </c>
      <c r="E1165" s="91" t="s">
        <v>106</v>
      </c>
    </row>
    <row r="1166" spans="1:5" x14ac:dyDescent="0.25">
      <c r="A1166" s="94">
        <v>45968</v>
      </c>
      <c r="B1166" s="95">
        <v>511642.28600000002</v>
      </c>
      <c r="C1166" s="95">
        <v>4786673.13</v>
      </c>
      <c r="D1166" s="95">
        <v>48.454999999999998</v>
      </c>
      <c r="E1166" s="91" t="s">
        <v>107</v>
      </c>
    </row>
    <row r="1167" spans="1:5" x14ac:dyDescent="0.25">
      <c r="A1167" s="94">
        <v>45968</v>
      </c>
      <c r="B1167" s="95">
        <v>511642.43800000002</v>
      </c>
      <c r="C1167" s="95">
        <v>4786673.0180000002</v>
      </c>
      <c r="D1167" s="95">
        <v>45.95</v>
      </c>
      <c r="E1167" s="91" t="s">
        <v>108</v>
      </c>
    </row>
    <row r="1168" spans="1:5" x14ac:dyDescent="0.25">
      <c r="A1168" s="94">
        <v>45971</v>
      </c>
      <c r="B1168" s="95">
        <v>511615.10100000002</v>
      </c>
      <c r="C1168" s="95">
        <v>4786687.9919999996</v>
      </c>
      <c r="D1168" s="95">
        <v>51.037999999999997</v>
      </c>
      <c r="E1168" s="91" t="s">
        <v>96</v>
      </c>
    </row>
    <row r="1169" spans="1:5" x14ac:dyDescent="0.25">
      <c r="A1169" s="94">
        <v>45971</v>
      </c>
      <c r="B1169" s="95">
        <v>511628.88400000002</v>
      </c>
      <c r="C1169" s="95">
        <v>4786680.6529999999</v>
      </c>
      <c r="D1169" s="95">
        <v>51.045000000000002</v>
      </c>
      <c r="E1169" s="91" t="s">
        <v>97</v>
      </c>
    </row>
    <row r="1170" spans="1:5" x14ac:dyDescent="0.25">
      <c r="A1170" s="94">
        <v>45971</v>
      </c>
      <c r="B1170" s="95">
        <v>511642.58399999997</v>
      </c>
      <c r="C1170" s="95">
        <v>4786673.3550000004</v>
      </c>
      <c r="D1170" s="95">
        <v>51.052</v>
      </c>
      <c r="E1170" s="91" t="s">
        <v>98</v>
      </c>
    </row>
    <row r="1171" spans="1:5" x14ac:dyDescent="0.25">
      <c r="A1171" s="94">
        <v>45971</v>
      </c>
      <c r="B1171" s="95">
        <v>511649.70299999998</v>
      </c>
      <c r="C1171" s="95">
        <v>4786682.1619999995</v>
      </c>
      <c r="D1171" s="95">
        <v>56.183</v>
      </c>
      <c r="E1171" s="91" t="s">
        <v>89</v>
      </c>
    </row>
    <row r="1172" spans="1:5" x14ac:dyDescent="0.25">
      <c r="A1172" s="94">
        <v>45971</v>
      </c>
      <c r="B1172" s="95">
        <v>511630.76400000002</v>
      </c>
      <c r="C1172" s="95">
        <v>4786689.8640000001</v>
      </c>
      <c r="D1172" s="95">
        <v>55.944000000000003</v>
      </c>
      <c r="E1172" s="91" t="s">
        <v>90</v>
      </c>
    </row>
    <row r="1173" spans="1:5" x14ac:dyDescent="0.25">
      <c r="A1173" s="94">
        <v>45971</v>
      </c>
      <c r="B1173" s="95">
        <v>511623.43400000001</v>
      </c>
      <c r="C1173" s="95">
        <v>4786694.0769999996</v>
      </c>
      <c r="D1173" s="95">
        <v>54.776000000000003</v>
      </c>
      <c r="E1173" s="91" t="s">
        <v>91</v>
      </c>
    </row>
    <row r="1174" spans="1:5" x14ac:dyDescent="0.25">
      <c r="A1174" s="94">
        <v>45971</v>
      </c>
      <c r="B1174" s="95">
        <v>511613.31699999998</v>
      </c>
      <c r="C1174" s="95">
        <v>4786695.307</v>
      </c>
      <c r="D1174" s="95">
        <v>60.567999999999998</v>
      </c>
      <c r="E1174" s="91" t="s">
        <v>92</v>
      </c>
    </row>
    <row r="1175" spans="1:5" x14ac:dyDescent="0.25">
      <c r="A1175" s="94">
        <v>45971</v>
      </c>
      <c r="B1175" s="95">
        <v>511614.75300000003</v>
      </c>
      <c r="C1175" s="95">
        <v>4786712.5609999998</v>
      </c>
      <c r="D1175" s="95">
        <v>60.814</v>
      </c>
      <c r="E1175" s="91" t="s">
        <v>93</v>
      </c>
    </row>
    <row r="1176" spans="1:5" x14ac:dyDescent="0.25">
      <c r="A1176" s="94">
        <v>45971</v>
      </c>
      <c r="B1176" s="95">
        <v>511660.66499999998</v>
      </c>
      <c r="C1176" s="95">
        <v>4786683.4689999996</v>
      </c>
      <c r="D1176" s="95">
        <v>55.404000000000003</v>
      </c>
      <c r="E1176" s="91" t="s">
        <v>94</v>
      </c>
    </row>
    <row r="1177" spans="1:5" x14ac:dyDescent="0.25">
      <c r="A1177" s="94">
        <v>45971</v>
      </c>
      <c r="B1177" s="95">
        <v>511670.875</v>
      </c>
      <c r="C1177" s="95">
        <v>4786685.9220000003</v>
      </c>
      <c r="D1177" s="95">
        <v>54.820999999999998</v>
      </c>
      <c r="E1177" s="91" t="s">
        <v>95</v>
      </c>
    </row>
    <row r="1178" spans="1:5" x14ac:dyDescent="0.25">
      <c r="A1178" s="94">
        <v>45971</v>
      </c>
      <c r="B1178" s="95">
        <v>511649.79800000001</v>
      </c>
      <c r="C1178" s="95">
        <v>4786669.5010000002</v>
      </c>
      <c r="D1178" s="95">
        <v>51.055999999999997</v>
      </c>
      <c r="E1178" s="91" t="s">
        <v>99</v>
      </c>
    </row>
    <row r="1179" spans="1:5" x14ac:dyDescent="0.25">
      <c r="A1179" s="94">
        <v>45971</v>
      </c>
      <c r="B1179" s="95">
        <v>511607.55300000001</v>
      </c>
      <c r="C1179" s="95">
        <v>4786691.99</v>
      </c>
      <c r="D1179" s="95">
        <v>51.061999999999998</v>
      </c>
      <c r="E1179" s="91" t="s">
        <v>100</v>
      </c>
    </row>
    <row r="1180" spans="1:5" x14ac:dyDescent="0.25">
      <c r="A1180" s="94">
        <v>45971</v>
      </c>
      <c r="B1180" s="95">
        <v>511607.27299999999</v>
      </c>
      <c r="C1180" s="95">
        <v>4786692.1780000003</v>
      </c>
      <c r="D1180" s="95">
        <v>51.063000000000002</v>
      </c>
      <c r="E1180" s="91" t="s">
        <v>101</v>
      </c>
    </row>
    <row r="1181" spans="1:5" x14ac:dyDescent="0.25">
      <c r="A1181" s="94">
        <v>45971</v>
      </c>
      <c r="B1181" s="95">
        <v>511601.11700000003</v>
      </c>
      <c r="C1181" s="95">
        <v>4786695.4249999998</v>
      </c>
      <c r="D1181" s="95">
        <v>51.042999999999999</v>
      </c>
      <c r="E1181" s="91" t="s">
        <v>102</v>
      </c>
    </row>
    <row r="1182" spans="1:5" x14ac:dyDescent="0.25">
      <c r="A1182" s="94">
        <v>45971</v>
      </c>
      <c r="B1182" s="95">
        <v>511615.25400000002</v>
      </c>
      <c r="C1182" s="95">
        <v>4786687.4400000004</v>
      </c>
      <c r="D1182" s="95">
        <v>48.460999999999999</v>
      </c>
      <c r="E1182" s="91" t="s">
        <v>103</v>
      </c>
    </row>
    <row r="1183" spans="1:5" x14ac:dyDescent="0.25">
      <c r="A1183" s="94">
        <v>45971</v>
      </c>
      <c r="B1183" s="95">
        <v>511615.22700000001</v>
      </c>
      <c r="C1183" s="95">
        <v>4786687.3609999996</v>
      </c>
      <c r="D1183" s="95">
        <v>45.953000000000003</v>
      </c>
      <c r="E1183" s="91" t="s">
        <v>104</v>
      </c>
    </row>
    <row r="1184" spans="1:5" x14ac:dyDescent="0.25">
      <c r="A1184" s="94">
        <v>45971</v>
      </c>
      <c r="B1184" s="95">
        <v>511629.18300000002</v>
      </c>
      <c r="C1184" s="95">
        <v>4786680.07</v>
      </c>
      <c r="D1184" s="95">
        <v>48.473999999999997</v>
      </c>
      <c r="E1184" s="91" t="s">
        <v>105</v>
      </c>
    </row>
    <row r="1185" spans="1:5" x14ac:dyDescent="0.25">
      <c r="A1185" s="94">
        <v>45971</v>
      </c>
      <c r="B1185" s="95">
        <v>511629.30800000002</v>
      </c>
      <c r="C1185" s="95">
        <v>4786680.0310000004</v>
      </c>
      <c r="D1185" s="95">
        <v>45.956000000000003</v>
      </c>
      <c r="E1185" s="91" t="s">
        <v>106</v>
      </c>
    </row>
    <row r="1186" spans="1:5" x14ac:dyDescent="0.25">
      <c r="A1186" s="94">
        <v>45971</v>
      </c>
      <c r="B1186" s="95">
        <v>511642.28399999999</v>
      </c>
      <c r="C1186" s="95">
        <v>4786673.13</v>
      </c>
      <c r="D1186" s="95">
        <v>48.454999999999998</v>
      </c>
      <c r="E1186" s="91" t="s">
        <v>107</v>
      </c>
    </row>
    <row r="1187" spans="1:5" x14ac:dyDescent="0.25">
      <c r="A1187" s="94">
        <v>45971</v>
      </c>
      <c r="B1187" s="95">
        <v>511642.43800000002</v>
      </c>
      <c r="C1187" s="95">
        <v>4786673.0180000002</v>
      </c>
      <c r="D1187" s="95">
        <v>45.95</v>
      </c>
      <c r="E1187" s="91" t="s">
        <v>108</v>
      </c>
    </row>
    <row r="1188" spans="1:5" x14ac:dyDescent="0.25">
      <c r="A1188" s="94">
        <v>45972</v>
      </c>
      <c r="B1188" s="95">
        <v>511615.098</v>
      </c>
      <c r="C1188" s="95">
        <v>4786687.9910000004</v>
      </c>
      <c r="D1188" s="95">
        <v>51.04</v>
      </c>
      <c r="E1188" s="91" t="s">
        <v>96</v>
      </c>
    </row>
    <row r="1189" spans="1:5" x14ac:dyDescent="0.25">
      <c r="A1189" s="94">
        <v>45972</v>
      </c>
      <c r="B1189" s="95">
        <v>511628.88400000002</v>
      </c>
      <c r="C1189" s="95">
        <v>4786680.6519999998</v>
      </c>
      <c r="D1189" s="95">
        <v>51.046999999999997</v>
      </c>
      <c r="E1189" s="91" t="s">
        <v>97</v>
      </c>
    </row>
    <row r="1190" spans="1:5" x14ac:dyDescent="0.25">
      <c r="A1190" s="94">
        <v>45972</v>
      </c>
      <c r="B1190" s="95">
        <v>511642.58299999998</v>
      </c>
      <c r="C1190" s="95">
        <v>4786673.3550000004</v>
      </c>
      <c r="D1190" s="95">
        <v>51.054000000000002</v>
      </c>
      <c r="E1190" s="91" t="s">
        <v>98</v>
      </c>
    </row>
    <row r="1191" spans="1:5" x14ac:dyDescent="0.25">
      <c r="A1191" s="94">
        <v>45972</v>
      </c>
      <c r="B1191" s="95">
        <v>511649.70400000003</v>
      </c>
      <c r="C1191" s="95">
        <v>4786682.1619999995</v>
      </c>
      <c r="D1191" s="95">
        <v>56.183999999999997</v>
      </c>
      <c r="E1191" s="91" t="s">
        <v>89</v>
      </c>
    </row>
    <row r="1192" spans="1:5" x14ac:dyDescent="0.25">
      <c r="A1192" s="94">
        <v>45972</v>
      </c>
      <c r="B1192" s="95">
        <v>511630.76199999999</v>
      </c>
      <c r="C1192" s="95">
        <v>4786689.8629999999</v>
      </c>
      <c r="D1192" s="95">
        <v>55.945</v>
      </c>
      <c r="E1192" s="91" t="s">
        <v>90</v>
      </c>
    </row>
    <row r="1193" spans="1:5" x14ac:dyDescent="0.25">
      <c r="A1193" s="94">
        <v>45972</v>
      </c>
      <c r="B1193" s="95">
        <v>511623.43199999997</v>
      </c>
      <c r="C1193" s="95">
        <v>4786694.0760000004</v>
      </c>
      <c r="D1193" s="95">
        <v>54.777000000000001</v>
      </c>
      <c r="E1193" s="91" t="s">
        <v>91</v>
      </c>
    </row>
    <row r="1194" spans="1:5" x14ac:dyDescent="0.25">
      <c r="A1194" s="94">
        <v>45972</v>
      </c>
      <c r="B1194" s="95">
        <v>511613.31699999998</v>
      </c>
      <c r="C1194" s="95">
        <v>4786695.3059999999</v>
      </c>
      <c r="D1194" s="95">
        <v>60.569000000000003</v>
      </c>
      <c r="E1194" s="91" t="s">
        <v>92</v>
      </c>
    </row>
    <row r="1195" spans="1:5" x14ac:dyDescent="0.25">
      <c r="A1195" s="94">
        <v>45972</v>
      </c>
      <c r="B1195" s="95">
        <v>511614.75300000003</v>
      </c>
      <c r="C1195" s="95">
        <v>4786712.5599999996</v>
      </c>
      <c r="D1195" s="95">
        <v>60.814999999999998</v>
      </c>
      <c r="E1195" s="91" t="s">
        <v>93</v>
      </c>
    </row>
    <row r="1196" spans="1:5" x14ac:dyDescent="0.25">
      <c r="A1196" s="94">
        <v>45972</v>
      </c>
      <c r="B1196" s="95">
        <v>511660.66399999999</v>
      </c>
      <c r="C1196" s="95">
        <v>4786683.4689999996</v>
      </c>
      <c r="D1196" s="95">
        <v>55.404000000000003</v>
      </c>
      <c r="E1196" s="91" t="s">
        <v>94</v>
      </c>
    </row>
    <row r="1197" spans="1:5" x14ac:dyDescent="0.25">
      <c r="A1197" s="94">
        <v>45972</v>
      </c>
      <c r="B1197" s="95">
        <v>511670.87400000001</v>
      </c>
      <c r="C1197" s="95">
        <v>4786685.9210000001</v>
      </c>
      <c r="D1197" s="95">
        <v>54.820999999999998</v>
      </c>
      <c r="E1197" s="91" t="s">
        <v>95</v>
      </c>
    </row>
    <row r="1198" spans="1:5" x14ac:dyDescent="0.25">
      <c r="A1198" s="94">
        <v>45972</v>
      </c>
      <c r="B1198" s="95">
        <v>511649.79700000002</v>
      </c>
      <c r="C1198" s="95">
        <v>4786669.5010000002</v>
      </c>
      <c r="D1198" s="95">
        <v>51.055999999999997</v>
      </c>
      <c r="E1198" s="91" t="s">
        <v>99</v>
      </c>
    </row>
    <row r="1199" spans="1:5" x14ac:dyDescent="0.25">
      <c r="A1199" s="94">
        <v>45972</v>
      </c>
      <c r="B1199" s="95">
        <v>511607.55300000001</v>
      </c>
      <c r="C1199" s="95">
        <v>4786691.99</v>
      </c>
      <c r="D1199" s="95">
        <v>51.061999999999998</v>
      </c>
      <c r="E1199" s="91" t="s">
        <v>100</v>
      </c>
    </row>
    <row r="1200" spans="1:5" x14ac:dyDescent="0.25">
      <c r="A1200" s="94">
        <v>45972</v>
      </c>
      <c r="B1200" s="95">
        <v>511607.272</v>
      </c>
      <c r="C1200" s="95">
        <v>4786692.1770000001</v>
      </c>
      <c r="D1200" s="95">
        <v>51.063000000000002</v>
      </c>
      <c r="E1200" s="91" t="s">
        <v>101</v>
      </c>
    </row>
    <row r="1201" spans="1:5" x14ac:dyDescent="0.25">
      <c r="A1201" s="94">
        <v>45972</v>
      </c>
      <c r="B1201" s="95">
        <v>511601.11700000003</v>
      </c>
      <c r="C1201" s="95">
        <v>4786695.4249999998</v>
      </c>
      <c r="D1201" s="95">
        <v>51.042999999999999</v>
      </c>
      <c r="E1201" s="91" t="s">
        <v>102</v>
      </c>
    </row>
    <row r="1202" spans="1:5" x14ac:dyDescent="0.25">
      <c r="A1202" s="94">
        <v>45972</v>
      </c>
      <c r="B1202" s="95">
        <v>511615.25400000002</v>
      </c>
      <c r="C1202" s="95">
        <v>4786687.4390000002</v>
      </c>
      <c r="D1202" s="95">
        <v>48.460999999999999</v>
      </c>
      <c r="E1202" s="91" t="s">
        <v>103</v>
      </c>
    </row>
    <row r="1203" spans="1:5" x14ac:dyDescent="0.25">
      <c r="A1203" s="94">
        <v>45972</v>
      </c>
      <c r="B1203" s="95">
        <v>511629.18400000001</v>
      </c>
      <c r="C1203" s="95">
        <v>4786680.0710000005</v>
      </c>
      <c r="D1203" s="95">
        <v>48.473999999999997</v>
      </c>
      <c r="E1203" s="91" t="s">
        <v>105</v>
      </c>
    </row>
    <row r="1204" spans="1:5" x14ac:dyDescent="0.25">
      <c r="A1204" s="94">
        <v>45972</v>
      </c>
      <c r="B1204" s="95">
        <v>511642.28499999997</v>
      </c>
      <c r="C1204" s="95">
        <v>4786673.13</v>
      </c>
      <c r="D1204" s="95">
        <v>48.454999999999998</v>
      </c>
      <c r="E1204" s="91" t="s">
        <v>107</v>
      </c>
    </row>
    <row r="1205" spans="1:5" x14ac:dyDescent="0.25">
      <c r="A1205" s="94">
        <v>45973</v>
      </c>
      <c r="B1205" s="95">
        <v>511615.09899999999</v>
      </c>
      <c r="C1205" s="95">
        <v>4786687.9910000004</v>
      </c>
      <c r="D1205" s="95">
        <v>51.04</v>
      </c>
      <c r="E1205" s="91" t="s">
        <v>96</v>
      </c>
    </row>
    <row r="1206" spans="1:5" x14ac:dyDescent="0.25">
      <c r="A1206" s="94">
        <v>45973</v>
      </c>
      <c r="B1206" s="95">
        <v>511628.88400000002</v>
      </c>
      <c r="C1206" s="95">
        <v>4786680.6519999998</v>
      </c>
      <c r="D1206" s="95">
        <v>51.046999999999997</v>
      </c>
      <c r="E1206" s="91" t="s">
        <v>97</v>
      </c>
    </row>
    <row r="1207" spans="1:5" x14ac:dyDescent="0.25">
      <c r="A1207" s="94">
        <v>45973</v>
      </c>
      <c r="B1207" s="95">
        <v>511642.58399999997</v>
      </c>
      <c r="C1207" s="95">
        <v>4786673.3550000004</v>
      </c>
      <c r="D1207" s="95">
        <v>51.054000000000002</v>
      </c>
      <c r="E1207" s="91" t="s">
        <v>98</v>
      </c>
    </row>
    <row r="1208" spans="1:5" x14ac:dyDescent="0.25">
      <c r="A1208" s="94">
        <v>45973</v>
      </c>
      <c r="B1208" s="95">
        <v>511629.41200000001</v>
      </c>
      <c r="C1208" s="95">
        <v>4786679.915</v>
      </c>
      <c r="D1208" s="95">
        <v>43.956000000000003</v>
      </c>
      <c r="E1208" s="91" t="s">
        <v>109</v>
      </c>
    </row>
    <row r="1209" spans="1:5" x14ac:dyDescent="0.25">
      <c r="A1209" s="94">
        <v>45973</v>
      </c>
      <c r="B1209" s="95">
        <v>511649.70299999998</v>
      </c>
      <c r="C1209" s="95">
        <v>4786682.1610000003</v>
      </c>
      <c r="D1209" s="95">
        <v>56.183999999999997</v>
      </c>
      <c r="E1209" s="91" t="s">
        <v>89</v>
      </c>
    </row>
    <row r="1210" spans="1:5" x14ac:dyDescent="0.25">
      <c r="A1210" s="94">
        <v>45973</v>
      </c>
      <c r="B1210" s="95">
        <v>511630.76199999999</v>
      </c>
      <c r="C1210" s="95">
        <v>4786689.8629999999</v>
      </c>
      <c r="D1210" s="95">
        <v>55.945</v>
      </c>
      <c r="E1210" s="91" t="s">
        <v>90</v>
      </c>
    </row>
    <row r="1211" spans="1:5" x14ac:dyDescent="0.25">
      <c r="A1211" s="94">
        <v>45973</v>
      </c>
      <c r="B1211" s="95">
        <v>511623.43400000001</v>
      </c>
      <c r="C1211" s="95">
        <v>4786694.0769999996</v>
      </c>
      <c r="D1211" s="95">
        <v>54.777000000000001</v>
      </c>
      <c r="E1211" s="91" t="s">
        <v>91</v>
      </c>
    </row>
    <row r="1212" spans="1:5" x14ac:dyDescent="0.25">
      <c r="A1212" s="94">
        <v>45973</v>
      </c>
      <c r="B1212" s="95">
        <v>511613.31699999998</v>
      </c>
      <c r="C1212" s="95">
        <v>4786695.3059999999</v>
      </c>
      <c r="D1212" s="95">
        <v>60.569000000000003</v>
      </c>
      <c r="E1212" s="91" t="s">
        <v>92</v>
      </c>
    </row>
    <row r="1213" spans="1:5" x14ac:dyDescent="0.25">
      <c r="A1213" s="94">
        <v>45973</v>
      </c>
      <c r="B1213" s="95">
        <v>511614.75300000003</v>
      </c>
      <c r="C1213" s="95">
        <v>4786712.5599999996</v>
      </c>
      <c r="D1213" s="95">
        <v>60.816000000000003</v>
      </c>
      <c r="E1213" s="91" t="s">
        <v>93</v>
      </c>
    </row>
    <row r="1214" spans="1:5" x14ac:dyDescent="0.25">
      <c r="A1214" s="94">
        <v>45973</v>
      </c>
      <c r="B1214" s="95">
        <v>511660.66399999999</v>
      </c>
      <c r="C1214" s="95">
        <v>4786683.4689999996</v>
      </c>
      <c r="D1214" s="95">
        <v>55.404000000000003</v>
      </c>
      <c r="E1214" s="91" t="s">
        <v>94</v>
      </c>
    </row>
    <row r="1215" spans="1:5" x14ac:dyDescent="0.25">
      <c r="A1215" s="94">
        <v>45973</v>
      </c>
      <c r="B1215" s="95">
        <v>511670.87599999999</v>
      </c>
      <c r="C1215" s="95">
        <v>4786685.9220000003</v>
      </c>
      <c r="D1215" s="95">
        <v>54.820999999999998</v>
      </c>
      <c r="E1215" s="91" t="s">
        <v>95</v>
      </c>
    </row>
    <row r="1216" spans="1:5" x14ac:dyDescent="0.25">
      <c r="A1216" s="94">
        <v>45973</v>
      </c>
      <c r="B1216" s="95">
        <v>511649.79599999997</v>
      </c>
      <c r="C1216" s="95">
        <v>4786669.5010000002</v>
      </c>
      <c r="D1216" s="95">
        <v>51.055999999999997</v>
      </c>
      <c r="E1216" s="91" t="s">
        <v>99</v>
      </c>
    </row>
    <row r="1217" spans="1:5" x14ac:dyDescent="0.25">
      <c r="A1217" s="94">
        <v>45973</v>
      </c>
      <c r="B1217" s="95">
        <v>511607.55300000001</v>
      </c>
      <c r="C1217" s="95">
        <v>4786691.99</v>
      </c>
      <c r="D1217" s="95">
        <v>51.061999999999998</v>
      </c>
      <c r="E1217" s="91" t="s">
        <v>100</v>
      </c>
    </row>
    <row r="1218" spans="1:5" x14ac:dyDescent="0.25">
      <c r="A1218" s="94">
        <v>45973</v>
      </c>
      <c r="B1218" s="95">
        <v>511607.27299999999</v>
      </c>
      <c r="C1218" s="95">
        <v>4786692.1780000003</v>
      </c>
      <c r="D1218" s="95">
        <v>51.063000000000002</v>
      </c>
      <c r="E1218" s="91" t="s">
        <v>101</v>
      </c>
    </row>
    <row r="1219" spans="1:5" x14ac:dyDescent="0.25">
      <c r="A1219" s="94">
        <v>45973</v>
      </c>
      <c r="B1219" s="95">
        <v>511601.11800000002</v>
      </c>
      <c r="C1219" s="95">
        <v>4786695.4249999998</v>
      </c>
      <c r="D1219" s="95">
        <v>51.042999999999999</v>
      </c>
      <c r="E1219" s="91" t="s">
        <v>102</v>
      </c>
    </row>
    <row r="1220" spans="1:5" x14ac:dyDescent="0.25">
      <c r="A1220" s="94">
        <v>45973</v>
      </c>
      <c r="B1220" s="95">
        <v>511615.25400000002</v>
      </c>
      <c r="C1220" s="95">
        <v>4786687.4390000002</v>
      </c>
      <c r="D1220" s="95">
        <v>48.460999999999999</v>
      </c>
      <c r="E1220" s="91" t="s">
        <v>103</v>
      </c>
    </row>
    <row r="1221" spans="1:5" x14ac:dyDescent="0.25">
      <c r="A1221" s="94">
        <v>45973</v>
      </c>
      <c r="B1221" s="95">
        <v>511615.228</v>
      </c>
      <c r="C1221" s="95">
        <v>4786687.3619999997</v>
      </c>
      <c r="D1221" s="95">
        <v>45.953000000000003</v>
      </c>
      <c r="E1221" s="91" t="s">
        <v>104</v>
      </c>
    </row>
    <row r="1222" spans="1:5" x14ac:dyDescent="0.25">
      <c r="A1222" s="94">
        <v>45973</v>
      </c>
      <c r="B1222" s="95">
        <v>511615.17200000002</v>
      </c>
      <c r="C1222" s="95">
        <v>4786687.3930000002</v>
      </c>
      <c r="D1222" s="95">
        <v>43.973999999999997</v>
      </c>
      <c r="E1222" s="91" t="s">
        <v>110</v>
      </c>
    </row>
    <row r="1223" spans="1:5" x14ac:dyDescent="0.25">
      <c r="A1223" s="94">
        <v>45973</v>
      </c>
      <c r="B1223" s="95">
        <v>511629.18400000001</v>
      </c>
      <c r="C1223" s="95">
        <v>4786680.0710000005</v>
      </c>
      <c r="D1223" s="95">
        <v>48.473999999999997</v>
      </c>
      <c r="E1223" s="91" t="s">
        <v>105</v>
      </c>
    </row>
    <row r="1224" spans="1:5" x14ac:dyDescent="0.25">
      <c r="A1224" s="94">
        <v>45973</v>
      </c>
      <c r="B1224" s="95">
        <v>511629.30800000002</v>
      </c>
      <c r="C1224" s="95">
        <v>4786680.0310000004</v>
      </c>
      <c r="D1224" s="95">
        <v>45.956000000000003</v>
      </c>
      <c r="E1224" s="91" t="s">
        <v>106</v>
      </c>
    </row>
    <row r="1225" spans="1:5" x14ac:dyDescent="0.25">
      <c r="A1225" s="94">
        <v>45973</v>
      </c>
      <c r="B1225" s="95">
        <v>511642.28399999999</v>
      </c>
      <c r="C1225" s="95">
        <v>4786673.13</v>
      </c>
      <c r="D1225" s="95">
        <v>48.454999999999998</v>
      </c>
      <c r="E1225" s="91" t="s">
        <v>107</v>
      </c>
    </row>
    <row r="1226" spans="1:5" x14ac:dyDescent="0.25">
      <c r="A1226" s="94">
        <v>45973</v>
      </c>
      <c r="B1226" s="95">
        <v>511642.43699999998</v>
      </c>
      <c r="C1226" s="95">
        <v>4786673.0180000002</v>
      </c>
      <c r="D1226" s="95">
        <v>45.95</v>
      </c>
      <c r="E1226" s="91" t="s">
        <v>108</v>
      </c>
    </row>
    <row r="1227" spans="1:5" x14ac:dyDescent="0.25">
      <c r="A1227" s="94">
        <v>45973</v>
      </c>
      <c r="B1227" s="95">
        <v>511642.46799999999</v>
      </c>
      <c r="C1227" s="95">
        <v>4786672.91</v>
      </c>
      <c r="D1227" s="95">
        <v>43.976999999999997</v>
      </c>
      <c r="E1227" s="91" t="s">
        <v>111</v>
      </c>
    </row>
    <row r="1228" spans="1:5" x14ac:dyDescent="0.25">
      <c r="A1228" s="94">
        <v>45974</v>
      </c>
      <c r="B1228" s="95">
        <v>511615.09899999999</v>
      </c>
      <c r="C1228" s="95">
        <v>4786687.9910000004</v>
      </c>
      <c r="D1228" s="95">
        <v>51.04</v>
      </c>
      <c r="E1228" s="91" t="s">
        <v>96</v>
      </c>
    </row>
    <row r="1229" spans="1:5" x14ac:dyDescent="0.25">
      <c r="A1229" s="94">
        <v>45974</v>
      </c>
      <c r="B1229" s="95">
        <v>511628.88400000002</v>
      </c>
      <c r="C1229" s="95">
        <v>4786680.6519999998</v>
      </c>
      <c r="D1229" s="95">
        <v>51.046999999999997</v>
      </c>
      <c r="E1229" s="91" t="s">
        <v>97</v>
      </c>
    </row>
    <row r="1230" spans="1:5" x14ac:dyDescent="0.25">
      <c r="A1230" s="94">
        <v>45974</v>
      </c>
      <c r="B1230" s="95">
        <v>511642.58500000002</v>
      </c>
      <c r="C1230" s="95">
        <v>4786673.3540000003</v>
      </c>
      <c r="D1230" s="95">
        <v>51.054000000000002</v>
      </c>
      <c r="E1230" s="91" t="s">
        <v>98</v>
      </c>
    </row>
    <row r="1231" spans="1:5" x14ac:dyDescent="0.25">
      <c r="A1231" s="94">
        <v>45974</v>
      </c>
      <c r="B1231" s="95">
        <v>511649.70299999998</v>
      </c>
      <c r="C1231" s="95">
        <v>4786682.1610000003</v>
      </c>
      <c r="D1231" s="95">
        <v>56.183999999999997</v>
      </c>
      <c r="E1231" s="91" t="s">
        <v>89</v>
      </c>
    </row>
    <row r="1232" spans="1:5" x14ac:dyDescent="0.25">
      <c r="A1232" s="94">
        <v>45974</v>
      </c>
      <c r="B1232" s="95">
        <v>511630.76299999998</v>
      </c>
      <c r="C1232" s="95">
        <v>4786689.8629999999</v>
      </c>
      <c r="D1232" s="95">
        <v>55.945999999999998</v>
      </c>
      <c r="E1232" s="91" t="s">
        <v>90</v>
      </c>
    </row>
    <row r="1233" spans="1:5" x14ac:dyDescent="0.25">
      <c r="A1233" s="94">
        <v>45974</v>
      </c>
      <c r="B1233" s="95">
        <v>511623.43400000001</v>
      </c>
      <c r="C1233" s="95">
        <v>4786694.0769999996</v>
      </c>
      <c r="D1233" s="95">
        <v>54.777000000000001</v>
      </c>
      <c r="E1233" s="91" t="s">
        <v>91</v>
      </c>
    </row>
    <row r="1234" spans="1:5" x14ac:dyDescent="0.25">
      <c r="A1234" s="94">
        <v>45974</v>
      </c>
      <c r="B1234" s="95">
        <v>511613.31699999998</v>
      </c>
      <c r="C1234" s="95">
        <v>4786695.3059999999</v>
      </c>
      <c r="D1234" s="95">
        <v>60.57</v>
      </c>
      <c r="E1234" s="91" t="s">
        <v>92</v>
      </c>
    </row>
    <row r="1235" spans="1:5" x14ac:dyDescent="0.25">
      <c r="A1235" s="94">
        <v>45974</v>
      </c>
      <c r="B1235" s="95">
        <v>511614.75199999998</v>
      </c>
      <c r="C1235" s="95">
        <v>4786712.5590000004</v>
      </c>
      <c r="D1235" s="95">
        <v>60.817</v>
      </c>
      <c r="E1235" s="91" t="s">
        <v>93</v>
      </c>
    </row>
    <row r="1236" spans="1:5" x14ac:dyDescent="0.25">
      <c r="A1236" s="94">
        <v>45974</v>
      </c>
      <c r="B1236" s="95">
        <v>511660.66399999999</v>
      </c>
      <c r="C1236" s="95">
        <v>4786683.4689999996</v>
      </c>
      <c r="D1236" s="95">
        <v>55.404000000000003</v>
      </c>
      <c r="E1236" s="91" t="s">
        <v>94</v>
      </c>
    </row>
    <row r="1237" spans="1:5" x14ac:dyDescent="0.25">
      <c r="A1237" s="94">
        <v>45974</v>
      </c>
      <c r="B1237" s="95">
        <v>511670.87400000001</v>
      </c>
      <c r="C1237" s="95">
        <v>4786685.9210000001</v>
      </c>
      <c r="D1237" s="95">
        <v>54.820999999999998</v>
      </c>
      <c r="E1237" s="91" t="s">
        <v>95</v>
      </c>
    </row>
    <row r="1238" spans="1:5" x14ac:dyDescent="0.25">
      <c r="A1238" s="94">
        <v>45974</v>
      </c>
      <c r="B1238" s="95">
        <v>511649.79599999997</v>
      </c>
      <c r="C1238" s="95">
        <v>4786669.5010000002</v>
      </c>
      <c r="D1238" s="95">
        <v>51.055999999999997</v>
      </c>
      <c r="E1238" s="91" t="s">
        <v>99</v>
      </c>
    </row>
    <row r="1239" spans="1:5" x14ac:dyDescent="0.25">
      <c r="A1239" s="94">
        <v>45974</v>
      </c>
      <c r="B1239" s="95">
        <v>511607.55200000003</v>
      </c>
      <c r="C1239" s="95">
        <v>4786691.9890000001</v>
      </c>
      <c r="D1239" s="95">
        <v>51.061999999999998</v>
      </c>
      <c r="E1239" s="91" t="s">
        <v>100</v>
      </c>
    </row>
    <row r="1240" spans="1:5" x14ac:dyDescent="0.25">
      <c r="A1240" s="94">
        <v>45974</v>
      </c>
      <c r="B1240" s="95">
        <v>511607.272</v>
      </c>
      <c r="C1240" s="95">
        <v>4786692.1770000001</v>
      </c>
      <c r="D1240" s="95">
        <v>51.063000000000002</v>
      </c>
      <c r="E1240" s="91" t="s">
        <v>101</v>
      </c>
    </row>
    <row r="1241" spans="1:5" x14ac:dyDescent="0.25">
      <c r="A1241" s="94">
        <v>45974</v>
      </c>
      <c r="B1241" s="95">
        <v>511601.11800000002</v>
      </c>
      <c r="C1241" s="95">
        <v>4786695.4249999998</v>
      </c>
      <c r="D1241" s="95">
        <v>51.042999999999999</v>
      </c>
      <c r="E1241" s="91" t="s">
        <v>102</v>
      </c>
    </row>
    <row r="1242" spans="1:5" x14ac:dyDescent="0.25">
      <c r="A1242" s="94">
        <v>45974</v>
      </c>
      <c r="B1242" s="95">
        <v>511615.25400000002</v>
      </c>
      <c r="C1242" s="95">
        <v>4786687.4390000002</v>
      </c>
      <c r="D1242" s="95">
        <v>48.460999999999999</v>
      </c>
      <c r="E1242" s="91" t="s">
        <v>103</v>
      </c>
    </row>
    <row r="1243" spans="1:5" x14ac:dyDescent="0.25">
      <c r="A1243" s="94">
        <v>45974</v>
      </c>
      <c r="B1243" s="95">
        <v>511615.22600000002</v>
      </c>
      <c r="C1243" s="95">
        <v>4786687.3609999996</v>
      </c>
      <c r="D1243" s="95">
        <v>45.954000000000001</v>
      </c>
      <c r="E1243" s="91" t="s">
        <v>104</v>
      </c>
    </row>
    <row r="1244" spans="1:5" x14ac:dyDescent="0.25">
      <c r="A1244" s="94">
        <v>45974</v>
      </c>
      <c r="B1244" s="95">
        <v>511615.17200000002</v>
      </c>
      <c r="C1244" s="95">
        <v>4786687.3930000002</v>
      </c>
      <c r="D1244" s="95">
        <v>43.973999999999997</v>
      </c>
      <c r="E1244" s="91" t="s">
        <v>110</v>
      </c>
    </row>
    <row r="1245" spans="1:5" x14ac:dyDescent="0.25">
      <c r="A1245" s="94">
        <v>45974</v>
      </c>
      <c r="B1245" s="95">
        <v>511629.18400000001</v>
      </c>
      <c r="C1245" s="95">
        <v>4786680.07</v>
      </c>
      <c r="D1245" s="95">
        <v>48.473999999999997</v>
      </c>
      <c r="E1245" s="91" t="s">
        <v>105</v>
      </c>
    </row>
    <row r="1246" spans="1:5" x14ac:dyDescent="0.25">
      <c r="A1246" s="94">
        <v>45974</v>
      </c>
      <c r="B1246" s="95">
        <v>511629.30599999998</v>
      </c>
      <c r="C1246" s="95">
        <v>4786680.03</v>
      </c>
      <c r="D1246" s="95">
        <v>45.956000000000003</v>
      </c>
      <c r="E1246" s="91" t="s">
        <v>106</v>
      </c>
    </row>
    <row r="1247" spans="1:5" x14ac:dyDescent="0.25">
      <c r="A1247" s="94">
        <v>45974</v>
      </c>
      <c r="B1247" s="95">
        <v>511642.28449999995</v>
      </c>
      <c r="C1247" s="95">
        <v>4786673.1284999996</v>
      </c>
      <c r="D1247" s="95">
        <v>48.452500000000001</v>
      </c>
      <c r="E1247" s="91" t="s">
        <v>107</v>
      </c>
    </row>
    <row r="1248" spans="1:5" x14ac:dyDescent="0.25">
      <c r="A1248" s="94">
        <v>45974</v>
      </c>
      <c r="B1248" s="95">
        <v>511642.467</v>
      </c>
      <c r="C1248" s="95">
        <v>4786672.91</v>
      </c>
      <c r="D1248" s="95">
        <v>43.976999999999997</v>
      </c>
      <c r="E1248" s="91" t="s">
        <v>111</v>
      </c>
    </row>
    <row r="1249" spans="1:5" x14ac:dyDescent="0.25">
      <c r="A1249" s="94">
        <v>45975</v>
      </c>
      <c r="B1249" s="95">
        <v>511615.1</v>
      </c>
      <c r="C1249" s="95">
        <v>4786687.9919999996</v>
      </c>
      <c r="D1249" s="95">
        <v>51.04</v>
      </c>
      <c r="E1249" s="91" t="s">
        <v>96</v>
      </c>
    </row>
    <row r="1250" spans="1:5" x14ac:dyDescent="0.25">
      <c r="A1250" s="94">
        <v>45975</v>
      </c>
      <c r="B1250" s="95">
        <v>511628.88199999998</v>
      </c>
      <c r="C1250" s="95">
        <v>4786680.6519999998</v>
      </c>
      <c r="D1250" s="95">
        <v>51.046999999999997</v>
      </c>
      <c r="E1250" s="91" t="s">
        <v>97</v>
      </c>
    </row>
    <row r="1251" spans="1:5" x14ac:dyDescent="0.25">
      <c r="A1251" s="94">
        <v>45975</v>
      </c>
      <c r="B1251" s="95">
        <v>511642.58500000002</v>
      </c>
      <c r="C1251" s="95">
        <v>4786673.3550000004</v>
      </c>
      <c r="D1251" s="95">
        <v>51.054000000000002</v>
      </c>
      <c r="E1251" s="91" t="s">
        <v>98</v>
      </c>
    </row>
    <row r="1252" spans="1:5" x14ac:dyDescent="0.25">
      <c r="A1252" s="94">
        <v>45975</v>
      </c>
      <c r="B1252" s="95">
        <v>511649.70299999998</v>
      </c>
      <c r="C1252" s="95">
        <v>4786682.1619999995</v>
      </c>
      <c r="D1252" s="95">
        <v>56.183999999999997</v>
      </c>
      <c r="E1252" s="91" t="s">
        <v>89</v>
      </c>
    </row>
    <row r="1253" spans="1:5" x14ac:dyDescent="0.25">
      <c r="A1253" s="94">
        <v>45975</v>
      </c>
      <c r="B1253" s="95">
        <v>511630.76299999998</v>
      </c>
      <c r="C1253" s="95">
        <v>4786689.8629999999</v>
      </c>
      <c r="D1253" s="95">
        <v>55.945999999999998</v>
      </c>
      <c r="E1253" s="91" t="s">
        <v>90</v>
      </c>
    </row>
    <row r="1254" spans="1:5" x14ac:dyDescent="0.25">
      <c r="A1254" s="94">
        <v>45975</v>
      </c>
      <c r="B1254" s="95">
        <v>511623.43300000002</v>
      </c>
      <c r="C1254" s="95">
        <v>4786694.0769999996</v>
      </c>
      <c r="D1254" s="95">
        <v>54.777999999999999</v>
      </c>
      <c r="E1254" s="91" t="s">
        <v>91</v>
      </c>
    </row>
    <row r="1255" spans="1:5" x14ac:dyDescent="0.25">
      <c r="A1255" s="94">
        <v>45975</v>
      </c>
      <c r="B1255" s="95">
        <v>511613.31699999998</v>
      </c>
      <c r="C1255" s="95">
        <v>4786695.307</v>
      </c>
      <c r="D1255" s="95">
        <v>60.57</v>
      </c>
      <c r="E1255" s="91" t="s">
        <v>92</v>
      </c>
    </row>
    <row r="1256" spans="1:5" x14ac:dyDescent="0.25">
      <c r="A1256" s="94">
        <v>45975</v>
      </c>
      <c r="B1256" s="95">
        <v>511614.75099999999</v>
      </c>
      <c r="C1256" s="95">
        <v>4786712.5590000004</v>
      </c>
      <c r="D1256" s="95">
        <v>60.816000000000003</v>
      </c>
      <c r="E1256" s="91" t="s">
        <v>93</v>
      </c>
    </row>
    <row r="1257" spans="1:5" x14ac:dyDescent="0.25">
      <c r="A1257" s="94">
        <v>45975</v>
      </c>
      <c r="B1257" s="95">
        <v>511660.66499999998</v>
      </c>
      <c r="C1257" s="95">
        <v>4786683.4689999996</v>
      </c>
      <c r="D1257" s="95">
        <v>55.402000000000001</v>
      </c>
      <c r="E1257" s="91" t="s">
        <v>94</v>
      </c>
    </row>
    <row r="1258" spans="1:5" x14ac:dyDescent="0.25">
      <c r="A1258" s="94">
        <v>45975</v>
      </c>
      <c r="B1258" s="95">
        <v>511670.87300000002</v>
      </c>
      <c r="C1258" s="95">
        <v>4786685.9210000001</v>
      </c>
      <c r="D1258" s="95">
        <v>54.820999999999998</v>
      </c>
      <c r="E1258" s="91" t="s">
        <v>95</v>
      </c>
    </row>
    <row r="1259" spans="1:5" x14ac:dyDescent="0.25">
      <c r="A1259" s="94">
        <v>45975</v>
      </c>
      <c r="B1259" s="95">
        <v>511649.79800000001</v>
      </c>
      <c r="C1259" s="95">
        <v>4786669.4960000003</v>
      </c>
      <c r="D1259" s="95">
        <v>51.058</v>
      </c>
      <c r="E1259" s="91" t="s">
        <v>99</v>
      </c>
    </row>
    <row r="1260" spans="1:5" x14ac:dyDescent="0.25">
      <c r="A1260" s="94">
        <v>45975</v>
      </c>
      <c r="B1260" s="95">
        <v>511607.54800000001</v>
      </c>
      <c r="C1260" s="95">
        <v>4786691.9929999998</v>
      </c>
      <c r="D1260" s="95">
        <v>51.064</v>
      </c>
      <c r="E1260" s="91" t="s">
        <v>100</v>
      </c>
    </row>
    <row r="1261" spans="1:5" x14ac:dyDescent="0.25">
      <c r="A1261" s="94">
        <v>45975</v>
      </c>
      <c r="B1261" s="95">
        <v>511607.26899999997</v>
      </c>
      <c r="C1261" s="95">
        <v>4786692.1809999999</v>
      </c>
      <c r="D1261" s="95">
        <v>51.063000000000002</v>
      </c>
      <c r="E1261" s="91" t="s">
        <v>101</v>
      </c>
    </row>
    <row r="1262" spans="1:5" x14ac:dyDescent="0.25">
      <c r="A1262" s="94">
        <v>45975</v>
      </c>
      <c r="B1262" s="95">
        <v>511601.11499999999</v>
      </c>
      <c r="C1262" s="95">
        <v>4786695.4280000003</v>
      </c>
      <c r="D1262" s="95">
        <v>51.045000000000002</v>
      </c>
      <c r="E1262" s="91" t="s">
        <v>102</v>
      </c>
    </row>
    <row r="1263" spans="1:5" x14ac:dyDescent="0.25">
      <c r="A1263" s="94">
        <v>45975</v>
      </c>
      <c r="B1263" s="95">
        <v>511615.25400000002</v>
      </c>
      <c r="C1263" s="95">
        <v>4786687.4380000001</v>
      </c>
      <c r="D1263" s="95">
        <v>48.457000000000001</v>
      </c>
      <c r="E1263" s="91" t="s">
        <v>103</v>
      </c>
    </row>
    <row r="1264" spans="1:5" x14ac:dyDescent="0.25">
      <c r="A1264" s="94">
        <v>45975</v>
      </c>
      <c r="B1264" s="95">
        <v>511615.22600000002</v>
      </c>
      <c r="C1264" s="95">
        <v>4786687.3609999996</v>
      </c>
      <c r="D1264" s="95">
        <v>45.948999999999998</v>
      </c>
      <c r="E1264" s="91" t="s">
        <v>104</v>
      </c>
    </row>
    <row r="1265" spans="1:5" x14ac:dyDescent="0.25">
      <c r="A1265" s="94">
        <v>45975</v>
      </c>
      <c r="B1265" s="95">
        <v>511615.17300000001</v>
      </c>
      <c r="C1265" s="95">
        <v>4786687.3940000003</v>
      </c>
      <c r="D1265" s="95">
        <v>43.973999999999997</v>
      </c>
      <c r="E1265" s="91" t="s">
        <v>110</v>
      </c>
    </row>
    <row r="1266" spans="1:5" x14ac:dyDescent="0.25">
      <c r="A1266" s="94">
        <v>45975</v>
      </c>
      <c r="B1266" s="95">
        <v>511629.18599999999</v>
      </c>
      <c r="C1266" s="95">
        <v>4786680.0669999998</v>
      </c>
      <c r="D1266" s="95">
        <v>48.472000000000001</v>
      </c>
      <c r="E1266" s="91" t="s">
        <v>105</v>
      </c>
    </row>
    <row r="1267" spans="1:5" x14ac:dyDescent="0.25">
      <c r="A1267" s="94">
        <v>45975</v>
      </c>
      <c r="B1267" s="95">
        <v>511629.30800000002</v>
      </c>
      <c r="C1267" s="95">
        <v>4786680.0290000001</v>
      </c>
      <c r="D1267" s="95">
        <v>45.953000000000003</v>
      </c>
      <c r="E1267" s="91" t="s">
        <v>106</v>
      </c>
    </row>
    <row r="1268" spans="1:5" x14ac:dyDescent="0.25">
      <c r="A1268" s="94">
        <v>45975</v>
      </c>
      <c r="B1268" s="95">
        <v>511642.27899999998</v>
      </c>
      <c r="C1268" s="95">
        <v>4786673.1279999996</v>
      </c>
      <c r="D1268" s="95">
        <v>48.454999999999998</v>
      </c>
      <c r="E1268" s="91" t="s">
        <v>107</v>
      </c>
    </row>
    <row r="1269" spans="1:5" x14ac:dyDescent="0.25">
      <c r="A1269" s="94">
        <v>45975</v>
      </c>
      <c r="B1269" s="95">
        <v>511642.44</v>
      </c>
      <c r="C1269" s="95">
        <v>4786673.0149999997</v>
      </c>
      <c r="D1269" s="95">
        <v>45.945</v>
      </c>
      <c r="E1269" s="91" t="s">
        <v>108</v>
      </c>
    </row>
    <row r="1270" spans="1:5" x14ac:dyDescent="0.25">
      <c r="A1270" s="94">
        <v>45975</v>
      </c>
      <c r="B1270" s="95">
        <v>511642.47</v>
      </c>
      <c r="C1270" s="95">
        <v>4786672.9110000003</v>
      </c>
      <c r="D1270" s="95">
        <v>43.976999999999997</v>
      </c>
      <c r="E1270" s="91" t="s">
        <v>111</v>
      </c>
    </row>
    <row r="1271" spans="1:5" x14ac:dyDescent="0.25">
      <c r="A1271" s="94">
        <v>45978</v>
      </c>
      <c r="B1271" s="95">
        <v>511615.09899999999</v>
      </c>
      <c r="C1271" s="95">
        <v>4786687.9910000004</v>
      </c>
      <c r="D1271" s="95">
        <v>51.037999999999997</v>
      </c>
      <c r="E1271" s="91" t="s">
        <v>96</v>
      </c>
    </row>
    <row r="1272" spans="1:5" x14ac:dyDescent="0.25">
      <c r="A1272" s="94">
        <v>45978</v>
      </c>
      <c r="B1272" s="95">
        <v>511628.88400000002</v>
      </c>
      <c r="C1272" s="95">
        <v>4786680.6529999999</v>
      </c>
      <c r="D1272" s="95">
        <v>51.045999999999999</v>
      </c>
      <c r="E1272" s="91" t="s">
        <v>97</v>
      </c>
    </row>
    <row r="1273" spans="1:5" x14ac:dyDescent="0.25">
      <c r="A1273" s="94">
        <v>45978</v>
      </c>
      <c r="B1273" s="95">
        <v>511642.58500000002</v>
      </c>
      <c r="C1273" s="95">
        <v>4786673.3550000004</v>
      </c>
      <c r="D1273" s="95">
        <v>51.052</v>
      </c>
      <c r="E1273" s="91" t="s">
        <v>98</v>
      </c>
    </row>
    <row r="1274" spans="1:5" x14ac:dyDescent="0.25">
      <c r="A1274" s="94">
        <v>45978</v>
      </c>
      <c r="B1274" s="95">
        <v>511649.70400000003</v>
      </c>
      <c r="C1274" s="95">
        <v>4786682.1629999997</v>
      </c>
      <c r="D1274" s="95">
        <v>56.183</v>
      </c>
      <c r="E1274" s="91" t="s">
        <v>89</v>
      </c>
    </row>
    <row r="1275" spans="1:5" x14ac:dyDescent="0.25">
      <c r="A1275" s="94">
        <v>45978</v>
      </c>
      <c r="B1275" s="95">
        <v>511630.76299999998</v>
      </c>
      <c r="C1275" s="95">
        <v>4786689.8640000001</v>
      </c>
      <c r="D1275" s="95">
        <v>55.944000000000003</v>
      </c>
      <c r="E1275" s="91" t="s">
        <v>90</v>
      </c>
    </row>
    <row r="1276" spans="1:5" x14ac:dyDescent="0.25">
      <c r="A1276" s="94">
        <v>45978</v>
      </c>
      <c r="B1276" s="95">
        <v>511623.435</v>
      </c>
      <c r="C1276" s="95">
        <v>4786694.0779999997</v>
      </c>
      <c r="D1276" s="95">
        <v>54.776000000000003</v>
      </c>
      <c r="E1276" s="91" t="s">
        <v>91</v>
      </c>
    </row>
    <row r="1277" spans="1:5" x14ac:dyDescent="0.25">
      <c r="A1277" s="94">
        <v>45978</v>
      </c>
      <c r="B1277" s="95">
        <v>511613.31800000003</v>
      </c>
      <c r="C1277" s="95">
        <v>4786695.3080000002</v>
      </c>
      <c r="D1277" s="95">
        <v>60.569000000000003</v>
      </c>
      <c r="E1277" s="91" t="s">
        <v>92</v>
      </c>
    </row>
    <row r="1278" spans="1:5" x14ac:dyDescent="0.25">
      <c r="A1278" s="94">
        <v>45978</v>
      </c>
      <c r="B1278" s="95">
        <v>511614.75300000003</v>
      </c>
      <c r="C1278" s="95">
        <v>4786712.5609999998</v>
      </c>
      <c r="D1278" s="95">
        <v>60.814999999999998</v>
      </c>
      <c r="E1278" s="91" t="s">
        <v>93</v>
      </c>
    </row>
    <row r="1279" spans="1:5" x14ac:dyDescent="0.25">
      <c r="A1279" s="94">
        <v>45978</v>
      </c>
      <c r="B1279" s="95">
        <v>511660.66499999998</v>
      </c>
      <c r="C1279" s="95">
        <v>4786683.4689999996</v>
      </c>
      <c r="D1279" s="95">
        <v>55.404000000000003</v>
      </c>
      <c r="E1279" s="91" t="s">
        <v>94</v>
      </c>
    </row>
    <row r="1280" spans="1:5" x14ac:dyDescent="0.25">
      <c r="A1280" s="94">
        <v>45978</v>
      </c>
      <c r="B1280" s="95">
        <v>511670.87300000002</v>
      </c>
      <c r="C1280" s="95">
        <v>4786685.9210000001</v>
      </c>
      <c r="D1280" s="95">
        <v>54.820999999999998</v>
      </c>
      <c r="E1280" s="91" t="s">
        <v>95</v>
      </c>
    </row>
    <row r="1281" spans="1:5" x14ac:dyDescent="0.25">
      <c r="A1281" s="94">
        <v>45978</v>
      </c>
      <c r="B1281" s="95">
        <v>511649.79599999997</v>
      </c>
      <c r="C1281" s="95">
        <v>4786669.5010000002</v>
      </c>
      <c r="D1281" s="95">
        <v>51.055999999999997</v>
      </c>
      <c r="E1281" s="91" t="s">
        <v>99</v>
      </c>
    </row>
    <row r="1282" spans="1:5" x14ac:dyDescent="0.25">
      <c r="A1282" s="94">
        <v>45978</v>
      </c>
      <c r="B1282" s="95">
        <v>511607.55300000001</v>
      </c>
      <c r="C1282" s="95">
        <v>4786691.99</v>
      </c>
      <c r="D1282" s="95">
        <v>51.061999999999998</v>
      </c>
      <c r="E1282" s="91" t="s">
        <v>100</v>
      </c>
    </row>
    <row r="1283" spans="1:5" x14ac:dyDescent="0.25">
      <c r="A1283" s="94">
        <v>45978</v>
      </c>
      <c r="B1283" s="95">
        <v>511607.272</v>
      </c>
      <c r="C1283" s="95">
        <v>4786692.1780000003</v>
      </c>
      <c r="D1283" s="95">
        <v>51.063000000000002</v>
      </c>
      <c r="E1283" s="91" t="s">
        <v>101</v>
      </c>
    </row>
    <row r="1284" spans="1:5" x14ac:dyDescent="0.25">
      <c r="A1284" s="94">
        <v>45978</v>
      </c>
      <c r="B1284" s="95">
        <v>511601.11800000002</v>
      </c>
      <c r="C1284" s="95">
        <v>4786695.4249999998</v>
      </c>
      <c r="D1284" s="95">
        <v>51.042999999999999</v>
      </c>
      <c r="E1284" s="91" t="s">
        <v>102</v>
      </c>
    </row>
    <row r="1285" spans="1:5" x14ac:dyDescent="0.25">
      <c r="A1285" s="94">
        <v>45978</v>
      </c>
      <c r="B1285" s="95">
        <v>511615.255</v>
      </c>
      <c r="C1285" s="95">
        <v>4786687.4400000004</v>
      </c>
      <c r="D1285" s="95">
        <v>48.460999999999999</v>
      </c>
      <c r="E1285" s="91" t="s">
        <v>103</v>
      </c>
    </row>
    <row r="1286" spans="1:5" x14ac:dyDescent="0.25">
      <c r="A1286" s="94">
        <v>45978</v>
      </c>
      <c r="B1286" s="95">
        <v>511615.23</v>
      </c>
      <c r="C1286" s="95">
        <v>4786687.3629999999</v>
      </c>
      <c r="D1286" s="95">
        <v>45.953000000000003</v>
      </c>
      <c r="E1286" s="91" t="s">
        <v>104</v>
      </c>
    </row>
    <row r="1287" spans="1:5" x14ac:dyDescent="0.25">
      <c r="A1287" s="94">
        <v>45978</v>
      </c>
      <c r="B1287" s="95">
        <v>511615.22700000001</v>
      </c>
      <c r="C1287" s="95">
        <v>4786687.3619999997</v>
      </c>
      <c r="D1287" s="95">
        <v>45.953000000000003</v>
      </c>
      <c r="E1287" s="91" t="s">
        <v>104</v>
      </c>
    </row>
    <row r="1288" spans="1:5" x14ac:dyDescent="0.25">
      <c r="A1288" s="94">
        <v>45978</v>
      </c>
      <c r="B1288" s="95">
        <v>511615.17499999999</v>
      </c>
      <c r="C1288" s="95">
        <v>4786687.392</v>
      </c>
      <c r="D1288" s="95">
        <v>43.972999999999999</v>
      </c>
      <c r="E1288" s="91" t="s">
        <v>110</v>
      </c>
    </row>
    <row r="1289" spans="1:5" x14ac:dyDescent="0.25">
      <c r="A1289" s="94">
        <v>45978</v>
      </c>
      <c r="B1289" s="95">
        <v>511629.18400000001</v>
      </c>
      <c r="C1289" s="95">
        <v>4786680.07</v>
      </c>
      <c r="D1289" s="95">
        <v>48.473999999999997</v>
      </c>
      <c r="E1289" s="91" t="s">
        <v>105</v>
      </c>
    </row>
    <row r="1290" spans="1:5" x14ac:dyDescent="0.25">
      <c r="A1290" s="94">
        <v>45978</v>
      </c>
      <c r="B1290" s="95">
        <v>511629.30800000002</v>
      </c>
      <c r="C1290" s="95">
        <v>4786680.0310000004</v>
      </c>
      <c r="D1290" s="95">
        <v>45.956000000000003</v>
      </c>
      <c r="E1290" s="91" t="s">
        <v>106</v>
      </c>
    </row>
    <row r="1291" spans="1:5" x14ac:dyDescent="0.25">
      <c r="A1291" s="94">
        <v>45978</v>
      </c>
      <c r="B1291" s="95">
        <v>511642.28499999997</v>
      </c>
      <c r="C1291" s="95">
        <v>4786673.13</v>
      </c>
      <c r="D1291" s="95">
        <v>48.454999999999998</v>
      </c>
      <c r="E1291" s="91" t="s">
        <v>107</v>
      </c>
    </row>
    <row r="1292" spans="1:5" x14ac:dyDescent="0.25">
      <c r="A1292" s="94">
        <v>45978</v>
      </c>
      <c r="B1292" s="95">
        <v>511642.43900000001</v>
      </c>
      <c r="C1292" s="95">
        <v>4786673.0180000002</v>
      </c>
      <c r="D1292" s="95">
        <v>45.95</v>
      </c>
      <c r="E1292" s="91" t="s">
        <v>108</v>
      </c>
    </row>
    <row r="1293" spans="1:5" x14ac:dyDescent="0.25">
      <c r="A1293" s="94">
        <v>45978</v>
      </c>
      <c r="B1293" s="95">
        <v>511642.47200000001</v>
      </c>
      <c r="C1293" s="95">
        <v>4786672.909</v>
      </c>
      <c r="D1293" s="95">
        <v>43.975000000000001</v>
      </c>
      <c r="E1293" s="91" t="s">
        <v>111</v>
      </c>
    </row>
    <row r="1294" spans="1:5" x14ac:dyDescent="0.25">
      <c r="A1294" s="94">
        <v>45979</v>
      </c>
      <c r="B1294" s="95">
        <v>511615.09899999999</v>
      </c>
      <c r="C1294" s="95">
        <v>4786687.9910000004</v>
      </c>
      <c r="D1294" s="95">
        <v>51.036999999999999</v>
      </c>
      <c r="E1294" s="91" t="s">
        <v>96</v>
      </c>
    </row>
    <row r="1295" spans="1:5" x14ac:dyDescent="0.25">
      <c r="A1295" s="94">
        <v>45979</v>
      </c>
      <c r="B1295" s="95">
        <v>511628.88400000002</v>
      </c>
      <c r="C1295" s="95">
        <v>4786680.6519999998</v>
      </c>
      <c r="D1295" s="95">
        <v>51.043999999999997</v>
      </c>
      <c r="E1295" s="91" t="s">
        <v>97</v>
      </c>
    </row>
    <row r="1296" spans="1:5" x14ac:dyDescent="0.25">
      <c r="A1296" s="94">
        <v>45979</v>
      </c>
      <c r="B1296" s="95">
        <v>511642.58399999997</v>
      </c>
      <c r="C1296" s="95">
        <v>4786673.3540000003</v>
      </c>
      <c r="D1296" s="95">
        <v>51.05</v>
      </c>
      <c r="E1296" s="91" t="s">
        <v>98</v>
      </c>
    </row>
    <row r="1297" spans="1:5" x14ac:dyDescent="0.25">
      <c r="A1297" s="94">
        <v>45979</v>
      </c>
      <c r="B1297" s="95">
        <v>511607.70299999998</v>
      </c>
      <c r="C1297" s="95">
        <v>4786691.4289999995</v>
      </c>
      <c r="D1297" s="95">
        <v>43.957000000000001</v>
      </c>
      <c r="E1297" s="91" t="s">
        <v>112</v>
      </c>
    </row>
    <row r="1298" spans="1:5" x14ac:dyDescent="0.25">
      <c r="A1298" s="94">
        <v>45979</v>
      </c>
      <c r="B1298" s="95">
        <v>511629.41800000001</v>
      </c>
      <c r="C1298" s="95">
        <v>4786679.9119999995</v>
      </c>
      <c r="D1298" s="95">
        <v>43.954000000000001</v>
      </c>
      <c r="E1298" s="91" t="s">
        <v>109</v>
      </c>
    </row>
    <row r="1299" spans="1:5" x14ac:dyDescent="0.25">
      <c r="A1299" s="94">
        <v>45979</v>
      </c>
      <c r="B1299" s="95">
        <v>511649.70400000003</v>
      </c>
      <c r="C1299" s="95">
        <v>4786682.1619999995</v>
      </c>
      <c r="D1299" s="95">
        <v>56.182000000000002</v>
      </c>
      <c r="E1299" s="91" t="s">
        <v>89</v>
      </c>
    </row>
    <row r="1300" spans="1:5" x14ac:dyDescent="0.25">
      <c r="A1300" s="94">
        <v>45979</v>
      </c>
      <c r="B1300" s="95">
        <v>511630.76400000002</v>
      </c>
      <c r="C1300" s="95">
        <v>4786689.8629999999</v>
      </c>
      <c r="D1300" s="95">
        <v>55.942999999999998</v>
      </c>
      <c r="E1300" s="91" t="s">
        <v>90</v>
      </c>
    </row>
    <row r="1301" spans="1:5" x14ac:dyDescent="0.25">
      <c r="A1301" s="94">
        <v>45979</v>
      </c>
      <c r="B1301" s="95">
        <v>511623.435</v>
      </c>
      <c r="C1301" s="95">
        <v>4786694.0769999996</v>
      </c>
      <c r="D1301" s="95">
        <v>54.774999999999999</v>
      </c>
      <c r="E1301" s="91" t="s">
        <v>91</v>
      </c>
    </row>
    <row r="1302" spans="1:5" x14ac:dyDescent="0.25">
      <c r="A1302" s="94">
        <v>45979</v>
      </c>
      <c r="B1302" s="95">
        <v>511613.31699999998</v>
      </c>
      <c r="C1302" s="95">
        <v>4786695.307</v>
      </c>
      <c r="D1302" s="95">
        <v>60.567</v>
      </c>
      <c r="E1302" s="91" t="s">
        <v>92</v>
      </c>
    </row>
    <row r="1303" spans="1:5" x14ac:dyDescent="0.25">
      <c r="A1303" s="94">
        <v>45979</v>
      </c>
      <c r="B1303" s="95">
        <v>511614.75400000002</v>
      </c>
      <c r="C1303" s="95">
        <v>4786712.5609999998</v>
      </c>
      <c r="D1303" s="95">
        <v>60.814</v>
      </c>
      <c r="E1303" s="91" t="s">
        <v>93</v>
      </c>
    </row>
    <row r="1304" spans="1:5" x14ac:dyDescent="0.25">
      <c r="A1304" s="94">
        <v>45979</v>
      </c>
      <c r="B1304" s="95">
        <v>511660.66499999998</v>
      </c>
      <c r="C1304" s="95">
        <v>4786683.4689999996</v>
      </c>
      <c r="D1304" s="95">
        <v>55.404000000000003</v>
      </c>
      <c r="E1304" s="91" t="s">
        <v>94</v>
      </c>
    </row>
    <row r="1305" spans="1:5" x14ac:dyDescent="0.25">
      <c r="A1305" s="94">
        <v>45979</v>
      </c>
      <c r="B1305" s="95">
        <v>511670.875</v>
      </c>
      <c r="C1305" s="95">
        <v>4786685.9220000003</v>
      </c>
      <c r="D1305" s="95">
        <v>54.820999999999998</v>
      </c>
      <c r="E1305" s="91" t="s">
        <v>95</v>
      </c>
    </row>
    <row r="1306" spans="1:5" x14ac:dyDescent="0.25">
      <c r="A1306" s="94">
        <v>45979</v>
      </c>
      <c r="B1306" s="95">
        <v>511649.79599999997</v>
      </c>
      <c r="C1306" s="95">
        <v>4786669.5010000002</v>
      </c>
      <c r="D1306" s="95">
        <v>51.055999999999997</v>
      </c>
      <c r="E1306" s="91" t="s">
        <v>99</v>
      </c>
    </row>
    <row r="1307" spans="1:5" x14ac:dyDescent="0.25">
      <c r="A1307" s="94">
        <v>45979</v>
      </c>
      <c r="B1307" s="95">
        <v>511607.55300000001</v>
      </c>
      <c r="C1307" s="95">
        <v>4786691.9910000004</v>
      </c>
      <c r="D1307" s="95">
        <v>51.061999999999998</v>
      </c>
      <c r="E1307" s="91" t="s">
        <v>100</v>
      </c>
    </row>
    <row r="1308" spans="1:5" x14ac:dyDescent="0.25">
      <c r="A1308" s="94">
        <v>45979</v>
      </c>
      <c r="B1308" s="95">
        <v>511607.272</v>
      </c>
      <c r="C1308" s="95">
        <v>4786692.1770000001</v>
      </c>
      <c r="D1308" s="95">
        <v>51.063000000000002</v>
      </c>
      <c r="E1308" s="91" t="s">
        <v>101</v>
      </c>
    </row>
    <row r="1309" spans="1:5" x14ac:dyDescent="0.25">
      <c r="A1309" s="94">
        <v>45979</v>
      </c>
      <c r="B1309" s="95">
        <v>511601.11800000002</v>
      </c>
      <c r="C1309" s="95">
        <v>4786695.4249999998</v>
      </c>
      <c r="D1309" s="95">
        <v>51.042999999999999</v>
      </c>
      <c r="E1309" s="91" t="s">
        <v>102</v>
      </c>
    </row>
    <row r="1310" spans="1:5" x14ac:dyDescent="0.25">
      <c r="A1310" s="94">
        <v>45979</v>
      </c>
      <c r="B1310" s="95">
        <v>511615.255</v>
      </c>
      <c r="C1310" s="95">
        <v>4786687.4390000002</v>
      </c>
      <c r="D1310" s="95">
        <v>48.454999999999998</v>
      </c>
      <c r="E1310" s="91" t="s">
        <v>103</v>
      </c>
    </row>
    <row r="1311" spans="1:5" x14ac:dyDescent="0.25">
      <c r="A1311" s="94">
        <v>45979</v>
      </c>
      <c r="B1311" s="95">
        <v>511615.22700000001</v>
      </c>
      <c r="C1311" s="95">
        <v>4786687.3609999996</v>
      </c>
      <c r="D1311" s="95">
        <v>45.945999999999998</v>
      </c>
      <c r="E1311" s="91" t="s">
        <v>104</v>
      </c>
    </row>
    <row r="1312" spans="1:5" x14ac:dyDescent="0.25">
      <c r="A1312" s="94">
        <v>45979</v>
      </c>
      <c r="B1312" s="95">
        <v>511615.17700000003</v>
      </c>
      <c r="C1312" s="95">
        <v>4786687.3899999997</v>
      </c>
      <c r="D1312" s="95">
        <v>43.972000000000001</v>
      </c>
      <c r="E1312" s="91" t="s">
        <v>110</v>
      </c>
    </row>
    <row r="1313" spans="1:5" x14ac:dyDescent="0.25">
      <c r="A1313" s="94">
        <v>45979</v>
      </c>
      <c r="B1313" s="95">
        <v>511629.18699999998</v>
      </c>
      <c r="C1313" s="95">
        <v>4786680.068</v>
      </c>
      <c r="D1313" s="95">
        <v>48.469000000000001</v>
      </c>
      <c r="E1313" s="91" t="s">
        <v>105</v>
      </c>
    </row>
    <row r="1314" spans="1:5" x14ac:dyDescent="0.25">
      <c r="A1314" s="94">
        <v>45979</v>
      </c>
      <c r="B1314" s="95">
        <v>511629.30800000002</v>
      </c>
      <c r="C1314" s="95">
        <v>4786680.0290000001</v>
      </c>
      <c r="D1314" s="95">
        <v>45.951000000000001</v>
      </c>
      <c r="E1314" s="91" t="s">
        <v>106</v>
      </c>
    </row>
    <row r="1315" spans="1:5" x14ac:dyDescent="0.25">
      <c r="A1315" s="94">
        <v>45979</v>
      </c>
      <c r="B1315" s="95">
        <v>511642.28600000002</v>
      </c>
      <c r="C1315" s="95">
        <v>4786673.1270000003</v>
      </c>
      <c r="D1315" s="95">
        <v>48.447000000000003</v>
      </c>
      <c r="E1315" s="91" t="s">
        <v>107</v>
      </c>
    </row>
    <row r="1316" spans="1:5" x14ac:dyDescent="0.25">
      <c r="A1316" s="94">
        <v>45979</v>
      </c>
      <c r="B1316" s="95">
        <v>511642.44</v>
      </c>
      <c r="C1316" s="95">
        <v>4786673.0140000004</v>
      </c>
      <c r="D1316" s="95">
        <v>45.942999999999998</v>
      </c>
      <c r="E1316" s="91" t="s">
        <v>108</v>
      </c>
    </row>
    <row r="1317" spans="1:5" x14ac:dyDescent="0.25">
      <c r="A1317" s="94">
        <v>45979</v>
      </c>
      <c r="B1317" s="95">
        <v>511642.473</v>
      </c>
      <c r="C1317" s="95">
        <v>4786672.9069999997</v>
      </c>
      <c r="D1317" s="95">
        <v>43.975000000000001</v>
      </c>
      <c r="E1317" s="91" t="s">
        <v>111</v>
      </c>
    </row>
    <row r="1318" spans="1:5" x14ac:dyDescent="0.25">
      <c r="A1318" s="94">
        <v>45979</v>
      </c>
      <c r="B1318" s="95">
        <v>511649.13099999999</v>
      </c>
      <c r="C1318" s="95">
        <v>4786669.4060000004</v>
      </c>
      <c r="D1318" s="95">
        <v>43.956000000000003</v>
      </c>
      <c r="E1318" s="91" t="s">
        <v>113</v>
      </c>
    </row>
    <row r="1319" spans="1:5" x14ac:dyDescent="0.25">
      <c r="A1319" s="94">
        <v>45980</v>
      </c>
      <c r="B1319" s="95">
        <v>511615.1</v>
      </c>
      <c r="C1319" s="95">
        <v>4786687.9910000004</v>
      </c>
      <c r="D1319" s="95">
        <v>51.037999999999997</v>
      </c>
      <c r="E1319" s="91" t="s">
        <v>96</v>
      </c>
    </row>
    <row r="1320" spans="1:5" x14ac:dyDescent="0.25">
      <c r="A1320" s="94">
        <v>45980</v>
      </c>
      <c r="B1320" s="95">
        <v>511628.88500000001</v>
      </c>
      <c r="C1320" s="95">
        <v>4786680.6519999998</v>
      </c>
      <c r="D1320" s="95">
        <v>51.045000000000002</v>
      </c>
      <c r="E1320" s="91" t="s">
        <v>97</v>
      </c>
    </row>
    <row r="1321" spans="1:5" x14ac:dyDescent="0.25">
      <c r="A1321" s="94">
        <v>45980</v>
      </c>
      <c r="B1321" s="95">
        <v>511642.58500000002</v>
      </c>
      <c r="C1321" s="95">
        <v>4786673.3540000003</v>
      </c>
      <c r="D1321" s="95">
        <v>51.051000000000002</v>
      </c>
      <c r="E1321" s="91" t="s">
        <v>98</v>
      </c>
    </row>
    <row r="1322" spans="1:5" x14ac:dyDescent="0.25">
      <c r="A1322" s="94">
        <v>45980</v>
      </c>
      <c r="B1322" s="95">
        <v>511607.70199999999</v>
      </c>
      <c r="C1322" s="95">
        <v>4786691.4309999999</v>
      </c>
      <c r="D1322" s="95">
        <v>43.957000000000001</v>
      </c>
      <c r="E1322" s="91" t="s">
        <v>112</v>
      </c>
    </row>
    <row r="1323" spans="1:5" x14ac:dyDescent="0.25">
      <c r="A1323" s="94">
        <v>45980</v>
      </c>
      <c r="B1323" s="95">
        <v>511629.41800000001</v>
      </c>
      <c r="C1323" s="95">
        <v>4786679.9139999999</v>
      </c>
      <c r="D1323" s="95">
        <v>43.954000000000001</v>
      </c>
      <c r="E1323" s="91" t="s">
        <v>109</v>
      </c>
    </row>
    <row r="1324" spans="1:5" x14ac:dyDescent="0.25">
      <c r="A1324" s="94">
        <v>45980</v>
      </c>
      <c r="B1324" s="95">
        <v>511649.70500000002</v>
      </c>
      <c r="C1324" s="95">
        <v>4786682.1619999995</v>
      </c>
      <c r="D1324" s="95">
        <v>56.182000000000002</v>
      </c>
      <c r="E1324" s="91" t="s">
        <v>89</v>
      </c>
    </row>
    <row r="1325" spans="1:5" x14ac:dyDescent="0.25">
      <c r="A1325" s="94">
        <v>45980</v>
      </c>
      <c r="B1325" s="95">
        <v>511630.76400000002</v>
      </c>
      <c r="C1325" s="95">
        <v>4786689.8640000001</v>
      </c>
      <c r="D1325" s="95">
        <v>55.944000000000003</v>
      </c>
      <c r="E1325" s="91" t="s">
        <v>90</v>
      </c>
    </row>
    <row r="1326" spans="1:5" x14ac:dyDescent="0.25">
      <c r="A1326" s="94">
        <v>45980</v>
      </c>
      <c r="B1326" s="95">
        <v>511623.435</v>
      </c>
      <c r="C1326" s="95">
        <v>4786694.0779999997</v>
      </c>
      <c r="D1326" s="95">
        <v>54.776000000000003</v>
      </c>
      <c r="E1326" s="91" t="s">
        <v>91</v>
      </c>
    </row>
    <row r="1327" spans="1:5" x14ac:dyDescent="0.25">
      <c r="A1327" s="94">
        <v>45980</v>
      </c>
      <c r="B1327" s="95">
        <v>511613.31699999998</v>
      </c>
      <c r="C1327" s="95">
        <v>4786695.3059999999</v>
      </c>
      <c r="D1327" s="95">
        <v>60.567</v>
      </c>
      <c r="E1327" s="91" t="s">
        <v>92</v>
      </c>
    </row>
    <row r="1328" spans="1:5" x14ac:dyDescent="0.25">
      <c r="A1328" s="94">
        <v>45980</v>
      </c>
      <c r="B1328" s="95">
        <v>511614.75400000002</v>
      </c>
      <c r="C1328" s="95">
        <v>4786712.5599999996</v>
      </c>
      <c r="D1328" s="95">
        <v>60.814</v>
      </c>
      <c r="E1328" s="91" t="s">
        <v>93</v>
      </c>
    </row>
    <row r="1329" spans="1:5" x14ac:dyDescent="0.25">
      <c r="A1329" s="94">
        <v>45980</v>
      </c>
      <c r="B1329" s="95">
        <v>511660.66600000003</v>
      </c>
      <c r="C1329" s="95">
        <v>4786683.47</v>
      </c>
      <c r="D1329" s="95">
        <v>55.404000000000003</v>
      </c>
      <c r="E1329" s="91" t="s">
        <v>94</v>
      </c>
    </row>
    <row r="1330" spans="1:5" x14ac:dyDescent="0.25">
      <c r="A1330" s="94">
        <v>45980</v>
      </c>
      <c r="B1330" s="95">
        <v>511670.87599999999</v>
      </c>
      <c r="C1330" s="95">
        <v>4786685.9220000003</v>
      </c>
      <c r="D1330" s="95">
        <v>54.820999999999998</v>
      </c>
      <c r="E1330" s="91" t="s">
        <v>95</v>
      </c>
    </row>
    <row r="1331" spans="1:5" x14ac:dyDescent="0.25">
      <c r="A1331" s="94">
        <v>45980</v>
      </c>
      <c r="B1331" s="95">
        <v>511649.79800000001</v>
      </c>
      <c r="C1331" s="95">
        <v>4786669.5010000002</v>
      </c>
      <c r="D1331" s="95">
        <v>51.055999999999997</v>
      </c>
      <c r="E1331" s="91" t="s">
        <v>99</v>
      </c>
    </row>
    <row r="1332" spans="1:5" x14ac:dyDescent="0.25">
      <c r="A1332" s="94">
        <v>45980</v>
      </c>
      <c r="B1332" s="95">
        <v>511607.55300000001</v>
      </c>
      <c r="C1332" s="95">
        <v>4786691.9910000004</v>
      </c>
      <c r="D1332" s="95">
        <v>51.061999999999998</v>
      </c>
      <c r="E1332" s="91" t="s">
        <v>100</v>
      </c>
    </row>
    <row r="1333" spans="1:5" x14ac:dyDescent="0.25">
      <c r="A1333" s="94">
        <v>45980</v>
      </c>
      <c r="B1333" s="95">
        <v>511607.27299999999</v>
      </c>
      <c r="C1333" s="95">
        <v>4786692.1780000003</v>
      </c>
      <c r="D1333" s="95">
        <v>51.063000000000002</v>
      </c>
      <c r="E1333" s="91" t="s">
        <v>101</v>
      </c>
    </row>
    <row r="1334" spans="1:5" x14ac:dyDescent="0.25">
      <c r="A1334" s="94">
        <v>45980</v>
      </c>
      <c r="B1334" s="95">
        <v>511601.11599999998</v>
      </c>
      <c r="C1334" s="95">
        <v>4786695.4280000003</v>
      </c>
      <c r="D1334" s="95">
        <v>51.042000000000002</v>
      </c>
      <c r="E1334" s="91" t="s">
        <v>102</v>
      </c>
    </row>
    <row r="1335" spans="1:5" x14ac:dyDescent="0.25">
      <c r="A1335" s="94">
        <v>45980</v>
      </c>
      <c r="B1335" s="95">
        <v>511615.25599999999</v>
      </c>
      <c r="C1335" s="95">
        <v>4786687.4380000001</v>
      </c>
      <c r="D1335" s="95">
        <v>48.454999999999998</v>
      </c>
      <c r="E1335" s="91" t="s">
        <v>103</v>
      </c>
    </row>
    <row r="1336" spans="1:5" x14ac:dyDescent="0.25">
      <c r="A1336" s="94">
        <v>45980</v>
      </c>
      <c r="B1336" s="95">
        <v>511615.22700000001</v>
      </c>
      <c r="C1336" s="95">
        <v>4786687.3609999996</v>
      </c>
      <c r="D1336" s="95">
        <v>45.947000000000003</v>
      </c>
      <c r="E1336" s="91" t="s">
        <v>104</v>
      </c>
    </row>
    <row r="1337" spans="1:5" x14ac:dyDescent="0.25">
      <c r="A1337" s="94">
        <v>45980</v>
      </c>
      <c r="B1337" s="95">
        <v>511615.17700000003</v>
      </c>
      <c r="C1337" s="95">
        <v>4786687.392</v>
      </c>
      <c r="D1337" s="95">
        <v>43.972000000000001</v>
      </c>
      <c r="E1337" s="91" t="s">
        <v>110</v>
      </c>
    </row>
    <row r="1338" spans="1:5" x14ac:dyDescent="0.25">
      <c r="A1338" s="94">
        <v>45980</v>
      </c>
      <c r="B1338" s="95">
        <v>511629.18699999998</v>
      </c>
      <c r="C1338" s="95">
        <v>4786680.0669999998</v>
      </c>
      <c r="D1338" s="95">
        <v>48.469000000000001</v>
      </c>
      <c r="E1338" s="91" t="s">
        <v>105</v>
      </c>
    </row>
    <row r="1339" spans="1:5" x14ac:dyDescent="0.25">
      <c r="A1339" s="94">
        <v>45980</v>
      </c>
      <c r="B1339" s="95">
        <v>511629.30900000001</v>
      </c>
      <c r="C1339" s="95">
        <v>4786680.0290000001</v>
      </c>
      <c r="D1339" s="95">
        <v>45.95</v>
      </c>
      <c r="E1339" s="91" t="s">
        <v>106</v>
      </c>
    </row>
    <row r="1340" spans="1:5" x14ac:dyDescent="0.25">
      <c r="A1340" s="94">
        <v>45980</v>
      </c>
      <c r="B1340" s="95">
        <v>511642.28600000002</v>
      </c>
      <c r="C1340" s="95">
        <v>4786673.1270000003</v>
      </c>
      <c r="D1340" s="95">
        <v>48.447000000000003</v>
      </c>
      <c r="E1340" s="91" t="s">
        <v>107</v>
      </c>
    </row>
    <row r="1341" spans="1:5" x14ac:dyDescent="0.25">
      <c r="A1341" s="94">
        <v>45980</v>
      </c>
      <c r="B1341" s="95">
        <v>511642.44</v>
      </c>
      <c r="C1341" s="95">
        <v>4786673.0149999997</v>
      </c>
      <c r="D1341" s="95">
        <v>45.942999999999998</v>
      </c>
      <c r="E1341" s="91" t="s">
        <v>108</v>
      </c>
    </row>
    <row r="1342" spans="1:5" x14ac:dyDescent="0.25">
      <c r="A1342" s="94">
        <v>45980</v>
      </c>
      <c r="B1342" s="95">
        <v>511642.473</v>
      </c>
      <c r="C1342" s="95">
        <v>4786672.909</v>
      </c>
      <c r="D1342" s="95">
        <v>43.973999999999997</v>
      </c>
      <c r="E1342" s="91" t="s">
        <v>111</v>
      </c>
    </row>
    <row r="1343" spans="1:5" x14ac:dyDescent="0.25">
      <c r="A1343" s="94">
        <v>45980</v>
      </c>
      <c r="B1343" s="95">
        <v>511649.13099999999</v>
      </c>
      <c r="C1343" s="95">
        <v>4786669.4069999997</v>
      </c>
      <c r="D1343" s="95">
        <v>43.954999999999998</v>
      </c>
      <c r="E1343" s="91" t="s">
        <v>113</v>
      </c>
    </row>
    <row r="1344" spans="1:5" x14ac:dyDescent="0.25">
      <c r="A1344" s="94">
        <v>45981</v>
      </c>
      <c r="B1344" s="95">
        <v>511615.1</v>
      </c>
      <c r="C1344" s="95">
        <v>4786687.9910000004</v>
      </c>
      <c r="D1344" s="95">
        <v>51.036999999999999</v>
      </c>
      <c r="E1344" s="91" t="s">
        <v>96</v>
      </c>
    </row>
    <row r="1345" spans="1:5" x14ac:dyDescent="0.25">
      <c r="A1345" s="94">
        <v>45981</v>
      </c>
      <c r="B1345" s="95">
        <v>511628.88400000002</v>
      </c>
      <c r="C1345" s="95">
        <v>4786680.6519999998</v>
      </c>
      <c r="D1345" s="95">
        <v>51.043999999999997</v>
      </c>
      <c r="E1345" s="91" t="s">
        <v>97</v>
      </c>
    </row>
    <row r="1346" spans="1:5" x14ac:dyDescent="0.25">
      <c r="A1346" s="94">
        <v>45981</v>
      </c>
      <c r="B1346" s="95">
        <v>511642.58500000002</v>
      </c>
      <c r="C1346" s="95">
        <v>4786673.3550000004</v>
      </c>
      <c r="D1346" s="95">
        <v>51.05</v>
      </c>
      <c r="E1346" s="91" t="s">
        <v>98</v>
      </c>
    </row>
    <row r="1347" spans="1:5" x14ac:dyDescent="0.25">
      <c r="A1347" s="94">
        <v>45981</v>
      </c>
      <c r="B1347" s="95">
        <v>511607.70600000001</v>
      </c>
      <c r="C1347" s="95">
        <v>4786691.43</v>
      </c>
      <c r="D1347" s="95">
        <v>43.957000000000001</v>
      </c>
      <c r="E1347" s="91" t="s">
        <v>112</v>
      </c>
    </row>
    <row r="1348" spans="1:5" x14ac:dyDescent="0.25">
      <c r="A1348" s="94">
        <v>45981</v>
      </c>
      <c r="B1348" s="95">
        <v>511629.42</v>
      </c>
      <c r="C1348" s="95">
        <v>4786679.9110000003</v>
      </c>
      <c r="D1348" s="95">
        <v>43.954999999999998</v>
      </c>
      <c r="E1348" s="91" t="s">
        <v>109</v>
      </c>
    </row>
    <row r="1349" spans="1:5" x14ac:dyDescent="0.25">
      <c r="A1349" s="94">
        <v>45981</v>
      </c>
      <c r="B1349" s="95">
        <v>511649.70500000002</v>
      </c>
      <c r="C1349" s="95">
        <v>4786682.1629999997</v>
      </c>
      <c r="D1349" s="95">
        <v>56.180999999999997</v>
      </c>
      <c r="E1349" s="91" t="s">
        <v>89</v>
      </c>
    </row>
    <row r="1350" spans="1:5" x14ac:dyDescent="0.25">
      <c r="A1350" s="94">
        <v>45981</v>
      </c>
      <c r="B1350" s="95">
        <v>511630.76400000002</v>
      </c>
      <c r="C1350" s="95">
        <v>4786689.8640000001</v>
      </c>
      <c r="D1350" s="95">
        <v>55.942999999999998</v>
      </c>
      <c r="E1350" s="91" t="s">
        <v>90</v>
      </c>
    </row>
    <row r="1351" spans="1:5" x14ac:dyDescent="0.25">
      <c r="A1351" s="94">
        <v>45981</v>
      </c>
      <c r="B1351" s="95">
        <v>511623.43400000001</v>
      </c>
      <c r="C1351" s="95">
        <v>4786694.0779999997</v>
      </c>
      <c r="D1351" s="95">
        <v>54.774999999999999</v>
      </c>
      <c r="E1351" s="91" t="s">
        <v>91</v>
      </c>
    </row>
    <row r="1352" spans="1:5" x14ac:dyDescent="0.25">
      <c r="A1352" s="94">
        <v>45981</v>
      </c>
      <c r="B1352" s="95">
        <v>511613.31800000003</v>
      </c>
      <c r="C1352" s="95">
        <v>4786695.307</v>
      </c>
      <c r="D1352" s="95">
        <v>60.567</v>
      </c>
      <c r="E1352" s="91" t="s">
        <v>92</v>
      </c>
    </row>
    <row r="1353" spans="1:5" x14ac:dyDescent="0.25">
      <c r="A1353" s="94">
        <v>45981</v>
      </c>
      <c r="B1353" s="95">
        <v>511614.75300000003</v>
      </c>
      <c r="C1353" s="95">
        <v>4786712.5609999998</v>
      </c>
      <c r="D1353" s="95">
        <v>60.813000000000002</v>
      </c>
      <c r="E1353" s="91" t="s">
        <v>93</v>
      </c>
    </row>
    <row r="1354" spans="1:5" x14ac:dyDescent="0.25">
      <c r="A1354" s="94">
        <v>45981</v>
      </c>
      <c r="B1354" s="95">
        <v>511660.66700000002</v>
      </c>
      <c r="C1354" s="95">
        <v>4786683.47</v>
      </c>
      <c r="D1354" s="95">
        <v>55.404000000000003</v>
      </c>
      <c r="E1354" s="91" t="s">
        <v>94</v>
      </c>
    </row>
    <row r="1355" spans="1:5" x14ac:dyDescent="0.25">
      <c r="A1355" s="94">
        <v>45981</v>
      </c>
      <c r="B1355" s="95">
        <v>511670.87699999998</v>
      </c>
      <c r="C1355" s="95">
        <v>4786685.9220000003</v>
      </c>
      <c r="D1355" s="95">
        <v>54.820999999999998</v>
      </c>
      <c r="E1355" s="91" t="s">
        <v>95</v>
      </c>
    </row>
    <row r="1356" spans="1:5" x14ac:dyDescent="0.25">
      <c r="A1356" s="94">
        <v>45981</v>
      </c>
      <c r="B1356" s="95">
        <v>511649.799</v>
      </c>
      <c r="C1356" s="95">
        <v>4786669.5010000002</v>
      </c>
      <c r="D1356" s="95">
        <v>51.057000000000002</v>
      </c>
      <c r="E1356" s="91" t="s">
        <v>99</v>
      </c>
    </row>
    <row r="1357" spans="1:5" x14ac:dyDescent="0.25">
      <c r="A1357" s="94">
        <v>45981</v>
      </c>
      <c r="B1357" s="95">
        <v>511607.554</v>
      </c>
      <c r="C1357" s="95">
        <v>4786691.9910000004</v>
      </c>
      <c r="D1357" s="95">
        <v>51.061999999999998</v>
      </c>
      <c r="E1357" s="91" t="s">
        <v>100</v>
      </c>
    </row>
    <row r="1358" spans="1:5" x14ac:dyDescent="0.25">
      <c r="A1358" s="94">
        <v>45981</v>
      </c>
      <c r="B1358" s="95">
        <v>511607.27299999999</v>
      </c>
      <c r="C1358" s="95">
        <v>4786692.1789999995</v>
      </c>
      <c r="D1358" s="95">
        <v>51.063000000000002</v>
      </c>
      <c r="E1358" s="91" t="s">
        <v>101</v>
      </c>
    </row>
    <row r="1359" spans="1:5" x14ac:dyDescent="0.25">
      <c r="A1359" s="94">
        <v>45981</v>
      </c>
      <c r="B1359" s="95">
        <v>511601.11900000001</v>
      </c>
      <c r="C1359" s="95">
        <v>4786695.4270000001</v>
      </c>
      <c r="D1359" s="95">
        <v>51.042999999999999</v>
      </c>
      <c r="E1359" s="91" t="s">
        <v>102</v>
      </c>
    </row>
    <row r="1360" spans="1:5" x14ac:dyDescent="0.25">
      <c r="A1360" s="94">
        <v>45981</v>
      </c>
      <c r="B1360" s="95">
        <v>511615.255</v>
      </c>
      <c r="C1360" s="95">
        <v>4786687.4400000004</v>
      </c>
      <c r="D1360" s="95">
        <v>48.460999999999999</v>
      </c>
      <c r="E1360" s="91" t="s">
        <v>103</v>
      </c>
    </row>
    <row r="1361" spans="1:5" x14ac:dyDescent="0.25">
      <c r="A1361" s="94">
        <v>45981</v>
      </c>
      <c r="B1361" s="95">
        <v>511615.228</v>
      </c>
      <c r="C1361" s="95">
        <v>4786687.3619999997</v>
      </c>
      <c r="D1361" s="95">
        <v>45.953000000000003</v>
      </c>
      <c r="E1361" s="91" t="s">
        <v>104</v>
      </c>
    </row>
    <row r="1362" spans="1:5" x14ac:dyDescent="0.25">
      <c r="A1362" s="94">
        <v>45981</v>
      </c>
      <c r="B1362" s="95">
        <v>511615.18</v>
      </c>
      <c r="C1362" s="95">
        <v>4786687.3890000004</v>
      </c>
      <c r="D1362" s="95">
        <v>43.972000000000001</v>
      </c>
      <c r="E1362" s="91" t="s">
        <v>110</v>
      </c>
    </row>
    <row r="1363" spans="1:5" x14ac:dyDescent="0.25">
      <c r="A1363" s="94">
        <v>45981</v>
      </c>
      <c r="B1363" s="95">
        <v>511629.18599999999</v>
      </c>
      <c r="C1363" s="95">
        <v>4786680.0710000005</v>
      </c>
      <c r="D1363" s="95">
        <v>48.472999999999999</v>
      </c>
      <c r="E1363" s="91" t="s">
        <v>105</v>
      </c>
    </row>
    <row r="1364" spans="1:5" x14ac:dyDescent="0.25">
      <c r="A1364" s="94">
        <v>45981</v>
      </c>
      <c r="B1364" s="95">
        <v>511629.30900000001</v>
      </c>
      <c r="C1364" s="95">
        <v>4786680.0319999997</v>
      </c>
      <c r="D1364" s="95">
        <v>45.954999999999998</v>
      </c>
      <c r="E1364" s="91" t="s">
        <v>106</v>
      </c>
    </row>
    <row r="1365" spans="1:5" x14ac:dyDescent="0.25">
      <c r="A1365" s="94">
        <v>45981</v>
      </c>
      <c r="B1365" s="95">
        <v>511642.28600000002</v>
      </c>
      <c r="C1365" s="95">
        <v>4786673.13</v>
      </c>
      <c r="D1365" s="95">
        <v>48.454999999999998</v>
      </c>
      <c r="E1365" s="91" t="s">
        <v>107</v>
      </c>
    </row>
    <row r="1366" spans="1:5" x14ac:dyDescent="0.25">
      <c r="A1366" s="94">
        <v>45981</v>
      </c>
      <c r="B1366" s="95">
        <v>511642.44</v>
      </c>
      <c r="C1366" s="95">
        <v>4786673.0180000002</v>
      </c>
      <c r="D1366" s="95">
        <v>45.95</v>
      </c>
      <c r="E1366" s="91" t="s">
        <v>108</v>
      </c>
    </row>
    <row r="1367" spans="1:5" x14ac:dyDescent="0.25">
      <c r="A1367" s="94">
        <v>45981</v>
      </c>
      <c r="B1367" s="95">
        <v>511642.47600000002</v>
      </c>
      <c r="C1367" s="95">
        <v>4786672.9050000003</v>
      </c>
      <c r="D1367" s="95">
        <v>43.973999999999997</v>
      </c>
      <c r="E1367" s="91" t="s">
        <v>111</v>
      </c>
    </row>
    <row r="1368" spans="1:5" x14ac:dyDescent="0.25">
      <c r="A1368" s="94">
        <v>45981</v>
      </c>
      <c r="B1368" s="95">
        <v>511649.13500000001</v>
      </c>
      <c r="C1368" s="95">
        <v>4786669.4040000001</v>
      </c>
      <c r="D1368" s="95">
        <v>43.954999999999998</v>
      </c>
      <c r="E1368" s="91" t="s">
        <v>113</v>
      </c>
    </row>
    <row r="1369" spans="1:5" x14ac:dyDescent="0.25">
      <c r="A1369" s="94">
        <v>45982</v>
      </c>
      <c r="B1369" s="95">
        <v>511615.09899999999</v>
      </c>
      <c r="C1369" s="95">
        <v>4786687.9910000004</v>
      </c>
      <c r="D1369" s="95">
        <v>51.037999999999997</v>
      </c>
      <c r="E1369" s="91" t="s">
        <v>96</v>
      </c>
    </row>
    <row r="1370" spans="1:5" x14ac:dyDescent="0.25">
      <c r="A1370" s="94">
        <v>45982</v>
      </c>
      <c r="B1370" s="95">
        <v>511628.88199999998</v>
      </c>
      <c r="C1370" s="95">
        <v>4786680.6519999998</v>
      </c>
      <c r="D1370" s="95">
        <v>51.043999999999997</v>
      </c>
      <c r="E1370" s="91" t="s">
        <v>97</v>
      </c>
    </row>
    <row r="1371" spans="1:5" x14ac:dyDescent="0.25">
      <c r="A1371" s="94">
        <v>45982</v>
      </c>
      <c r="B1371" s="95">
        <v>511642.58299999998</v>
      </c>
      <c r="C1371" s="95">
        <v>4786673.3540000003</v>
      </c>
      <c r="D1371" s="95">
        <v>51.052</v>
      </c>
      <c r="E1371" s="91" t="s">
        <v>98</v>
      </c>
    </row>
    <row r="1372" spans="1:5" x14ac:dyDescent="0.25">
      <c r="A1372" s="94">
        <v>45982</v>
      </c>
      <c r="B1372" s="95">
        <v>511607.70600000001</v>
      </c>
      <c r="C1372" s="95">
        <v>4786691.43</v>
      </c>
      <c r="D1372" s="95">
        <v>43.957000000000001</v>
      </c>
      <c r="E1372" s="91" t="s">
        <v>112</v>
      </c>
    </row>
    <row r="1373" spans="1:5" x14ac:dyDescent="0.25">
      <c r="A1373" s="94">
        <v>45982</v>
      </c>
      <c r="B1373" s="95">
        <v>511607.70199999999</v>
      </c>
      <c r="C1373" s="95">
        <v>4786691.4330000002</v>
      </c>
      <c r="D1373" s="95">
        <v>43.957000000000001</v>
      </c>
      <c r="E1373" s="91" t="s">
        <v>112</v>
      </c>
    </row>
    <row r="1374" spans="1:5" x14ac:dyDescent="0.25">
      <c r="A1374" s="94">
        <v>45982</v>
      </c>
      <c r="B1374" s="95">
        <v>511629.42</v>
      </c>
      <c r="C1374" s="95">
        <v>4786679.9110000003</v>
      </c>
      <c r="D1374" s="95">
        <v>43.954999999999998</v>
      </c>
      <c r="E1374" s="91" t="s">
        <v>109</v>
      </c>
    </row>
    <row r="1375" spans="1:5" x14ac:dyDescent="0.25">
      <c r="A1375" s="94">
        <v>45982</v>
      </c>
      <c r="B1375" s="95">
        <v>511629.41600000003</v>
      </c>
      <c r="C1375" s="95">
        <v>4786679.915</v>
      </c>
      <c r="D1375" s="95">
        <v>43.954000000000001</v>
      </c>
      <c r="E1375" s="91" t="s">
        <v>109</v>
      </c>
    </row>
    <row r="1376" spans="1:5" x14ac:dyDescent="0.25">
      <c r="A1376" s="94">
        <v>45982</v>
      </c>
      <c r="B1376" s="95">
        <v>511649.70199999999</v>
      </c>
      <c r="C1376" s="95">
        <v>4786682.1619999995</v>
      </c>
      <c r="D1376" s="95">
        <v>56.182000000000002</v>
      </c>
      <c r="E1376" s="91" t="s">
        <v>89</v>
      </c>
    </row>
    <row r="1377" spans="1:5" x14ac:dyDescent="0.25">
      <c r="A1377" s="94">
        <v>45982</v>
      </c>
      <c r="B1377" s="95">
        <v>511630.76199999999</v>
      </c>
      <c r="C1377" s="95">
        <v>4786689.8640000001</v>
      </c>
      <c r="D1377" s="95">
        <v>55.944000000000003</v>
      </c>
      <c r="E1377" s="91" t="s">
        <v>90</v>
      </c>
    </row>
    <row r="1378" spans="1:5" x14ac:dyDescent="0.25">
      <c r="A1378" s="94">
        <v>45982</v>
      </c>
      <c r="B1378" s="95">
        <v>511623.43300000002</v>
      </c>
      <c r="C1378" s="95">
        <v>4786694.0769999996</v>
      </c>
      <c r="D1378" s="95">
        <v>54.776000000000003</v>
      </c>
      <c r="E1378" s="91" t="s">
        <v>91</v>
      </c>
    </row>
    <row r="1379" spans="1:5" x14ac:dyDescent="0.25">
      <c r="A1379" s="94">
        <v>45982</v>
      </c>
      <c r="B1379" s="95">
        <v>511613.31699999998</v>
      </c>
      <c r="C1379" s="95">
        <v>4786695.3080000002</v>
      </c>
      <c r="D1379" s="95">
        <v>60.567999999999998</v>
      </c>
      <c r="E1379" s="91" t="s">
        <v>92</v>
      </c>
    </row>
    <row r="1380" spans="1:5" x14ac:dyDescent="0.25">
      <c r="A1380" s="94">
        <v>45982</v>
      </c>
      <c r="B1380" s="95">
        <v>511614.75199999998</v>
      </c>
      <c r="C1380" s="95">
        <v>4786712.5599999996</v>
      </c>
      <c r="D1380" s="95">
        <v>60.814</v>
      </c>
      <c r="E1380" s="91" t="s">
        <v>93</v>
      </c>
    </row>
    <row r="1381" spans="1:5" x14ac:dyDescent="0.25">
      <c r="A1381" s="94">
        <v>45982</v>
      </c>
      <c r="B1381" s="95">
        <v>511660.66399999999</v>
      </c>
      <c r="C1381" s="95">
        <v>4786683.4689999996</v>
      </c>
      <c r="D1381" s="95">
        <v>55.402999999999999</v>
      </c>
      <c r="E1381" s="91" t="s">
        <v>94</v>
      </c>
    </row>
    <row r="1382" spans="1:5" x14ac:dyDescent="0.25">
      <c r="A1382" s="94">
        <v>45982</v>
      </c>
      <c r="B1382" s="95">
        <v>511670.87400000001</v>
      </c>
      <c r="C1382" s="95">
        <v>4786685.9210000001</v>
      </c>
      <c r="D1382" s="95">
        <v>54.820999999999998</v>
      </c>
      <c r="E1382" s="91" t="s">
        <v>95</v>
      </c>
    </row>
    <row r="1383" spans="1:5" x14ac:dyDescent="0.25">
      <c r="A1383" s="94">
        <v>45982</v>
      </c>
      <c r="B1383" s="95">
        <v>511649.79599999997</v>
      </c>
      <c r="C1383" s="95">
        <v>4786669.5010000002</v>
      </c>
      <c r="D1383" s="95">
        <v>51.055999999999997</v>
      </c>
      <c r="E1383" s="91" t="s">
        <v>99</v>
      </c>
    </row>
    <row r="1384" spans="1:5" x14ac:dyDescent="0.25">
      <c r="A1384" s="94">
        <v>45982</v>
      </c>
      <c r="B1384" s="95">
        <v>511607.55200000003</v>
      </c>
      <c r="C1384" s="95">
        <v>4786691.9890000001</v>
      </c>
      <c r="D1384" s="95">
        <v>51.061999999999998</v>
      </c>
      <c r="E1384" s="91" t="s">
        <v>100</v>
      </c>
    </row>
    <row r="1385" spans="1:5" x14ac:dyDescent="0.25">
      <c r="A1385" s="94">
        <v>45982</v>
      </c>
      <c r="B1385" s="95">
        <v>511607.27100000001</v>
      </c>
      <c r="C1385" s="95">
        <v>4786692.176</v>
      </c>
      <c r="D1385" s="95">
        <v>51.063000000000002</v>
      </c>
      <c r="E1385" s="91" t="s">
        <v>101</v>
      </c>
    </row>
    <row r="1386" spans="1:5" x14ac:dyDescent="0.25">
      <c r="A1386" s="94">
        <v>45982</v>
      </c>
      <c r="B1386" s="95">
        <v>511601.11700000003</v>
      </c>
      <c r="C1386" s="95">
        <v>4786695.4239999996</v>
      </c>
      <c r="D1386" s="95">
        <v>51.042999999999999</v>
      </c>
      <c r="E1386" s="91" t="s">
        <v>102</v>
      </c>
    </row>
    <row r="1387" spans="1:5" x14ac:dyDescent="0.25">
      <c r="A1387" s="94">
        <v>45982</v>
      </c>
      <c r="B1387" s="95">
        <v>511615.25199999998</v>
      </c>
      <c r="C1387" s="95">
        <v>4786687.4369999999</v>
      </c>
      <c r="D1387" s="95">
        <v>48.454999999999998</v>
      </c>
      <c r="E1387" s="91" t="s">
        <v>103</v>
      </c>
    </row>
    <row r="1388" spans="1:5" x14ac:dyDescent="0.25">
      <c r="A1388" s="94">
        <v>45982</v>
      </c>
      <c r="B1388" s="95">
        <v>511615.22700000001</v>
      </c>
      <c r="C1388" s="95">
        <v>4786687.3609999996</v>
      </c>
      <c r="D1388" s="95">
        <v>45.947000000000003</v>
      </c>
      <c r="E1388" s="91" t="s">
        <v>104</v>
      </c>
    </row>
    <row r="1389" spans="1:5" x14ac:dyDescent="0.25">
      <c r="A1389" s="94">
        <v>45982</v>
      </c>
      <c r="B1389" s="95">
        <v>511615.18</v>
      </c>
      <c r="C1389" s="95">
        <v>4786687.3890000004</v>
      </c>
      <c r="D1389" s="95">
        <v>43.972000000000001</v>
      </c>
      <c r="E1389" s="91" t="s">
        <v>110</v>
      </c>
    </row>
    <row r="1390" spans="1:5" x14ac:dyDescent="0.25">
      <c r="A1390" s="94">
        <v>45982</v>
      </c>
      <c r="B1390" s="95">
        <v>511615.17499999999</v>
      </c>
      <c r="C1390" s="95">
        <v>4786687.3909999998</v>
      </c>
      <c r="D1390" s="95">
        <v>43.972000000000001</v>
      </c>
      <c r="E1390" s="91" t="s">
        <v>110</v>
      </c>
    </row>
    <row r="1391" spans="1:5" x14ac:dyDescent="0.25">
      <c r="A1391" s="94">
        <v>45982</v>
      </c>
      <c r="B1391" s="95">
        <v>511629.18599999999</v>
      </c>
      <c r="C1391" s="95">
        <v>4786680.0669999998</v>
      </c>
      <c r="D1391" s="95">
        <v>48.469000000000001</v>
      </c>
      <c r="E1391" s="91" t="s">
        <v>105</v>
      </c>
    </row>
    <row r="1392" spans="1:5" x14ac:dyDescent="0.25">
      <c r="A1392" s="94">
        <v>45982</v>
      </c>
      <c r="B1392" s="95">
        <v>511629.30699999997</v>
      </c>
      <c r="C1392" s="95">
        <v>4786680.0290000001</v>
      </c>
      <c r="D1392" s="95">
        <v>45.951000000000001</v>
      </c>
      <c r="E1392" s="91" t="s">
        <v>106</v>
      </c>
    </row>
    <row r="1393" spans="1:5" x14ac:dyDescent="0.25">
      <c r="A1393" s="94">
        <v>45982</v>
      </c>
      <c r="B1393" s="95">
        <v>511642.28499999997</v>
      </c>
      <c r="C1393" s="95">
        <v>4786673.1260000002</v>
      </c>
      <c r="D1393" s="95">
        <v>48.448</v>
      </c>
      <c r="E1393" s="91" t="s">
        <v>107</v>
      </c>
    </row>
    <row r="1394" spans="1:5" x14ac:dyDescent="0.25">
      <c r="A1394" s="94">
        <v>45982</v>
      </c>
      <c r="B1394" s="95">
        <v>511642.43900000001</v>
      </c>
      <c r="C1394" s="95">
        <v>4786673.0149999997</v>
      </c>
      <c r="D1394" s="95">
        <v>45.944000000000003</v>
      </c>
      <c r="E1394" s="91" t="s">
        <v>108</v>
      </c>
    </row>
    <row r="1395" spans="1:5" x14ac:dyDescent="0.25">
      <c r="A1395" s="94">
        <v>45982</v>
      </c>
      <c r="B1395" s="95">
        <v>511642.47600000002</v>
      </c>
      <c r="C1395" s="95">
        <v>4786672.9050000003</v>
      </c>
      <c r="D1395" s="95">
        <v>43.973999999999997</v>
      </c>
      <c r="E1395" s="91" t="s">
        <v>111</v>
      </c>
    </row>
    <row r="1396" spans="1:5" x14ac:dyDescent="0.25">
      <c r="A1396" s="94">
        <v>45982</v>
      </c>
      <c r="B1396" s="95">
        <v>511642.473</v>
      </c>
      <c r="C1396" s="95">
        <v>4786672.91</v>
      </c>
      <c r="D1396" s="95">
        <v>43.973999999999997</v>
      </c>
      <c r="E1396" s="91" t="s">
        <v>111</v>
      </c>
    </row>
    <row r="1397" spans="1:5" x14ac:dyDescent="0.25">
      <c r="A1397" s="94">
        <v>45982</v>
      </c>
      <c r="B1397" s="95">
        <v>511649.13500000001</v>
      </c>
      <c r="C1397" s="95">
        <v>4786669.4040000001</v>
      </c>
      <c r="D1397" s="95">
        <v>43.954999999999998</v>
      </c>
      <c r="E1397" s="91" t="s">
        <v>113</v>
      </c>
    </row>
    <row r="1398" spans="1:5" x14ac:dyDescent="0.25">
      <c r="A1398" s="94">
        <v>45982</v>
      </c>
      <c r="B1398" s="95">
        <v>511649.13099999999</v>
      </c>
      <c r="C1398" s="95">
        <v>4786669.409</v>
      </c>
      <c r="D1398" s="95">
        <v>43.954999999999998</v>
      </c>
      <c r="E1398" s="91" t="s">
        <v>113</v>
      </c>
    </row>
    <row r="1399" spans="1:5" x14ac:dyDescent="0.25">
      <c r="A1399" s="94">
        <v>45985</v>
      </c>
      <c r="B1399" s="95">
        <v>511615.09899999999</v>
      </c>
      <c r="C1399" s="95">
        <v>4786687.9910000004</v>
      </c>
      <c r="D1399" s="95">
        <v>51.039000000000001</v>
      </c>
      <c r="E1399" s="91" t="s">
        <v>96</v>
      </c>
    </row>
    <row r="1400" spans="1:5" x14ac:dyDescent="0.25">
      <c r="A1400" s="94">
        <v>45985</v>
      </c>
      <c r="B1400" s="95">
        <v>511628.88199999998</v>
      </c>
      <c r="C1400" s="95">
        <v>4786680.6509999996</v>
      </c>
      <c r="D1400" s="95">
        <v>51.045999999999999</v>
      </c>
      <c r="E1400" s="91" t="s">
        <v>97</v>
      </c>
    </row>
    <row r="1401" spans="1:5" x14ac:dyDescent="0.25">
      <c r="A1401" s="94">
        <v>45985</v>
      </c>
      <c r="B1401" s="95">
        <v>511642.58299999998</v>
      </c>
      <c r="C1401" s="95">
        <v>4786673.3540000003</v>
      </c>
      <c r="D1401" s="95">
        <v>51.052</v>
      </c>
      <c r="E1401" s="91" t="s">
        <v>98</v>
      </c>
    </row>
    <row r="1402" spans="1:5" x14ac:dyDescent="0.25">
      <c r="A1402" s="94">
        <v>45985</v>
      </c>
      <c r="B1402" s="95">
        <v>511607.70400000003</v>
      </c>
      <c r="C1402" s="95">
        <v>4786691.43</v>
      </c>
      <c r="D1402" s="95">
        <v>43.957000000000001</v>
      </c>
      <c r="E1402" s="91" t="s">
        <v>112</v>
      </c>
    </row>
    <row r="1403" spans="1:5" x14ac:dyDescent="0.25">
      <c r="A1403" s="94">
        <v>45985</v>
      </c>
      <c r="B1403" s="95">
        <v>511629.41800000001</v>
      </c>
      <c r="C1403" s="95">
        <v>4786679.9119999995</v>
      </c>
      <c r="D1403" s="95">
        <v>43.954000000000001</v>
      </c>
      <c r="E1403" s="91" t="s">
        <v>109</v>
      </c>
    </row>
    <row r="1404" spans="1:5" x14ac:dyDescent="0.25">
      <c r="A1404" s="94">
        <v>45985</v>
      </c>
      <c r="B1404" s="95">
        <v>511649.70199999999</v>
      </c>
      <c r="C1404" s="95">
        <v>4786682.1610000003</v>
      </c>
      <c r="D1404" s="95">
        <v>56.183999999999997</v>
      </c>
      <c r="E1404" s="91" t="s">
        <v>89</v>
      </c>
    </row>
    <row r="1405" spans="1:5" x14ac:dyDescent="0.25">
      <c r="A1405" s="94">
        <v>45985</v>
      </c>
      <c r="B1405" s="95">
        <v>511630.76199999999</v>
      </c>
      <c r="C1405" s="95">
        <v>4786689.8629999999</v>
      </c>
      <c r="D1405" s="95">
        <v>55.945999999999998</v>
      </c>
      <c r="E1405" s="91" t="s">
        <v>90</v>
      </c>
    </row>
    <row r="1406" spans="1:5" x14ac:dyDescent="0.25">
      <c r="A1406" s="94">
        <v>45985</v>
      </c>
      <c r="B1406" s="95">
        <v>511623.43300000002</v>
      </c>
      <c r="C1406" s="95">
        <v>4786694.0769999996</v>
      </c>
      <c r="D1406" s="95">
        <v>54.777000000000001</v>
      </c>
      <c r="E1406" s="91" t="s">
        <v>91</v>
      </c>
    </row>
    <row r="1407" spans="1:5" x14ac:dyDescent="0.25">
      <c r="A1407" s="94">
        <v>45985</v>
      </c>
      <c r="B1407" s="95">
        <v>511613.31599999999</v>
      </c>
      <c r="C1407" s="95">
        <v>4786695.3059999999</v>
      </c>
      <c r="D1407" s="95">
        <v>60.569000000000003</v>
      </c>
      <c r="E1407" s="91" t="s">
        <v>92</v>
      </c>
    </row>
    <row r="1408" spans="1:5" x14ac:dyDescent="0.25">
      <c r="A1408" s="94">
        <v>45985</v>
      </c>
      <c r="B1408" s="95">
        <v>511614.75199999998</v>
      </c>
      <c r="C1408" s="95">
        <v>4786712.5599999996</v>
      </c>
      <c r="D1408" s="95">
        <v>60.816000000000003</v>
      </c>
      <c r="E1408" s="91" t="s">
        <v>93</v>
      </c>
    </row>
    <row r="1409" spans="1:5" x14ac:dyDescent="0.25">
      <c r="A1409" s="94">
        <v>45985</v>
      </c>
      <c r="B1409" s="95">
        <v>511660.66399999999</v>
      </c>
      <c r="C1409" s="95">
        <v>4786683.4689999996</v>
      </c>
      <c r="D1409" s="95">
        <v>55.404000000000003</v>
      </c>
      <c r="E1409" s="91" t="s">
        <v>94</v>
      </c>
    </row>
    <row r="1410" spans="1:5" x14ac:dyDescent="0.25">
      <c r="A1410" s="94">
        <v>45985</v>
      </c>
      <c r="B1410" s="95">
        <v>511670.87300000002</v>
      </c>
      <c r="C1410" s="95">
        <v>4786685.9210000001</v>
      </c>
      <c r="D1410" s="95">
        <v>54.820999999999998</v>
      </c>
      <c r="E1410" s="91" t="s">
        <v>95</v>
      </c>
    </row>
    <row r="1411" spans="1:5" x14ac:dyDescent="0.25">
      <c r="A1411" s="94">
        <v>45985</v>
      </c>
      <c r="B1411" s="95">
        <v>511649.79399999999</v>
      </c>
      <c r="C1411" s="95">
        <v>4786669.5</v>
      </c>
      <c r="D1411" s="95">
        <v>51.057000000000002</v>
      </c>
      <c r="E1411" s="91" t="s">
        <v>99</v>
      </c>
    </row>
    <row r="1412" spans="1:5" x14ac:dyDescent="0.25">
      <c r="A1412" s="94">
        <v>45985</v>
      </c>
      <c r="B1412" s="95">
        <v>511607.55200000003</v>
      </c>
      <c r="C1412" s="95">
        <v>4786691.9890000001</v>
      </c>
      <c r="D1412" s="95">
        <v>51.061999999999998</v>
      </c>
      <c r="E1412" s="91" t="s">
        <v>100</v>
      </c>
    </row>
    <row r="1413" spans="1:5" x14ac:dyDescent="0.25">
      <c r="A1413" s="94">
        <v>45985</v>
      </c>
      <c r="B1413" s="95">
        <v>511607.27</v>
      </c>
      <c r="C1413" s="95">
        <v>4786692.1749999998</v>
      </c>
      <c r="D1413" s="95">
        <v>51.063000000000002</v>
      </c>
      <c r="E1413" s="91" t="s">
        <v>101</v>
      </c>
    </row>
    <row r="1414" spans="1:5" x14ac:dyDescent="0.25">
      <c r="A1414" s="94">
        <v>45985</v>
      </c>
      <c r="B1414" s="95">
        <v>511601.11499999999</v>
      </c>
      <c r="C1414" s="95">
        <v>4786695.4220000003</v>
      </c>
      <c r="D1414" s="95">
        <v>51.042999999999999</v>
      </c>
      <c r="E1414" s="91" t="s">
        <v>102</v>
      </c>
    </row>
    <row r="1415" spans="1:5" x14ac:dyDescent="0.25">
      <c r="A1415" s="94">
        <v>45985</v>
      </c>
      <c r="B1415" s="95">
        <v>511615.25400000002</v>
      </c>
      <c r="C1415" s="95">
        <v>4786687.4380000001</v>
      </c>
      <c r="D1415" s="95">
        <v>48.456000000000003</v>
      </c>
      <c r="E1415" s="91" t="s">
        <v>103</v>
      </c>
    </row>
    <row r="1416" spans="1:5" x14ac:dyDescent="0.25">
      <c r="A1416" s="94">
        <v>45985</v>
      </c>
      <c r="B1416" s="95">
        <v>511615.22600000002</v>
      </c>
      <c r="C1416" s="95">
        <v>4786687.3609999996</v>
      </c>
      <c r="D1416" s="95">
        <v>45.948</v>
      </c>
      <c r="E1416" s="91" t="s">
        <v>104</v>
      </c>
    </row>
    <row r="1417" spans="1:5" x14ac:dyDescent="0.25">
      <c r="A1417" s="94">
        <v>45985</v>
      </c>
      <c r="B1417" s="95">
        <v>511615.17800000001</v>
      </c>
      <c r="C1417" s="95">
        <v>4786687.3899999997</v>
      </c>
      <c r="D1417" s="95">
        <v>43.970999999999997</v>
      </c>
      <c r="E1417" s="91" t="s">
        <v>110</v>
      </c>
    </row>
    <row r="1418" spans="1:5" x14ac:dyDescent="0.25">
      <c r="A1418" s="94">
        <v>45985</v>
      </c>
      <c r="B1418" s="95">
        <v>511629.185</v>
      </c>
      <c r="C1418" s="95">
        <v>4786680.0669999998</v>
      </c>
      <c r="D1418" s="95">
        <v>48.47</v>
      </c>
      <c r="E1418" s="91" t="s">
        <v>105</v>
      </c>
    </row>
    <row r="1419" spans="1:5" x14ac:dyDescent="0.25">
      <c r="A1419" s="94">
        <v>45985</v>
      </c>
      <c r="B1419" s="95">
        <v>511629.30699999997</v>
      </c>
      <c r="C1419" s="95">
        <v>4786680.0290000001</v>
      </c>
      <c r="D1419" s="95">
        <v>45.951999999999998</v>
      </c>
      <c r="E1419" s="91" t="s">
        <v>106</v>
      </c>
    </row>
    <row r="1420" spans="1:5" x14ac:dyDescent="0.25">
      <c r="A1420" s="94">
        <v>45985</v>
      </c>
      <c r="B1420" s="95">
        <v>511642.283</v>
      </c>
      <c r="C1420" s="95">
        <v>4786673.1260000002</v>
      </c>
      <c r="D1420" s="95">
        <v>48.448999999999998</v>
      </c>
      <c r="E1420" s="91" t="s">
        <v>107</v>
      </c>
    </row>
    <row r="1421" spans="1:5" x14ac:dyDescent="0.25">
      <c r="A1421" s="94">
        <v>45985</v>
      </c>
      <c r="B1421" s="95">
        <v>511642.43800000002</v>
      </c>
      <c r="C1421" s="95">
        <v>4786673.0140000004</v>
      </c>
      <c r="D1421" s="95">
        <v>45.944000000000003</v>
      </c>
      <c r="E1421" s="91" t="s">
        <v>108</v>
      </c>
    </row>
    <row r="1422" spans="1:5" x14ac:dyDescent="0.25">
      <c r="A1422" s="94">
        <v>45985</v>
      </c>
      <c r="B1422" s="95">
        <v>511642.47399999999</v>
      </c>
      <c r="C1422" s="95">
        <v>4786672.9069999997</v>
      </c>
      <c r="D1422" s="95">
        <v>43.973999999999997</v>
      </c>
      <c r="E1422" s="91" t="s">
        <v>111</v>
      </c>
    </row>
    <row r="1423" spans="1:5" x14ac:dyDescent="0.25">
      <c r="A1423" s="94">
        <v>45985</v>
      </c>
      <c r="B1423" s="95">
        <v>511649.13299999997</v>
      </c>
      <c r="C1423" s="95">
        <v>4786669.4060000004</v>
      </c>
      <c r="D1423" s="95">
        <v>43.954999999999998</v>
      </c>
      <c r="E1423" s="91" t="s">
        <v>113</v>
      </c>
    </row>
    <row r="1424" spans="1:5" x14ac:dyDescent="0.25">
      <c r="A1424" s="94">
        <v>45986</v>
      </c>
      <c r="B1424" s="95">
        <v>511615.09899999999</v>
      </c>
      <c r="C1424" s="95">
        <v>4786687.9910000004</v>
      </c>
      <c r="D1424" s="95">
        <v>51.039000000000001</v>
      </c>
      <c r="E1424" s="91" t="s">
        <v>96</v>
      </c>
    </row>
    <row r="1425" spans="1:5" x14ac:dyDescent="0.25">
      <c r="A1425" s="94">
        <v>45986</v>
      </c>
      <c r="B1425" s="95">
        <v>511628.88299999997</v>
      </c>
      <c r="C1425" s="95">
        <v>4786680.6519999998</v>
      </c>
      <c r="D1425" s="95">
        <v>51.045999999999999</v>
      </c>
      <c r="E1425" s="91" t="s">
        <v>97</v>
      </c>
    </row>
    <row r="1426" spans="1:5" x14ac:dyDescent="0.25">
      <c r="A1426" s="94">
        <v>45986</v>
      </c>
      <c r="B1426" s="95">
        <v>511642.58299999998</v>
      </c>
      <c r="C1426" s="95">
        <v>4786673.3540000003</v>
      </c>
      <c r="D1426" s="95">
        <v>51.052999999999997</v>
      </c>
      <c r="E1426" s="91" t="s">
        <v>98</v>
      </c>
    </row>
    <row r="1427" spans="1:5" x14ac:dyDescent="0.25">
      <c r="A1427" s="94">
        <v>45986</v>
      </c>
      <c r="B1427" s="95">
        <v>511607.70500000002</v>
      </c>
      <c r="C1427" s="95">
        <v>4786691.4270000001</v>
      </c>
      <c r="D1427" s="95">
        <v>43.957000000000001</v>
      </c>
      <c r="E1427" s="91" t="s">
        <v>112</v>
      </c>
    </row>
    <row r="1428" spans="1:5" x14ac:dyDescent="0.25">
      <c r="A1428" s="94">
        <v>45986</v>
      </c>
      <c r="B1428" s="95">
        <v>511629.41899999999</v>
      </c>
      <c r="C1428" s="95">
        <v>4786679.91</v>
      </c>
      <c r="D1428" s="95">
        <v>43.954000000000001</v>
      </c>
      <c r="E1428" s="91" t="s">
        <v>109</v>
      </c>
    </row>
    <row r="1429" spans="1:5" x14ac:dyDescent="0.25">
      <c r="A1429" s="94">
        <v>45986</v>
      </c>
      <c r="B1429" s="95">
        <v>511649.70199999999</v>
      </c>
      <c r="C1429" s="95">
        <v>4786682.1610000003</v>
      </c>
      <c r="D1429" s="95">
        <v>56.183999999999997</v>
      </c>
      <c r="E1429" s="91" t="s">
        <v>89</v>
      </c>
    </row>
    <row r="1430" spans="1:5" x14ac:dyDescent="0.25">
      <c r="A1430" s="94">
        <v>45986</v>
      </c>
      <c r="B1430" s="95">
        <v>511630.76</v>
      </c>
      <c r="C1430" s="95">
        <v>4786689.8619999997</v>
      </c>
      <c r="D1430" s="95">
        <v>55.945</v>
      </c>
      <c r="E1430" s="91" t="s">
        <v>90</v>
      </c>
    </row>
    <row r="1431" spans="1:5" x14ac:dyDescent="0.25">
      <c r="A1431" s="94">
        <v>45986</v>
      </c>
      <c r="B1431" s="95">
        <v>511623.43199999997</v>
      </c>
      <c r="C1431" s="95">
        <v>4786694.0779999997</v>
      </c>
      <c r="D1431" s="95">
        <v>54.777000000000001</v>
      </c>
      <c r="E1431" s="91" t="s">
        <v>91</v>
      </c>
    </row>
    <row r="1432" spans="1:5" x14ac:dyDescent="0.25">
      <c r="A1432" s="94">
        <v>45986</v>
      </c>
      <c r="B1432" s="95">
        <v>511613.315</v>
      </c>
      <c r="C1432" s="95">
        <v>4786695.3049999997</v>
      </c>
      <c r="D1432" s="95">
        <v>60.569000000000003</v>
      </c>
      <c r="E1432" s="91" t="s">
        <v>92</v>
      </c>
    </row>
    <row r="1433" spans="1:5" x14ac:dyDescent="0.25">
      <c r="A1433" s="94">
        <v>45986</v>
      </c>
      <c r="B1433" s="95">
        <v>511614.75199999998</v>
      </c>
      <c r="C1433" s="95">
        <v>4786712.5599999996</v>
      </c>
      <c r="D1433" s="95">
        <v>60.816000000000003</v>
      </c>
      <c r="E1433" s="91" t="s">
        <v>93</v>
      </c>
    </row>
    <row r="1434" spans="1:5" x14ac:dyDescent="0.25">
      <c r="A1434" s="94">
        <v>45986</v>
      </c>
      <c r="B1434" s="95">
        <v>511660.66399999999</v>
      </c>
      <c r="C1434" s="95">
        <v>4786683.4689999996</v>
      </c>
      <c r="D1434" s="95">
        <v>55.402999999999999</v>
      </c>
      <c r="E1434" s="91" t="s">
        <v>94</v>
      </c>
    </row>
    <row r="1435" spans="1:5" x14ac:dyDescent="0.25">
      <c r="A1435" s="94">
        <v>45986</v>
      </c>
      <c r="B1435" s="95">
        <v>511670.87400000001</v>
      </c>
      <c r="C1435" s="95">
        <v>4786685.9210000001</v>
      </c>
      <c r="D1435" s="95">
        <v>54.820999999999998</v>
      </c>
      <c r="E1435" s="91" t="s">
        <v>95</v>
      </c>
    </row>
    <row r="1436" spans="1:5" x14ac:dyDescent="0.25">
      <c r="A1436" s="94">
        <v>45986</v>
      </c>
      <c r="B1436" s="95">
        <v>511649.79399999999</v>
      </c>
      <c r="C1436" s="95">
        <v>4786669.5</v>
      </c>
      <c r="D1436" s="95">
        <v>51.055999999999997</v>
      </c>
      <c r="E1436" s="91" t="s">
        <v>99</v>
      </c>
    </row>
    <row r="1437" spans="1:5" x14ac:dyDescent="0.25">
      <c r="A1437" s="94">
        <v>45986</v>
      </c>
      <c r="B1437" s="95">
        <v>511607.55200000003</v>
      </c>
      <c r="C1437" s="95">
        <v>4786691.9890000001</v>
      </c>
      <c r="D1437" s="95">
        <v>51.061999999999998</v>
      </c>
      <c r="E1437" s="91" t="s">
        <v>100</v>
      </c>
    </row>
    <row r="1438" spans="1:5" x14ac:dyDescent="0.25">
      <c r="A1438" s="94">
        <v>45986</v>
      </c>
      <c r="B1438" s="95">
        <v>511607.27100000001</v>
      </c>
      <c r="C1438" s="95">
        <v>4786692.176</v>
      </c>
      <c r="D1438" s="95">
        <v>51.063000000000002</v>
      </c>
      <c r="E1438" s="91" t="s">
        <v>101</v>
      </c>
    </row>
    <row r="1439" spans="1:5" x14ac:dyDescent="0.25">
      <c r="A1439" s="94">
        <v>45986</v>
      </c>
      <c r="B1439" s="95">
        <v>511601.11599999998</v>
      </c>
      <c r="C1439" s="95">
        <v>4786695.4230000004</v>
      </c>
      <c r="D1439" s="95">
        <v>51.042999999999999</v>
      </c>
      <c r="E1439" s="91" t="s">
        <v>102</v>
      </c>
    </row>
    <row r="1440" spans="1:5" x14ac:dyDescent="0.25">
      <c r="A1440" s="94">
        <v>45986</v>
      </c>
      <c r="B1440" s="95">
        <v>511615.25199999998</v>
      </c>
      <c r="C1440" s="95">
        <v>4786687.4380000001</v>
      </c>
      <c r="D1440" s="95">
        <v>48.460999999999999</v>
      </c>
      <c r="E1440" s="91" t="s">
        <v>103</v>
      </c>
    </row>
    <row r="1441" spans="1:5" x14ac:dyDescent="0.25">
      <c r="A1441" s="94">
        <v>45986</v>
      </c>
      <c r="B1441" s="95">
        <v>511615.22600000002</v>
      </c>
      <c r="C1441" s="95">
        <v>4786687.3609999996</v>
      </c>
      <c r="D1441" s="95">
        <v>45.948</v>
      </c>
      <c r="E1441" s="91" t="s">
        <v>104</v>
      </c>
    </row>
    <row r="1442" spans="1:5" x14ac:dyDescent="0.25">
      <c r="A1442" s="94">
        <v>45986</v>
      </c>
      <c r="B1442" s="95">
        <v>511615.18</v>
      </c>
      <c r="C1442" s="95">
        <v>4786687.3909999998</v>
      </c>
      <c r="D1442" s="95">
        <v>43.970999999999997</v>
      </c>
      <c r="E1442" s="91" t="s">
        <v>110</v>
      </c>
    </row>
    <row r="1443" spans="1:5" x14ac:dyDescent="0.25">
      <c r="A1443" s="94">
        <v>45986</v>
      </c>
      <c r="B1443" s="95">
        <v>511629.185</v>
      </c>
      <c r="C1443" s="95">
        <v>4786680.068</v>
      </c>
      <c r="D1443" s="95">
        <v>48.47</v>
      </c>
      <c r="E1443" s="91" t="s">
        <v>105</v>
      </c>
    </row>
    <row r="1444" spans="1:5" x14ac:dyDescent="0.25">
      <c r="A1444" s="94">
        <v>45986</v>
      </c>
      <c r="B1444" s="95">
        <v>511629.30699999997</v>
      </c>
      <c r="C1444" s="95">
        <v>4786680.0279999999</v>
      </c>
      <c r="D1444" s="95">
        <v>45.951999999999998</v>
      </c>
      <c r="E1444" s="91" t="s">
        <v>106</v>
      </c>
    </row>
    <row r="1445" spans="1:5" x14ac:dyDescent="0.25">
      <c r="A1445" s="94">
        <v>45986</v>
      </c>
      <c r="B1445" s="95">
        <v>511642.28399999999</v>
      </c>
      <c r="C1445" s="95">
        <v>4786673.1260000002</v>
      </c>
      <c r="D1445" s="95">
        <v>48.448999999999998</v>
      </c>
      <c r="E1445" s="91" t="s">
        <v>107</v>
      </c>
    </row>
    <row r="1446" spans="1:5" x14ac:dyDescent="0.25">
      <c r="A1446" s="94">
        <v>45986</v>
      </c>
      <c r="B1446" s="95">
        <v>511642.43800000002</v>
      </c>
      <c r="C1446" s="95">
        <v>4786673.0140000004</v>
      </c>
      <c r="D1446" s="95">
        <v>45.944000000000003</v>
      </c>
      <c r="E1446" s="91" t="s">
        <v>108</v>
      </c>
    </row>
    <row r="1447" spans="1:5" x14ac:dyDescent="0.25">
      <c r="A1447" s="94">
        <v>45986</v>
      </c>
      <c r="B1447" s="95">
        <v>511642.47399999999</v>
      </c>
      <c r="C1447" s="95">
        <v>4786672.9050000003</v>
      </c>
      <c r="D1447" s="95">
        <v>43.973999999999997</v>
      </c>
      <c r="E1447" s="91" t="s">
        <v>111</v>
      </c>
    </row>
    <row r="1448" spans="1:5" x14ac:dyDescent="0.25">
      <c r="A1448" s="94">
        <v>45986</v>
      </c>
      <c r="B1448" s="95">
        <v>511649.13400000002</v>
      </c>
      <c r="C1448" s="95">
        <v>4786669.4040000001</v>
      </c>
      <c r="D1448" s="95">
        <v>43.954999999999998</v>
      </c>
      <c r="E1448" s="91" t="s">
        <v>113</v>
      </c>
    </row>
    <row r="1449" spans="1:5" x14ac:dyDescent="0.25">
      <c r="A1449" s="94">
        <v>45987</v>
      </c>
      <c r="B1449" s="95">
        <v>511615.09700000001</v>
      </c>
      <c r="C1449" s="95">
        <v>4786687.9869999997</v>
      </c>
      <c r="D1449" s="95">
        <v>51.034999999999997</v>
      </c>
      <c r="E1449" s="91" t="s">
        <v>96</v>
      </c>
    </row>
    <row r="1450" spans="1:5" x14ac:dyDescent="0.25">
      <c r="A1450" s="94">
        <v>45987</v>
      </c>
      <c r="B1450" s="95">
        <v>511628.88099999999</v>
      </c>
      <c r="C1450" s="95">
        <v>4786680.648</v>
      </c>
      <c r="D1450" s="95">
        <v>51.042999999999999</v>
      </c>
      <c r="E1450" s="91" t="s">
        <v>97</v>
      </c>
    </row>
    <row r="1451" spans="1:5" x14ac:dyDescent="0.25">
      <c r="A1451" s="94">
        <v>45987</v>
      </c>
      <c r="B1451" s="95">
        <v>511642.58</v>
      </c>
      <c r="C1451" s="95">
        <v>4786673.3509999998</v>
      </c>
      <c r="D1451" s="95">
        <v>51.051000000000002</v>
      </c>
      <c r="E1451" s="91" t="s">
        <v>98</v>
      </c>
    </row>
    <row r="1452" spans="1:5" x14ac:dyDescent="0.25">
      <c r="A1452" s="94">
        <v>45987</v>
      </c>
      <c r="B1452" s="95">
        <v>511607.70199999999</v>
      </c>
      <c r="C1452" s="95">
        <v>4786691.4270000001</v>
      </c>
      <c r="D1452" s="95">
        <v>43.954000000000001</v>
      </c>
      <c r="E1452" s="91" t="s">
        <v>112</v>
      </c>
    </row>
    <row r="1453" spans="1:5" x14ac:dyDescent="0.25">
      <c r="A1453" s="94">
        <v>45987</v>
      </c>
      <c r="B1453" s="95">
        <v>511629.41700000002</v>
      </c>
      <c r="C1453" s="95">
        <v>4786679.91</v>
      </c>
      <c r="D1453" s="95">
        <v>43.951999999999998</v>
      </c>
      <c r="E1453" s="91" t="s">
        <v>109</v>
      </c>
    </row>
    <row r="1454" spans="1:5" x14ac:dyDescent="0.25">
      <c r="A1454" s="94">
        <v>45987</v>
      </c>
      <c r="B1454" s="95">
        <v>511649.701</v>
      </c>
      <c r="C1454" s="95">
        <v>4786682.159</v>
      </c>
      <c r="D1454" s="95">
        <v>56.183999999999997</v>
      </c>
      <c r="E1454" s="91" t="s">
        <v>89</v>
      </c>
    </row>
    <row r="1455" spans="1:5" x14ac:dyDescent="0.25">
      <c r="A1455" s="94">
        <v>45987</v>
      </c>
      <c r="B1455" s="95">
        <v>511630.761</v>
      </c>
      <c r="C1455" s="95">
        <v>4786689.8609999996</v>
      </c>
      <c r="D1455" s="95">
        <v>55.945</v>
      </c>
      <c r="E1455" s="91" t="s">
        <v>90</v>
      </c>
    </row>
    <row r="1456" spans="1:5" x14ac:dyDescent="0.25">
      <c r="A1456" s="94">
        <v>45987</v>
      </c>
      <c r="B1456" s="95">
        <v>511623.43300000002</v>
      </c>
      <c r="C1456" s="95">
        <v>4786694.0760000004</v>
      </c>
      <c r="D1456" s="95">
        <v>54.777000000000001</v>
      </c>
      <c r="E1456" s="91" t="s">
        <v>91</v>
      </c>
    </row>
    <row r="1457" spans="1:5" x14ac:dyDescent="0.25">
      <c r="A1457" s="94">
        <v>45987</v>
      </c>
      <c r="B1457" s="95">
        <v>511613.315</v>
      </c>
      <c r="C1457" s="95">
        <v>4786695.3049999997</v>
      </c>
      <c r="D1457" s="95">
        <v>60.567999999999998</v>
      </c>
      <c r="E1457" s="91" t="s">
        <v>92</v>
      </c>
    </row>
    <row r="1458" spans="1:5" x14ac:dyDescent="0.25">
      <c r="A1458" s="94">
        <v>45987</v>
      </c>
      <c r="B1458" s="95">
        <v>511614.75300000003</v>
      </c>
      <c r="C1458" s="95">
        <v>4786712.5599999996</v>
      </c>
      <c r="D1458" s="95">
        <v>60.816000000000003</v>
      </c>
      <c r="E1458" s="91" t="s">
        <v>93</v>
      </c>
    </row>
    <row r="1459" spans="1:5" x14ac:dyDescent="0.25">
      <c r="A1459" s="94">
        <v>45987</v>
      </c>
      <c r="B1459" s="95">
        <v>511660.663</v>
      </c>
      <c r="C1459" s="95">
        <v>4786683.4689999996</v>
      </c>
      <c r="D1459" s="95">
        <v>55.402999999999999</v>
      </c>
      <c r="E1459" s="91" t="s">
        <v>94</v>
      </c>
    </row>
    <row r="1460" spans="1:5" x14ac:dyDescent="0.25">
      <c r="A1460" s="94">
        <v>45987</v>
      </c>
      <c r="B1460" s="95">
        <v>511670.87300000002</v>
      </c>
      <c r="C1460" s="95">
        <v>4786685.9210000001</v>
      </c>
      <c r="D1460" s="95">
        <v>54.820999999999998</v>
      </c>
      <c r="E1460" s="91" t="s">
        <v>95</v>
      </c>
    </row>
    <row r="1461" spans="1:5" x14ac:dyDescent="0.25">
      <c r="A1461" s="94">
        <v>45987</v>
      </c>
      <c r="B1461" s="95">
        <v>511649.79499999998</v>
      </c>
      <c r="C1461" s="95">
        <v>4786669.5010000002</v>
      </c>
      <c r="D1461" s="95">
        <v>51.055999999999997</v>
      </c>
      <c r="E1461" s="91" t="s">
        <v>99</v>
      </c>
    </row>
    <row r="1462" spans="1:5" x14ac:dyDescent="0.25">
      <c r="A1462" s="94">
        <v>45987</v>
      </c>
      <c r="B1462" s="95">
        <v>511607.54800000001</v>
      </c>
      <c r="C1462" s="95">
        <v>4786691.9859999996</v>
      </c>
      <c r="D1462" s="95">
        <v>51.061999999999998</v>
      </c>
      <c r="E1462" s="91" t="s">
        <v>100</v>
      </c>
    </row>
    <row r="1463" spans="1:5" x14ac:dyDescent="0.25">
      <c r="A1463" s="94">
        <v>45987</v>
      </c>
      <c r="B1463" s="95">
        <v>511607.26799999998</v>
      </c>
      <c r="C1463" s="95">
        <v>4786692.1739999996</v>
      </c>
      <c r="D1463" s="95">
        <v>51.063000000000002</v>
      </c>
      <c r="E1463" s="91" t="s">
        <v>101</v>
      </c>
    </row>
    <row r="1464" spans="1:5" x14ac:dyDescent="0.25">
      <c r="A1464" s="94">
        <v>45987</v>
      </c>
      <c r="B1464" s="95">
        <v>511601.114</v>
      </c>
      <c r="C1464" s="95">
        <v>4786695.4210000001</v>
      </c>
      <c r="D1464" s="95">
        <v>51.042999999999999</v>
      </c>
      <c r="E1464" s="91" t="s">
        <v>102</v>
      </c>
    </row>
    <row r="1465" spans="1:5" x14ac:dyDescent="0.25">
      <c r="A1465" s="94">
        <v>45987</v>
      </c>
      <c r="B1465" s="95">
        <v>511615.25</v>
      </c>
      <c r="C1465" s="95">
        <v>4786687.4330000002</v>
      </c>
      <c r="D1465" s="95">
        <v>48.451999999999998</v>
      </c>
      <c r="E1465" s="91" t="s">
        <v>103</v>
      </c>
    </row>
    <row r="1466" spans="1:5" x14ac:dyDescent="0.25">
      <c r="A1466" s="94">
        <v>45987</v>
      </c>
      <c r="B1466" s="95">
        <v>511615.22399999999</v>
      </c>
      <c r="C1466" s="95">
        <v>4786687.3569999998</v>
      </c>
      <c r="D1466" s="95">
        <v>45.944000000000003</v>
      </c>
      <c r="E1466" s="91" t="s">
        <v>104</v>
      </c>
    </row>
    <row r="1467" spans="1:5" x14ac:dyDescent="0.25">
      <c r="A1467" s="94">
        <v>45987</v>
      </c>
      <c r="B1467" s="95">
        <v>511615.17599999998</v>
      </c>
      <c r="C1467" s="95">
        <v>4786687.3870000001</v>
      </c>
      <c r="D1467" s="95">
        <v>43.968000000000004</v>
      </c>
      <c r="E1467" s="91" t="s">
        <v>110</v>
      </c>
    </row>
    <row r="1468" spans="1:5" x14ac:dyDescent="0.25">
      <c r="A1468" s="94">
        <v>45987</v>
      </c>
      <c r="B1468" s="95">
        <v>511629.18199999997</v>
      </c>
      <c r="C1468" s="95">
        <v>4786680.0630000001</v>
      </c>
      <c r="D1468" s="95">
        <v>48.466999999999999</v>
      </c>
      <c r="E1468" s="91" t="s">
        <v>105</v>
      </c>
    </row>
    <row r="1469" spans="1:5" x14ac:dyDescent="0.25">
      <c r="A1469" s="94">
        <v>45987</v>
      </c>
      <c r="B1469" s="95">
        <v>511629.30499999999</v>
      </c>
      <c r="C1469" s="95">
        <v>4786680.0250000004</v>
      </c>
      <c r="D1469" s="95">
        <v>45.948999999999998</v>
      </c>
      <c r="E1469" s="91" t="s">
        <v>106</v>
      </c>
    </row>
    <row r="1470" spans="1:5" x14ac:dyDescent="0.25">
      <c r="A1470" s="94">
        <v>45987</v>
      </c>
      <c r="B1470" s="95">
        <v>511642.283</v>
      </c>
      <c r="C1470" s="95">
        <v>4786673.1239999998</v>
      </c>
      <c r="D1470" s="95">
        <v>48.447000000000003</v>
      </c>
      <c r="E1470" s="91" t="s">
        <v>107</v>
      </c>
    </row>
    <row r="1471" spans="1:5" x14ac:dyDescent="0.25">
      <c r="A1471" s="94">
        <v>45987</v>
      </c>
      <c r="B1471" s="95">
        <v>511642.43599999999</v>
      </c>
      <c r="C1471" s="95">
        <v>4786673.0120000001</v>
      </c>
      <c r="D1471" s="95">
        <v>45.944000000000003</v>
      </c>
      <c r="E1471" s="91" t="s">
        <v>108</v>
      </c>
    </row>
    <row r="1472" spans="1:5" x14ac:dyDescent="0.25">
      <c r="A1472" s="94">
        <v>45987</v>
      </c>
      <c r="B1472" s="95">
        <v>511642.47399999999</v>
      </c>
      <c r="C1472" s="95">
        <v>4786672.9060000004</v>
      </c>
      <c r="D1472" s="95">
        <v>43.972999999999999</v>
      </c>
      <c r="E1472" s="91" t="s">
        <v>111</v>
      </c>
    </row>
    <row r="1473" spans="1:5" x14ac:dyDescent="0.25">
      <c r="A1473" s="94">
        <v>45987</v>
      </c>
      <c r="B1473" s="95">
        <v>511649.13199999998</v>
      </c>
      <c r="C1473" s="95">
        <v>4786669.4060000004</v>
      </c>
      <c r="D1473" s="95">
        <v>43.954999999999998</v>
      </c>
      <c r="E1473" s="91" t="s">
        <v>113</v>
      </c>
    </row>
    <row r="1474" spans="1:5" x14ac:dyDescent="0.25">
      <c r="A1474" s="94">
        <v>45988</v>
      </c>
      <c r="B1474" s="95">
        <v>511615.09600000002</v>
      </c>
      <c r="C1474" s="95">
        <v>4786687.9859999996</v>
      </c>
      <c r="D1474" s="95">
        <v>51.034999999999997</v>
      </c>
      <c r="E1474" s="91" t="s">
        <v>96</v>
      </c>
    </row>
    <row r="1475" spans="1:5" x14ac:dyDescent="0.25">
      <c r="A1475" s="94">
        <v>45988</v>
      </c>
      <c r="B1475" s="95">
        <v>511628.88099999999</v>
      </c>
      <c r="C1475" s="95">
        <v>4786680.648</v>
      </c>
      <c r="D1475" s="95">
        <v>51.042999999999999</v>
      </c>
      <c r="E1475" s="91" t="s">
        <v>97</v>
      </c>
    </row>
    <row r="1476" spans="1:5" x14ac:dyDescent="0.25">
      <c r="A1476" s="94">
        <v>45988</v>
      </c>
      <c r="B1476" s="95">
        <v>511642.57900000003</v>
      </c>
      <c r="C1476" s="95">
        <v>4786673.3509999998</v>
      </c>
      <c r="D1476" s="95">
        <v>51.051000000000002</v>
      </c>
      <c r="E1476" s="91" t="s">
        <v>98</v>
      </c>
    </row>
    <row r="1477" spans="1:5" x14ac:dyDescent="0.25">
      <c r="A1477" s="94">
        <v>45988</v>
      </c>
      <c r="B1477" s="95">
        <v>511607.69799999997</v>
      </c>
      <c r="C1477" s="95">
        <v>4786691.4280000003</v>
      </c>
      <c r="D1477" s="95">
        <v>43.953000000000003</v>
      </c>
      <c r="E1477" s="91" t="s">
        <v>112</v>
      </c>
    </row>
    <row r="1478" spans="1:5" x14ac:dyDescent="0.25">
      <c r="A1478" s="94">
        <v>45988</v>
      </c>
      <c r="B1478" s="95">
        <v>511629.413</v>
      </c>
      <c r="C1478" s="95">
        <v>4786679.9119999995</v>
      </c>
      <c r="D1478" s="95">
        <v>43.951000000000001</v>
      </c>
      <c r="E1478" s="91" t="s">
        <v>109</v>
      </c>
    </row>
    <row r="1479" spans="1:5" x14ac:dyDescent="0.25">
      <c r="A1479" s="94">
        <v>45988</v>
      </c>
      <c r="B1479" s="95">
        <v>511649.70199999999</v>
      </c>
      <c r="C1479" s="95">
        <v>4786682.159</v>
      </c>
      <c r="D1479" s="95">
        <v>56.183</v>
      </c>
      <c r="E1479" s="91" t="s">
        <v>89</v>
      </c>
    </row>
    <row r="1480" spans="1:5" x14ac:dyDescent="0.25">
      <c r="A1480" s="94">
        <v>45988</v>
      </c>
      <c r="B1480" s="95">
        <v>511630.76</v>
      </c>
      <c r="C1480" s="95">
        <v>4786689.8609999996</v>
      </c>
      <c r="D1480" s="95">
        <v>55.945</v>
      </c>
      <c r="E1480" s="91" t="s">
        <v>90</v>
      </c>
    </row>
    <row r="1481" spans="1:5" x14ac:dyDescent="0.25">
      <c r="A1481" s="94">
        <v>45988</v>
      </c>
      <c r="B1481" s="95">
        <v>511623.43199999997</v>
      </c>
      <c r="C1481" s="95">
        <v>4786694.0760000004</v>
      </c>
      <c r="D1481" s="95">
        <v>54.777000000000001</v>
      </c>
      <c r="E1481" s="91" t="s">
        <v>91</v>
      </c>
    </row>
    <row r="1482" spans="1:5" x14ac:dyDescent="0.25">
      <c r="A1482" s="94">
        <v>45988</v>
      </c>
      <c r="B1482" s="95">
        <v>511613.315</v>
      </c>
      <c r="C1482" s="95">
        <v>4786695.3049999997</v>
      </c>
      <c r="D1482" s="95">
        <v>60.567999999999998</v>
      </c>
      <c r="E1482" s="91" t="s">
        <v>92</v>
      </c>
    </row>
    <row r="1483" spans="1:5" x14ac:dyDescent="0.25">
      <c r="A1483" s="94">
        <v>45988</v>
      </c>
      <c r="B1483" s="95">
        <v>511614.75099999999</v>
      </c>
      <c r="C1483" s="95">
        <v>4786712.5580000002</v>
      </c>
      <c r="D1483" s="95">
        <v>60.816000000000003</v>
      </c>
      <c r="E1483" s="91" t="s">
        <v>93</v>
      </c>
    </row>
    <row r="1484" spans="1:5" x14ac:dyDescent="0.25">
      <c r="A1484" s="94">
        <v>45988</v>
      </c>
      <c r="B1484" s="95">
        <v>511660.66200000001</v>
      </c>
      <c r="C1484" s="95">
        <v>4786683.4689999996</v>
      </c>
      <c r="D1484" s="95">
        <v>55.402999999999999</v>
      </c>
      <c r="E1484" s="91" t="s">
        <v>94</v>
      </c>
    </row>
    <row r="1485" spans="1:5" x14ac:dyDescent="0.25">
      <c r="A1485" s="94">
        <v>45988</v>
      </c>
      <c r="B1485" s="95">
        <v>511670.87300000002</v>
      </c>
      <c r="C1485" s="95">
        <v>4786685.9210000001</v>
      </c>
      <c r="D1485" s="95">
        <v>54.820999999999998</v>
      </c>
      <c r="E1485" s="91" t="s">
        <v>95</v>
      </c>
    </row>
    <row r="1486" spans="1:5" x14ac:dyDescent="0.25">
      <c r="A1486" s="94">
        <v>45988</v>
      </c>
      <c r="B1486" s="95">
        <v>511649.79200000002</v>
      </c>
      <c r="C1486" s="95">
        <v>4786669.5</v>
      </c>
      <c r="D1486" s="95">
        <v>51.055999999999997</v>
      </c>
      <c r="E1486" s="91" t="s">
        <v>99</v>
      </c>
    </row>
    <row r="1487" spans="1:5" x14ac:dyDescent="0.25">
      <c r="A1487" s="94">
        <v>45988</v>
      </c>
      <c r="B1487" s="95">
        <v>511607.54700000002</v>
      </c>
      <c r="C1487" s="95">
        <v>4786691.9850000003</v>
      </c>
      <c r="D1487" s="95">
        <v>51.061999999999998</v>
      </c>
      <c r="E1487" s="91" t="s">
        <v>100</v>
      </c>
    </row>
    <row r="1488" spans="1:5" x14ac:dyDescent="0.25">
      <c r="A1488" s="94">
        <v>45988</v>
      </c>
      <c r="B1488" s="95">
        <v>511607.26799999998</v>
      </c>
      <c r="C1488" s="95">
        <v>4786692.1739999996</v>
      </c>
      <c r="D1488" s="95">
        <v>51.063000000000002</v>
      </c>
      <c r="E1488" s="91" t="s">
        <v>101</v>
      </c>
    </row>
    <row r="1489" spans="1:5" x14ac:dyDescent="0.25">
      <c r="A1489" s="94">
        <v>45988</v>
      </c>
      <c r="B1489" s="95">
        <v>511601.114</v>
      </c>
      <c r="C1489" s="95">
        <v>4786695.4210000001</v>
      </c>
      <c r="D1489" s="95">
        <v>51.042999999999999</v>
      </c>
      <c r="E1489" s="91" t="s">
        <v>102</v>
      </c>
    </row>
    <row r="1490" spans="1:5" x14ac:dyDescent="0.25">
      <c r="A1490" s="94">
        <v>45988</v>
      </c>
      <c r="B1490" s="95">
        <v>511615.24900000001</v>
      </c>
      <c r="C1490" s="95">
        <v>4786687.4359999998</v>
      </c>
      <c r="D1490" s="95">
        <v>48.462000000000003</v>
      </c>
      <c r="E1490" s="91" t="s">
        <v>103</v>
      </c>
    </row>
    <row r="1491" spans="1:5" x14ac:dyDescent="0.25">
      <c r="A1491" s="94">
        <v>45988</v>
      </c>
      <c r="B1491" s="95">
        <v>511615.22200000001</v>
      </c>
      <c r="C1491" s="95">
        <v>4786687.3590000002</v>
      </c>
      <c r="D1491" s="95">
        <v>45.954000000000001</v>
      </c>
      <c r="E1491" s="91" t="s">
        <v>104</v>
      </c>
    </row>
    <row r="1492" spans="1:5" x14ac:dyDescent="0.25">
      <c r="A1492" s="94">
        <v>45988</v>
      </c>
      <c r="B1492" s="95">
        <v>511629.179</v>
      </c>
      <c r="C1492" s="95">
        <v>4786680.068</v>
      </c>
      <c r="D1492" s="95">
        <v>48.473999999999997</v>
      </c>
      <c r="E1492" s="91" t="s">
        <v>105</v>
      </c>
    </row>
    <row r="1493" spans="1:5" x14ac:dyDescent="0.25">
      <c r="A1493" s="94">
        <v>45988</v>
      </c>
      <c r="B1493" s="95">
        <v>511629.30300000001</v>
      </c>
      <c r="C1493" s="95">
        <v>4786680.0290000001</v>
      </c>
      <c r="D1493" s="95">
        <v>45.956000000000003</v>
      </c>
      <c r="E1493" s="91" t="s">
        <v>106</v>
      </c>
    </row>
    <row r="1494" spans="1:5" x14ac:dyDescent="0.25">
      <c r="A1494" s="94">
        <v>45988</v>
      </c>
      <c r="B1494" s="95">
        <v>511642.27899999998</v>
      </c>
      <c r="C1494" s="95">
        <v>4786673.1289999997</v>
      </c>
      <c r="D1494" s="95">
        <v>48.454999999999998</v>
      </c>
      <c r="E1494" s="91" t="s">
        <v>107</v>
      </c>
    </row>
    <row r="1495" spans="1:5" x14ac:dyDescent="0.25">
      <c r="A1495" s="94">
        <v>45988</v>
      </c>
      <c r="B1495" s="95">
        <v>511642.43400000001</v>
      </c>
      <c r="C1495" s="95">
        <v>4786673.017</v>
      </c>
      <c r="D1495" s="95">
        <v>45.95</v>
      </c>
      <c r="E1495" s="91" t="s">
        <v>108</v>
      </c>
    </row>
    <row r="1496" spans="1:5" x14ac:dyDescent="0.25">
      <c r="A1496" s="94">
        <v>45988</v>
      </c>
      <c r="B1496" s="95">
        <v>511642.47100000002</v>
      </c>
      <c r="C1496" s="95">
        <v>4786672.909</v>
      </c>
      <c r="D1496" s="95">
        <v>43.972999999999999</v>
      </c>
      <c r="E1496" s="91" t="s">
        <v>111</v>
      </c>
    </row>
    <row r="1497" spans="1:5" x14ac:dyDescent="0.25">
      <c r="A1497" s="94">
        <v>45988</v>
      </c>
      <c r="B1497" s="95">
        <v>511649.13</v>
      </c>
      <c r="C1497" s="95">
        <v>4786669.409</v>
      </c>
      <c r="D1497" s="95">
        <v>43.954000000000001</v>
      </c>
      <c r="E1497" s="91" t="s">
        <v>113</v>
      </c>
    </row>
    <row r="1498" spans="1:5" x14ac:dyDescent="0.25">
      <c r="A1498" s="94">
        <v>45989</v>
      </c>
      <c r="B1498" s="95">
        <v>511615.09399999998</v>
      </c>
      <c r="C1498" s="95">
        <v>4786687.9840000002</v>
      </c>
      <c r="D1498" s="95">
        <v>51.031999999999996</v>
      </c>
      <c r="E1498" s="91" t="s">
        <v>96</v>
      </c>
    </row>
    <row r="1499" spans="1:5" x14ac:dyDescent="0.25">
      <c r="A1499" s="94">
        <v>45989</v>
      </c>
      <c r="B1499" s="95">
        <v>511628.88</v>
      </c>
      <c r="C1499" s="95">
        <v>4786680.648</v>
      </c>
      <c r="D1499" s="95">
        <v>51.042000000000002</v>
      </c>
      <c r="E1499" s="91" t="s">
        <v>97</v>
      </c>
    </row>
    <row r="1500" spans="1:5" x14ac:dyDescent="0.25">
      <c r="A1500" s="94">
        <v>45989</v>
      </c>
      <c r="B1500" s="95">
        <v>511642.58</v>
      </c>
      <c r="C1500" s="95">
        <v>4786673.352</v>
      </c>
      <c r="D1500" s="95">
        <v>51.051000000000002</v>
      </c>
      <c r="E1500" s="91" t="s">
        <v>98</v>
      </c>
    </row>
    <row r="1501" spans="1:5" x14ac:dyDescent="0.25">
      <c r="A1501" s="94">
        <v>45989</v>
      </c>
      <c r="B1501" s="95">
        <v>511607.69900000002</v>
      </c>
      <c r="C1501" s="95">
        <v>4786691.4249999998</v>
      </c>
      <c r="D1501" s="95">
        <v>43.95</v>
      </c>
      <c r="E1501" s="91" t="s">
        <v>112</v>
      </c>
    </row>
    <row r="1502" spans="1:5" x14ac:dyDescent="0.25">
      <c r="A1502" s="94">
        <v>45989</v>
      </c>
      <c r="B1502" s="95">
        <v>511629.41499999998</v>
      </c>
      <c r="C1502" s="95">
        <v>4786679.9119999995</v>
      </c>
      <c r="D1502" s="95">
        <v>43.95</v>
      </c>
      <c r="E1502" s="91" t="s">
        <v>109</v>
      </c>
    </row>
    <row r="1503" spans="1:5" x14ac:dyDescent="0.25">
      <c r="A1503" s="94">
        <v>45989</v>
      </c>
      <c r="B1503" s="95">
        <v>511649.70199999999</v>
      </c>
      <c r="C1503" s="95">
        <v>4786682.16</v>
      </c>
      <c r="D1503" s="95">
        <v>56.183999999999997</v>
      </c>
      <c r="E1503" s="91" t="s">
        <v>89</v>
      </c>
    </row>
    <row r="1504" spans="1:5" x14ac:dyDescent="0.25">
      <c r="A1504" s="94">
        <v>45989</v>
      </c>
      <c r="B1504" s="95">
        <v>511630.76</v>
      </c>
      <c r="C1504" s="95">
        <v>4786689.8609999996</v>
      </c>
      <c r="D1504" s="95">
        <v>55.945</v>
      </c>
      <c r="E1504" s="91" t="s">
        <v>90</v>
      </c>
    </row>
    <row r="1505" spans="1:5" x14ac:dyDescent="0.25">
      <c r="A1505" s="94">
        <v>45989</v>
      </c>
      <c r="B1505" s="95">
        <v>511623.43</v>
      </c>
      <c r="C1505" s="95">
        <v>4786694.0750000002</v>
      </c>
      <c r="D1505" s="95">
        <v>54.777000000000001</v>
      </c>
      <c r="E1505" s="91" t="s">
        <v>91</v>
      </c>
    </row>
    <row r="1506" spans="1:5" x14ac:dyDescent="0.25">
      <c r="A1506" s="94">
        <v>45989</v>
      </c>
      <c r="B1506" s="95">
        <v>511613.31400000001</v>
      </c>
      <c r="C1506" s="95">
        <v>4786695.3049999997</v>
      </c>
      <c r="D1506" s="95">
        <v>60.567999999999998</v>
      </c>
      <c r="E1506" s="91" t="s">
        <v>92</v>
      </c>
    </row>
    <row r="1507" spans="1:5" x14ac:dyDescent="0.25">
      <c r="A1507" s="94">
        <v>45989</v>
      </c>
      <c r="B1507" s="95">
        <v>511614.75099999999</v>
      </c>
      <c r="C1507" s="95">
        <v>4786712.5580000002</v>
      </c>
      <c r="D1507" s="95">
        <v>60.816000000000003</v>
      </c>
      <c r="E1507" s="91" t="s">
        <v>93</v>
      </c>
    </row>
    <row r="1508" spans="1:5" x14ac:dyDescent="0.25">
      <c r="A1508" s="94">
        <v>45989</v>
      </c>
      <c r="B1508" s="95">
        <v>511660.663</v>
      </c>
      <c r="C1508" s="95">
        <v>4786683.4689999996</v>
      </c>
      <c r="D1508" s="95">
        <v>55.402999999999999</v>
      </c>
      <c r="E1508" s="91" t="s">
        <v>94</v>
      </c>
    </row>
    <row r="1509" spans="1:5" x14ac:dyDescent="0.25">
      <c r="A1509" s="94">
        <v>45989</v>
      </c>
      <c r="B1509" s="95">
        <v>511670.87300000002</v>
      </c>
      <c r="C1509" s="95">
        <v>4786685.9210000001</v>
      </c>
      <c r="D1509" s="95">
        <v>54.820999999999998</v>
      </c>
      <c r="E1509" s="91" t="s">
        <v>95</v>
      </c>
    </row>
    <row r="1510" spans="1:5" x14ac:dyDescent="0.25">
      <c r="A1510" s="94">
        <v>45989</v>
      </c>
      <c r="B1510" s="95">
        <v>511649.79300000001</v>
      </c>
      <c r="C1510" s="95">
        <v>4786669.5</v>
      </c>
      <c r="D1510" s="95">
        <v>51.055999999999997</v>
      </c>
      <c r="E1510" s="91" t="s">
        <v>99</v>
      </c>
    </row>
    <row r="1511" spans="1:5" x14ac:dyDescent="0.25">
      <c r="A1511" s="94">
        <v>45989</v>
      </c>
      <c r="B1511" s="95">
        <v>511607.54499999998</v>
      </c>
      <c r="C1511" s="95">
        <v>4786691.983</v>
      </c>
      <c r="D1511" s="95">
        <v>51.061999999999998</v>
      </c>
      <c r="E1511" s="91" t="s">
        <v>100</v>
      </c>
    </row>
    <row r="1512" spans="1:5" x14ac:dyDescent="0.25">
      <c r="A1512" s="94">
        <v>45989</v>
      </c>
      <c r="B1512" s="95">
        <v>511607.26699999999</v>
      </c>
      <c r="C1512" s="95">
        <v>4786692.1730000004</v>
      </c>
      <c r="D1512" s="95">
        <v>51.063000000000002</v>
      </c>
      <c r="E1512" s="91" t="s">
        <v>101</v>
      </c>
    </row>
    <row r="1513" spans="1:5" x14ac:dyDescent="0.25">
      <c r="A1513" s="94">
        <v>45989</v>
      </c>
      <c r="B1513" s="95">
        <v>511601.11200000002</v>
      </c>
      <c r="C1513" s="95">
        <v>4786695.4189999998</v>
      </c>
      <c r="D1513" s="95">
        <v>51.042999999999999</v>
      </c>
      <c r="E1513" s="91" t="s">
        <v>102</v>
      </c>
    </row>
    <row r="1514" spans="1:5" x14ac:dyDescent="0.25">
      <c r="A1514" s="94">
        <v>45989</v>
      </c>
      <c r="B1514" s="95">
        <v>511615.25</v>
      </c>
      <c r="C1514" s="95">
        <v>4786687.432</v>
      </c>
      <c r="D1514" s="95">
        <v>48.448999999999998</v>
      </c>
      <c r="E1514" s="91" t="s">
        <v>103</v>
      </c>
    </row>
    <row r="1515" spans="1:5" x14ac:dyDescent="0.25">
      <c r="A1515" s="94">
        <v>45989</v>
      </c>
      <c r="B1515" s="95">
        <v>511615.22200000001</v>
      </c>
      <c r="C1515" s="95">
        <v>4786687.3550000004</v>
      </c>
      <c r="D1515" s="95">
        <v>45.941000000000003</v>
      </c>
      <c r="E1515" s="91" t="s">
        <v>104</v>
      </c>
    </row>
    <row r="1516" spans="1:5" x14ac:dyDescent="0.25">
      <c r="A1516" s="94">
        <v>45989</v>
      </c>
      <c r="B1516" s="95">
        <v>511615.17300000001</v>
      </c>
      <c r="C1516" s="95">
        <v>4786687.3870000001</v>
      </c>
      <c r="D1516" s="95">
        <v>43.963999999999999</v>
      </c>
      <c r="E1516" s="91" t="s">
        <v>110</v>
      </c>
    </row>
    <row r="1517" spans="1:5" x14ac:dyDescent="0.25">
      <c r="A1517" s="94">
        <v>45989</v>
      </c>
      <c r="B1517" s="95">
        <v>511629.18199999997</v>
      </c>
      <c r="C1517" s="95">
        <v>4786680.0640000002</v>
      </c>
      <c r="D1517" s="95">
        <v>48.465000000000003</v>
      </c>
      <c r="E1517" s="91" t="s">
        <v>105</v>
      </c>
    </row>
    <row r="1518" spans="1:5" x14ac:dyDescent="0.25">
      <c r="A1518" s="94">
        <v>45989</v>
      </c>
      <c r="B1518" s="95">
        <v>511629.30499999999</v>
      </c>
      <c r="C1518" s="95">
        <v>4786680.0250000004</v>
      </c>
      <c r="D1518" s="95">
        <v>45.948</v>
      </c>
      <c r="E1518" s="91" t="s">
        <v>106</v>
      </c>
    </row>
    <row r="1519" spans="1:5" x14ac:dyDescent="0.25">
      <c r="A1519" s="94">
        <v>45989</v>
      </c>
      <c r="B1519" s="95">
        <v>511642.28200000001</v>
      </c>
      <c r="C1519" s="95">
        <v>4786673.1239999998</v>
      </c>
      <c r="D1519" s="95">
        <v>48.447000000000003</v>
      </c>
      <c r="E1519" s="91" t="s">
        <v>107</v>
      </c>
    </row>
    <row r="1520" spans="1:5" x14ac:dyDescent="0.25">
      <c r="A1520" s="94">
        <v>45989</v>
      </c>
      <c r="B1520" s="95">
        <v>511642.43699999998</v>
      </c>
      <c r="C1520" s="95">
        <v>4786673.0130000003</v>
      </c>
      <c r="D1520" s="95">
        <v>45.942999999999998</v>
      </c>
      <c r="E1520" s="91" t="s">
        <v>108</v>
      </c>
    </row>
    <row r="1521" spans="1:5" x14ac:dyDescent="0.25">
      <c r="A1521" s="94">
        <v>45989</v>
      </c>
      <c r="B1521" s="95">
        <v>511642.47200000001</v>
      </c>
      <c r="C1521" s="95">
        <v>4786672.909</v>
      </c>
      <c r="D1521" s="95">
        <v>43.972999999999999</v>
      </c>
      <c r="E1521" s="91" t="s">
        <v>111</v>
      </c>
    </row>
    <row r="1522" spans="1:5" x14ac:dyDescent="0.25">
      <c r="A1522" s="94">
        <v>45989</v>
      </c>
      <c r="B1522" s="95">
        <v>511649.13</v>
      </c>
      <c r="C1522" s="95">
        <v>4786669.4079999998</v>
      </c>
      <c r="D1522" s="95">
        <v>43.954000000000001</v>
      </c>
      <c r="E1522" s="91" t="s">
        <v>113</v>
      </c>
    </row>
    <row r="1523" spans="1:5" x14ac:dyDescent="0.25">
      <c r="A1523" s="94">
        <v>45992</v>
      </c>
      <c r="B1523" s="95">
        <v>511615.09299999999</v>
      </c>
      <c r="C1523" s="95">
        <v>4786687.9819999998</v>
      </c>
      <c r="D1523" s="95">
        <v>51.027000000000001</v>
      </c>
      <c r="E1523" s="91" t="s">
        <v>96</v>
      </c>
    </row>
    <row r="1524" spans="1:5" x14ac:dyDescent="0.25">
      <c r="A1524" s="94">
        <v>45992</v>
      </c>
      <c r="B1524" s="95">
        <v>511628.87599999999</v>
      </c>
      <c r="C1524" s="95">
        <v>4786680.6449999996</v>
      </c>
      <c r="D1524" s="95">
        <v>51.037999999999997</v>
      </c>
      <c r="E1524" s="91" t="s">
        <v>97</v>
      </c>
    </row>
    <row r="1525" spans="1:5" x14ac:dyDescent="0.25">
      <c r="A1525" s="94">
        <v>45992</v>
      </c>
      <c r="B1525" s="95">
        <v>511642.57799999998</v>
      </c>
      <c r="C1525" s="95">
        <v>4786673.3509999998</v>
      </c>
      <c r="D1525" s="95">
        <v>51.048999999999999</v>
      </c>
      <c r="E1525" s="91" t="s">
        <v>98</v>
      </c>
    </row>
    <row r="1526" spans="1:5" x14ac:dyDescent="0.25">
      <c r="A1526" s="94">
        <v>45992</v>
      </c>
      <c r="B1526" s="95">
        <v>511607.69699999999</v>
      </c>
      <c r="C1526" s="95">
        <v>4786691.4210000001</v>
      </c>
      <c r="D1526" s="95">
        <v>43.945999999999998</v>
      </c>
      <c r="E1526" s="91" t="s">
        <v>112</v>
      </c>
    </row>
    <row r="1527" spans="1:5" x14ac:dyDescent="0.25">
      <c r="A1527" s="94">
        <v>45992</v>
      </c>
      <c r="B1527" s="95">
        <v>511629.41399999999</v>
      </c>
      <c r="C1527" s="95">
        <v>4786679.909</v>
      </c>
      <c r="D1527" s="95">
        <v>43.948</v>
      </c>
      <c r="E1527" s="91" t="s">
        <v>109</v>
      </c>
    </row>
    <row r="1528" spans="1:5" x14ac:dyDescent="0.25">
      <c r="A1528" s="94">
        <v>45992</v>
      </c>
      <c r="B1528" s="95">
        <v>511649.701</v>
      </c>
      <c r="C1528" s="95">
        <v>4786682.16</v>
      </c>
      <c r="D1528" s="95">
        <v>56.182000000000002</v>
      </c>
      <c r="E1528" s="91" t="s">
        <v>89</v>
      </c>
    </row>
    <row r="1529" spans="1:5" x14ac:dyDescent="0.25">
      <c r="A1529" s="94">
        <v>45992</v>
      </c>
      <c r="B1529" s="95">
        <v>511630.76</v>
      </c>
      <c r="C1529" s="95">
        <v>4786689.8600000003</v>
      </c>
      <c r="D1529" s="95">
        <v>55.942999999999998</v>
      </c>
      <c r="E1529" s="91" t="s">
        <v>90</v>
      </c>
    </row>
    <row r="1530" spans="1:5" x14ac:dyDescent="0.25">
      <c r="A1530" s="94">
        <v>45992</v>
      </c>
      <c r="B1530" s="95">
        <v>511623.43099999998</v>
      </c>
      <c r="C1530" s="95">
        <v>4786694.0760000004</v>
      </c>
      <c r="D1530" s="95">
        <v>54.776000000000003</v>
      </c>
      <c r="E1530" s="91" t="s">
        <v>91</v>
      </c>
    </row>
    <row r="1531" spans="1:5" x14ac:dyDescent="0.25">
      <c r="A1531" s="94">
        <v>45992</v>
      </c>
      <c r="B1531" s="95">
        <v>511613.31300000002</v>
      </c>
      <c r="C1531" s="95">
        <v>4786695.3049999997</v>
      </c>
      <c r="D1531" s="95">
        <v>60.566000000000003</v>
      </c>
      <c r="E1531" s="91" t="s">
        <v>92</v>
      </c>
    </row>
    <row r="1532" spans="1:5" x14ac:dyDescent="0.25">
      <c r="A1532" s="94">
        <v>45992</v>
      </c>
      <c r="B1532" s="95">
        <v>511614.75099999999</v>
      </c>
      <c r="C1532" s="95">
        <v>4786712.5590000004</v>
      </c>
      <c r="D1532" s="95">
        <v>60.814999999999998</v>
      </c>
      <c r="E1532" s="91" t="s">
        <v>93</v>
      </c>
    </row>
    <row r="1533" spans="1:5" x14ac:dyDescent="0.25">
      <c r="A1533" s="94">
        <v>45992</v>
      </c>
      <c r="B1533" s="95">
        <v>511660.663</v>
      </c>
      <c r="C1533" s="95">
        <v>4786683.4689999996</v>
      </c>
      <c r="D1533" s="95">
        <v>55.402999999999999</v>
      </c>
      <c r="E1533" s="91" t="s">
        <v>94</v>
      </c>
    </row>
    <row r="1534" spans="1:5" x14ac:dyDescent="0.25">
      <c r="A1534" s="94">
        <v>45992</v>
      </c>
      <c r="B1534" s="95">
        <v>511670.87300000002</v>
      </c>
      <c r="C1534" s="95">
        <v>4786685.9210000001</v>
      </c>
      <c r="D1534" s="95">
        <v>54.820999999999998</v>
      </c>
      <c r="E1534" s="91" t="s">
        <v>95</v>
      </c>
    </row>
    <row r="1535" spans="1:5" x14ac:dyDescent="0.25">
      <c r="A1535" s="94">
        <v>45992</v>
      </c>
      <c r="B1535" s="95">
        <v>511649.79200000002</v>
      </c>
      <c r="C1535" s="95">
        <v>4786669.5</v>
      </c>
      <c r="D1535" s="95">
        <v>51.055999999999997</v>
      </c>
      <c r="E1535" s="91" t="s">
        <v>99</v>
      </c>
    </row>
    <row r="1536" spans="1:5" x14ac:dyDescent="0.25">
      <c r="A1536" s="94">
        <v>45992</v>
      </c>
      <c r="B1536" s="95">
        <v>511607.54499999998</v>
      </c>
      <c r="C1536" s="95">
        <v>4786691.983</v>
      </c>
      <c r="D1536" s="95">
        <v>51.061999999999998</v>
      </c>
      <c r="E1536" s="91" t="s">
        <v>100</v>
      </c>
    </row>
    <row r="1537" spans="1:5" x14ac:dyDescent="0.25">
      <c r="A1537" s="94">
        <v>45992</v>
      </c>
      <c r="B1537" s="95">
        <v>511607.26500000001</v>
      </c>
      <c r="C1537" s="95">
        <v>4786692.1710000001</v>
      </c>
      <c r="D1537" s="95">
        <v>51.063000000000002</v>
      </c>
      <c r="E1537" s="91" t="s">
        <v>101</v>
      </c>
    </row>
    <row r="1538" spans="1:5" x14ac:dyDescent="0.25">
      <c r="A1538" s="94">
        <v>45992</v>
      </c>
      <c r="B1538" s="95">
        <v>511601.11200000002</v>
      </c>
      <c r="C1538" s="95">
        <v>4786695.4179999996</v>
      </c>
      <c r="D1538" s="95">
        <v>51.042999999999999</v>
      </c>
      <c r="E1538" s="91" t="s">
        <v>102</v>
      </c>
    </row>
    <row r="1539" spans="1:5" x14ac:dyDescent="0.25">
      <c r="A1539" s="94">
        <v>45992</v>
      </c>
      <c r="B1539" s="95">
        <v>511615.24800000002</v>
      </c>
      <c r="C1539" s="95">
        <v>4786687.43</v>
      </c>
      <c r="D1539" s="95">
        <v>48.444000000000003</v>
      </c>
      <c r="E1539" s="91" t="s">
        <v>103</v>
      </c>
    </row>
    <row r="1540" spans="1:5" x14ac:dyDescent="0.25">
      <c r="A1540" s="94">
        <v>45992</v>
      </c>
      <c r="B1540" s="95">
        <v>511615.22100000002</v>
      </c>
      <c r="C1540" s="95">
        <v>4786687.3530000001</v>
      </c>
      <c r="D1540" s="95">
        <v>45.936</v>
      </c>
      <c r="E1540" s="91" t="s">
        <v>104</v>
      </c>
    </row>
    <row r="1541" spans="1:5" x14ac:dyDescent="0.25">
      <c r="A1541" s="94">
        <v>45992</v>
      </c>
      <c r="B1541" s="95">
        <v>511615.17300000001</v>
      </c>
      <c r="C1541" s="95">
        <v>4786687.3830000004</v>
      </c>
      <c r="D1541" s="95">
        <v>43.96</v>
      </c>
      <c r="E1541" s="91" t="s">
        <v>110</v>
      </c>
    </row>
    <row r="1542" spans="1:5" x14ac:dyDescent="0.25">
      <c r="A1542" s="94">
        <v>45992</v>
      </c>
      <c r="B1542" s="95">
        <v>511629.18099999998</v>
      </c>
      <c r="C1542" s="95">
        <v>4786680.0619999999</v>
      </c>
      <c r="D1542" s="95">
        <v>48.462000000000003</v>
      </c>
      <c r="E1542" s="91" t="s">
        <v>105</v>
      </c>
    </row>
    <row r="1543" spans="1:5" x14ac:dyDescent="0.25">
      <c r="A1543" s="94">
        <v>45992</v>
      </c>
      <c r="B1543" s="95">
        <v>511629.304</v>
      </c>
      <c r="C1543" s="95">
        <v>4786680.0240000002</v>
      </c>
      <c r="D1543" s="95">
        <v>45.944000000000003</v>
      </c>
      <c r="E1543" s="91" t="s">
        <v>106</v>
      </c>
    </row>
    <row r="1544" spans="1:5" x14ac:dyDescent="0.25">
      <c r="A1544" s="94">
        <v>45992</v>
      </c>
      <c r="B1544" s="95">
        <v>511642.28100000002</v>
      </c>
      <c r="C1544" s="95">
        <v>4786673.1229999997</v>
      </c>
      <c r="D1544" s="95">
        <v>48.445999999999998</v>
      </c>
      <c r="E1544" s="91" t="s">
        <v>107</v>
      </c>
    </row>
    <row r="1545" spans="1:5" x14ac:dyDescent="0.25">
      <c r="A1545" s="94">
        <v>45992</v>
      </c>
      <c r="B1545" s="95">
        <v>511642.43699999998</v>
      </c>
      <c r="C1545" s="95">
        <v>4786673.0120000001</v>
      </c>
      <c r="D1545" s="95">
        <v>45.941000000000003</v>
      </c>
      <c r="E1545" s="91" t="s">
        <v>108</v>
      </c>
    </row>
    <row r="1546" spans="1:5" x14ac:dyDescent="0.25">
      <c r="A1546" s="94">
        <v>45992</v>
      </c>
      <c r="B1546" s="95">
        <v>511642.473</v>
      </c>
      <c r="C1546" s="95">
        <v>4786672.9079999998</v>
      </c>
      <c r="D1546" s="95">
        <v>43.970999999999997</v>
      </c>
      <c r="E1546" s="91" t="s">
        <v>111</v>
      </c>
    </row>
    <row r="1547" spans="1:5" x14ac:dyDescent="0.25">
      <c r="A1547" s="94">
        <v>45992</v>
      </c>
      <c r="B1547" s="95">
        <v>511649.13099999999</v>
      </c>
      <c r="C1547" s="95">
        <v>4786669.4069999997</v>
      </c>
      <c r="D1547" s="95">
        <v>43.953000000000003</v>
      </c>
      <c r="E1547" s="91" t="s">
        <v>113</v>
      </c>
    </row>
    <row r="1548" spans="1:5" x14ac:dyDescent="0.25">
      <c r="A1548" s="94">
        <v>45993</v>
      </c>
      <c r="B1548" s="95">
        <v>511615.09100000001</v>
      </c>
      <c r="C1548" s="95">
        <v>4786687.9809999997</v>
      </c>
      <c r="D1548" s="95">
        <v>51.027000000000001</v>
      </c>
      <c r="E1548" s="91" t="s">
        <v>96</v>
      </c>
    </row>
    <row r="1549" spans="1:5" x14ac:dyDescent="0.25">
      <c r="A1549" s="94">
        <v>45993</v>
      </c>
      <c r="B1549" s="95">
        <v>511628.87699999998</v>
      </c>
      <c r="C1549" s="95">
        <v>4786680.6449999996</v>
      </c>
      <c r="D1549" s="95">
        <v>51.037999999999997</v>
      </c>
      <c r="E1549" s="91" t="s">
        <v>97</v>
      </c>
    </row>
    <row r="1550" spans="1:5" x14ac:dyDescent="0.25">
      <c r="A1550" s="94">
        <v>45993</v>
      </c>
      <c r="B1550" s="95">
        <v>511642.57900000003</v>
      </c>
      <c r="C1550" s="95">
        <v>4786673.352</v>
      </c>
      <c r="D1550" s="95">
        <v>51.05</v>
      </c>
      <c r="E1550" s="91" t="s">
        <v>98</v>
      </c>
    </row>
    <row r="1551" spans="1:5" x14ac:dyDescent="0.25">
      <c r="A1551" s="94">
        <v>45993</v>
      </c>
      <c r="B1551" s="95">
        <v>511607.69400000002</v>
      </c>
      <c r="C1551" s="95">
        <v>4786691.42</v>
      </c>
      <c r="D1551" s="95">
        <v>43.945999999999998</v>
      </c>
      <c r="E1551" s="91" t="s">
        <v>112</v>
      </c>
    </row>
    <row r="1552" spans="1:5" x14ac:dyDescent="0.25">
      <c r="A1552" s="94">
        <v>45993</v>
      </c>
      <c r="B1552" s="95">
        <v>511629.41200000001</v>
      </c>
      <c r="C1552" s="95">
        <v>4786679.91</v>
      </c>
      <c r="D1552" s="95">
        <v>43.948</v>
      </c>
      <c r="E1552" s="91" t="s">
        <v>109</v>
      </c>
    </row>
    <row r="1553" spans="1:5" x14ac:dyDescent="0.25">
      <c r="A1553" s="94">
        <v>45993</v>
      </c>
      <c r="B1553" s="95">
        <v>511649.701</v>
      </c>
      <c r="C1553" s="95">
        <v>4786682.159</v>
      </c>
      <c r="D1553" s="95">
        <v>56.183</v>
      </c>
      <c r="E1553" s="91" t="s">
        <v>89</v>
      </c>
    </row>
    <row r="1554" spans="1:5" x14ac:dyDescent="0.25">
      <c r="A1554" s="94">
        <v>45993</v>
      </c>
      <c r="B1554" s="95">
        <v>511630.76</v>
      </c>
      <c r="C1554" s="95">
        <v>4786689.8619999997</v>
      </c>
      <c r="D1554" s="95">
        <v>55.944000000000003</v>
      </c>
      <c r="E1554" s="91" t="s">
        <v>90</v>
      </c>
    </row>
    <row r="1555" spans="1:5" x14ac:dyDescent="0.25">
      <c r="A1555" s="94">
        <v>45993</v>
      </c>
      <c r="B1555" s="95">
        <v>511623.43</v>
      </c>
      <c r="C1555" s="95">
        <v>4786694.0750000002</v>
      </c>
      <c r="D1555" s="95">
        <v>54.776000000000003</v>
      </c>
      <c r="E1555" s="91" t="s">
        <v>91</v>
      </c>
    </row>
    <row r="1556" spans="1:5" x14ac:dyDescent="0.25">
      <c r="A1556" s="94">
        <v>45993</v>
      </c>
      <c r="B1556" s="95">
        <v>511613.31199999998</v>
      </c>
      <c r="C1556" s="95">
        <v>4786695.3039999995</v>
      </c>
      <c r="D1556" s="95">
        <v>60.566000000000003</v>
      </c>
      <c r="E1556" s="91" t="s">
        <v>92</v>
      </c>
    </row>
    <row r="1557" spans="1:5" x14ac:dyDescent="0.25">
      <c r="A1557" s="94">
        <v>45993</v>
      </c>
      <c r="B1557" s="95">
        <v>511614.75</v>
      </c>
      <c r="C1557" s="95">
        <v>4786712.5580000002</v>
      </c>
      <c r="D1557" s="95">
        <v>60.816000000000003</v>
      </c>
      <c r="E1557" s="91" t="s">
        <v>93</v>
      </c>
    </row>
    <row r="1558" spans="1:5" x14ac:dyDescent="0.25">
      <c r="A1558" s="94">
        <v>45993</v>
      </c>
      <c r="B1558" s="95">
        <v>511660.66200000001</v>
      </c>
      <c r="C1558" s="95">
        <v>4786683.4689999996</v>
      </c>
      <c r="D1558" s="95">
        <v>55.402999999999999</v>
      </c>
      <c r="E1558" s="91" t="s">
        <v>94</v>
      </c>
    </row>
    <row r="1559" spans="1:5" x14ac:dyDescent="0.25">
      <c r="A1559" s="94">
        <v>45993</v>
      </c>
      <c r="B1559" s="95">
        <v>511670.87300000002</v>
      </c>
      <c r="C1559" s="95">
        <v>4786685.9210000001</v>
      </c>
      <c r="D1559" s="95">
        <v>54.820999999999998</v>
      </c>
      <c r="E1559" s="91" t="s">
        <v>95</v>
      </c>
    </row>
    <row r="1560" spans="1:5" x14ac:dyDescent="0.25">
      <c r="A1560" s="94">
        <v>45993</v>
      </c>
      <c r="B1560" s="95">
        <v>511607.54399999999</v>
      </c>
      <c r="C1560" s="95">
        <v>4786691.9819999998</v>
      </c>
      <c r="D1560" s="95">
        <v>51.061999999999998</v>
      </c>
      <c r="E1560" s="91" t="s">
        <v>100</v>
      </c>
    </row>
    <row r="1561" spans="1:5" x14ac:dyDescent="0.25">
      <c r="A1561" s="94">
        <v>45993</v>
      </c>
      <c r="B1561" s="95">
        <v>511607.26400000002</v>
      </c>
      <c r="C1561" s="95">
        <v>4786692.17</v>
      </c>
      <c r="D1561" s="95">
        <v>51.063000000000002</v>
      </c>
      <c r="E1561" s="91" t="s">
        <v>101</v>
      </c>
    </row>
    <row r="1562" spans="1:5" x14ac:dyDescent="0.25">
      <c r="A1562" s="94">
        <v>45993</v>
      </c>
      <c r="B1562" s="95">
        <v>511601.11099999998</v>
      </c>
      <c r="C1562" s="95">
        <v>4786695.4170000004</v>
      </c>
      <c r="D1562" s="95">
        <v>51.042999999999999</v>
      </c>
      <c r="E1562" s="91" t="s">
        <v>102</v>
      </c>
    </row>
    <row r="1563" spans="1:5" x14ac:dyDescent="0.25">
      <c r="A1563" s="94">
        <v>45993</v>
      </c>
      <c r="B1563" s="95">
        <v>511615.24800000002</v>
      </c>
      <c r="C1563" s="95">
        <v>4786687.43</v>
      </c>
      <c r="D1563" s="95">
        <v>48.442999999999998</v>
      </c>
      <c r="E1563" s="91" t="s">
        <v>103</v>
      </c>
    </row>
    <row r="1564" spans="1:5" x14ac:dyDescent="0.25">
      <c r="A1564" s="94">
        <v>45993</v>
      </c>
      <c r="B1564" s="95">
        <v>511615.22100000002</v>
      </c>
      <c r="C1564" s="95">
        <v>4786687.3530000001</v>
      </c>
      <c r="D1564" s="95">
        <v>45.935000000000002</v>
      </c>
      <c r="E1564" s="91" t="s">
        <v>104</v>
      </c>
    </row>
    <row r="1565" spans="1:5" x14ac:dyDescent="0.25">
      <c r="A1565" s="94">
        <v>45993</v>
      </c>
      <c r="B1565" s="95">
        <v>511615.16899999999</v>
      </c>
      <c r="C1565" s="95">
        <v>4786687.3839999996</v>
      </c>
      <c r="D1565" s="95">
        <v>43.96</v>
      </c>
      <c r="E1565" s="91" t="s">
        <v>110</v>
      </c>
    </row>
    <row r="1566" spans="1:5" x14ac:dyDescent="0.25">
      <c r="A1566" s="94">
        <v>45993</v>
      </c>
      <c r="B1566" s="95">
        <v>511629.179</v>
      </c>
      <c r="C1566" s="95">
        <v>4786680.0630000001</v>
      </c>
      <c r="D1566" s="95">
        <v>48.465000000000003</v>
      </c>
      <c r="E1566" s="91" t="s">
        <v>105</v>
      </c>
    </row>
    <row r="1567" spans="1:5" x14ac:dyDescent="0.25">
      <c r="A1567" s="94">
        <v>45993</v>
      </c>
      <c r="B1567" s="95">
        <v>511629.30499999999</v>
      </c>
      <c r="C1567" s="95">
        <v>4786680.0240000002</v>
      </c>
      <c r="D1567" s="95">
        <v>45.944000000000003</v>
      </c>
      <c r="E1567" s="91" t="s">
        <v>106</v>
      </c>
    </row>
    <row r="1568" spans="1:5" x14ac:dyDescent="0.25">
      <c r="A1568" s="94">
        <v>45993</v>
      </c>
      <c r="B1568" s="95">
        <v>511642.46899999998</v>
      </c>
      <c r="C1568" s="95">
        <v>4786672.909</v>
      </c>
      <c r="D1568" s="95">
        <v>43.972000000000001</v>
      </c>
      <c r="E1568" s="91" t="s">
        <v>111</v>
      </c>
    </row>
    <row r="1569" spans="1:5" x14ac:dyDescent="0.25">
      <c r="A1569" s="94">
        <v>45993</v>
      </c>
      <c r="B1569" s="95">
        <v>511649.12900000002</v>
      </c>
      <c r="C1569" s="95">
        <v>4786669.409</v>
      </c>
      <c r="D1569" s="95">
        <v>43.954000000000001</v>
      </c>
      <c r="E1569" s="91" t="s">
        <v>113</v>
      </c>
    </row>
    <row r="1570" spans="1:5" x14ac:dyDescent="0.25">
      <c r="A1570" s="94">
        <v>45994</v>
      </c>
      <c r="B1570" s="95">
        <v>511615.092</v>
      </c>
      <c r="C1570" s="95">
        <v>4786687.9819999998</v>
      </c>
      <c r="D1570" s="95">
        <v>51.027000000000001</v>
      </c>
      <c r="E1570" s="96" t="s">
        <v>96</v>
      </c>
    </row>
    <row r="1571" spans="1:5" x14ac:dyDescent="0.25">
      <c r="A1571" s="94">
        <v>45994</v>
      </c>
      <c r="B1571" s="95">
        <v>511628.87800000003</v>
      </c>
      <c r="C1571" s="95">
        <v>4786680.6449999996</v>
      </c>
      <c r="D1571" s="95">
        <v>51.037999999999997</v>
      </c>
      <c r="E1571" s="96" t="s">
        <v>97</v>
      </c>
    </row>
    <row r="1572" spans="1:5" x14ac:dyDescent="0.25">
      <c r="A1572" s="94">
        <v>45994</v>
      </c>
      <c r="B1572" s="95">
        <v>511642.57799999998</v>
      </c>
      <c r="C1572" s="95">
        <v>4786673.3509999998</v>
      </c>
      <c r="D1572" s="95">
        <v>51.05</v>
      </c>
      <c r="E1572" s="96" t="s">
        <v>98</v>
      </c>
    </row>
    <row r="1573" spans="1:5" x14ac:dyDescent="0.25">
      <c r="A1573" s="94">
        <v>45994</v>
      </c>
      <c r="B1573" s="95">
        <v>511607.68800000002</v>
      </c>
      <c r="C1573" s="95">
        <v>4786691.426</v>
      </c>
      <c r="D1573" s="95">
        <v>43.945</v>
      </c>
      <c r="E1573" s="96" t="s">
        <v>112</v>
      </c>
    </row>
    <row r="1574" spans="1:5" x14ac:dyDescent="0.25">
      <c r="A1574" s="94">
        <v>45994</v>
      </c>
      <c r="B1574" s="95">
        <v>511629.40700000001</v>
      </c>
      <c r="C1574" s="95">
        <v>4786679.9160000002</v>
      </c>
      <c r="D1574" s="95">
        <v>43.947000000000003</v>
      </c>
      <c r="E1574" s="96" t="s">
        <v>109</v>
      </c>
    </row>
    <row r="1575" spans="1:5" x14ac:dyDescent="0.25">
      <c r="A1575" s="94">
        <v>45994</v>
      </c>
      <c r="B1575" s="95">
        <v>511649.701</v>
      </c>
      <c r="C1575" s="95">
        <v>4786682.16</v>
      </c>
      <c r="D1575" s="95">
        <v>56.183999999999997</v>
      </c>
      <c r="E1575" s="96" t="s">
        <v>89</v>
      </c>
    </row>
    <row r="1576" spans="1:5" x14ac:dyDescent="0.25">
      <c r="A1576" s="94">
        <v>45994</v>
      </c>
      <c r="B1576" s="95">
        <v>511630.75900000002</v>
      </c>
      <c r="C1576" s="95">
        <v>4786689.8609999996</v>
      </c>
      <c r="D1576" s="95">
        <v>55.945</v>
      </c>
      <c r="E1576" s="96" t="s">
        <v>90</v>
      </c>
    </row>
    <row r="1577" spans="1:5" x14ac:dyDescent="0.25">
      <c r="A1577" s="94">
        <v>45994</v>
      </c>
      <c r="B1577" s="95">
        <v>511623.43099999998</v>
      </c>
      <c r="C1577" s="95">
        <v>4786694.0760000004</v>
      </c>
      <c r="D1577" s="95">
        <v>54.777000000000001</v>
      </c>
      <c r="E1577" s="96" t="s">
        <v>91</v>
      </c>
    </row>
    <row r="1578" spans="1:5" x14ac:dyDescent="0.25">
      <c r="A1578" s="94">
        <v>45994</v>
      </c>
      <c r="B1578" s="95">
        <v>511613.31199999998</v>
      </c>
      <c r="C1578" s="95">
        <v>4786695.3059999999</v>
      </c>
      <c r="D1578" s="95">
        <v>60.566000000000003</v>
      </c>
      <c r="E1578" s="96" t="s">
        <v>92</v>
      </c>
    </row>
    <row r="1579" spans="1:5" x14ac:dyDescent="0.25">
      <c r="A1579" s="94">
        <v>45994</v>
      </c>
      <c r="B1579" s="95">
        <v>511614.74900000001</v>
      </c>
      <c r="C1579" s="95">
        <v>4786712.557</v>
      </c>
      <c r="D1579" s="95">
        <v>60.816000000000003</v>
      </c>
      <c r="E1579" s="96" t="s">
        <v>93</v>
      </c>
    </row>
    <row r="1580" spans="1:5" x14ac:dyDescent="0.25">
      <c r="A1580" s="94">
        <v>45994</v>
      </c>
      <c r="B1580" s="95">
        <v>511660.66399999999</v>
      </c>
      <c r="C1580" s="95">
        <v>4786683.4689999996</v>
      </c>
      <c r="D1580" s="95">
        <v>55.404000000000003</v>
      </c>
      <c r="E1580" s="96" t="s">
        <v>94</v>
      </c>
    </row>
    <row r="1581" spans="1:5" x14ac:dyDescent="0.25">
      <c r="A1581" s="94">
        <v>45994</v>
      </c>
      <c r="B1581" s="95">
        <v>511670.87400000001</v>
      </c>
      <c r="C1581" s="95">
        <v>4786685.9210000001</v>
      </c>
      <c r="D1581" s="95">
        <v>54.820999999999998</v>
      </c>
      <c r="E1581" s="96" t="s">
        <v>95</v>
      </c>
    </row>
    <row r="1582" spans="1:5" x14ac:dyDescent="0.25">
      <c r="A1582" s="94">
        <v>45994</v>
      </c>
      <c r="B1582" s="95">
        <v>511649.79100000003</v>
      </c>
      <c r="C1582" s="95">
        <v>4786669.5</v>
      </c>
      <c r="D1582" s="95">
        <v>51.055999999999997</v>
      </c>
      <c r="E1582" s="96" t="s">
        <v>99</v>
      </c>
    </row>
    <row r="1583" spans="1:5" x14ac:dyDescent="0.25">
      <c r="A1583" s="94">
        <v>45994</v>
      </c>
      <c r="B1583" s="95">
        <v>511607.54399999999</v>
      </c>
      <c r="C1583" s="95">
        <v>4786691.9819999998</v>
      </c>
      <c r="D1583" s="95">
        <v>51.061999999999998</v>
      </c>
      <c r="E1583" s="96" t="s">
        <v>100</v>
      </c>
    </row>
    <row r="1584" spans="1:5" x14ac:dyDescent="0.25">
      <c r="A1584" s="94">
        <v>45994</v>
      </c>
      <c r="B1584" s="95">
        <v>511607.26400000002</v>
      </c>
      <c r="C1584" s="95">
        <v>4786692.17</v>
      </c>
      <c r="D1584" s="95">
        <v>51.063000000000002</v>
      </c>
      <c r="E1584" s="96" t="s">
        <v>101</v>
      </c>
    </row>
    <row r="1585" spans="1:5" x14ac:dyDescent="0.25">
      <c r="A1585" s="94">
        <v>45994</v>
      </c>
      <c r="B1585" s="95">
        <v>511601.11</v>
      </c>
      <c r="C1585" s="95">
        <v>4786695.4160000002</v>
      </c>
      <c r="D1585" s="95">
        <v>51.042999999999999</v>
      </c>
      <c r="E1585" s="96" t="s">
        <v>102</v>
      </c>
    </row>
    <row r="1586" spans="1:5" x14ac:dyDescent="0.25">
      <c r="A1586" s="94">
        <v>45994</v>
      </c>
      <c r="B1586" s="95">
        <v>511615.24699999997</v>
      </c>
      <c r="C1586" s="95">
        <v>4786687.4349999996</v>
      </c>
      <c r="D1586" s="95">
        <v>48.462000000000003</v>
      </c>
      <c r="E1586" s="96" t="s">
        <v>103</v>
      </c>
    </row>
    <row r="1587" spans="1:5" x14ac:dyDescent="0.25">
      <c r="A1587" s="94">
        <v>45994</v>
      </c>
      <c r="B1587" s="95">
        <v>511615.22</v>
      </c>
      <c r="C1587" s="95">
        <v>4786687.3569999998</v>
      </c>
      <c r="D1587" s="95">
        <v>45.954000000000001</v>
      </c>
      <c r="E1587" s="96" t="s">
        <v>104</v>
      </c>
    </row>
    <row r="1588" spans="1:5" x14ac:dyDescent="0.25">
      <c r="A1588" s="94">
        <v>45994</v>
      </c>
      <c r="B1588" s="95">
        <v>511615.16399999999</v>
      </c>
      <c r="C1588" s="95">
        <v>4786687.3890000004</v>
      </c>
      <c r="D1588" s="95">
        <v>43.96</v>
      </c>
      <c r="E1588" s="96" t="s">
        <v>110</v>
      </c>
    </row>
    <row r="1589" spans="1:5" x14ac:dyDescent="0.25">
      <c r="A1589" s="94">
        <v>45994</v>
      </c>
      <c r="B1589" s="95">
        <v>511629.17599999998</v>
      </c>
      <c r="C1589" s="95">
        <v>4786680.0669999998</v>
      </c>
      <c r="D1589" s="95">
        <v>48.473999999999997</v>
      </c>
      <c r="E1589" s="96" t="s">
        <v>105</v>
      </c>
    </row>
    <row r="1590" spans="1:5" x14ac:dyDescent="0.25">
      <c r="A1590" s="94">
        <v>45994</v>
      </c>
      <c r="B1590" s="95">
        <v>511629.30300000001</v>
      </c>
      <c r="C1590" s="95">
        <v>4786680.0290000001</v>
      </c>
      <c r="D1590" s="95">
        <v>45.956000000000003</v>
      </c>
      <c r="E1590" s="96" t="s">
        <v>106</v>
      </c>
    </row>
    <row r="1591" spans="1:5" x14ac:dyDescent="0.25">
      <c r="A1591" s="94">
        <v>45994</v>
      </c>
      <c r="B1591" s="95">
        <v>511642.28100000002</v>
      </c>
      <c r="C1591" s="95">
        <v>4786673.1289999997</v>
      </c>
      <c r="D1591" s="95">
        <v>48.454999999999998</v>
      </c>
      <c r="E1591" s="96" t="s">
        <v>107</v>
      </c>
    </row>
    <row r="1592" spans="1:5" x14ac:dyDescent="0.25">
      <c r="A1592" s="94">
        <v>45994</v>
      </c>
      <c r="B1592" s="95">
        <v>511642.43800000002</v>
      </c>
      <c r="C1592" s="95">
        <v>4786673.0130000003</v>
      </c>
      <c r="D1592" s="95">
        <v>45.942</v>
      </c>
      <c r="E1592" s="96" t="s">
        <v>108</v>
      </c>
    </row>
    <row r="1593" spans="1:5" x14ac:dyDescent="0.25">
      <c r="A1593" s="94">
        <v>45994</v>
      </c>
      <c r="B1593" s="95">
        <v>511642.46399999998</v>
      </c>
      <c r="C1593" s="95">
        <v>4786672.9160000002</v>
      </c>
      <c r="D1593" s="95">
        <v>43.972000000000001</v>
      </c>
      <c r="E1593" s="96" t="s">
        <v>111</v>
      </c>
    </row>
    <row r="1594" spans="1:5" x14ac:dyDescent="0.25">
      <c r="A1594" s="94">
        <v>45994</v>
      </c>
      <c r="B1594" s="95">
        <v>511649.12400000001</v>
      </c>
      <c r="C1594" s="95">
        <v>4786669.4170000004</v>
      </c>
      <c r="D1594" s="95">
        <v>43.954999999999998</v>
      </c>
      <c r="E1594" s="96" t="s">
        <v>113</v>
      </c>
    </row>
    <row r="1595" spans="1:5" x14ac:dyDescent="0.25">
      <c r="A1595" s="94">
        <v>45995</v>
      </c>
      <c r="B1595" s="95">
        <v>511615.09</v>
      </c>
      <c r="C1595" s="95">
        <v>4786687.9840000002</v>
      </c>
      <c r="D1595" s="95">
        <v>51.042000000000002</v>
      </c>
      <c r="E1595" s="96" t="s">
        <v>96</v>
      </c>
    </row>
    <row r="1596" spans="1:5" x14ac:dyDescent="0.25">
      <c r="A1596" s="94">
        <v>45995</v>
      </c>
      <c r="B1596" s="95">
        <v>511628.875</v>
      </c>
      <c r="C1596" s="95">
        <v>4786680.6440000003</v>
      </c>
      <c r="D1596" s="95">
        <v>51.037999999999997</v>
      </c>
      <c r="E1596" s="96" t="s">
        <v>97</v>
      </c>
    </row>
    <row r="1597" spans="1:5" x14ac:dyDescent="0.25">
      <c r="A1597" s="94">
        <v>45995</v>
      </c>
      <c r="B1597" s="95">
        <v>511642.57799999998</v>
      </c>
      <c r="C1597" s="95">
        <v>4786673.3509999998</v>
      </c>
      <c r="D1597" s="95">
        <v>51.05</v>
      </c>
      <c r="E1597" s="96" t="s">
        <v>98</v>
      </c>
    </row>
    <row r="1598" spans="1:5" x14ac:dyDescent="0.25">
      <c r="A1598" s="94">
        <v>45995</v>
      </c>
      <c r="B1598" s="95">
        <v>511607.69699999999</v>
      </c>
      <c r="C1598" s="95">
        <v>4786691.42</v>
      </c>
      <c r="D1598" s="95">
        <v>43.944000000000003</v>
      </c>
      <c r="E1598" s="96" t="s">
        <v>112</v>
      </c>
    </row>
    <row r="1599" spans="1:5" x14ac:dyDescent="0.25">
      <c r="A1599" s="94">
        <v>45995</v>
      </c>
      <c r="B1599" s="95">
        <v>511629.41399999999</v>
      </c>
      <c r="C1599" s="95">
        <v>4786679.9069999997</v>
      </c>
      <c r="D1599" s="95">
        <v>43.947000000000003</v>
      </c>
      <c r="E1599" s="96" t="s">
        <v>109</v>
      </c>
    </row>
    <row r="1600" spans="1:5" x14ac:dyDescent="0.25">
      <c r="A1600" s="94">
        <v>45995</v>
      </c>
      <c r="B1600" s="95">
        <v>511649.69900000002</v>
      </c>
      <c r="C1600" s="95">
        <v>4786682.159</v>
      </c>
      <c r="D1600" s="95">
        <v>56.183999999999997</v>
      </c>
      <c r="E1600" s="96" t="s">
        <v>89</v>
      </c>
    </row>
    <row r="1601" spans="1:5" x14ac:dyDescent="0.25">
      <c r="A1601" s="94">
        <v>45995</v>
      </c>
      <c r="B1601" s="95">
        <v>511630.75799999997</v>
      </c>
      <c r="C1601" s="95">
        <v>4786689.8600000003</v>
      </c>
      <c r="D1601" s="95">
        <v>55.945</v>
      </c>
      <c r="E1601" s="96" t="s">
        <v>90</v>
      </c>
    </row>
    <row r="1602" spans="1:5" x14ac:dyDescent="0.25">
      <c r="A1602" s="94">
        <v>45995</v>
      </c>
      <c r="B1602" s="95">
        <v>511623.43</v>
      </c>
      <c r="C1602" s="95">
        <v>4786694.0750000002</v>
      </c>
      <c r="D1602" s="95">
        <v>54.776000000000003</v>
      </c>
      <c r="E1602" s="96" t="s">
        <v>91</v>
      </c>
    </row>
    <row r="1603" spans="1:5" x14ac:dyDescent="0.25">
      <c r="A1603" s="94">
        <v>45995</v>
      </c>
      <c r="B1603" s="95">
        <v>511613.31199999998</v>
      </c>
      <c r="C1603" s="95">
        <v>4786695.3039999995</v>
      </c>
      <c r="D1603" s="95">
        <v>60.566000000000003</v>
      </c>
      <c r="E1603" s="96" t="s">
        <v>92</v>
      </c>
    </row>
    <row r="1604" spans="1:5" x14ac:dyDescent="0.25">
      <c r="A1604" s="94">
        <v>45995</v>
      </c>
      <c r="B1604" s="95">
        <v>511614.74900000001</v>
      </c>
      <c r="C1604" s="95">
        <v>4786712.557</v>
      </c>
      <c r="D1604" s="95">
        <v>60.816000000000003</v>
      </c>
      <c r="E1604" s="96" t="s">
        <v>93</v>
      </c>
    </row>
    <row r="1605" spans="1:5" x14ac:dyDescent="0.25">
      <c r="A1605" s="94">
        <v>45995</v>
      </c>
      <c r="B1605" s="95">
        <v>511660.663</v>
      </c>
      <c r="C1605" s="95">
        <v>4786683.4689999996</v>
      </c>
      <c r="D1605" s="95">
        <v>55.402999999999999</v>
      </c>
      <c r="E1605" s="96" t="s">
        <v>94</v>
      </c>
    </row>
    <row r="1606" spans="1:5" x14ac:dyDescent="0.25">
      <c r="A1606" s="94">
        <v>45995</v>
      </c>
      <c r="B1606" s="95">
        <v>511670.87199999997</v>
      </c>
      <c r="C1606" s="95">
        <v>4786685.9210000001</v>
      </c>
      <c r="D1606" s="95">
        <v>54.820999999999998</v>
      </c>
      <c r="E1606" s="96" t="s">
        <v>95</v>
      </c>
    </row>
    <row r="1607" spans="1:5" x14ac:dyDescent="0.25">
      <c r="A1607" s="94">
        <v>45995</v>
      </c>
      <c r="B1607" s="95">
        <v>511649.79200000002</v>
      </c>
      <c r="C1607" s="95">
        <v>4786669.5</v>
      </c>
      <c r="D1607" s="95">
        <v>51.055999999999997</v>
      </c>
      <c r="E1607" s="96" t="s">
        <v>99</v>
      </c>
    </row>
    <row r="1608" spans="1:5" x14ac:dyDescent="0.25">
      <c r="A1608" s="94">
        <v>45995</v>
      </c>
      <c r="B1608" s="95">
        <v>511607.54399999999</v>
      </c>
      <c r="C1608" s="95">
        <v>4786691.9819999998</v>
      </c>
      <c r="D1608" s="95">
        <v>51.061999999999998</v>
      </c>
      <c r="E1608" s="96" t="s">
        <v>100</v>
      </c>
    </row>
    <row r="1609" spans="1:5" x14ac:dyDescent="0.25">
      <c r="A1609" s="94">
        <v>45995</v>
      </c>
      <c r="B1609" s="95">
        <v>511607.26400000002</v>
      </c>
      <c r="C1609" s="95">
        <v>4786692.17</v>
      </c>
      <c r="D1609" s="95">
        <v>51.063000000000002</v>
      </c>
      <c r="E1609" s="96" t="s">
        <v>101</v>
      </c>
    </row>
    <row r="1610" spans="1:5" x14ac:dyDescent="0.25">
      <c r="A1610" s="94">
        <v>45995</v>
      </c>
      <c r="B1610" s="95">
        <v>511601.11</v>
      </c>
      <c r="C1610" s="95">
        <v>4786695.4160000002</v>
      </c>
      <c r="D1610" s="95">
        <v>51.037999999999997</v>
      </c>
      <c r="E1610" s="96" t="s">
        <v>102</v>
      </c>
    </row>
    <row r="1611" spans="1:5" x14ac:dyDescent="0.25">
      <c r="A1611" s="94">
        <v>45995</v>
      </c>
      <c r="B1611" s="95">
        <v>511615.24699999997</v>
      </c>
      <c r="C1611" s="95">
        <v>4786687.4289999995</v>
      </c>
      <c r="D1611" s="95">
        <v>48.442999999999998</v>
      </c>
      <c r="E1611" s="96" t="s">
        <v>103</v>
      </c>
    </row>
    <row r="1612" spans="1:5" x14ac:dyDescent="0.25">
      <c r="A1612" s="94">
        <v>45995</v>
      </c>
      <c r="B1612" s="95">
        <v>511615.22100000002</v>
      </c>
      <c r="C1612" s="95">
        <v>4786687.3530000001</v>
      </c>
      <c r="D1612" s="95">
        <v>45.936</v>
      </c>
      <c r="E1612" s="96" t="s">
        <v>104</v>
      </c>
    </row>
    <row r="1613" spans="1:5" x14ac:dyDescent="0.25">
      <c r="A1613" s="94">
        <v>45995</v>
      </c>
      <c r="B1613" s="95">
        <v>511615.17200000002</v>
      </c>
      <c r="C1613" s="95">
        <v>4786687.3810000001</v>
      </c>
      <c r="D1613" s="95">
        <v>43.959000000000003</v>
      </c>
      <c r="E1613" s="96" t="s">
        <v>110</v>
      </c>
    </row>
    <row r="1614" spans="1:5" x14ac:dyDescent="0.25">
      <c r="A1614" s="94">
        <v>45995</v>
      </c>
      <c r="B1614" s="95">
        <v>511629.18</v>
      </c>
      <c r="C1614" s="95">
        <v>4786680.0609999998</v>
      </c>
      <c r="D1614" s="95">
        <v>48.462000000000003</v>
      </c>
      <c r="E1614" s="96" t="s">
        <v>105</v>
      </c>
    </row>
    <row r="1615" spans="1:5" x14ac:dyDescent="0.25">
      <c r="A1615" s="94">
        <v>45995</v>
      </c>
      <c r="B1615" s="95">
        <v>511629.30300000001</v>
      </c>
      <c r="C1615" s="95">
        <v>4786680.023</v>
      </c>
      <c r="D1615" s="95">
        <v>45.944000000000003</v>
      </c>
      <c r="E1615" s="96" t="s">
        <v>106</v>
      </c>
    </row>
    <row r="1616" spans="1:5" x14ac:dyDescent="0.25">
      <c r="A1616" s="94">
        <v>45995</v>
      </c>
      <c r="B1616" s="95">
        <v>511642.28100000002</v>
      </c>
      <c r="C1616" s="95">
        <v>4786673.1239999998</v>
      </c>
      <c r="D1616" s="95">
        <v>48.445999999999998</v>
      </c>
      <c r="E1616" s="96" t="s">
        <v>107</v>
      </c>
    </row>
    <row r="1617" spans="1:5" x14ac:dyDescent="0.25">
      <c r="A1617" s="94">
        <v>45995</v>
      </c>
      <c r="B1617" s="95">
        <v>511642.435</v>
      </c>
      <c r="C1617" s="95">
        <v>4786673.0120000001</v>
      </c>
      <c r="D1617" s="95">
        <v>45.942</v>
      </c>
      <c r="E1617" s="96" t="s">
        <v>108</v>
      </c>
    </row>
    <row r="1618" spans="1:5" x14ac:dyDescent="0.25">
      <c r="A1618" s="94">
        <v>45995</v>
      </c>
      <c r="B1618" s="95">
        <v>511642.47200000001</v>
      </c>
      <c r="C1618" s="95">
        <v>4786672.9050000003</v>
      </c>
      <c r="D1618" s="95">
        <v>43.972000000000001</v>
      </c>
      <c r="E1618" s="96" t="s">
        <v>111</v>
      </c>
    </row>
    <row r="1619" spans="1:5" x14ac:dyDescent="0.25">
      <c r="A1619" s="94">
        <v>45995</v>
      </c>
      <c r="B1619" s="95">
        <v>511649.13199999998</v>
      </c>
      <c r="C1619" s="95">
        <v>4786669.4060000004</v>
      </c>
      <c r="D1619" s="95">
        <v>43.954999999999998</v>
      </c>
      <c r="E1619" s="96" t="s">
        <v>113</v>
      </c>
    </row>
    <row r="1620" spans="1:5" x14ac:dyDescent="0.25">
      <c r="A1620" s="94">
        <v>45996</v>
      </c>
      <c r="B1620" s="95">
        <v>511615.09100000001</v>
      </c>
      <c r="C1620" s="95">
        <v>4786687.9800000004</v>
      </c>
      <c r="D1620" s="95">
        <v>51.027000000000001</v>
      </c>
      <c r="E1620" s="96" t="s">
        <v>96</v>
      </c>
    </row>
    <row r="1621" spans="1:5" x14ac:dyDescent="0.25">
      <c r="A1621" s="94">
        <v>45996</v>
      </c>
      <c r="B1621" s="95">
        <v>511628.87699999998</v>
      </c>
      <c r="C1621" s="95">
        <v>4786680.6449999996</v>
      </c>
      <c r="D1621" s="95">
        <v>51.037999999999997</v>
      </c>
      <c r="E1621" s="96" t="s">
        <v>97</v>
      </c>
    </row>
    <row r="1622" spans="1:5" x14ac:dyDescent="0.25">
      <c r="A1622" s="94">
        <v>45996</v>
      </c>
      <c r="B1622" s="95">
        <v>511642.57900000003</v>
      </c>
      <c r="C1622" s="95">
        <v>4786673.3509999998</v>
      </c>
      <c r="D1622" s="95">
        <v>51.05</v>
      </c>
      <c r="E1622" s="96" t="s">
        <v>98</v>
      </c>
    </row>
    <row r="1623" spans="1:5" x14ac:dyDescent="0.25">
      <c r="A1623" s="94">
        <v>45996</v>
      </c>
      <c r="B1623" s="95">
        <v>511607.69300000003</v>
      </c>
      <c r="C1623" s="95">
        <v>4786691.42</v>
      </c>
      <c r="D1623" s="95">
        <v>43.945</v>
      </c>
      <c r="E1623" s="96" t="s">
        <v>112</v>
      </c>
    </row>
    <row r="1624" spans="1:5" x14ac:dyDescent="0.25">
      <c r="A1624" s="94">
        <v>45996</v>
      </c>
      <c r="B1624" s="95">
        <v>511629.41200000001</v>
      </c>
      <c r="C1624" s="95">
        <v>4786679.909</v>
      </c>
      <c r="D1624" s="95">
        <v>43.947000000000003</v>
      </c>
      <c r="E1624" s="96" t="s">
        <v>109</v>
      </c>
    </row>
    <row r="1625" spans="1:5" x14ac:dyDescent="0.25">
      <c r="A1625" s="94">
        <v>45996</v>
      </c>
      <c r="B1625" s="95">
        <v>511649.7</v>
      </c>
      <c r="C1625" s="95">
        <v>4786682.159</v>
      </c>
      <c r="D1625" s="95">
        <v>56.183999999999997</v>
      </c>
      <c r="E1625" s="96" t="s">
        <v>89</v>
      </c>
    </row>
    <row r="1626" spans="1:5" x14ac:dyDescent="0.25">
      <c r="A1626" s="94">
        <v>45996</v>
      </c>
      <c r="B1626" s="95">
        <v>511630.76</v>
      </c>
      <c r="C1626" s="95">
        <v>4786689.8600000003</v>
      </c>
      <c r="D1626" s="95">
        <v>55.945</v>
      </c>
      <c r="E1626" s="96" t="s">
        <v>90</v>
      </c>
    </row>
    <row r="1627" spans="1:5" x14ac:dyDescent="0.25">
      <c r="A1627" s="94">
        <v>45996</v>
      </c>
      <c r="B1627" s="95">
        <v>511623.43</v>
      </c>
      <c r="C1627" s="95">
        <v>4786694.0750000002</v>
      </c>
      <c r="D1627" s="95">
        <v>54.777000000000001</v>
      </c>
      <c r="E1627" s="96" t="s">
        <v>91</v>
      </c>
    </row>
    <row r="1628" spans="1:5" x14ac:dyDescent="0.25">
      <c r="A1628" s="94">
        <v>45996</v>
      </c>
      <c r="B1628" s="95">
        <v>511613.31199999998</v>
      </c>
      <c r="C1628" s="95">
        <v>4786695.3039999995</v>
      </c>
      <c r="D1628" s="95">
        <v>60.567</v>
      </c>
      <c r="E1628" s="96" t="s">
        <v>92</v>
      </c>
    </row>
    <row r="1629" spans="1:5" x14ac:dyDescent="0.25">
      <c r="A1629" s="94">
        <v>45996</v>
      </c>
      <c r="B1629" s="95">
        <v>511614.75099999999</v>
      </c>
      <c r="C1629" s="95">
        <v>4786712.5580000002</v>
      </c>
      <c r="D1629" s="95">
        <v>60.817</v>
      </c>
      <c r="E1629" s="96" t="s">
        <v>93</v>
      </c>
    </row>
    <row r="1630" spans="1:5" x14ac:dyDescent="0.25">
      <c r="A1630" s="94">
        <v>45996</v>
      </c>
      <c r="B1630" s="95">
        <v>511660.66399999999</v>
      </c>
      <c r="C1630" s="95">
        <v>4786683.4689999996</v>
      </c>
      <c r="D1630" s="95">
        <v>55.402000000000001</v>
      </c>
      <c r="E1630" s="96" t="s">
        <v>94</v>
      </c>
    </row>
    <row r="1631" spans="1:5" x14ac:dyDescent="0.25">
      <c r="A1631" s="94">
        <v>45996</v>
      </c>
      <c r="B1631" s="95">
        <v>511670.87400000001</v>
      </c>
      <c r="C1631" s="95">
        <v>4786685.9210000001</v>
      </c>
      <c r="D1631" s="95">
        <v>54.817</v>
      </c>
      <c r="E1631" s="96" t="s">
        <v>95</v>
      </c>
    </row>
    <row r="1632" spans="1:5" x14ac:dyDescent="0.25">
      <c r="A1632" s="94">
        <v>45996</v>
      </c>
      <c r="B1632" s="95">
        <v>511649.79200000002</v>
      </c>
      <c r="C1632" s="95">
        <v>4786669.4939999999</v>
      </c>
      <c r="D1632" s="95">
        <v>51.057000000000002</v>
      </c>
      <c r="E1632" s="96" t="s">
        <v>99</v>
      </c>
    </row>
    <row r="1633" spans="1:5" x14ac:dyDescent="0.25">
      <c r="A1633" s="94">
        <v>45996</v>
      </c>
      <c r="B1633" s="95">
        <v>511607.54599999997</v>
      </c>
      <c r="C1633" s="95">
        <v>4786691.977</v>
      </c>
      <c r="D1633" s="95">
        <v>51.048999999999999</v>
      </c>
      <c r="E1633" s="96" t="s">
        <v>100</v>
      </c>
    </row>
    <row r="1634" spans="1:5" x14ac:dyDescent="0.25">
      <c r="A1634" s="94">
        <v>45996</v>
      </c>
      <c r="B1634" s="95">
        <v>511607.261</v>
      </c>
      <c r="C1634" s="95">
        <v>4786692.17</v>
      </c>
      <c r="D1634" s="95">
        <v>51.048999999999999</v>
      </c>
      <c r="E1634" s="96" t="s">
        <v>101</v>
      </c>
    </row>
    <row r="1635" spans="1:5" x14ac:dyDescent="0.25">
      <c r="A1635" s="94">
        <v>45996</v>
      </c>
      <c r="B1635" s="95">
        <v>511601.11</v>
      </c>
      <c r="C1635" s="95">
        <v>4786695.4170000004</v>
      </c>
      <c r="D1635" s="95">
        <v>51.037999999999997</v>
      </c>
      <c r="E1635" s="96" t="s">
        <v>102</v>
      </c>
    </row>
    <row r="1636" spans="1:5" x14ac:dyDescent="0.25">
      <c r="A1636" s="94">
        <v>45996</v>
      </c>
      <c r="B1636" s="95">
        <v>511615.24900000001</v>
      </c>
      <c r="C1636" s="95">
        <v>4786687.43</v>
      </c>
      <c r="D1636" s="95">
        <v>48.442999999999998</v>
      </c>
      <c r="E1636" s="96" t="s">
        <v>103</v>
      </c>
    </row>
    <row r="1637" spans="1:5" x14ac:dyDescent="0.25">
      <c r="A1637" s="94">
        <v>45996</v>
      </c>
      <c r="B1637" s="95">
        <v>511615.22100000002</v>
      </c>
      <c r="C1637" s="95">
        <v>4786687.3530000001</v>
      </c>
      <c r="D1637" s="95">
        <v>45.936</v>
      </c>
      <c r="E1637" s="96" t="s">
        <v>104</v>
      </c>
    </row>
    <row r="1638" spans="1:5" x14ac:dyDescent="0.25">
      <c r="A1638" s="94">
        <v>45996</v>
      </c>
      <c r="B1638" s="95">
        <v>511615.16899999999</v>
      </c>
      <c r="C1638" s="95">
        <v>4786687.3830000004</v>
      </c>
      <c r="D1638" s="95">
        <v>43.96</v>
      </c>
      <c r="E1638" s="96" t="s">
        <v>110</v>
      </c>
    </row>
    <row r="1639" spans="1:5" x14ac:dyDescent="0.25">
      <c r="A1639" s="94">
        <v>45996</v>
      </c>
      <c r="B1639" s="95">
        <v>511629.18</v>
      </c>
      <c r="C1639" s="95">
        <v>4786680.0609999998</v>
      </c>
      <c r="D1639" s="95">
        <v>48.463999999999999</v>
      </c>
      <c r="E1639" s="96" t="s">
        <v>105</v>
      </c>
    </row>
    <row r="1640" spans="1:5" x14ac:dyDescent="0.25">
      <c r="A1640" s="94">
        <v>45996</v>
      </c>
      <c r="B1640" s="95">
        <v>511629.304</v>
      </c>
      <c r="C1640" s="95">
        <v>4786680.023</v>
      </c>
      <c r="D1640" s="95">
        <v>45.945</v>
      </c>
      <c r="E1640" s="96" t="s">
        <v>106</v>
      </c>
    </row>
    <row r="1641" spans="1:5" x14ac:dyDescent="0.25">
      <c r="A1641" s="94">
        <v>45996</v>
      </c>
      <c r="B1641" s="95">
        <v>511642.283</v>
      </c>
      <c r="C1641" s="95">
        <v>4786673.1239999998</v>
      </c>
      <c r="D1641" s="95">
        <v>48.447000000000003</v>
      </c>
      <c r="E1641" s="96" t="s">
        <v>107</v>
      </c>
    </row>
    <row r="1642" spans="1:5" x14ac:dyDescent="0.25">
      <c r="A1642" s="94">
        <v>45996</v>
      </c>
      <c r="B1642" s="95">
        <v>511642.435</v>
      </c>
      <c r="C1642" s="95">
        <v>4786673.0120000001</v>
      </c>
      <c r="D1642" s="95">
        <v>45.942</v>
      </c>
      <c r="E1642" s="96" t="s">
        <v>108</v>
      </c>
    </row>
    <row r="1643" spans="1:5" x14ac:dyDescent="0.25">
      <c r="A1643" s="94">
        <v>45996</v>
      </c>
      <c r="B1643" s="95">
        <v>511642.46899999998</v>
      </c>
      <c r="C1643" s="95">
        <v>4786672.9079999998</v>
      </c>
      <c r="D1643" s="95">
        <v>43.972000000000001</v>
      </c>
      <c r="E1643" s="96" t="s">
        <v>111</v>
      </c>
    </row>
    <row r="1644" spans="1:5" x14ac:dyDescent="0.25">
      <c r="A1644" s="94">
        <v>45996</v>
      </c>
      <c r="B1644" s="95">
        <v>511649.12900000002</v>
      </c>
      <c r="C1644" s="95">
        <v>4786669.409</v>
      </c>
      <c r="D1644" s="95">
        <v>43.954999999999998</v>
      </c>
      <c r="E1644" s="96" t="s">
        <v>113</v>
      </c>
    </row>
    <row r="1645" spans="1:5" x14ac:dyDescent="0.25">
      <c r="A1645" s="94">
        <v>46000</v>
      </c>
      <c r="B1645" s="95">
        <v>511615.09</v>
      </c>
      <c r="C1645" s="95">
        <v>4786687.9790000003</v>
      </c>
      <c r="D1645" s="95">
        <v>51.027000000000001</v>
      </c>
      <c r="E1645" s="91" t="s">
        <v>96</v>
      </c>
    </row>
    <row r="1646" spans="1:5" x14ac:dyDescent="0.25">
      <c r="A1646" s="94">
        <v>46000</v>
      </c>
      <c r="B1646" s="95">
        <v>511628.87699999998</v>
      </c>
      <c r="C1646" s="95">
        <v>4786680.6440000003</v>
      </c>
      <c r="D1646" s="95">
        <v>51.039000000000001</v>
      </c>
      <c r="E1646" s="91" t="s">
        <v>97</v>
      </c>
    </row>
    <row r="1647" spans="1:5" x14ac:dyDescent="0.25">
      <c r="A1647" s="94">
        <v>46000</v>
      </c>
      <c r="B1647" s="95">
        <v>511642.58</v>
      </c>
      <c r="C1647" s="95">
        <v>4786673.3509999998</v>
      </c>
      <c r="D1647" s="95">
        <v>51.052</v>
      </c>
      <c r="E1647" s="91" t="s">
        <v>98</v>
      </c>
    </row>
    <row r="1648" spans="1:5" x14ac:dyDescent="0.25">
      <c r="A1648" s="94">
        <v>46000</v>
      </c>
      <c r="B1648" s="95">
        <v>511607.69099999999</v>
      </c>
      <c r="C1648" s="95">
        <v>4786691.42</v>
      </c>
      <c r="D1648" s="95">
        <v>43.944000000000003</v>
      </c>
      <c r="E1648" s="91" t="s">
        <v>112</v>
      </c>
    </row>
    <row r="1649" spans="1:5" x14ac:dyDescent="0.25">
      <c r="A1649" s="94">
        <v>46000</v>
      </c>
      <c r="B1649" s="95">
        <v>511629.41100000002</v>
      </c>
      <c r="C1649" s="95">
        <v>4786679.909</v>
      </c>
      <c r="D1649" s="95">
        <v>43.947000000000003</v>
      </c>
      <c r="E1649" s="91" t="s">
        <v>109</v>
      </c>
    </row>
    <row r="1650" spans="1:5" x14ac:dyDescent="0.25">
      <c r="A1650" s="94">
        <v>46000</v>
      </c>
      <c r="B1650" s="95">
        <v>511649.701</v>
      </c>
      <c r="C1650" s="95">
        <v>4786682.159</v>
      </c>
      <c r="D1650" s="95">
        <v>56.185000000000002</v>
      </c>
      <c r="E1650" s="91" t="s">
        <v>89</v>
      </c>
    </row>
    <row r="1651" spans="1:5" x14ac:dyDescent="0.25">
      <c r="A1651" s="94">
        <v>46000</v>
      </c>
      <c r="B1651" s="95">
        <v>511630.76</v>
      </c>
      <c r="C1651" s="95">
        <v>4786689.8590000002</v>
      </c>
      <c r="D1651" s="95">
        <v>55.945999999999998</v>
      </c>
      <c r="E1651" s="91" t="s">
        <v>90</v>
      </c>
    </row>
    <row r="1652" spans="1:5" x14ac:dyDescent="0.25">
      <c r="A1652" s="94">
        <v>46000</v>
      </c>
      <c r="B1652" s="95">
        <v>511623.43</v>
      </c>
      <c r="C1652" s="95">
        <v>4786694.074</v>
      </c>
      <c r="D1652" s="95">
        <v>54.777000000000001</v>
      </c>
      <c r="E1652" s="91" t="s">
        <v>91</v>
      </c>
    </row>
    <row r="1653" spans="1:5" x14ac:dyDescent="0.25">
      <c r="A1653" s="94">
        <v>46000</v>
      </c>
      <c r="B1653" s="95">
        <v>511613.31300000002</v>
      </c>
      <c r="C1653" s="95">
        <v>4786695.3039999995</v>
      </c>
      <c r="D1653" s="95">
        <v>60.567</v>
      </c>
      <c r="E1653" s="91" t="s">
        <v>92</v>
      </c>
    </row>
    <row r="1654" spans="1:5" x14ac:dyDescent="0.25">
      <c r="A1654" s="94">
        <v>46000</v>
      </c>
      <c r="B1654" s="95">
        <v>511614.75099999999</v>
      </c>
      <c r="C1654" s="95">
        <v>4786712.5580000002</v>
      </c>
      <c r="D1654" s="95">
        <v>60.817999999999998</v>
      </c>
      <c r="E1654" s="91" t="s">
        <v>93</v>
      </c>
    </row>
    <row r="1655" spans="1:5" x14ac:dyDescent="0.25">
      <c r="A1655" s="94">
        <v>46000</v>
      </c>
      <c r="B1655" s="95">
        <v>511670.87400000001</v>
      </c>
      <c r="C1655" s="95">
        <v>4786685.9189999998</v>
      </c>
      <c r="D1655" s="95">
        <v>54.817999999999998</v>
      </c>
      <c r="E1655" s="91" t="s">
        <v>95</v>
      </c>
    </row>
    <row r="1656" spans="1:5" x14ac:dyDescent="0.25">
      <c r="A1656" s="94">
        <v>46000</v>
      </c>
      <c r="B1656" s="95">
        <v>511649.79200000002</v>
      </c>
      <c r="C1656" s="95">
        <v>4786669.4929999998</v>
      </c>
      <c r="D1656" s="95">
        <v>51.058</v>
      </c>
      <c r="E1656" s="91" t="s">
        <v>99</v>
      </c>
    </row>
    <row r="1657" spans="1:5" x14ac:dyDescent="0.25">
      <c r="A1657" s="94">
        <v>46000</v>
      </c>
      <c r="B1657" s="95">
        <v>511607.54599999997</v>
      </c>
      <c r="C1657" s="95">
        <v>4786691.977</v>
      </c>
      <c r="D1657" s="95">
        <v>51.05</v>
      </c>
      <c r="E1657" s="91" t="s">
        <v>100</v>
      </c>
    </row>
    <row r="1658" spans="1:5" x14ac:dyDescent="0.25">
      <c r="A1658" s="94">
        <v>46000</v>
      </c>
      <c r="B1658" s="95">
        <v>511607.26299999998</v>
      </c>
      <c r="C1658" s="95">
        <v>4786692.17</v>
      </c>
      <c r="D1658" s="95">
        <v>51.051000000000002</v>
      </c>
      <c r="E1658" s="91" t="s">
        <v>101</v>
      </c>
    </row>
    <row r="1659" spans="1:5" x14ac:dyDescent="0.25">
      <c r="A1659" s="94">
        <v>46000</v>
      </c>
      <c r="B1659" s="95">
        <v>511601.109</v>
      </c>
      <c r="C1659" s="95">
        <v>4786695.415</v>
      </c>
      <c r="D1659" s="95">
        <v>51.039000000000001</v>
      </c>
      <c r="E1659" s="91" t="s">
        <v>102</v>
      </c>
    </row>
    <row r="1660" spans="1:5" x14ac:dyDescent="0.25">
      <c r="A1660" s="94">
        <v>46000</v>
      </c>
      <c r="B1660" s="95">
        <v>511615.24800000002</v>
      </c>
      <c r="C1660" s="95">
        <v>4786687.4280000003</v>
      </c>
      <c r="D1660" s="95">
        <v>48.444000000000003</v>
      </c>
      <c r="E1660" s="91" t="s">
        <v>103</v>
      </c>
    </row>
    <row r="1661" spans="1:5" x14ac:dyDescent="0.25">
      <c r="A1661" s="94">
        <v>46000</v>
      </c>
      <c r="B1661" s="95">
        <v>511615.22</v>
      </c>
      <c r="C1661" s="95">
        <v>4786687.3509999998</v>
      </c>
      <c r="D1661" s="95">
        <v>45.936999999999998</v>
      </c>
      <c r="E1661" s="91" t="s">
        <v>104</v>
      </c>
    </row>
    <row r="1662" spans="1:5" x14ac:dyDescent="0.25">
      <c r="A1662" s="94">
        <v>46000</v>
      </c>
      <c r="B1662" s="95">
        <v>511615.16800000001</v>
      </c>
      <c r="C1662" s="95">
        <v>4786687.3820000002</v>
      </c>
      <c r="D1662" s="95">
        <v>43.959000000000003</v>
      </c>
      <c r="E1662" s="91" t="s">
        <v>110</v>
      </c>
    </row>
    <row r="1663" spans="1:5" x14ac:dyDescent="0.25">
      <c r="A1663" s="94">
        <v>46000</v>
      </c>
      <c r="B1663" s="95">
        <v>511629.18</v>
      </c>
      <c r="C1663" s="95">
        <v>4786680.0599999996</v>
      </c>
      <c r="D1663" s="95">
        <v>48.463000000000001</v>
      </c>
      <c r="E1663" s="91" t="s">
        <v>105</v>
      </c>
    </row>
    <row r="1664" spans="1:5" x14ac:dyDescent="0.25">
      <c r="A1664" s="94">
        <v>46000</v>
      </c>
      <c r="B1664" s="95">
        <v>511629.304</v>
      </c>
      <c r="C1664" s="95">
        <v>4786680.0219999999</v>
      </c>
      <c r="D1664" s="95">
        <v>45.945</v>
      </c>
      <c r="E1664" s="91" t="s">
        <v>106</v>
      </c>
    </row>
    <row r="1665" spans="1:5" x14ac:dyDescent="0.25">
      <c r="A1665" s="94">
        <v>46000</v>
      </c>
      <c r="B1665" s="95">
        <v>511642.28100000002</v>
      </c>
      <c r="C1665" s="95">
        <v>4786673.1229999997</v>
      </c>
      <c r="D1665" s="95">
        <v>48.448</v>
      </c>
      <c r="E1665" s="91" t="s">
        <v>107</v>
      </c>
    </row>
    <row r="1666" spans="1:5" x14ac:dyDescent="0.25">
      <c r="A1666" s="94">
        <v>46000</v>
      </c>
      <c r="B1666" s="95">
        <v>511642.43599999999</v>
      </c>
      <c r="C1666" s="95">
        <v>4786673.0109999999</v>
      </c>
      <c r="D1666" s="95">
        <v>45.944000000000003</v>
      </c>
      <c r="E1666" s="91" t="s">
        <v>108</v>
      </c>
    </row>
    <row r="1667" spans="1:5" x14ac:dyDescent="0.25">
      <c r="A1667" s="94">
        <v>46000</v>
      </c>
      <c r="B1667" s="95">
        <v>511642.46799999999</v>
      </c>
      <c r="C1667" s="95">
        <v>4786672.9069999997</v>
      </c>
      <c r="D1667" s="95">
        <v>43.972000000000001</v>
      </c>
      <c r="E1667" s="91" t="s">
        <v>111</v>
      </c>
    </row>
    <row r="1668" spans="1:5" x14ac:dyDescent="0.25">
      <c r="A1668" s="94">
        <v>46000</v>
      </c>
      <c r="B1668" s="95">
        <v>511649.12699999998</v>
      </c>
      <c r="C1668" s="95">
        <v>4786669.4069999997</v>
      </c>
      <c r="D1668" s="95">
        <v>43.954000000000001</v>
      </c>
      <c r="E1668" s="91" t="s">
        <v>113</v>
      </c>
    </row>
    <row r="1669" spans="1:5" x14ac:dyDescent="0.25">
      <c r="A1669" s="94">
        <v>46001</v>
      </c>
      <c r="B1669" s="95">
        <v>511615.09100000001</v>
      </c>
      <c r="C1669" s="95">
        <v>4786687.9800000004</v>
      </c>
      <c r="D1669" s="95">
        <v>51.027000000000001</v>
      </c>
      <c r="E1669" s="96" t="s">
        <v>96</v>
      </c>
    </row>
    <row r="1670" spans="1:5" x14ac:dyDescent="0.25">
      <c r="A1670" s="94">
        <v>46001</v>
      </c>
      <c r="B1670" s="95">
        <v>511628.87699999998</v>
      </c>
      <c r="C1670" s="95">
        <v>4786680.6449999996</v>
      </c>
      <c r="D1670" s="95">
        <v>51.039000000000001</v>
      </c>
      <c r="E1670" s="96" t="s">
        <v>97</v>
      </c>
    </row>
    <row r="1671" spans="1:5" x14ac:dyDescent="0.25">
      <c r="A1671" s="94">
        <v>46001</v>
      </c>
      <c r="B1671" s="95">
        <v>511642.57799999998</v>
      </c>
      <c r="C1671" s="95">
        <v>4786673.3509999998</v>
      </c>
      <c r="D1671" s="95">
        <v>51.051000000000002</v>
      </c>
      <c r="E1671" s="96" t="s">
        <v>98</v>
      </c>
    </row>
    <row r="1672" spans="1:5" x14ac:dyDescent="0.25">
      <c r="A1672" s="94">
        <v>46001</v>
      </c>
      <c r="B1672" s="95">
        <v>511607.69099999999</v>
      </c>
      <c r="C1672" s="95">
        <v>4786691.4230000004</v>
      </c>
      <c r="D1672" s="95">
        <v>43.944000000000003</v>
      </c>
      <c r="E1672" s="96" t="s">
        <v>112</v>
      </c>
    </row>
    <row r="1673" spans="1:5" x14ac:dyDescent="0.25">
      <c r="A1673" s="94">
        <v>46001</v>
      </c>
      <c r="B1673" s="95">
        <v>511629.40899999999</v>
      </c>
      <c r="C1673" s="95">
        <v>4786679.9110000003</v>
      </c>
      <c r="D1673" s="95">
        <v>43.947000000000003</v>
      </c>
      <c r="E1673" s="96" t="s">
        <v>109</v>
      </c>
    </row>
    <row r="1674" spans="1:5" x14ac:dyDescent="0.25">
      <c r="A1674" s="94">
        <v>46001</v>
      </c>
      <c r="B1674" s="95">
        <v>511649.701</v>
      </c>
      <c r="C1674" s="95">
        <v>4786682.159</v>
      </c>
      <c r="D1674" s="95">
        <v>56.185000000000002</v>
      </c>
      <c r="E1674" s="96" t="s">
        <v>89</v>
      </c>
    </row>
    <row r="1675" spans="1:5" x14ac:dyDescent="0.25">
      <c r="A1675" s="94">
        <v>46001</v>
      </c>
      <c r="B1675" s="95">
        <v>511630.75900000002</v>
      </c>
      <c r="C1675" s="95">
        <v>4786689.8600000003</v>
      </c>
      <c r="D1675" s="95">
        <v>55.945</v>
      </c>
      <c r="E1675" s="96" t="s">
        <v>90</v>
      </c>
    </row>
    <row r="1676" spans="1:5" x14ac:dyDescent="0.25">
      <c r="A1676" s="94">
        <v>46001</v>
      </c>
      <c r="B1676" s="95">
        <v>511623.43099999998</v>
      </c>
      <c r="C1676" s="95">
        <v>4786694.0750000002</v>
      </c>
      <c r="D1676" s="95">
        <v>54.777999999999999</v>
      </c>
      <c r="E1676" s="96" t="s">
        <v>91</v>
      </c>
    </row>
    <row r="1677" spans="1:5" x14ac:dyDescent="0.25">
      <c r="A1677" s="94">
        <v>46001</v>
      </c>
      <c r="B1677" s="95">
        <v>511613.31199999998</v>
      </c>
      <c r="C1677" s="95">
        <v>4786695.3039999995</v>
      </c>
      <c r="D1677" s="95">
        <v>60.567</v>
      </c>
      <c r="E1677" s="96" t="s">
        <v>92</v>
      </c>
    </row>
    <row r="1678" spans="1:5" x14ac:dyDescent="0.25">
      <c r="A1678" s="94">
        <v>46001</v>
      </c>
      <c r="B1678" s="95">
        <v>511614.74900000001</v>
      </c>
      <c r="C1678" s="95">
        <v>4786712.5580000002</v>
      </c>
      <c r="D1678" s="95">
        <v>60.817</v>
      </c>
      <c r="E1678" s="96" t="s">
        <v>93</v>
      </c>
    </row>
    <row r="1679" spans="1:5" x14ac:dyDescent="0.25">
      <c r="A1679" s="94">
        <v>46001</v>
      </c>
      <c r="B1679" s="95">
        <v>511660.66399999999</v>
      </c>
      <c r="C1679" s="95">
        <v>4786683.4680000003</v>
      </c>
      <c r="D1679" s="95">
        <v>55.401000000000003</v>
      </c>
      <c r="E1679" s="96" t="s">
        <v>94</v>
      </c>
    </row>
    <row r="1680" spans="1:5" x14ac:dyDescent="0.25">
      <c r="A1680" s="94">
        <v>46001</v>
      </c>
      <c r="B1680" s="95">
        <v>511670.875</v>
      </c>
      <c r="C1680" s="95">
        <v>4786685.92</v>
      </c>
      <c r="D1680" s="95">
        <v>54.817999999999998</v>
      </c>
      <c r="E1680" s="96" t="s">
        <v>95</v>
      </c>
    </row>
    <row r="1681" spans="1:5" x14ac:dyDescent="0.25">
      <c r="A1681" s="94">
        <v>46001</v>
      </c>
      <c r="B1681" s="95">
        <v>511649.79300000001</v>
      </c>
      <c r="C1681" s="95">
        <v>4786669.4939999999</v>
      </c>
      <c r="D1681" s="95">
        <v>51.058</v>
      </c>
      <c r="E1681" s="96" t="s">
        <v>99</v>
      </c>
    </row>
    <row r="1682" spans="1:5" x14ac:dyDescent="0.25">
      <c r="A1682" s="94">
        <v>46001</v>
      </c>
      <c r="B1682" s="95">
        <v>511607.54599999997</v>
      </c>
      <c r="C1682" s="95">
        <v>4786691.9780000001</v>
      </c>
      <c r="D1682" s="95">
        <v>51.048999999999999</v>
      </c>
      <c r="E1682" s="96" t="s">
        <v>100</v>
      </c>
    </row>
    <row r="1683" spans="1:5" x14ac:dyDescent="0.25">
      <c r="A1683" s="94">
        <v>46001</v>
      </c>
      <c r="B1683" s="95">
        <v>511607.26199999999</v>
      </c>
      <c r="C1683" s="95">
        <v>4786692.17</v>
      </c>
      <c r="D1683" s="95">
        <v>51.05</v>
      </c>
      <c r="E1683" s="96" t="s">
        <v>101</v>
      </c>
    </row>
    <row r="1684" spans="1:5" x14ac:dyDescent="0.25">
      <c r="A1684" s="94">
        <v>46001</v>
      </c>
      <c r="B1684" s="95">
        <v>511601.11</v>
      </c>
      <c r="C1684" s="95">
        <v>4786695.4160000002</v>
      </c>
      <c r="D1684" s="95">
        <v>51.039000000000001</v>
      </c>
      <c r="E1684" s="96" t="s">
        <v>102</v>
      </c>
    </row>
    <row r="1685" spans="1:5" x14ac:dyDescent="0.25">
      <c r="A1685" s="94">
        <v>46001</v>
      </c>
      <c r="B1685" s="95">
        <v>511615.24900000001</v>
      </c>
      <c r="C1685" s="95">
        <v>4786687.43</v>
      </c>
      <c r="D1685" s="95">
        <v>48.444000000000003</v>
      </c>
      <c r="E1685" s="96" t="s">
        <v>103</v>
      </c>
    </row>
    <row r="1686" spans="1:5" x14ac:dyDescent="0.25">
      <c r="A1686" s="94">
        <v>46001</v>
      </c>
      <c r="B1686" s="95">
        <v>511615.22100000002</v>
      </c>
      <c r="C1686" s="95">
        <v>4786687.3530000001</v>
      </c>
      <c r="D1686" s="95">
        <v>45.936</v>
      </c>
      <c r="E1686" s="96" t="s">
        <v>104</v>
      </c>
    </row>
    <row r="1687" spans="1:5" x14ac:dyDescent="0.25">
      <c r="A1687" s="94">
        <v>46001</v>
      </c>
      <c r="B1687" s="95">
        <v>511615.16700000002</v>
      </c>
      <c r="C1687" s="95">
        <v>4786687.3849999998</v>
      </c>
      <c r="D1687" s="95">
        <v>43.959000000000003</v>
      </c>
      <c r="E1687" s="96" t="s">
        <v>110</v>
      </c>
    </row>
    <row r="1688" spans="1:5" x14ac:dyDescent="0.25">
      <c r="A1688" s="94">
        <v>46001</v>
      </c>
      <c r="B1688" s="95">
        <v>511629.18099999998</v>
      </c>
      <c r="C1688" s="95">
        <v>4786680.0609999998</v>
      </c>
      <c r="D1688" s="95">
        <v>48.463000000000001</v>
      </c>
      <c r="E1688" s="96" t="s">
        <v>105</v>
      </c>
    </row>
    <row r="1689" spans="1:5" x14ac:dyDescent="0.25">
      <c r="A1689" s="94">
        <v>46001</v>
      </c>
      <c r="B1689" s="95">
        <v>511629.304</v>
      </c>
      <c r="C1689" s="95">
        <v>4786680.023</v>
      </c>
      <c r="D1689" s="95">
        <v>45.945</v>
      </c>
      <c r="E1689" s="96" t="s">
        <v>106</v>
      </c>
    </row>
    <row r="1690" spans="1:5" x14ac:dyDescent="0.25">
      <c r="A1690" s="94">
        <v>46001</v>
      </c>
      <c r="B1690" s="95">
        <v>511642.28200000001</v>
      </c>
      <c r="C1690" s="95">
        <v>4786673.1229999997</v>
      </c>
      <c r="D1690" s="95">
        <v>48.448</v>
      </c>
      <c r="E1690" s="96" t="s">
        <v>107</v>
      </c>
    </row>
    <row r="1691" spans="1:5" x14ac:dyDescent="0.25">
      <c r="A1691" s="94">
        <v>46001</v>
      </c>
      <c r="B1691" s="95">
        <v>511642.435</v>
      </c>
      <c r="C1691" s="95">
        <v>4786673.0120000001</v>
      </c>
      <c r="D1691" s="95">
        <v>45.942999999999998</v>
      </c>
      <c r="E1691" s="96" t="s">
        <v>108</v>
      </c>
    </row>
    <row r="1692" spans="1:5" x14ac:dyDescent="0.25">
      <c r="A1692" s="94">
        <v>46001</v>
      </c>
      <c r="B1692" s="95">
        <v>511642.46799999999</v>
      </c>
      <c r="C1692" s="95">
        <v>4786672.9110000003</v>
      </c>
      <c r="D1692" s="95">
        <v>43.972000000000001</v>
      </c>
      <c r="E1692" s="96" t="s">
        <v>111</v>
      </c>
    </row>
    <row r="1693" spans="1:5" x14ac:dyDescent="0.25">
      <c r="A1693" s="94">
        <v>46001</v>
      </c>
      <c r="B1693" s="95">
        <v>511649.12699999998</v>
      </c>
      <c r="C1693" s="95">
        <v>4786669.4110000003</v>
      </c>
      <c r="D1693" s="95">
        <v>43.954999999999998</v>
      </c>
      <c r="E1693" s="96" t="s">
        <v>113</v>
      </c>
    </row>
    <row r="1694" spans="1:5" x14ac:dyDescent="0.25">
      <c r="A1694" s="94">
        <v>46002</v>
      </c>
      <c r="B1694" s="95">
        <v>511615.09</v>
      </c>
      <c r="C1694" s="95">
        <v>4786687.9790000003</v>
      </c>
      <c r="D1694" s="95">
        <v>51.027000000000001</v>
      </c>
      <c r="E1694" s="96" t="s">
        <v>96</v>
      </c>
    </row>
    <row r="1695" spans="1:5" x14ac:dyDescent="0.25">
      <c r="A1695" s="94">
        <v>46002</v>
      </c>
      <c r="B1695" s="95">
        <v>511628.87599999999</v>
      </c>
      <c r="C1695" s="95">
        <v>4786680.6440000003</v>
      </c>
      <c r="D1695" s="95">
        <v>51.037999999999997</v>
      </c>
      <c r="E1695" s="96" t="s">
        <v>97</v>
      </c>
    </row>
    <row r="1696" spans="1:5" x14ac:dyDescent="0.25">
      <c r="A1696" s="94">
        <v>46002</v>
      </c>
      <c r="B1696" s="95">
        <v>511642.58</v>
      </c>
      <c r="C1696" s="95">
        <v>4786673.3509999998</v>
      </c>
      <c r="D1696" s="95">
        <v>51.05</v>
      </c>
      <c r="E1696" s="96" t="s">
        <v>98</v>
      </c>
    </row>
    <row r="1697" spans="1:5" x14ac:dyDescent="0.25">
      <c r="A1697" s="94">
        <v>46002</v>
      </c>
      <c r="B1697" s="95">
        <v>511607.69099999999</v>
      </c>
      <c r="C1697" s="95">
        <v>4786691.42</v>
      </c>
      <c r="D1697" s="95">
        <v>43.944000000000003</v>
      </c>
      <c r="E1697" s="96" t="s">
        <v>112</v>
      </c>
    </row>
    <row r="1698" spans="1:5" x14ac:dyDescent="0.25">
      <c r="A1698" s="94">
        <v>46002</v>
      </c>
      <c r="B1698" s="95">
        <v>511629.41</v>
      </c>
      <c r="C1698" s="95">
        <v>4786679.91</v>
      </c>
      <c r="D1698" s="95">
        <v>43.947000000000003</v>
      </c>
      <c r="E1698" s="96" t="s">
        <v>109</v>
      </c>
    </row>
    <row r="1699" spans="1:5" x14ac:dyDescent="0.25">
      <c r="A1699" s="94">
        <v>46002</v>
      </c>
      <c r="B1699" s="95">
        <v>511649.7</v>
      </c>
      <c r="C1699" s="95">
        <v>4786682.159</v>
      </c>
      <c r="D1699" s="95">
        <v>56.183999999999997</v>
      </c>
      <c r="E1699" s="96" t="s">
        <v>89</v>
      </c>
    </row>
    <row r="1700" spans="1:5" x14ac:dyDescent="0.25">
      <c r="A1700" s="94">
        <v>46002</v>
      </c>
      <c r="B1700" s="95">
        <v>511630.75900000002</v>
      </c>
      <c r="C1700" s="95">
        <v>4786689.8590000002</v>
      </c>
      <c r="D1700" s="95">
        <v>55.945</v>
      </c>
      <c r="E1700" s="96" t="s">
        <v>90</v>
      </c>
    </row>
    <row r="1701" spans="1:5" x14ac:dyDescent="0.25">
      <c r="A1701" s="94">
        <v>46002</v>
      </c>
      <c r="B1701" s="95">
        <v>511623.43</v>
      </c>
      <c r="C1701" s="95">
        <v>4786694.0750000002</v>
      </c>
      <c r="D1701" s="95">
        <v>54.777000000000001</v>
      </c>
      <c r="E1701" s="96" t="s">
        <v>91</v>
      </c>
    </row>
    <row r="1702" spans="1:5" x14ac:dyDescent="0.25">
      <c r="A1702" s="94">
        <v>46002</v>
      </c>
      <c r="B1702" s="95">
        <v>511613.31199999998</v>
      </c>
      <c r="C1702" s="95">
        <v>4786695.3039999995</v>
      </c>
      <c r="D1702" s="95">
        <v>60.567</v>
      </c>
      <c r="E1702" s="96" t="s">
        <v>92</v>
      </c>
    </row>
    <row r="1703" spans="1:5" x14ac:dyDescent="0.25">
      <c r="A1703" s="94">
        <v>46002</v>
      </c>
      <c r="B1703" s="95">
        <v>511614.75099999999</v>
      </c>
      <c r="C1703" s="95">
        <v>4786712.5580000002</v>
      </c>
      <c r="D1703" s="95">
        <v>60.817</v>
      </c>
      <c r="E1703" s="96" t="s">
        <v>93</v>
      </c>
    </row>
    <row r="1704" spans="1:5" x14ac:dyDescent="0.25">
      <c r="A1704" s="94">
        <v>46002</v>
      </c>
      <c r="B1704" s="95">
        <v>511660.66399999999</v>
      </c>
      <c r="C1704" s="95">
        <v>4786683.4680000003</v>
      </c>
      <c r="D1704" s="95">
        <v>55.4</v>
      </c>
      <c r="E1704" s="96" t="s">
        <v>94</v>
      </c>
    </row>
    <row r="1705" spans="1:5" x14ac:dyDescent="0.25">
      <c r="A1705" s="94">
        <v>46002</v>
      </c>
      <c r="B1705" s="95">
        <v>511670.87400000001</v>
      </c>
      <c r="C1705" s="95">
        <v>4786685.9189999998</v>
      </c>
      <c r="D1705" s="95">
        <v>54.816000000000003</v>
      </c>
      <c r="E1705" s="96" t="s">
        <v>95</v>
      </c>
    </row>
    <row r="1706" spans="1:5" x14ac:dyDescent="0.25">
      <c r="A1706" s="94">
        <v>46002</v>
      </c>
      <c r="B1706" s="95">
        <v>511649.79200000002</v>
      </c>
      <c r="C1706" s="95">
        <v>4786669.4929999998</v>
      </c>
      <c r="D1706" s="95">
        <v>51.057000000000002</v>
      </c>
      <c r="E1706" s="96" t="s">
        <v>99</v>
      </c>
    </row>
    <row r="1707" spans="1:5" x14ac:dyDescent="0.25">
      <c r="A1707" s="94">
        <v>46002</v>
      </c>
      <c r="B1707" s="95">
        <v>511607.54499999998</v>
      </c>
      <c r="C1707" s="95">
        <v>4786691.977</v>
      </c>
      <c r="D1707" s="95">
        <v>51.048000000000002</v>
      </c>
      <c r="E1707" s="96" t="s">
        <v>100</v>
      </c>
    </row>
    <row r="1708" spans="1:5" x14ac:dyDescent="0.25">
      <c r="A1708" s="94">
        <v>46002</v>
      </c>
      <c r="B1708" s="95">
        <v>511607.26199999999</v>
      </c>
      <c r="C1708" s="95">
        <v>4786692.1710000001</v>
      </c>
      <c r="D1708" s="95">
        <v>51.048999999999999</v>
      </c>
      <c r="E1708" s="96" t="s">
        <v>101</v>
      </c>
    </row>
    <row r="1709" spans="1:5" x14ac:dyDescent="0.25">
      <c r="A1709" s="94">
        <v>46002</v>
      </c>
      <c r="B1709" s="95">
        <v>511601.109</v>
      </c>
      <c r="C1709" s="95">
        <v>4786695.415</v>
      </c>
      <c r="D1709" s="95">
        <v>51.037999999999997</v>
      </c>
      <c r="E1709" s="96" t="s">
        <v>102</v>
      </c>
    </row>
    <row r="1710" spans="1:5" x14ac:dyDescent="0.25">
      <c r="A1710" s="94">
        <v>46002</v>
      </c>
      <c r="B1710" s="95">
        <v>511615.24699999997</v>
      </c>
      <c r="C1710" s="95">
        <v>4786687.4280000003</v>
      </c>
      <c r="D1710" s="95">
        <v>48.442999999999998</v>
      </c>
      <c r="E1710" s="96" t="s">
        <v>103</v>
      </c>
    </row>
    <row r="1711" spans="1:5" x14ac:dyDescent="0.25">
      <c r="A1711" s="94">
        <v>46002</v>
      </c>
      <c r="B1711" s="95">
        <v>511615.22</v>
      </c>
      <c r="C1711" s="95">
        <v>4786687.352</v>
      </c>
      <c r="D1711" s="95">
        <v>45.936</v>
      </c>
      <c r="E1711" s="96" t="s">
        <v>104</v>
      </c>
    </row>
    <row r="1712" spans="1:5" x14ac:dyDescent="0.25">
      <c r="A1712" s="94">
        <v>46002</v>
      </c>
      <c r="B1712" s="95">
        <v>511615.16899999999</v>
      </c>
      <c r="C1712" s="95">
        <v>4786687.3849999998</v>
      </c>
      <c r="D1712" s="95">
        <v>43.957999999999998</v>
      </c>
      <c r="E1712" s="96" t="s">
        <v>110</v>
      </c>
    </row>
    <row r="1713" spans="1:5" x14ac:dyDescent="0.25">
      <c r="A1713" s="94">
        <v>46002</v>
      </c>
      <c r="B1713" s="95">
        <v>511629.18099999998</v>
      </c>
      <c r="C1713" s="95">
        <v>4786680.0609999998</v>
      </c>
      <c r="D1713" s="95">
        <v>48.460999999999999</v>
      </c>
      <c r="E1713" s="96" t="s">
        <v>105</v>
      </c>
    </row>
    <row r="1714" spans="1:5" x14ac:dyDescent="0.25">
      <c r="A1714" s="94">
        <v>46002</v>
      </c>
      <c r="B1714" s="95">
        <v>511629.30200000003</v>
      </c>
      <c r="C1714" s="95">
        <v>4786680.0219999999</v>
      </c>
      <c r="D1714" s="95">
        <v>45.944000000000003</v>
      </c>
      <c r="E1714" s="96" t="s">
        <v>106</v>
      </c>
    </row>
    <row r="1715" spans="1:5" x14ac:dyDescent="0.25">
      <c r="A1715" s="94">
        <v>46002</v>
      </c>
      <c r="B1715" s="95">
        <v>511642.28</v>
      </c>
      <c r="C1715" s="95">
        <v>4786673.1229999997</v>
      </c>
      <c r="D1715" s="95">
        <v>48.445999999999998</v>
      </c>
      <c r="E1715" s="96" t="s">
        <v>107</v>
      </c>
    </row>
    <row r="1716" spans="1:5" x14ac:dyDescent="0.25">
      <c r="A1716" s="94">
        <v>46002</v>
      </c>
      <c r="B1716" s="95">
        <v>511642.435</v>
      </c>
      <c r="C1716" s="95">
        <v>4786673.0109999999</v>
      </c>
      <c r="D1716" s="95">
        <v>45.942</v>
      </c>
      <c r="E1716" s="96" t="s">
        <v>108</v>
      </c>
    </row>
    <row r="1717" spans="1:5" x14ac:dyDescent="0.25">
      <c r="A1717" s="94">
        <v>46002</v>
      </c>
      <c r="B1717" s="95">
        <v>511642.46799999999</v>
      </c>
      <c r="C1717" s="95">
        <v>4786672.91</v>
      </c>
      <c r="D1717" s="95">
        <v>43.972000000000001</v>
      </c>
      <c r="E1717" s="96" t="s">
        <v>111</v>
      </c>
    </row>
    <row r="1718" spans="1:5" x14ac:dyDescent="0.25">
      <c r="A1718" s="94">
        <v>46002</v>
      </c>
      <c r="B1718" s="95">
        <v>511649.12699999998</v>
      </c>
      <c r="C1718" s="95">
        <v>4786669.41</v>
      </c>
      <c r="D1718" s="95">
        <v>43.954000000000001</v>
      </c>
      <c r="E1718" s="96" t="s">
        <v>113</v>
      </c>
    </row>
    <row r="1719" spans="1:5" x14ac:dyDescent="0.25">
      <c r="A1719" s="94">
        <v>46003</v>
      </c>
      <c r="B1719" s="95">
        <v>511615.09100000001</v>
      </c>
      <c r="C1719" s="95">
        <v>4786687.9800000004</v>
      </c>
      <c r="D1719" s="95">
        <v>51.027000000000001</v>
      </c>
      <c r="E1719" s="96" t="s">
        <v>96</v>
      </c>
    </row>
    <row r="1720" spans="1:5" x14ac:dyDescent="0.25">
      <c r="A1720" s="94">
        <v>46003</v>
      </c>
      <c r="B1720" s="95">
        <v>511628.87599999999</v>
      </c>
      <c r="C1720" s="95">
        <v>4786680.6440000003</v>
      </c>
      <c r="D1720" s="95">
        <v>51.039000000000001</v>
      </c>
      <c r="E1720" s="96" t="s">
        <v>97</v>
      </c>
    </row>
    <row r="1721" spans="1:5" x14ac:dyDescent="0.25">
      <c r="A1721" s="94">
        <v>46003</v>
      </c>
      <c r="B1721" s="95">
        <v>511642.57900000003</v>
      </c>
      <c r="C1721" s="95">
        <v>4786673.3509999998</v>
      </c>
      <c r="D1721" s="95">
        <v>51.051000000000002</v>
      </c>
      <c r="E1721" s="96" t="s">
        <v>98</v>
      </c>
    </row>
    <row r="1722" spans="1:5" x14ac:dyDescent="0.25">
      <c r="A1722" s="94">
        <v>46003</v>
      </c>
      <c r="B1722" s="95">
        <v>511607.69500000001</v>
      </c>
      <c r="C1722" s="95">
        <v>4786691.42</v>
      </c>
      <c r="D1722" s="95">
        <v>43.942999999999998</v>
      </c>
      <c r="E1722" s="96" t="s">
        <v>112</v>
      </c>
    </row>
    <row r="1723" spans="1:5" x14ac:dyDescent="0.25">
      <c r="A1723" s="94">
        <v>46003</v>
      </c>
      <c r="B1723" s="95">
        <v>511629.413</v>
      </c>
      <c r="C1723" s="95">
        <v>4786679.9079999998</v>
      </c>
      <c r="D1723" s="95">
        <v>43.945999999999998</v>
      </c>
      <c r="E1723" s="96" t="s">
        <v>109</v>
      </c>
    </row>
    <row r="1724" spans="1:5" x14ac:dyDescent="0.25">
      <c r="A1724" s="94">
        <v>46003</v>
      </c>
      <c r="B1724" s="95">
        <v>511649.701</v>
      </c>
      <c r="C1724" s="95">
        <v>4786682.1579999998</v>
      </c>
      <c r="D1724" s="95">
        <v>56.185000000000002</v>
      </c>
      <c r="E1724" s="96" t="s">
        <v>89</v>
      </c>
    </row>
    <row r="1725" spans="1:5" x14ac:dyDescent="0.25">
      <c r="A1725" s="94">
        <v>46003</v>
      </c>
      <c r="B1725" s="95">
        <v>511630.76</v>
      </c>
      <c r="C1725" s="95">
        <v>4786689.8590000002</v>
      </c>
      <c r="D1725" s="95">
        <v>55.945999999999998</v>
      </c>
      <c r="E1725" s="96" t="s">
        <v>90</v>
      </c>
    </row>
    <row r="1726" spans="1:5" x14ac:dyDescent="0.25">
      <c r="A1726" s="94">
        <v>46003</v>
      </c>
      <c r="B1726" s="95">
        <v>511623.43099999998</v>
      </c>
      <c r="C1726" s="95">
        <v>4786694.0750000002</v>
      </c>
      <c r="D1726" s="95">
        <v>54.777999999999999</v>
      </c>
      <c r="E1726" s="96" t="s">
        <v>91</v>
      </c>
    </row>
    <row r="1727" spans="1:5" x14ac:dyDescent="0.25">
      <c r="A1727" s="94">
        <v>46003</v>
      </c>
      <c r="B1727" s="95">
        <v>511613.31300000002</v>
      </c>
      <c r="C1727" s="95">
        <v>4786695.3039999995</v>
      </c>
      <c r="D1727" s="95">
        <v>60.567</v>
      </c>
      <c r="E1727" s="96" t="s">
        <v>92</v>
      </c>
    </row>
    <row r="1728" spans="1:5" x14ac:dyDescent="0.25">
      <c r="A1728" s="94">
        <v>46003</v>
      </c>
      <c r="B1728" s="95">
        <v>511614.75</v>
      </c>
      <c r="C1728" s="95">
        <v>4786712.5559999999</v>
      </c>
      <c r="D1728" s="95">
        <v>60.817</v>
      </c>
      <c r="E1728" s="96" t="s">
        <v>93</v>
      </c>
    </row>
    <row r="1729" spans="1:5" x14ac:dyDescent="0.25">
      <c r="A1729" s="94">
        <v>46003</v>
      </c>
      <c r="B1729" s="95">
        <v>511660.663</v>
      </c>
      <c r="C1729" s="95">
        <v>4786683.4670000002</v>
      </c>
      <c r="D1729" s="95">
        <v>55.402000000000001</v>
      </c>
      <c r="E1729" s="96" t="s">
        <v>94</v>
      </c>
    </row>
    <row r="1730" spans="1:5" x14ac:dyDescent="0.25">
      <c r="A1730" s="94">
        <v>46003</v>
      </c>
      <c r="B1730" s="95">
        <v>511670.87199999997</v>
      </c>
      <c r="C1730" s="95">
        <v>4786685.9189999998</v>
      </c>
      <c r="D1730" s="95">
        <v>54.817</v>
      </c>
      <c r="E1730" s="96" t="s">
        <v>95</v>
      </c>
    </row>
    <row r="1731" spans="1:5" x14ac:dyDescent="0.25">
      <c r="A1731" s="94">
        <v>46003</v>
      </c>
      <c r="B1731" s="95">
        <v>511649.79300000001</v>
      </c>
      <c r="C1731" s="95">
        <v>4786669.4929999998</v>
      </c>
      <c r="D1731" s="95">
        <v>51.057000000000002</v>
      </c>
      <c r="E1731" s="96" t="s">
        <v>99</v>
      </c>
    </row>
    <row r="1732" spans="1:5" x14ac:dyDescent="0.25">
      <c r="A1732" s="94">
        <v>46003</v>
      </c>
      <c r="B1732" s="95">
        <v>511607.54499999998</v>
      </c>
      <c r="C1732" s="95">
        <v>4786691.9759999998</v>
      </c>
      <c r="D1732" s="95">
        <v>51.048000000000002</v>
      </c>
      <c r="E1732" s="96" t="s">
        <v>100</v>
      </c>
    </row>
    <row r="1733" spans="1:5" x14ac:dyDescent="0.25">
      <c r="A1733" s="94">
        <v>46003</v>
      </c>
      <c r="B1733" s="95">
        <v>511607.261</v>
      </c>
      <c r="C1733" s="95">
        <v>4786692.17</v>
      </c>
      <c r="D1733" s="95">
        <v>51.048999999999999</v>
      </c>
      <c r="E1733" s="96" t="s">
        <v>101</v>
      </c>
    </row>
    <row r="1734" spans="1:5" x14ac:dyDescent="0.25">
      <c r="A1734" s="94">
        <v>46003</v>
      </c>
      <c r="B1734" s="95">
        <v>511601.109</v>
      </c>
      <c r="C1734" s="95">
        <v>4786695.415</v>
      </c>
      <c r="D1734" s="95">
        <v>51.039000000000001</v>
      </c>
      <c r="E1734" s="96" t="s">
        <v>102</v>
      </c>
    </row>
    <row r="1735" spans="1:5" x14ac:dyDescent="0.25">
      <c r="A1735" s="94">
        <v>46003</v>
      </c>
      <c r="B1735" s="95">
        <v>511615.24800000002</v>
      </c>
      <c r="C1735" s="95">
        <v>4786687.4280000003</v>
      </c>
      <c r="D1735" s="95">
        <v>48.442999999999998</v>
      </c>
      <c r="E1735" s="96" t="s">
        <v>103</v>
      </c>
    </row>
    <row r="1736" spans="1:5" x14ac:dyDescent="0.25">
      <c r="A1736" s="94">
        <v>46003</v>
      </c>
      <c r="B1736" s="95">
        <v>511615.22</v>
      </c>
      <c r="C1736" s="95">
        <v>4786687.3509999998</v>
      </c>
      <c r="D1736" s="95">
        <v>45.936</v>
      </c>
      <c r="E1736" s="96" t="s">
        <v>104</v>
      </c>
    </row>
    <row r="1737" spans="1:5" x14ac:dyDescent="0.25">
      <c r="A1737" s="94">
        <v>46003</v>
      </c>
      <c r="B1737" s="95">
        <v>511615.17</v>
      </c>
      <c r="C1737" s="95">
        <v>4786687.3820000002</v>
      </c>
      <c r="D1737" s="95">
        <v>43.957999999999998</v>
      </c>
      <c r="E1737" s="96" t="s">
        <v>110</v>
      </c>
    </row>
    <row r="1738" spans="1:5" x14ac:dyDescent="0.25">
      <c r="A1738" s="94">
        <v>46003</v>
      </c>
      <c r="B1738" s="95">
        <v>511629.18</v>
      </c>
      <c r="C1738" s="95">
        <v>4786680.0599999996</v>
      </c>
      <c r="D1738" s="95">
        <v>48.462000000000003</v>
      </c>
      <c r="E1738" s="96" t="s">
        <v>105</v>
      </c>
    </row>
    <row r="1739" spans="1:5" x14ac:dyDescent="0.25">
      <c r="A1739" s="94">
        <v>46003</v>
      </c>
      <c r="B1739" s="95">
        <v>511629.30300000001</v>
      </c>
      <c r="C1739" s="95">
        <v>4786680.0219999999</v>
      </c>
      <c r="D1739" s="95">
        <v>45.944000000000003</v>
      </c>
      <c r="E1739" s="96" t="s">
        <v>106</v>
      </c>
    </row>
    <row r="1740" spans="1:5" x14ac:dyDescent="0.25">
      <c r="A1740" s="94">
        <v>46003</v>
      </c>
      <c r="B1740" s="95">
        <v>511642.28</v>
      </c>
      <c r="C1740" s="95">
        <v>4786673.1229999997</v>
      </c>
      <c r="D1740" s="95">
        <v>48.447000000000003</v>
      </c>
      <c r="E1740" s="96" t="s">
        <v>107</v>
      </c>
    </row>
    <row r="1741" spans="1:5" x14ac:dyDescent="0.25">
      <c r="A1741" s="94">
        <v>46003</v>
      </c>
      <c r="B1741" s="95">
        <v>511642.435</v>
      </c>
      <c r="C1741" s="95">
        <v>4786673.0080000004</v>
      </c>
      <c r="D1741" s="95">
        <v>45.944000000000003</v>
      </c>
      <c r="E1741" s="96" t="s">
        <v>108</v>
      </c>
    </row>
    <row r="1742" spans="1:5" x14ac:dyDescent="0.25">
      <c r="A1742" s="94">
        <v>46003</v>
      </c>
      <c r="B1742" s="95">
        <v>511642.47100000002</v>
      </c>
      <c r="C1742" s="95">
        <v>4786672.9079999998</v>
      </c>
      <c r="D1742" s="95">
        <v>43.970999999999997</v>
      </c>
      <c r="E1742" s="96" t="s">
        <v>111</v>
      </c>
    </row>
    <row r="1743" spans="1:5" x14ac:dyDescent="0.25">
      <c r="A1743" s="94">
        <v>46003</v>
      </c>
      <c r="B1743" s="95">
        <v>511649.13</v>
      </c>
      <c r="C1743" s="95">
        <v>4786669.4069999997</v>
      </c>
      <c r="D1743" s="95">
        <v>43.954000000000001</v>
      </c>
      <c r="E1743" s="96" t="s">
        <v>113</v>
      </c>
    </row>
    <row r="1744" spans="1:5" x14ac:dyDescent="0.25">
      <c r="A1744" s="94">
        <v>46006</v>
      </c>
      <c r="B1744" s="95">
        <v>511615.092</v>
      </c>
      <c r="C1744" s="95">
        <v>4786687.9800000004</v>
      </c>
      <c r="D1744" s="95">
        <v>51.027999999999999</v>
      </c>
      <c r="E1744" s="96" t="s">
        <v>96</v>
      </c>
    </row>
    <row r="1745" spans="1:5" x14ac:dyDescent="0.25">
      <c r="A1745" s="94">
        <v>46006</v>
      </c>
      <c r="B1745" s="95">
        <v>511628.87599999999</v>
      </c>
      <c r="C1745" s="95">
        <v>4786680.6440000003</v>
      </c>
      <c r="D1745" s="95">
        <v>51.037999999999997</v>
      </c>
      <c r="E1745" s="96" t="s">
        <v>97</v>
      </c>
    </row>
    <row r="1746" spans="1:5" x14ac:dyDescent="0.25">
      <c r="A1746" s="94">
        <v>46006</v>
      </c>
      <c r="B1746" s="95">
        <v>511642.58</v>
      </c>
      <c r="C1746" s="95">
        <v>4786673.3499999996</v>
      </c>
      <c r="D1746" s="95">
        <v>51.051000000000002</v>
      </c>
      <c r="E1746" s="96" t="s">
        <v>98</v>
      </c>
    </row>
    <row r="1747" spans="1:5" x14ac:dyDescent="0.25">
      <c r="A1747" s="94">
        <v>46006</v>
      </c>
      <c r="B1747" s="95">
        <v>511607.701</v>
      </c>
      <c r="C1747" s="95">
        <v>4786691.4179999996</v>
      </c>
      <c r="D1747" s="95">
        <v>43.942999999999998</v>
      </c>
      <c r="E1747" s="96" t="s">
        <v>112</v>
      </c>
    </row>
    <row r="1748" spans="1:5" x14ac:dyDescent="0.25">
      <c r="A1748" s="94">
        <v>46006</v>
      </c>
      <c r="B1748" s="95">
        <v>511629.41899999999</v>
      </c>
      <c r="C1748" s="95">
        <v>4786679.9060000004</v>
      </c>
      <c r="D1748" s="95">
        <v>43.945999999999998</v>
      </c>
      <c r="E1748" s="96" t="s">
        <v>109</v>
      </c>
    </row>
    <row r="1749" spans="1:5" x14ac:dyDescent="0.25">
      <c r="A1749" s="94">
        <v>46006</v>
      </c>
      <c r="B1749" s="95">
        <v>511649.701</v>
      </c>
      <c r="C1749" s="95">
        <v>4786682.16</v>
      </c>
      <c r="D1749" s="95">
        <v>56.185000000000002</v>
      </c>
      <c r="E1749" s="96" t="s">
        <v>89</v>
      </c>
    </row>
    <row r="1750" spans="1:5" x14ac:dyDescent="0.25">
      <c r="A1750" s="94">
        <v>46006</v>
      </c>
      <c r="B1750" s="95">
        <v>511630.76</v>
      </c>
      <c r="C1750" s="95">
        <v>4786689.8600000003</v>
      </c>
      <c r="D1750" s="95">
        <v>55.945999999999998</v>
      </c>
      <c r="E1750" s="96" t="s">
        <v>90</v>
      </c>
    </row>
    <row r="1751" spans="1:5" x14ac:dyDescent="0.25">
      <c r="A1751" s="94">
        <v>46006</v>
      </c>
      <c r="B1751" s="95">
        <v>511623.43099999998</v>
      </c>
      <c r="C1751" s="95">
        <v>4786694.074</v>
      </c>
      <c r="D1751" s="95">
        <v>54.777000000000001</v>
      </c>
      <c r="E1751" s="96" t="s">
        <v>91</v>
      </c>
    </row>
    <row r="1752" spans="1:5" x14ac:dyDescent="0.25">
      <c r="A1752" s="94">
        <v>46006</v>
      </c>
      <c r="B1752" s="95">
        <v>511613.31300000002</v>
      </c>
      <c r="C1752" s="95">
        <v>4786695.3049999997</v>
      </c>
      <c r="D1752" s="95">
        <v>60.567</v>
      </c>
      <c r="E1752" s="96" t="s">
        <v>92</v>
      </c>
    </row>
    <row r="1753" spans="1:5" x14ac:dyDescent="0.25">
      <c r="A1753" s="94">
        <v>46006</v>
      </c>
      <c r="B1753" s="95">
        <v>511614.75099999999</v>
      </c>
      <c r="C1753" s="95">
        <v>4786712.5580000002</v>
      </c>
      <c r="D1753" s="95">
        <v>60.817</v>
      </c>
      <c r="E1753" s="96" t="s">
        <v>93</v>
      </c>
    </row>
    <row r="1754" spans="1:5" x14ac:dyDescent="0.25">
      <c r="A1754" s="94">
        <v>46006</v>
      </c>
      <c r="B1754" s="95">
        <v>511660.66399999999</v>
      </c>
      <c r="C1754" s="95">
        <v>4786683.4670000002</v>
      </c>
      <c r="D1754" s="95">
        <v>55.401000000000003</v>
      </c>
      <c r="E1754" s="96" t="s">
        <v>94</v>
      </c>
    </row>
    <row r="1755" spans="1:5" x14ac:dyDescent="0.25">
      <c r="A1755" s="94">
        <v>46006</v>
      </c>
      <c r="B1755" s="95">
        <v>511670.875</v>
      </c>
      <c r="C1755" s="95">
        <v>4786685.9189999998</v>
      </c>
      <c r="D1755" s="95">
        <v>54.819000000000003</v>
      </c>
      <c r="E1755" s="96" t="s">
        <v>95</v>
      </c>
    </row>
    <row r="1756" spans="1:5" x14ac:dyDescent="0.25">
      <c r="A1756" s="94">
        <v>46006</v>
      </c>
      <c r="B1756" s="95">
        <v>511649.79399999999</v>
      </c>
      <c r="C1756" s="95">
        <v>4786669.4939999999</v>
      </c>
      <c r="D1756" s="95">
        <v>51.057000000000002</v>
      </c>
      <c r="E1756" s="96" t="s">
        <v>99</v>
      </c>
    </row>
    <row r="1757" spans="1:5" x14ac:dyDescent="0.25">
      <c r="A1757" s="94">
        <v>46006</v>
      </c>
      <c r="B1757" s="95">
        <v>511607.54599999997</v>
      </c>
      <c r="C1757" s="95">
        <v>4786691.9780000001</v>
      </c>
      <c r="D1757" s="95">
        <v>51.048999999999999</v>
      </c>
      <c r="E1757" s="96" t="s">
        <v>100</v>
      </c>
    </row>
    <row r="1758" spans="1:5" x14ac:dyDescent="0.25">
      <c r="A1758" s="94">
        <v>46006</v>
      </c>
      <c r="B1758" s="95">
        <v>511607.26299999998</v>
      </c>
      <c r="C1758" s="95">
        <v>4786692.1710000001</v>
      </c>
      <c r="D1758" s="95">
        <v>51.048999999999999</v>
      </c>
      <c r="E1758" s="96" t="s">
        <v>101</v>
      </c>
    </row>
    <row r="1759" spans="1:5" x14ac:dyDescent="0.25">
      <c r="A1759" s="94">
        <v>46006</v>
      </c>
      <c r="B1759" s="95">
        <v>511601.11</v>
      </c>
      <c r="C1759" s="95">
        <v>4786695.415</v>
      </c>
      <c r="D1759" s="95">
        <v>51.039000000000001</v>
      </c>
      <c r="E1759" s="96" t="s">
        <v>102</v>
      </c>
    </row>
    <row r="1760" spans="1:5" x14ac:dyDescent="0.25">
      <c r="A1760" s="94">
        <v>46006</v>
      </c>
      <c r="B1760" s="95">
        <v>511615.24900000001</v>
      </c>
      <c r="C1760" s="95">
        <v>4786687.4289999995</v>
      </c>
      <c r="D1760" s="95">
        <v>48.442999999999998</v>
      </c>
      <c r="E1760" s="96" t="s">
        <v>103</v>
      </c>
    </row>
    <row r="1761" spans="1:5" x14ac:dyDescent="0.25">
      <c r="A1761" s="94">
        <v>46006</v>
      </c>
      <c r="B1761" s="95">
        <v>511615.22100000002</v>
      </c>
      <c r="C1761" s="95">
        <v>4786687.352</v>
      </c>
      <c r="D1761" s="95">
        <v>45.936</v>
      </c>
      <c r="E1761" s="96" t="s">
        <v>104</v>
      </c>
    </row>
    <row r="1762" spans="1:5" x14ac:dyDescent="0.25">
      <c r="A1762" s="94">
        <v>46006</v>
      </c>
      <c r="B1762" s="95">
        <v>511615.17599999998</v>
      </c>
      <c r="C1762" s="95">
        <v>4786687.3789999997</v>
      </c>
      <c r="D1762" s="95">
        <v>43.957999999999998</v>
      </c>
      <c r="E1762" s="96" t="s">
        <v>110</v>
      </c>
    </row>
    <row r="1763" spans="1:5" x14ac:dyDescent="0.25">
      <c r="A1763" s="94">
        <v>46006</v>
      </c>
      <c r="B1763" s="95">
        <v>511629.18</v>
      </c>
      <c r="C1763" s="95">
        <v>4786680.0609999998</v>
      </c>
      <c r="D1763" s="95">
        <v>48.463000000000001</v>
      </c>
      <c r="E1763" s="96" t="s">
        <v>105</v>
      </c>
    </row>
    <row r="1764" spans="1:5" x14ac:dyDescent="0.25">
      <c r="A1764" s="94">
        <v>46006</v>
      </c>
      <c r="B1764" s="95">
        <v>511629.304</v>
      </c>
      <c r="C1764" s="95">
        <v>4786680.0219999999</v>
      </c>
      <c r="D1764" s="95">
        <v>45.945</v>
      </c>
      <c r="E1764" s="96" t="s">
        <v>106</v>
      </c>
    </row>
    <row r="1765" spans="1:5" x14ac:dyDescent="0.25">
      <c r="A1765" s="94">
        <v>46006</v>
      </c>
      <c r="B1765" s="95">
        <v>511642.28200000001</v>
      </c>
      <c r="C1765" s="95">
        <v>4786673.1229999997</v>
      </c>
      <c r="D1765" s="95">
        <v>48.447000000000003</v>
      </c>
      <c r="E1765" s="96" t="s">
        <v>107</v>
      </c>
    </row>
    <row r="1766" spans="1:5" x14ac:dyDescent="0.25">
      <c r="A1766" s="94">
        <v>46006</v>
      </c>
      <c r="B1766" s="95">
        <v>511642.43599999999</v>
      </c>
      <c r="C1766" s="95">
        <v>4786673.0109999999</v>
      </c>
      <c r="D1766" s="95">
        <v>45.942999999999998</v>
      </c>
      <c r="E1766" s="96" t="s">
        <v>108</v>
      </c>
    </row>
    <row r="1767" spans="1:5" x14ac:dyDescent="0.25">
      <c r="A1767" s="94">
        <v>46006</v>
      </c>
      <c r="B1767" s="95">
        <v>511642.47700000001</v>
      </c>
      <c r="C1767" s="95">
        <v>4786672.9040000001</v>
      </c>
      <c r="D1767" s="95">
        <v>43.970999999999997</v>
      </c>
      <c r="E1767" s="96" t="s">
        <v>111</v>
      </c>
    </row>
    <row r="1768" spans="1:5" x14ac:dyDescent="0.25">
      <c r="A1768" s="94">
        <v>46006</v>
      </c>
      <c r="B1768" s="95">
        <v>511649.13400000002</v>
      </c>
      <c r="C1768" s="95">
        <v>4786669.4029999999</v>
      </c>
      <c r="D1768" s="95">
        <v>43.954000000000001</v>
      </c>
      <c r="E1768" s="96" t="s">
        <v>113</v>
      </c>
    </row>
    <row r="1769" spans="1:5" x14ac:dyDescent="0.25">
      <c r="A1769" s="94">
        <v>46007</v>
      </c>
      <c r="B1769" s="95">
        <v>511615.09100000001</v>
      </c>
      <c r="C1769" s="95">
        <v>4786687.9800000004</v>
      </c>
      <c r="D1769" s="95">
        <v>51.027000000000001</v>
      </c>
      <c r="E1769" s="91" t="s">
        <v>96</v>
      </c>
    </row>
    <row r="1770" spans="1:5" x14ac:dyDescent="0.25">
      <c r="A1770" s="94">
        <v>46007</v>
      </c>
      <c r="B1770" s="95">
        <v>511628.87599999999</v>
      </c>
      <c r="C1770" s="95">
        <v>4786680.6430000002</v>
      </c>
      <c r="D1770" s="95">
        <v>51.037999999999997</v>
      </c>
      <c r="E1770" s="91" t="s">
        <v>97</v>
      </c>
    </row>
    <row r="1771" spans="1:5" x14ac:dyDescent="0.25">
      <c r="A1771" s="94">
        <v>46007</v>
      </c>
      <c r="B1771" s="95">
        <v>511642.57900000003</v>
      </c>
      <c r="C1771" s="95">
        <v>4786673.3499999996</v>
      </c>
      <c r="D1771" s="95">
        <v>51.051000000000002</v>
      </c>
      <c r="E1771" s="91" t="s">
        <v>98</v>
      </c>
    </row>
    <row r="1772" spans="1:5" x14ac:dyDescent="0.25">
      <c r="A1772" s="94">
        <v>46007</v>
      </c>
      <c r="B1772" s="95">
        <v>511607.69300000003</v>
      </c>
      <c r="C1772" s="95">
        <v>4786691.4210000001</v>
      </c>
      <c r="D1772" s="95">
        <v>43.942999999999998</v>
      </c>
      <c r="E1772" s="91" t="s">
        <v>112</v>
      </c>
    </row>
    <row r="1773" spans="1:5" x14ac:dyDescent="0.25">
      <c r="A1773" s="94">
        <v>46007</v>
      </c>
      <c r="B1773" s="95">
        <v>511629.41100000002</v>
      </c>
      <c r="C1773" s="95">
        <v>4786679.909</v>
      </c>
      <c r="D1773" s="95">
        <v>43.945999999999998</v>
      </c>
      <c r="E1773" s="91" t="s">
        <v>109</v>
      </c>
    </row>
    <row r="1774" spans="1:5" x14ac:dyDescent="0.25">
      <c r="A1774" s="94">
        <v>46007</v>
      </c>
      <c r="B1774" s="95">
        <v>511649.7</v>
      </c>
      <c r="C1774" s="95">
        <v>4786682.1579999998</v>
      </c>
      <c r="D1774" s="95">
        <v>56.183999999999997</v>
      </c>
      <c r="E1774" s="91" t="s">
        <v>89</v>
      </c>
    </row>
    <row r="1775" spans="1:5" x14ac:dyDescent="0.25">
      <c r="A1775" s="94">
        <v>46007</v>
      </c>
      <c r="B1775" s="95">
        <v>511630.75900000002</v>
      </c>
      <c r="C1775" s="95">
        <v>4786689.8590000002</v>
      </c>
      <c r="D1775" s="95">
        <v>55.945999999999998</v>
      </c>
      <c r="E1775" s="91" t="s">
        <v>90</v>
      </c>
    </row>
    <row r="1776" spans="1:5" x14ac:dyDescent="0.25">
      <c r="A1776" s="94">
        <v>46007</v>
      </c>
      <c r="B1776" s="95">
        <v>511623.43199999997</v>
      </c>
      <c r="C1776" s="95">
        <v>4786694.0750000002</v>
      </c>
      <c r="D1776" s="95">
        <v>54.777000000000001</v>
      </c>
      <c r="E1776" s="91" t="s">
        <v>91</v>
      </c>
    </row>
    <row r="1777" spans="1:5" x14ac:dyDescent="0.25">
      <c r="A1777" s="94">
        <v>46007</v>
      </c>
      <c r="B1777" s="95">
        <v>511613.31199999998</v>
      </c>
      <c r="C1777" s="95">
        <v>4786695.3039999995</v>
      </c>
      <c r="D1777" s="95">
        <v>60.567</v>
      </c>
      <c r="E1777" s="91" t="s">
        <v>92</v>
      </c>
    </row>
    <row r="1778" spans="1:5" x14ac:dyDescent="0.25">
      <c r="A1778" s="94">
        <v>46007</v>
      </c>
      <c r="B1778" s="95">
        <v>511614.75</v>
      </c>
      <c r="C1778" s="95">
        <v>4786712.557</v>
      </c>
      <c r="D1778" s="95">
        <v>60.817</v>
      </c>
      <c r="E1778" s="91" t="s">
        <v>93</v>
      </c>
    </row>
    <row r="1779" spans="1:5" x14ac:dyDescent="0.25">
      <c r="A1779" s="94">
        <v>46007</v>
      </c>
      <c r="B1779" s="95">
        <v>511660.663</v>
      </c>
      <c r="C1779" s="95">
        <v>4786683.4670000002</v>
      </c>
      <c r="D1779" s="95">
        <v>55.401000000000003</v>
      </c>
      <c r="E1779" s="91" t="s">
        <v>94</v>
      </c>
    </row>
    <row r="1780" spans="1:5" x14ac:dyDescent="0.25">
      <c r="A1780" s="94">
        <v>46007</v>
      </c>
      <c r="B1780" s="95">
        <v>511670.87400000001</v>
      </c>
      <c r="C1780" s="95">
        <v>4786685.9189999998</v>
      </c>
      <c r="D1780" s="95">
        <v>54.817</v>
      </c>
      <c r="E1780" s="91" t="s">
        <v>95</v>
      </c>
    </row>
    <row r="1781" spans="1:5" x14ac:dyDescent="0.25">
      <c r="A1781" s="94">
        <v>46007</v>
      </c>
      <c r="B1781" s="95">
        <v>511649.79200000002</v>
      </c>
      <c r="C1781" s="95">
        <v>4786669.4929999998</v>
      </c>
      <c r="D1781" s="95">
        <v>51.057000000000002</v>
      </c>
      <c r="E1781" s="91" t="s">
        <v>99</v>
      </c>
    </row>
    <row r="1782" spans="1:5" x14ac:dyDescent="0.25">
      <c r="A1782" s="94">
        <v>46007</v>
      </c>
      <c r="B1782" s="95">
        <v>511607.54599999997</v>
      </c>
      <c r="C1782" s="95">
        <v>4786691.977</v>
      </c>
      <c r="D1782" s="95">
        <v>51.048000000000002</v>
      </c>
      <c r="E1782" s="91" t="s">
        <v>100</v>
      </c>
    </row>
    <row r="1783" spans="1:5" x14ac:dyDescent="0.25">
      <c r="A1783" s="94">
        <v>46007</v>
      </c>
      <c r="B1783" s="95">
        <v>511607.261</v>
      </c>
      <c r="C1783" s="95">
        <v>4786692.17</v>
      </c>
      <c r="D1783" s="95">
        <v>51.048999999999999</v>
      </c>
      <c r="E1783" s="91" t="s">
        <v>101</v>
      </c>
    </row>
    <row r="1784" spans="1:5" x14ac:dyDescent="0.25">
      <c r="A1784" s="94">
        <v>46007</v>
      </c>
      <c r="B1784" s="95">
        <v>511601.109</v>
      </c>
      <c r="C1784" s="95">
        <v>4786695.415</v>
      </c>
      <c r="D1784" s="95">
        <v>51.039000000000001</v>
      </c>
      <c r="E1784" s="91" t="s">
        <v>102</v>
      </c>
    </row>
    <row r="1785" spans="1:5" x14ac:dyDescent="0.25">
      <c r="A1785" s="94">
        <v>46007</v>
      </c>
      <c r="B1785" s="95">
        <v>511615.24699999997</v>
      </c>
      <c r="C1785" s="95">
        <v>4786687.4280000003</v>
      </c>
      <c r="D1785" s="95">
        <v>48.442999999999998</v>
      </c>
      <c r="E1785" s="91" t="s">
        <v>103</v>
      </c>
    </row>
    <row r="1786" spans="1:5" x14ac:dyDescent="0.25">
      <c r="A1786" s="94">
        <v>46007</v>
      </c>
      <c r="B1786" s="95">
        <v>511615.22</v>
      </c>
      <c r="C1786" s="95">
        <v>4786687.3509999998</v>
      </c>
      <c r="D1786" s="95">
        <v>45.936</v>
      </c>
      <c r="E1786" s="91" t="s">
        <v>104</v>
      </c>
    </row>
    <row r="1787" spans="1:5" x14ac:dyDescent="0.25">
      <c r="A1787" s="94">
        <v>46007</v>
      </c>
      <c r="B1787" s="95">
        <v>511615.16899999999</v>
      </c>
      <c r="C1787" s="95">
        <v>4786687.3839999996</v>
      </c>
      <c r="D1787" s="95">
        <v>43.957999999999998</v>
      </c>
      <c r="E1787" s="91" t="s">
        <v>110</v>
      </c>
    </row>
    <row r="1788" spans="1:5" x14ac:dyDescent="0.25">
      <c r="A1788" s="94">
        <v>46007</v>
      </c>
      <c r="B1788" s="95">
        <v>511629.179</v>
      </c>
      <c r="C1788" s="95">
        <v>4786680.0599999996</v>
      </c>
      <c r="D1788" s="95">
        <v>48.462000000000003</v>
      </c>
      <c r="E1788" s="91" t="s">
        <v>105</v>
      </c>
    </row>
    <row r="1789" spans="1:5" x14ac:dyDescent="0.25">
      <c r="A1789" s="94">
        <v>46007</v>
      </c>
      <c r="B1789" s="95">
        <v>511629.30499999999</v>
      </c>
      <c r="C1789" s="95">
        <v>4786680.023</v>
      </c>
      <c r="D1789" s="95">
        <v>45.944000000000003</v>
      </c>
      <c r="E1789" s="91" t="s">
        <v>106</v>
      </c>
    </row>
    <row r="1790" spans="1:5" x14ac:dyDescent="0.25">
      <c r="A1790" s="94">
        <v>46007</v>
      </c>
      <c r="B1790" s="95">
        <v>511642.28200000001</v>
      </c>
      <c r="C1790" s="95">
        <v>4786673.1220000004</v>
      </c>
      <c r="D1790" s="95">
        <v>48.447000000000003</v>
      </c>
      <c r="E1790" s="91" t="s">
        <v>107</v>
      </c>
    </row>
    <row r="1791" spans="1:5" x14ac:dyDescent="0.25">
      <c r="A1791" s="94">
        <v>46007</v>
      </c>
      <c r="B1791" s="95">
        <v>511642.435</v>
      </c>
      <c r="C1791" s="95">
        <v>4786673.0109999999</v>
      </c>
      <c r="D1791" s="95">
        <v>45.942999999999998</v>
      </c>
      <c r="E1791" s="91" t="s">
        <v>108</v>
      </c>
    </row>
    <row r="1792" spans="1:5" x14ac:dyDescent="0.25">
      <c r="A1792" s="94">
        <v>46007</v>
      </c>
      <c r="B1792" s="95">
        <v>511642.47100000002</v>
      </c>
      <c r="C1792" s="95">
        <v>4786672.909</v>
      </c>
      <c r="D1792" s="95">
        <v>43.970999999999997</v>
      </c>
      <c r="E1792" s="91" t="s">
        <v>111</v>
      </c>
    </row>
    <row r="1793" spans="1:5" x14ac:dyDescent="0.25">
      <c r="A1793" s="94">
        <v>46007</v>
      </c>
      <c r="B1793" s="95">
        <v>511649.12900000002</v>
      </c>
      <c r="C1793" s="95">
        <v>4786669.409</v>
      </c>
      <c r="D1793" s="95">
        <v>43.954000000000001</v>
      </c>
      <c r="E1793" s="91" t="s">
        <v>113</v>
      </c>
    </row>
    <row r="1794" spans="1:5" x14ac:dyDescent="0.25">
      <c r="A1794" s="94">
        <v>46008</v>
      </c>
      <c r="B1794" s="98">
        <v>511615.08899999998</v>
      </c>
      <c r="C1794" s="98">
        <v>4786687.9800000004</v>
      </c>
      <c r="D1794" s="98">
        <v>51.027000000000001</v>
      </c>
      <c r="E1794" s="96" t="s">
        <v>96</v>
      </c>
    </row>
    <row r="1795" spans="1:5" x14ac:dyDescent="0.25">
      <c r="A1795" s="94">
        <v>46008</v>
      </c>
      <c r="B1795" s="98">
        <v>511628.875</v>
      </c>
      <c r="C1795" s="98">
        <v>4786680.6440000003</v>
      </c>
      <c r="D1795" s="98">
        <v>51.039000000000001</v>
      </c>
      <c r="E1795" s="96" t="s">
        <v>97</v>
      </c>
    </row>
    <row r="1796" spans="1:5" x14ac:dyDescent="0.25">
      <c r="A1796" s="94">
        <v>46008</v>
      </c>
      <c r="B1796" s="98">
        <v>511642.57699999999</v>
      </c>
      <c r="C1796" s="98">
        <v>4786673.352</v>
      </c>
      <c r="D1796" s="98">
        <v>51.051000000000002</v>
      </c>
      <c r="E1796" s="96" t="s">
        <v>98</v>
      </c>
    </row>
    <row r="1797" spans="1:5" x14ac:dyDescent="0.25">
      <c r="A1797" s="94">
        <v>46008</v>
      </c>
      <c r="B1797" s="98">
        <v>511607.69500000001</v>
      </c>
      <c r="C1797" s="98">
        <v>4786691.4179999996</v>
      </c>
      <c r="D1797" s="98">
        <v>43.942999999999998</v>
      </c>
      <c r="E1797" s="96" t="s">
        <v>112</v>
      </c>
    </row>
    <row r="1798" spans="1:5" x14ac:dyDescent="0.25">
      <c r="A1798" s="94">
        <v>46008</v>
      </c>
      <c r="B1798" s="98">
        <v>511629.413</v>
      </c>
      <c r="C1798" s="98">
        <v>4786679.9069999997</v>
      </c>
      <c r="D1798" s="98">
        <v>43.945999999999998</v>
      </c>
      <c r="E1798" s="96" t="s">
        <v>109</v>
      </c>
    </row>
    <row r="1799" spans="1:5" x14ac:dyDescent="0.25">
      <c r="A1799" s="94">
        <v>46008</v>
      </c>
      <c r="B1799" s="98">
        <v>511649.69900000002</v>
      </c>
      <c r="C1799" s="98">
        <v>4786682.159</v>
      </c>
      <c r="D1799" s="98">
        <v>56.185000000000002</v>
      </c>
      <c r="E1799" s="96" t="s">
        <v>89</v>
      </c>
    </row>
    <row r="1800" spans="1:5" x14ac:dyDescent="0.25">
      <c r="A1800" s="94">
        <v>46008</v>
      </c>
      <c r="B1800" s="98">
        <v>511630.75599999999</v>
      </c>
      <c r="C1800" s="98">
        <v>4786689.8590000002</v>
      </c>
      <c r="D1800" s="98">
        <v>55.945999999999998</v>
      </c>
      <c r="E1800" s="96" t="s">
        <v>90</v>
      </c>
    </row>
    <row r="1801" spans="1:5" x14ac:dyDescent="0.25">
      <c r="A1801" s="94">
        <v>46008</v>
      </c>
      <c r="B1801" s="98">
        <v>511623.43</v>
      </c>
      <c r="C1801" s="98">
        <v>4786694.0750000002</v>
      </c>
      <c r="D1801" s="98">
        <v>54.777999999999999</v>
      </c>
      <c r="E1801" s="96" t="s">
        <v>91</v>
      </c>
    </row>
    <row r="1802" spans="1:5" x14ac:dyDescent="0.25">
      <c r="A1802" s="94">
        <v>46008</v>
      </c>
      <c r="B1802" s="98">
        <v>511613.31099999999</v>
      </c>
      <c r="C1802" s="98">
        <v>4786695.3039999995</v>
      </c>
      <c r="D1802" s="98">
        <v>60.567</v>
      </c>
      <c r="E1802" s="96" t="s">
        <v>92</v>
      </c>
    </row>
    <row r="1803" spans="1:5" x14ac:dyDescent="0.25">
      <c r="A1803" s="94">
        <v>46008</v>
      </c>
      <c r="B1803" s="98">
        <v>511614.74900000001</v>
      </c>
      <c r="C1803" s="98">
        <v>4786712.5580000002</v>
      </c>
      <c r="D1803" s="98">
        <v>60.817</v>
      </c>
      <c r="E1803" s="96" t="s">
        <v>93</v>
      </c>
    </row>
    <row r="1804" spans="1:5" x14ac:dyDescent="0.25">
      <c r="A1804" s="94">
        <v>46008</v>
      </c>
      <c r="B1804" s="98">
        <v>511660.66200000001</v>
      </c>
      <c r="C1804" s="98">
        <v>4786683.4680000003</v>
      </c>
      <c r="D1804" s="98">
        <v>55.401000000000003</v>
      </c>
      <c r="E1804" s="96" t="s">
        <v>94</v>
      </c>
    </row>
    <row r="1805" spans="1:5" x14ac:dyDescent="0.25">
      <c r="A1805" s="94">
        <v>46008</v>
      </c>
      <c r="B1805" s="98">
        <v>511670.87099999998</v>
      </c>
      <c r="C1805" s="98">
        <v>4786685.92</v>
      </c>
      <c r="D1805" s="98">
        <v>54.817</v>
      </c>
      <c r="E1805" s="96" t="s">
        <v>95</v>
      </c>
    </row>
    <row r="1806" spans="1:5" x14ac:dyDescent="0.25">
      <c r="A1806" s="94">
        <v>46008</v>
      </c>
      <c r="B1806" s="98">
        <v>511649.79100000003</v>
      </c>
      <c r="C1806" s="98">
        <v>4786669.4939999999</v>
      </c>
      <c r="D1806" s="98">
        <v>51.057000000000002</v>
      </c>
      <c r="E1806" s="96" t="s">
        <v>99</v>
      </c>
    </row>
    <row r="1807" spans="1:5" x14ac:dyDescent="0.25">
      <c r="A1807" s="94">
        <v>46008</v>
      </c>
      <c r="B1807" s="98">
        <v>511607.54399999999</v>
      </c>
      <c r="C1807" s="98">
        <v>4786691.977</v>
      </c>
      <c r="D1807" s="98">
        <v>51.048999999999999</v>
      </c>
      <c r="E1807" s="96" t="s">
        <v>100</v>
      </c>
    </row>
    <row r="1808" spans="1:5" x14ac:dyDescent="0.25">
      <c r="A1808" s="94">
        <v>46008</v>
      </c>
      <c r="B1808" s="98">
        <v>511607.26</v>
      </c>
      <c r="C1808" s="98">
        <v>4786692.17</v>
      </c>
      <c r="D1808" s="98">
        <v>51.05</v>
      </c>
      <c r="E1808" s="96" t="s">
        <v>101</v>
      </c>
    </row>
    <row r="1809" spans="1:5" x14ac:dyDescent="0.25">
      <c r="A1809" s="94">
        <v>46008</v>
      </c>
      <c r="B1809" s="98">
        <v>511601.109</v>
      </c>
      <c r="C1809" s="98">
        <v>4786695.415</v>
      </c>
      <c r="D1809" s="98">
        <v>51.039000000000001</v>
      </c>
      <c r="E1809" s="96" t="s">
        <v>102</v>
      </c>
    </row>
    <row r="1810" spans="1:5" x14ac:dyDescent="0.25">
      <c r="A1810" s="94">
        <v>46008</v>
      </c>
      <c r="B1810" s="98">
        <v>511615.24699999997</v>
      </c>
      <c r="C1810" s="98">
        <v>4786687.4289999995</v>
      </c>
      <c r="D1810" s="98">
        <v>48.442999999999998</v>
      </c>
      <c r="E1810" s="96" t="s">
        <v>103</v>
      </c>
    </row>
    <row r="1811" spans="1:5" x14ac:dyDescent="0.25">
      <c r="A1811" s="94">
        <v>46008</v>
      </c>
      <c r="B1811" s="98">
        <v>511615.22</v>
      </c>
      <c r="C1811" s="98">
        <v>4786687.352</v>
      </c>
      <c r="D1811" s="98">
        <v>45.936</v>
      </c>
      <c r="E1811" s="96" t="s">
        <v>104</v>
      </c>
    </row>
    <row r="1812" spans="1:5" x14ac:dyDescent="0.25">
      <c r="A1812" s="94">
        <v>46008</v>
      </c>
      <c r="B1812" s="98">
        <v>511615.17200000002</v>
      </c>
      <c r="C1812" s="98">
        <v>4786687.3810000001</v>
      </c>
      <c r="D1812" s="98">
        <v>43.957999999999998</v>
      </c>
      <c r="E1812" s="96" t="s">
        <v>110</v>
      </c>
    </row>
    <row r="1813" spans="1:5" x14ac:dyDescent="0.25">
      <c r="A1813" s="94">
        <v>46008</v>
      </c>
      <c r="B1813" s="98">
        <v>511629.18</v>
      </c>
      <c r="C1813" s="98">
        <v>4786680.0609999998</v>
      </c>
      <c r="D1813" s="98">
        <v>48.462000000000003</v>
      </c>
      <c r="E1813" s="96" t="s">
        <v>105</v>
      </c>
    </row>
    <row r="1814" spans="1:5" x14ac:dyDescent="0.25">
      <c r="A1814" s="94">
        <v>46008</v>
      </c>
      <c r="B1814" s="98">
        <v>511629.30300000001</v>
      </c>
      <c r="C1814" s="98">
        <v>4786680.023</v>
      </c>
      <c r="D1814" s="98">
        <v>45.945</v>
      </c>
      <c r="E1814" s="96" t="s">
        <v>106</v>
      </c>
    </row>
    <row r="1815" spans="1:5" x14ac:dyDescent="0.25">
      <c r="A1815" s="94">
        <v>46008</v>
      </c>
      <c r="B1815" s="98">
        <v>511642.28</v>
      </c>
      <c r="C1815" s="98">
        <v>4786673.1239999998</v>
      </c>
      <c r="D1815" s="98">
        <v>48.447000000000003</v>
      </c>
      <c r="E1815" s="96" t="s">
        <v>107</v>
      </c>
    </row>
    <row r="1816" spans="1:5" x14ac:dyDescent="0.25">
      <c r="A1816" s="94">
        <v>46008</v>
      </c>
      <c r="B1816" s="98">
        <v>511642.435</v>
      </c>
      <c r="C1816" s="98">
        <v>4786673.0120000001</v>
      </c>
      <c r="D1816" s="98">
        <v>45.942999999999998</v>
      </c>
      <c r="E1816" s="96" t="s">
        <v>108</v>
      </c>
    </row>
    <row r="1817" spans="1:5" x14ac:dyDescent="0.25">
      <c r="A1817" s="94">
        <v>46008</v>
      </c>
      <c r="B1817" s="98">
        <v>511642.47100000002</v>
      </c>
      <c r="C1817" s="98">
        <v>4786672.9050000003</v>
      </c>
      <c r="D1817" s="98">
        <v>43.972000000000001</v>
      </c>
      <c r="E1817" s="96" t="s">
        <v>111</v>
      </c>
    </row>
    <row r="1818" spans="1:5" x14ac:dyDescent="0.25">
      <c r="A1818" s="94">
        <v>46008</v>
      </c>
      <c r="B1818" s="98">
        <v>511649.13099999999</v>
      </c>
      <c r="C1818" s="98">
        <v>4786669.4050000003</v>
      </c>
      <c r="D1818" s="98">
        <v>43.954000000000001</v>
      </c>
      <c r="E1818" s="96" t="s">
        <v>113</v>
      </c>
    </row>
    <row r="1819" spans="1:5" x14ac:dyDescent="0.25">
      <c r="A1819" s="94">
        <v>46009</v>
      </c>
      <c r="B1819" s="98">
        <v>511615.09</v>
      </c>
      <c r="C1819" s="98">
        <v>4786687.9800000004</v>
      </c>
      <c r="D1819" s="98">
        <v>51.027000000000001</v>
      </c>
      <c r="E1819" s="96" t="s">
        <v>96</v>
      </c>
    </row>
    <row r="1820" spans="1:5" x14ac:dyDescent="0.25">
      <c r="A1820" s="94">
        <v>46009</v>
      </c>
      <c r="B1820" s="98">
        <v>511628.87699999998</v>
      </c>
      <c r="C1820" s="98">
        <v>4786680.6440000003</v>
      </c>
      <c r="D1820" s="98">
        <v>51.039000000000001</v>
      </c>
      <c r="E1820" s="96" t="s">
        <v>97</v>
      </c>
    </row>
    <row r="1821" spans="1:5" x14ac:dyDescent="0.25">
      <c r="A1821" s="94">
        <v>46009</v>
      </c>
      <c r="B1821" s="98">
        <v>511642.57900000003</v>
      </c>
      <c r="C1821" s="98">
        <v>4786673.3509999998</v>
      </c>
      <c r="D1821" s="98">
        <v>51.051000000000002</v>
      </c>
      <c r="E1821" s="96" t="s">
        <v>98</v>
      </c>
    </row>
    <row r="1822" spans="1:5" x14ac:dyDescent="0.25">
      <c r="A1822" s="94">
        <v>46009</v>
      </c>
      <c r="B1822" s="98">
        <v>511607.696</v>
      </c>
      <c r="C1822" s="98">
        <v>4786691.4189999998</v>
      </c>
      <c r="D1822" s="98">
        <v>43.944000000000003</v>
      </c>
      <c r="E1822" s="96" t="s">
        <v>112</v>
      </c>
    </row>
    <row r="1823" spans="1:5" x14ac:dyDescent="0.25">
      <c r="A1823" s="94">
        <v>46009</v>
      </c>
      <c r="B1823" s="98">
        <v>511629.41499999998</v>
      </c>
      <c r="C1823" s="98">
        <v>4786679.9079999998</v>
      </c>
      <c r="D1823" s="98">
        <v>43.947000000000003</v>
      </c>
      <c r="E1823" s="96" t="s">
        <v>109</v>
      </c>
    </row>
    <row r="1824" spans="1:5" x14ac:dyDescent="0.25">
      <c r="A1824" s="94">
        <v>46009</v>
      </c>
      <c r="B1824" s="98">
        <v>511649.7</v>
      </c>
      <c r="C1824" s="98">
        <v>4786682.159</v>
      </c>
      <c r="D1824" s="98">
        <v>56.185000000000002</v>
      </c>
      <c r="E1824" s="96" t="s">
        <v>89</v>
      </c>
    </row>
    <row r="1825" spans="1:5" x14ac:dyDescent="0.25">
      <c r="A1825" s="94">
        <v>46009</v>
      </c>
      <c r="B1825" s="98">
        <v>511630.75799999997</v>
      </c>
      <c r="C1825" s="98">
        <v>4786689.8590000002</v>
      </c>
      <c r="D1825" s="98">
        <v>55.945999999999998</v>
      </c>
      <c r="E1825" s="96" t="s">
        <v>90</v>
      </c>
    </row>
    <row r="1826" spans="1:5" x14ac:dyDescent="0.25">
      <c r="A1826" s="94">
        <v>46009</v>
      </c>
      <c r="B1826" s="98">
        <v>511623.43</v>
      </c>
      <c r="C1826" s="98">
        <v>4786694.0750000002</v>
      </c>
      <c r="D1826" s="98">
        <v>54.777000000000001</v>
      </c>
      <c r="E1826" s="96" t="s">
        <v>91</v>
      </c>
    </row>
    <row r="1827" spans="1:5" x14ac:dyDescent="0.25">
      <c r="A1827" s="94">
        <v>46009</v>
      </c>
      <c r="B1827" s="98">
        <v>511613.31199999998</v>
      </c>
      <c r="C1827" s="98">
        <v>4786695.3039999995</v>
      </c>
      <c r="D1827" s="98">
        <v>60.567</v>
      </c>
      <c r="E1827" s="96" t="s">
        <v>92</v>
      </c>
    </row>
    <row r="1828" spans="1:5" x14ac:dyDescent="0.25">
      <c r="A1828" s="94">
        <v>46009</v>
      </c>
      <c r="B1828" s="98">
        <v>511614.74900000001</v>
      </c>
      <c r="C1828" s="98">
        <v>4786712.557</v>
      </c>
      <c r="D1828" s="98">
        <v>60.817</v>
      </c>
      <c r="E1828" s="96" t="s">
        <v>93</v>
      </c>
    </row>
    <row r="1829" spans="1:5" x14ac:dyDescent="0.25">
      <c r="A1829" s="94">
        <v>46009</v>
      </c>
      <c r="B1829" s="98">
        <v>511660.66100000002</v>
      </c>
      <c r="C1829" s="98">
        <v>4786683.4670000002</v>
      </c>
      <c r="D1829" s="98">
        <v>55.401000000000003</v>
      </c>
      <c r="E1829" s="96" t="s">
        <v>94</v>
      </c>
    </row>
    <row r="1830" spans="1:5" x14ac:dyDescent="0.25">
      <c r="A1830" s="94">
        <v>46009</v>
      </c>
      <c r="B1830" s="98">
        <v>511670.87099999998</v>
      </c>
      <c r="C1830" s="98">
        <v>4786685.9189999998</v>
      </c>
      <c r="D1830" s="98">
        <v>54.817</v>
      </c>
      <c r="E1830" s="96" t="s">
        <v>95</v>
      </c>
    </row>
    <row r="1831" spans="1:5" x14ac:dyDescent="0.25">
      <c r="A1831" s="94">
        <v>46009</v>
      </c>
      <c r="B1831" s="98">
        <v>511649.79200000002</v>
      </c>
      <c r="C1831" s="98">
        <v>4786669.4939999999</v>
      </c>
      <c r="D1831" s="98">
        <v>51.058</v>
      </c>
      <c r="E1831" s="96" t="s">
        <v>99</v>
      </c>
    </row>
    <row r="1832" spans="1:5" x14ac:dyDescent="0.25">
      <c r="A1832" s="94">
        <v>46009</v>
      </c>
      <c r="B1832" s="98">
        <v>511607.54499999998</v>
      </c>
      <c r="C1832" s="98">
        <v>4786691.9759999998</v>
      </c>
      <c r="D1832" s="98">
        <v>51.048000000000002</v>
      </c>
      <c r="E1832" s="96" t="s">
        <v>100</v>
      </c>
    </row>
    <row r="1833" spans="1:5" x14ac:dyDescent="0.25">
      <c r="A1833" s="94">
        <v>46009</v>
      </c>
      <c r="B1833" s="98">
        <v>511607.261</v>
      </c>
      <c r="C1833" s="98">
        <v>4786692.1689999998</v>
      </c>
      <c r="D1833" s="98">
        <v>51.05</v>
      </c>
      <c r="E1833" s="96" t="s">
        <v>101</v>
      </c>
    </row>
    <row r="1834" spans="1:5" x14ac:dyDescent="0.25">
      <c r="A1834" s="94">
        <v>46009</v>
      </c>
      <c r="B1834" s="98">
        <v>511601.11</v>
      </c>
      <c r="C1834" s="98">
        <v>4786695.4160000002</v>
      </c>
      <c r="D1834" s="98">
        <v>51.039000000000001</v>
      </c>
      <c r="E1834" s="96" t="s">
        <v>102</v>
      </c>
    </row>
    <row r="1835" spans="1:5" x14ac:dyDescent="0.25">
      <c r="A1835" s="94">
        <v>46009</v>
      </c>
      <c r="B1835" s="98">
        <v>511615.24900000001</v>
      </c>
      <c r="C1835" s="98">
        <v>4786687.4289999995</v>
      </c>
      <c r="D1835" s="98">
        <v>48.444000000000003</v>
      </c>
      <c r="E1835" s="96" t="s">
        <v>103</v>
      </c>
    </row>
    <row r="1836" spans="1:5" x14ac:dyDescent="0.25">
      <c r="A1836" s="94">
        <v>46009</v>
      </c>
      <c r="B1836" s="98">
        <v>511615.22</v>
      </c>
      <c r="C1836" s="98">
        <v>4786687.352</v>
      </c>
      <c r="D1836" s="98">
        <v>45.936</v>
      </c>
      <c r="E1836" s="96" t="s">
        <v>104</v>
      </c>
    </row>
    <row r="1837" spans="1:5" x14ac:dyDescent="0.25">
      <c r="A1837" s="94">
        <v>46009</v>
      </c>
      <c r="B1837" s="98">
        <v>511615.17099999997</v>
      </c>
      <c r="C1837" s="98">
        <v>4786687.3820000002</v>
      </c>
      <c r="D1837" s="98">
        <v>43.959000000000003</v>
      </c>
      <c r="E1837" s="96" t="s">
        <v>110</v>
      </c>
    </row>
    <row r="1838" spans="1:5" x14ac:dyDescent="0.25">
      <c r="A1838" s="94">
        <v>46009</v>
      </c>
      <c r="B1838" s="98">
        <v>511629.179</v>
      </c>
      <c r="C1838" s="98">
        <v>4786680.0599999996</v>
      </c>
      <c r="D1838" s="98">
        <v>48.462000000000003</v>
      </c>
      <c r="E1838" s="96" t="s">
        <v>105</v>
      </c>
    </row>
    <row r="1839" spans="1:5" x14ac:dyDescent="0.25">
      <c r="A1839" s="94">
        <v>46009</v>
      </c>
      <c r="B1839" s="98">
        <v>511629.30300000001</v>
      </c>
      <c r="C1839" s="98">
        <v>4786680.0219999999</v>
      </c>
      <c r="D1839" s="98">
        <v>45.944000000000003</v>
      </c>
      <c r="E1839" s="96" t="s">
        <v>106</v>
      </c>
    </row>
    <row r="1840" spans="1:5" x14ac:dyDescent="0.25">
      <c r="A1840" s="94">
        <v>46009</v>
      </c>
      <c r="B1840" s="98">
        <v>511642.28100000002</v>
      </c>
      <c r="C1840" s="98">
        <v>4786673.1229999997</v>
      </c>
      <c r="D1840" s="98">
        <v>48.447000000000003</v>
      </c>
      <c r="E1840" s="96" t="s">
        <v>107</v>
      </c>
    </row>
    <row r="1841" spans="1:5" x14ac:dyDescent="0.25">
      <c r="A1841" s="94">
        <v>46009</v>
      </c>
      <c r="B1841" s="98">
        <v>511642.435</v>
      </c>
      <c r="C1841" s="98">
        <v>4786673.0109999999</v>
      </c>
      <c r="D1841" s="98">
        <v>45.944000000000003</v>
      </c>
      <c r="E1841" s="96" t="s">
        <v>108</v>
      </c>
    </row>
    <row r="1842" spans="1:5" x14ac:dyDescent="0.25">
      <c r="A1842" s="94">
        <v>46009</v>
      </c>
      <c r="B1842" s="98">
        <v>511642.47200000001</v>
      </c>
      <c r="C1842" s="98">
        <v>4786672.9060000004</v>
      </c>
      <c r="D1842" s="98">
        <v>43.972000000000001</v>
      </c>
      <c r="E1842" s="96" t="s">
        <v>111</v>
      </c>
    </row>
    <row r="1843" spans="1:5" x14ac:dyDescent="0.25">
      <c r="A1843" s="94">
        <v>46009</v>
      </c>
      <c r="B1843" s="98">
        <v>511649.13099999999</v>
      </c>
      <c r="C1843" s="98">
        <v>4786669.4060000004</v>
      </c>
      <c r="D1843" s="98">
        <v>43.954999999999998</v>
      </c>
      <c r="E1843" s="96" t="s">
        <v>113</v>
      </c>
    </row>
    <row r="1844" spans="1:5" x14ac:dyDescent="0.25">
      <c r="A1844" s="94">
        <v>46010</v>
      </c>
      <c r="B1844" s="98">
        <v>511615.09</v>
      </c>
      <c r="C1844" s="98">
        <v>4786687.9800000004</v>
      </c>
      <c r="D1844" s="98">
        <v>51.027000000000001</v>
      </c>
      <c r="E1844" s="96" t="s">
        <v>96</v>
      </c>
    </row>
    <row r="1845" spans="1:5" x14ac:dyDescent="0.25">
      <c r="A1845" s="94">
        <v>46010</v>
      </c>
      <c r="B1845" s="98">
        <v>511628.875</v>
      </c>
      <c r="C1845" s="98">
        <v>4786680.6440000003</v>
      </c>
      <c r="D1845" s="98">
        <v>51.037999999999997</v>
      </c>
      <c r="E1845" s="96" t="s">
        <v>97</v>
      </c>
    </row>
    <row r="1846" spans="1:5" x14ac:dyDescent="0.25">
      <c r="A1846" s="94">
        <v>46010</v>
      </c>
      <c r="B1846" s="98">
        <v>511642.57799999998</v>
      </c>
      <c r="C1846" s="98">
        <v>4786673.3509999998</v>
      </c>
      <c r="D1846" s="98">
        <v>51.051000000000002</v>
      </c>
      <c r="E1846" s="96" t="s">
        <v>98</v>
      </c>
    </row>
    <row r="1847" spans="1:5" x14ac:dyDescent="0.25">
      <c r="A1847" s="94">
        <v>46010</v>
      </c>
      <c r="B1847" s="98">
        <v>511607.69300000003</v>
      </c>
      <c r="C1847" s="98">
        <v>4786691.4189999998</v>
      </c>
      <c r="D1847" s="98">
        <v>43.944000000000003</v>
      </c>
      <c r="E1847" s="96" t="s">
        <v>112</v>
      </c>
    </row>
    <row r="1848" spans="1:5" x14ac:dyDescent="0.25">
      <c r="A1848" s="94">
        <v>46010</v>
      </c>
      <c r="B1848" s="98">
        <v>511629.41100000002</v>
      </c>
      <c r="C1848" s="98">
        <v>4786679.9079999998</v>
      </c>
      <c r="D1848" s="98">
        <v>43.947000000000003</v>
      </c>
      <c r="E1848" s="96" t="s">
        <v>109</v>
      </c>
    </row>
    <row r="1849" spans="1:5" x14ac:dyDescent="0.25">
      <c r="A1849" s="94">
        <v>46010</v>
      </c>
      <c r="B1849" s="98">
        <v>511649.69900000002</v>
      </c>
      <c r="C1849" s="98">
        <v>4786682.159</v>
      </c>
      <c r="D1849" s="98">
        <v>56.185000000000002</v>
      </c>
      <c r="E1849" s="96" t="s">
        <v>89</v>
      </c>
    </row>
    <row r="1850" spans="1:5" x14ac:dyDescent="0.25">
      <c r="A1850" s="94">
        <v>46010</v>
      </c>
      <c r="B1850" s="98">
        <v>511630.75900000002</v>
      </c>
      <c r="C1850" s="98">
        <v>4786689.8590000002</v>
      </c>
      <c r="D1850" s="98">
        <v>55.945999999999998</v>
      </c>
      <c r="E1850" s="96" t="s">
        <v>90</v>
      </c>
    </row>
    <row r="1851" spans="1:5" x14ac:dyDescent="0.25">
      <c r="A1851" s="94">
        <v>46010</v>
      </c>
      <c r="B1851" s="98">
        <v>511623.43</v>
      </c>
      <c r="C1851" s="98">
        <v>4786694.074</v>
      </c>
      <c r="D1851" s="98">
        <v>54.777000000000001</v>
      </c>
      <c r="E1851" s="96" t="s">
        <v>91</v>
      </c>
    </row>
    <row r="1852" spans="1:5" x14ac:dyDescent="0.25">
      <c r="A1852" s="94">
        <v>46010</v>
      </c>
      <c r="B1852" s="98">
        <v>511613.31199999998</v>
      </c>
      <c r="C1852" s="98">
        <v>4786695.3039999995</v>
      </c>
      <c r="D1852" s="98">
        <v>60.567</v>
      </c>
      <c r="E1852" s="96" t="s">
        <v>92</v>
      </c>
    </row>
    <row r="1853" spans="1:5" x14ac:dyDescent="0.25">
      <c r="A1853" s="94">
        <v>46010</v>
      </c>
      <c r="B1853" s="98">
        <v>511614.74900000001</v>
      </c>
      <c r="C1853" s="98">
        <v>4786712.557</v>
      </c>
      <c r="D1853" s="98">
        <v>60.817</v>
      </c>
      <c r="E1853" s="96" t="s">
        <v>93</v>
      </c>
    </row>
    <row r="1854" spans="1:5" x14ac:dyDescent="0.25">
      <c r="A1854" s="94">
        <v>46010</v>
      </c>
      <c r="B1854" s="98">
        <v>511660.66399999999</v>
      </c>
      <c r="C1854" s="98">
        <v>4786683.4670000002</v>
      </c>
      <c r="D1854" s="98">
        <v>55.401000000000003</v>
      </c>
      <c r="E1854" s="96" t="s">
        <v>94</v>
      </c>
    </row>
    <row r="1855" spans="1:5" x14ac:dyDescent="0.25">
      <c r="A1855" s="94">
        <v>46010</v>
      </c>
      <c r="B1855" s="98">
        <v>511670.87300000002</v>
      </c>
      <c r="C1855" s="98">
        <v>4786685.9189999998</v>
      </c>
      <c r="D1855" s="98">
        <v>54.817</v>
      </c>
      <c r="E1855" s="96" t="s">
        <v>95</v>
      </c>
    </row>
    <row r="1856" spans="1:5" x14ac:dyDescent="0.25">
      <c r="A1856" s="94">
        <v>46010</v>
      </c>
      <c r="B1856" s="98">
        <v>511649.79100000003</v>
      </c>
      <c r="C1856" s="98">
        <v>4786669.4929999998</v>
      </c>
      <c r="D1856" s="98">
        <v>51.057000000000002</v>
      </c>
      <c r="E1856" s="96" t="s">
        <v>99</v>
      </c>
    </row>
    <row r="1857" spans="1:5" x14ac:dyDescent="0.25">
      <c r="A1857" s="94">
        <v>46010</v>
      </c>
      <c r="B1857" s="98">
        <v>511607.54399999999</v>
      </c>
      <c r="C1857" s="98">
        <v>4786691.9759999998</v>
      </c>
      <c r="D1857" s="98">
        <v>51.048000000000002</v>
      </c>
      <c r="E1857" s="96" t="s">
        <v>100</v>
      </c>
    </row>
    <row r="1858" spans="1:5" x14ac:dyDescent="0.25">
      <c r="A1858" s="94">
        <v>46010</v>
      </c>
      <c r="B1858" s="98">
        <v>511607.25900000002</v>
      </c>
      <c r="C1858" s="98">
        <v>4786692.1679999996</v>
      </c>
      <c r="D1858" s="98">
        <v>51.048999999999999</v>
      </c>
      <c r="E1858" s="96" t="s">
        <v>101</v>
      </c>
    </row>
    <row r="1859" spans="1:5" x14ac:dyDescent="0.25">
      <c r="A1859" s="94">
        <v>46010</v>
      </c>
      <c r="B1859" s="98">
        <v>511601.10800000001</v>
      </c>
      <c r="C1859" s="98">
        <v>4786695.4139999999</v>
      </c>
      <c r="D1859" s="98">
        <v>51.039000000000001</v>
      </c>
      <c r="E1859" s="96" t="s">
        <v>102</v>
      </c>
    </row>
    <row r="1860" spans="1:5" x14ac:dyDescent="0.25">
      <c r="A1860" s="94">
        <v>46010</v>
      </c>
      <c r="B1860" s="98">
        <v>511615.24699999997</v>
      </c>
      <c r="C1860" s="98">
        <v>4786687.4289999995</v>
      </c>
      <c r="D1860" s="98">
        <v>48.442999999999998</v>
      </c>
      <c r="E1860" s="96" t="s">
        <v>103</v>
      </c>
    </row>
    <row r="1861" spans="1:5" x14ac:dyDescent="0.25">
      <c r="A1861" s="94">
        <v>46010</v>
      </c>
      <c r="B1861" s="98">
        <v>511615.22</v>
      </c>
      <c r="C1861" s="98">
        <v>4786687.352</v>
      </c>
      <c r="D1861" s="98">
        <v>45.936</v>
      </c>
      <c r="E1861" s="96" t="s">
        <v>104</v>
      </c>
    </row>
    <row r="1862" spans="1:5" x14ac:dyDescent="0.25">
      <c r="A1862" s="94">
        <v>46010</v>
      </c>
      <c r="B1862" s="98">
        <v>511615.17</v>
      </c>
      <c r="C1862" s="98">
        <v>4786687.3820000002</v>
      </c>
      <c r="D1862" s="98">
        <v>43.959000000000003</v>
      </c>
      <c r="E1862" s="96" t="s">
        <v>110</v>
      </c>
    </row>
    <row r="1863" spans="1:5" x14ac:dyDescent="0.25">
      <c r="A1863" s="94">
        <v>46010</v>
      </c>
      <c r="B1863" s="98">
        <v>511629.17800000001</v>
      </c>
      <c r="C1863" s="98">
        <v>4786680.0599999996</v>
      </c>
      <c r="D1863" s="98">
        <v>48.462000000000003</v>
      </c>
      <c r="E1863" s="96" t="s">
        <v>105</v>
      </c>
    </row>
    <row r="1864" spans="1:5" x14ac:dyDescent="0.25">
      <c r="A1864" s="94">
        <v>46010</v>
      </c>
      <c r="B1864" s="98">
        <v>511629.304</v>
      </c>
      <c r="C1864" s="98">
        <v>4786680.023</v>
      </c>
      <c r="D1864" s="98">
        <v>45.944000000000003</v>
      </c>
      <c r="E1864" s="96" t="s">
        <v>106</v>
      </c>
    </row>
    <row r="1865" spans="1:5" x14ac:dyDescent="0.25">
      <c r="A1865" s="94">
        <v>46010</v>
      </c>
      <c r="B1865" s="98">
        <v>511642.28100000002</v>
      </c>
      <c r="C1865" s="98">
        <v>4786673.1229999997</v>
      </c>
      <c r="D1865" s="98">
        <v>48.447000000000003</v>
      </c>
      <c r="E1865" s="96" t="s">
        <v>107</v>
      </c>
    </row>
    <row r="1866" spans="1:5" x14ac:dyDescent="0.25">
      <c r="A1866" s="94">
        <v>46010</v>
      </c>
      <c r="B1866" s="98">
        <v>511642.43599999999</v>
      </c>
      <c r="C1866" s="98">
        <v>4786673.0120000001</v>
      </c>
      <c r="D1866" s="98">
        <v>45.942999999999998</v>
      </c>
      <c r="E1866" s="96" t="s">
        <v>108</v>
      </c>
    </row>
    <row r="1867" spans="1:5" x14ac:dyDescent="0.25">
      <c r="A1867" s="94">
        <v>46010</v>
      </c>
      <c r="B1867" s="98">
        <v>511642.47100000002</v>
      </c>
      <c r="C1867" s="98">
        <v>4786672.9069999997</v>
      </c>
      <c r="D1867" s="98">
        <v>43.972000000000001</v>
      </c>
      <c r="E1867" s="96" t="s">
        <v>111</v>
      </c>
    </row>
    <row r="1868" spans="1:5" x14ac:dyDescent="0.25">
      <c r="A1868" s="94">
        <v>46010</v>
      </c>
      <c r="B1868" s="98">
        <v>511649.12900000002</v>
      </c>
      <c r="C1868" s="98">
        <v>4786669.4069999997</v>
      </c>
      <c r="D1868" s="98">
        <v>43.954999999999998</v>
      </c>
      <c r="E1868" s="96" t="s">
        <v>113</v>
      </c>
    </row>
    <row r="1869" spans="1:5" x14ac:dyDescent="0.25">
      <c r="A1869" s="94">
        <v>46013</v>
      </c>
      <c r="B1869" s="95">
        <v>511615.09299999999</v>
      </c>
      <c r="C1869" s="95">
        <v>4786687.9800000004</v>
      </c>
      <c r="D1869" s="95">
        <v>51.026000000000003</v>
      </c>
      <c r="E1869" s="91" t="s">
        <v>96</v>
      </c>
    </row>
    <row r="1870" spans="1:5" x14ac:dyDescent="0.25">
      <c r="A1870" s="94">
        <v>46013</v>
      </c>
      <c r="B1870" s="95">
        <v>511628.87599999999</v>
      </c>
      <c r="C1870" s="95">
        <v>4786680.6430000002</v>
      </c>
      <c r="D1870" s="95">
        <v>51.037999999999997</v>
      </c>
      <c r="E1870" s="91" t="s">
        <v>97</v>
      </c>
    </row>
    <row r="1871" spans="1:5" x14ac:dyDescent="0.25">
      <c r="A1871" s="94">
        <v>46013</v>
      </c>
      <c r="B1871" s="95">
        <v>511642.58</v>
      </c>
      <c r="C1871" s="95">
        <v>4786673.3499999996</v>
      </c>
      <c r="D1871" s="95">
        <v>51.051000000000002</v>
      </c>
      <c r="E1871" s="91" t="s">
        <v>98</v>
      </c>
    </row>
    <row r="1872" spans="1:5" x14ac:dyDescent="0.25">
      <c r="A1872" s="94">
        <v>46013</v>
      </c>
      <c r="B1872" s="95">
        <v>511607.69199999998</v>
      </c>
      <c r="C1872" s="95">
        <v>4786691.4179999996</v>
      </c>
      <c r="D1872" s="95">
        <v>43.945999999999998</v>
      </c>
      <c r="E1872" s="91" t="s">
        <v>112</v>
      </c>
    </row>
    <row r="1873" spans="1:5" x14ac:dyDescent="0.25">
      <c r="A1873" s="94">
        <v>46013</v>
      </c>
      <c r="B1873" s="95">
        <v>511629.41200000001</v>
      </c>
      <c r="C1873" s="95">
        <v>4786679.91</v>
      </c>
      <c r="D1873" s="95">
        <v>43.945999999999998</v>
      </c>
      <c r="E1873" s="91" t="s">
        <v>109</v>
      </c>
    </row>
    <row r="1874" spans="1:5" x14ac:dyDescent="0.25">
      <c r="A1874" s="94">
        <v>46013</v>
      </c>
      <c r="B1874" s="95">
        <v>511649.701</v>
      </c>
      <c r="C1874" s="95">
        <v>4786682.159</v>
      </c>
      <c r="D1874" s="95">
        <v>56.183999999999997</v>
      </c>
      <c r="E1874" s="91" t="s">
        <v>89</v>
      </c>
    </row>
    <row r="1875" spans="1:5" x14ac:dyDescent="0.25">
      <c r="A1875" s="94">
        <v>46013</v>
      </c>
      <c r="B1875" s="95">
        <v>511630.76</v>
      </c>
      <c r="C1875" s="95">
        <v>4786689.8590000002</v>
      </c>
      <c r="D1875" s="95">
        <v>55.945</v>
      </c>
      <c r="E1875" s="91" t="s">
        <v>90</v>
      </c>
    </row>
    <row r="1876" spans="1:5" x14ac:dyDescent="0.25">
      <c r="A1876" s="94">
        <v>46013</v>
      </c>
      <c r="B1876" s="95">
        <v>511623.43</v>
      </c>
      <c r="C1876" s="95">
        <v>4786694.074</v>
      </c>
      <c r="D1876" s="95">
        <v>54.777000000000001</v>
      </c>
      <c r="E1876" s="91" t="s">
        <v>91</v>
      </c>
    </row>
    <row r="1877" spans="1:5" x14ac:dyDescent="0.25">
      <c r="A1877" s="94">
        <v>46013</v>
      </c>
      <c r="B1877" s="95">
        <v>511613.31300000002</v>
      </c>
      <c r="C1877" s="95">
        <v>4786695.3049999997</v>
      </c>
      <c r="D1877" s="95">
        <v>60.566000000000003</v>
      </c>
      <c r="E1877" s="91" t="s">
        <v>92</v>
      </c>
    </row>
    <row r="1878" spans="1:5" x14ac:dyDescent="0.25">
      <c r="A1878" s="94">
        <v>46013</v>
      </c>
      <c r="B1878" s="95">
        <v>511614.75</v>
      </c>
      <c r="C1878" s="95">
        <v>4786712.557</v>
      </c>
      <c r="D1878" s="95">
        <v>60.817</v>
      </c>
      <c r="E1878" s="91" t="s">
        <v>93</v>
      </c>
    </row>
    <row r="1879" spans="1:5" x14ac:dyDescent="0.25">
      <c r="A1879" s="94">
        <v>46013</v>
      </c>
      <c r="B1879" s="95">
        <v>511660.66399999999</v>
      </c>
      <c r="C1879" s="95">
        <v>4786683.4670000002</v>
      </c>
      <c r="D1879" s="95">
        <v>55.401000000000003</v>
      </c>
      <c r="E1879" s="91" t="s">
        <v>94</v>
      </c>
    </row>
    <row r="1880" spans="1:5" x14ac:dyDescent="0.25">
      <c r="A1880" s="94">
        <v>46013</v>
      </c>
      <c r="B1880" s="95">
        <v>511670.87400000001</v>
      </c>
      <c r="C1880" s="95">
        <v>4786685.9189999998</v>
      </c>
      <c r="D1880" s="95">
        <v>54.817</v>
      </c>
      <c r="E1880" s="91" t="s">
        <v>95</v>
      </c>
    </row>
    <row r="1881" spans="1:5" x14ac:dyDescent="0.25">
      <c r="A1881" s="94">
        <v>46013</v>
      </c>
      <c r="B1881" s="95">
        <v>511649.79200000002</v>
      </c>
      <c r="C1881" s="95">
        <v>4786669.4929999998</v>
      </c>
      <c r="D1881" s="95">
        <v>51.057000000000002</v>
      </c>
      <c r="E1881" s="91" t="s">
        <v>99</v>
      </c>
    </row>
    <row r="1882" spans="1:5" x14ac:dyDescent="0.25">
      <c r="A1882" s="94">
        <v>46013</v>
      </c>
      <c r="B1882" s="95">
        <v>511607.54499999998</v>
      </c>
      <c r="C1882" s="95">
        <v>4786691.9749999996</v>
      </c>
      <c r="D1882" s="95">
        <v>51.046999999999997</v>
      </c>
      <c r="E1882" s="91" t="s">
        <v>100</v>
      </c>
    </row>
    <row r="1883" spans="1:5" x14ac:dyDescent="0.25">
      <c r="A1883" s="94">
        <v>46013</v>
      </c>
      <c r="B1883" s="95">
        <v>511607.261</v>
      </c>
      <c r="C1883" s="95">
        <v>4786692.1689999998</v>
      </c>
      <c r="D1883" s="95">
        <v>51.048999999999999</v>
      </c>
      <c r="E1883" s="91" t="s">
        <v>101</v>
      </c>
    </row>
    <row r="1884" spans="1:5" x14ac:dyDescent="0.25">
      <c r="A1884" s="94">
        <v>46013</v>
      </c>
      <c r="B1884" s="95">
        <v>511601.11</v>
      </c>
      <c r="C1884" s="95">
        <v>4786695.4139999999</v>
      </c>
      <c r="D1884" s="95">
        <v>51.037999999999997</v>
      </c>
      <c r="E1884" s="91" t="s">
        <v>102</v>
      </c>
    </row>
    <row r="1885" spans="1:5" x14ac:dyDescent="0.25">
      <c r="A1885" s="94">
        <v>46013</v>
      </c>
      <c r="B1885" s="95">
        <v>511615.24699999997</v>
      </c>
      <c r="C1885" s="95">
        <v>4786687.4280000003</v>
      </c>
      <c r="D1885" s="95">
        <v>48.442</v>
      </c>
      <c r="E1885" s="91" t="s">
        <v>103</v>
      </c>
    </row>
    <row r="1886" spans="1:5" x14ac:dyDescent="0.25">
      <c r="A1886" s="94">
        <v>46013</v>
      </c>
      <c r="B1886" s="95">
        <v>511615.22</v>
      </c>
      <c r="C1886" s="95">
        <v>4786687.3509999998</v>
      </c>
      <c r="D1886" s="95">
        <v>45.935000000000002</v>
      </c>
      <c r="E1886" s="91" t="s">
        <v>104</v>
      </c>
    </row>
    <row r="1887" spans="1:5" x14ac:dyDescent="0.25">
      <c r="A1887" s="94">
        <v>46013</v>
      </c>
      <c r="B1887" s="95">
        <v>511615.16899999999</v>
      </c>
      <c r="C1887" s="95">
        <v>4786687.3830000004</v>
      </c>
      <c r="D1887" s="95">
        <v>43.959000000000003</v>
      </c>
      <c r="E1887" s="91" t="s">
        <v>110</v>
      </c>
    </row>
    <row r="1888" spans="1:5" x14ac:dyDescent="0.25">
      <c r="A1888" s="94">
        <v>46013</v>
      </c>
      <c r="B1888" s="95">
        <v>511629.179</v>
      </c>
      <c r="C1888" s="95">
        <v>4786680.0599999996</v>
      </c>
      <c r="D1888" s="95">
        <v>48.460999999999999</v>
      </c>
      <c r="E1888" s="91" t="s">
        <v>105</v>
      </c>
    </row>
    <row r="1889" spans="1:5" x14ac:dyDescent="0.25">
      <c r="A1889" s="94">
        <v>46013</v>
      </c>
      <c r="B1889" s="95">
        <v>511629.30300000001</v>
      </c>
      <c r="C1889" s="95">
        <v>4786680.0219999999</v>
      </c>
      <c r="D1889" s="95">
        <v>45.944000000000003</v>
      </c>
      <c r="E1889" s="91" t="s">
        <v>106</v>
      </c>
    </row>
    <row r="1890" spans="1:5" x14ac:dyDescent="0.25">
      <c r="A1890" s="94">
        <v>46013</v>
      </c>
      <c r="B1890" s="95">
        <v>511642.28100000002</v>
      </c>
      <c r="C1890" s="95">
        <v>4786673.1229999997</v>
      </c>
      <c r="D1890" s="95">
        <v>48.447000000000003</v>
      </c>
      <c r="E1890" s="91" t="s">
        <v>107</v>
      </c>
    </row>
    <row r="1891" spans="1:5" x14ac:dyDescent="0.25">
      <c r="A1891" s="94">
        <v>46013</v>
      </c>
      <c r="B1891" s="95">
        <v>511642.435</v>
      </c>
      <c r="C1891" s="95">
        <v>4786673.0109999999</v>
      </c>
      <c r="D1891" s="95">
        <v>45.942</v>
      </c>
      <c r="E1891" s="91" t="s">
        <v>108</v>
      </c>
    </row>
    <row r="1892" spans="1:5" x14ac:dyDescent="0.25">
      <c r="A1892" s="94">
        <v>46013</v>
      </c>
      <c r="B1892" s="95">
        <v>511642.47</v>
      </c>
      <c r="C1892" s="95">
        <v>4786672.909</v>
      </c>
      <c r="D1892" s="95">
        <v>43.970999999999997</v>
      </c>
      <c r="E1892" s="91" t="s">
        <v>111</v>
      </c>
    </row>
    <row r="1893" spans="1:5" x14ac:dyDescent="0.25">
      <c r="A1893" s="94">
        <v>46013</v>
      </c>
      <c r="B1893" s="95">
        <v>511649.13</v>
      </c>
      <c r="C1893" s="95">
        <v>4786669.409</v>
      </c>
      <c r="D1893" s="95">
        <v>43.954000000000001</v>
      </c>
      <c r="E1893" s="91" t="s">
        <v>113</v>
      </c>
    </row>
    <row r="1894" spans="1:5" x14ac:dyDescent="0.25">
      <c r="A1894" s="94">
        <v>46017</v>
      </c>
      <c r="B1894" s="98">
        <v>511615.09</v>
      </c>
      <c r="C1894" s="98">
        <v>4786687.9800000004</v>
      </c>
      <c r="D1894" s="98">
        <v>51.026000000000003</v>
      </c>
      <c r="E1894" s="96" t="s">
        <v>96</v>
      </c>
    </row>
    <row r="1895" spans="1:5" x14ac:dyDescent="0.25">
      <c r="A1895" s="94">
        <v>46017</v>
      </c>
      <c r="B1895" s="98">
        <v>511628.875</v>
      </c>
      <c r="C1895" s="98">
        <v>4786680.6449999996</v>
      </c>
      <c r="D1895" s="98">
        <v>51.037999999999997</v>
      </c>
      <c r="E1895" s="96" t="s">
        <v>97</v>
      </c>
    </row>
    <row r="1896" spans="1:5" x14ac:dyDescent="0.25">
      <c r="A1896" s="94">
        <v>46017</v>
      </c>
      <c r="B1896" s="98">
        <v>511642.57699999999</v>
      </c>
      <c r="C1896" s="98">
        <v>4786673.352</v>
      </c>
      <c r="D1896" s="98">
        <v>51.051000000000002</v>
      </c>
      <c r="E1896" s="96" t="s">
        <v>98</v>
      </c>
    </row>
    <row r="1897" spans="1:5" x14ac:dyDescent="0.25">
      <c r="A1897" s="94">
        <v>46017</v>
      </c>
      <c r="B1897" s="98">
        <v>511607.69900000002</v>
      </c>
      <c r="C1897" s="98">
        <v>4786691.4179999996</v>
      </c>
      <c r="D1897" s="98">
        <v>43.959000000000003</v>
      </c>
      <c r="E1897" s="96" t="s">
        <v>112</v>
      </c>
    </row>
    <row r="1898" spans="1:5" x14ac:dyDescent="0.25">
      <c r="A1898" s="94">
        <v>46017</v>
      </c>
      <c r="B1898" s="98">
        <v>511649.69900000002</v>
      </c>
      <c r="C1898" s="98">
        <v>4786682.1610000003</v>
      </c>
      <c r="D1898" s="98">
        <v>56.185000000000002</v>
      </c>
      <c r="E1898" s="96" t="s">
        <v>89</v>
      </c>
    </row>
    <row r="1899" spans="1:5" x14ac:dyDescent="0.25">
      <c r="A1899" s="94">
        <v>46017</v>
      </c>
      <c r="B1899" s="98">
        <v>511630.75900000002</v>
      </c>
      <c r="C1899" s="98">
        <v>4786689.8600000003</v>
      </c>
      <c r="D1899" s="98">
        <v>55.945999999999998</v>
      </c>
      <c r="E1899" s="96" t="s">
        <v>90</v>
      </c>
    </row>
    <row r="1900" spans="1:5" x14ac:dyDescent="0.25">
      <c r="A1900" s="94">
        <v>46017</v>
      </c>
      <c r="B1900" s="98">
        <v>511623.43</v>
      </c>
      <c r="C1900" s="98">
        <v>4786694.0750000002</v>
      </c>
      <c r="D1900" s="98">
        <v>54.777000000000001</v>
      </c>
      <c r="E1900" s="96" t="s">
        <v>91</v>
      </c>
    </row>
    <row r="1901" spans="1:5" x14ac:dyDescent="0.25">
      <c r="A1901" s="94">
        <v>46017</v>
      </c>
      <c r="B1901" s="98">
        <v>511613.31099999999</v>
      </c>
      <c r="C1901" s="98">
        <v>4786695.3049999997</v>
      </c>
      <c r="D1901" s="98">
        <v>60.566000000000003</v>
      </c>
      <c r="E1901" s="96" t="s">
        <v>92</v>
      </c>
    </row>
    <row r="1902" spans="1:5" x14ac:dyDescent="0.25">
      <c r="A1902" s="94">
        <v>46017</v>
      </c>
      <c r="B1902" s="98">
        <v>511614.75</v>
      </c>
      <c r="C1902" s="98">
        <v>4786712.5590000004</v>
      </c>
      <c r="D1902" s="98">
        <v>60.817999999999998</v>
      </c>
      <c r="E1902" s="96" t="s">
        <v>93</v>
      </c>
    </row>
    <row r="1903" spans="1:5" x14ac:dyDescent="0.25">
      <c r="A1903" s="94">
        <v>46017</v>
      </c>
      <c r="B1903" s="98">
        <v>511660.66200000001</v>
      </c>
      <c r="C1903" s="98">
        <v>4786683.47</v>
      </c>
      <c r="D1903" s="98">
        <v>55.402000000000001</v>
      </c>
      <c r="E1903" s="96" t="s">
        <v>94</v>
      </c>
    </row>
    <row r="1904" spans="1:5" x14ac:dyDescent="0.25">
      <c r="A1904" s="94">
        <v>46017</v>
      </c>
      <c r="B1904" s="98">
        <v>511670.87199999997</v>
      </c>
      <c r="C1904" s="98">
        <v>4786685.9210000001</v>
      </c>
      <c r="D1904" s="98">
        <v>54.817</v>
      </c>
      <c r="E1904" s="96" t="s">
        <v>95</v>
      </c>
    </row>
    <row r="1905" spans="1:5" x14ac:dyDescent="0.25">
      <c r="A1905" s="94">
        <v>46017</v>
      </c>
      <c r="B1905" s="98">
        <v>511649.79100000003</v>
      </c>
      <c r="C1905" s="98">
        <v>4786669.4950000001</v>
      </c>
      <c r="D1905" s="98">
        <v>51.057000000000002</v>
      </c>
      <c r="E1905" s="96" t="s">
        <v>99</v>
      </c>
    </row>
    <row r="1906" spans="1:5" x14ac:dyDescent="0.25">
      <c r="A1906" s="94">
        <v>46017</v>
      </c>
      <c r="B1906" s="98">
        <v>511607.54499999998</v>
      </c>
      <c r="C1906" s="98">
        <v>4786691.9759999998</v>
      </c>
      <c r="D1906" s="98">
        <v>51.048000000000002</v>
      </c>
      <c r="E1906" s="96" t="s">
        <v>100</v>
      </c>
    </row>
    <row r="1907" spans="1:5" x14ac:dyDescent="0.25">
      <c r="A1907" s="94">
        <v>46017</v>
      </c>
      <c r="B1907" s="98">
        <v>511607.261</v>
      </c>
      <c r="C1907" s="98">
        <v>4786692.1689999998</v>
      </c>
      <c r="D1907" s="98">
        <v>51.048999999999999</v>
      </c>
      <c r="E1907" s="96" t="s">
        <v>101</v>
      </c>
    </row>
    <row r="1908" spans="1:5" x14ac:dyDescent="0.25">
      <c r="A1908" s="94">
        <v>46017</v>
      </c>
      <c r="B1908" s="98">
        <v>511601.109</v>
      </c>
      <c r="C1908" s="98">
        <v>4786695.415</v>
      </c>
      <c r="D1908" s="98">
        <v>51.039000000000001</v>
      </c>
      <c r="E1908" s="96" t="s">
        <v>102</v>
      </c>
    </row>
    <row r="1909" spans="1:5" x14ac:dyDescent="0.25">
      <c r="A1909" s="94">
        <v>46017</v>
      </c>
      <c r="B1909" s="98">
        <v>511615.24800000002</v>
      </c>
      <c r="C1909" s="98">
        <v>4786687.4280000003</v>
      </c>
      <c r="D1909" s="98">
        <v>48.442999999999998</v>
      </c>
      <c r="E1909" s="96" t="s">
        <v>103</v>
      </c>
    </row>
    <row r="1910" spans="1:5" x14ac:dyDescent="0.25">
      <c r="A1910" s="94">
        <v>46017</v>
      </c>
      <c r="B1910" s="98">
        <v>511615.22</v>
      </c>
      <c r="C1910" s="98">
        <v>4786687.3509999998</v>
      </c>
      <c r="D1910" s="98">
        <v>45.935000000000002</v>
      </c>
      <c r="E1910" s="96" t="s">
        <v>104</v>
      </c>
    </row>
    <row r="1911" spans="1:5" x14ac:dyDescent="0.25">
      <c r="A1911" s="94">
        <v>46017</v>
      </c>
      <c r="B1911" s="98">
        <v>511629.179</v>
      </c>
      <c r="C1911" s="98">
        <v>4786680.0609999998</v>
      </c>
      <c r="D1911" s="98">
        <v>48.462000000000003</v>
      </c>
      <c r="E1911" s="96" t="s">
        <v>105</v>
      </c>
    </row>
    <row r="1912" spans="1:5" x14ac:dyDescent="0.25">
      <c r="A1912" s="94">
        <v>46017</v>
      </c>
      <c r="B1912" s="98">
        <v>511629.30200000003</v>
      </c>
      <c r="C1912" s="98">
        <v>4786680.0219999999</v>
      </c>
      <c r="D1912" s="98">
        <v>45.945</v>
      </c>
      <c r="E1912" s="96" t="s">
        <v>106</v>
      </c>
    </row>
    <row r="1913" spans="1:5" x14ac:dyDescent="0.25">
      <c r="A1913" s="94">
        <v>46017</v>
      </c>
      <c r="B1913" s="98">
        <v>511642.435</v>
      </c>
      <c r="C1913" s="98">
        <v>4786673.0130000003</v>
      </c>
      <c r="D1913" s="98">
        <v>45.942999999999998</v>
      </c>
      <c r="E1913" s="96" t="s">
        <v>108</v>
      </c>
    </row>
    <row r="1914" spans="1:5" x14ac:dyDescent="0.25">
      <c r="A1914" s="94">
        <v>46020</v>
      </c>
      <c r="B1914" s="95">
        <v>511615.09100000001</v>
      </c>
      <c r="C1914" s="95">
        <v>4786687.9790000003</v>
      </c>
      <c r="D1914" s="95">
        <v>51.026000000000003</v>
      </c>
      <c r="E1914" s="91" t="s">
        <v>96</v>
      </c>
    </row>
    <row r="1915" spans="1:5" x14ac:dyDescent="0.25">
      <c r="A1915" s="94">
        <v>46020</v>
      </c>
      <c r="B1915" s="95">
        <v>511628.875</v>
      </c>
      <c r="C1915" s="95">
        <v>4786680.6430000002</v>
      </c>
      <c r="D1915" s="95">
        <v>51.037999999999997</v>
      </c>
      <c r="E1915" s="91" t="s">
        <v>97</v>
      </c>
    </row>
    <row r="1916" spans="1:5" x14ac:dyDescent="0.25">
      <c r="A1916" s="94">
        <v>46020</v>
      </c>
      <c r="B1916" s="95">
        <v>511642.57699999999</v>
      </c>
      <c r="C1916" s="95">
        <v>4786673.3499999996</v>
      </c>
      <c r="D1916" s="95">
        <v>51.05</v>
      </c>
      <c r="E1916" s="91" t="s">
        <v>98</v>
      </c>
    </row>
    <row r="1917" spans="1:5" x14ac:dyDescent="0.25">
      <c r="A1917" s="94">
        <v>46020</v>
      </c>
      <c r="B1917" s="95">
        <v>511607.7</v>
      </c>
      <c r="C1917" s="95">
        <v>4786691.4139999999</v>
      </c>
      <c r="D1917" s="95">
        <v>43.942</v>
      </c>
      <c r="E1917" s="91" t="s">
        <v>112</v>
      </c>
    </row>
    <row r="1918" spans="1:5" x14ac:dyDescent="0.25">
      <c r="A1918" s="94">
        <v>46020</v>
      </c>
      <c r="B1918" s="95">
        <v>511629.41800000001</v>
      </c>
      <c r="C1918" s="95">
        <v>4786679.9040000001</v>
      </c>
      <c r="D1918" s="95">
        <v>43.945999999999998</v>
      </c>
      <c r="E1918" s="91" t="s">
        <v>109</v>
      </c>
    </row>
    <row r="1919" spans="1:5" x14ac:dyDescent="0.25">
      <c r="A1919" s="94">
        <v>46020</v>
      </c>
      <c r="B1919" s="95">
        <v>511649.7</v>
      </c>
      <c r="C1919" s="95">
        <v>4786682.1579999998</v>
      </c>
      <c r="D1919" s="95">
        <v>56.183999999999997</v>
      </c>
      <c r="E1919" s="91" t="s">
        <v>89</v>
      </c>
    </row>
    <row r="1920" spans="1:5" x14ac:dyDescent="0.25">
      <c r="A1920" s="94">
        <v>46020</v>
      </c>
      <c r="B1920" s="95">
        <v>511630.76</v>
      </c>
      <c r="C1920" s="95">
        <v>4786689.8590000002</v>
      </c>
      <c r="D1920" s="95">
        <v>55.945</v>
      </c>
      <c r="E1920" s="91" t="s">
        <v>90</v>
      </c>
    </row>
    <row r="1921" spans="1:5" x14ac:dyDescent="0.25">
      <c r="A1921" s="94">
        <v>46020</v>
      </c>
      <c r="B1921" s="95">
        <v>511623.43199999997</v>
      </c>
      <c r="C1921" s="95">
        <v>4786694.0750000002</v>
      </c>
      <c r="D1921" s="95">
        <v>54.777999999999999</v>
      </c>
      <c r="E1921" s="91" t="s">
        <v>91</v>
      </c>
    </row>
    <row r="1922" spans="1:5" x14ac:dyDescent="0.25">
      <c r="A1922" s="94">
        <v>46020</v>
      </c>
      <c r="B1922" s="95">
        <v>511613.31199999998</v>
      </c>
      <c r="C1922" s="95">
        <v>4786695.3039999995</v>
      </c>
      <c r="D1922" s="95">
        <v>60.566000000000003</v>
      </c>
      <c r="E1922" s="91" t="s">
        <v>92</v>
      </c>
    </row>
    <row r="1923" spans="1:5" x14ac:dyDescent="0.25">
      <c r="A1923" s="94">
        <v>46020</v>
      </c>
      <c r="B1923" s="95">
        <v>511614.75099999999</v>
      </c>
      <c r="C1923" s="95">
        <v>4786712.5580000002</v>
      </c>
      <c r="D1923" s="95">
        <v>60.817</v>
      </c>
      <c r="E1923" s="91" t="s">
        <v>93</v>
      </c>
    </row>
    <row r="1924" spans="1:5" x14ac:dyDescent="0.25">
      <c r="A1924" s="94">
        <v>46020</v>
      </c>
      <c r="B1924" s="95">
        <v>511660.663</v>
      </c>
      <c r="C1924" s="95">
        <v>4786683.4670000002</v>
      </c>
      <c r="D1924" s="95">
        <v>55.401000000000003</v>
      </c>
      <c r="E1924" s="91" t="s">
        <v>94</v>
      </c>
    </row>
    <row r="1925" spans="1:5" x14ac:dyDescent="0.25">
      <c r="A1925" s="94">
        <v>46020</v>
      </c>
      <c r="B1925" s="95">
        <v>511670.87400000001</v>
      </c>
      <c r="C1925" s="95">
        <v>4786685.9189999998</v>
      </c>
      <c r="D1925" s="95">
        <v>54.817</v>
      </c>
      <c r="E1925" s="91" t="s">
        <v>95</v>
      </c>
    </row>
    <row r="1926" spans="1:5" x14ac:dyDescent="0.25">
      <c r="A1926" s="94">
        <v>46020</v>
      </c>
      <c r="B1926" s="95">
        <v>511649.79300000001</v>
      </c>
      <c r="C1926" s="95">
        <v>4786669.4929999998</v>
      </c>
      <c r="D1926" s="95">
        <v>51.057000000000002</v>
      </c>
      <c r="E1926" s="91" t="s">
        <v>99</v>
      </c>
    </row>
    <row r="1927" spans="1:5" x14ac:dyDescent="0.25">
      <c r="A1927" s="94">
        <v>46020</v>
      </c>
      <c r="B1927" s="95">
        <v>511607.54700000002</v>
      </c>
      <c r="C1927" s="95">
        <v>4786691.977</v>
      </c>
      <c r="D1927" s="95">
        <v>51.048000000000002</v>
      </c>
      <c r="E1927" s="91" t="s">
        <v>100</v>
      </c>
    </row>
    <row r="1928" spans="1:5" x14ac:dyDescent="0.25">
      <c r="A1928" s="94">
        <v>46020</v>
      </c>
      <c r="B1928" s="95">
        <v>511607.261</v>
      </c>
      <c r="C1928" s="95">
        <v>4786692.1679999996</v>
      </c>
      <c r="D1928" s="95">
        <v>51.048999999999999</v>
      </c>
      <c r="E1928" s="91" t="s">
        <v>101</v>
      </c>
    </row>
    <row r="1929" spans="1:5" x14ac:dyDescent="0.25">
      <c r="A1929" s="94">
        <v>46020</v>
      </c>
      <c r="B1929" s="95">
        <v>511601.109</v>
      </c>
      <c r="C1929" s="95">
        <v>4786695.4129999997</v>
      </c>
      <c r="D1929" s="95">
        <v>51.037999999999997</v>
      </c>
      <c r="E1929" s="91" t="s">
        <v>102</v>
      </c>
    </row>
    <row r="1930" spans="1:5" x14ac:dyDescent="0.25">
      <c r="A1930" s="94">
        <v>46020</v>
      </c>
      <c r="B1930" s="95">
        <v>511615.24699999997</v>
      </c>
      <c r="C1930" s="95">
        <v>4786687.4270000001</v>
      </c>
      <c r="D1930" s="95">
        <v>48.442999999999998</v>
      </c>
      <c r="E1930" s="91" t="s">
        <v>103</v>
      </c>
    </row>
    <row r="1931" spans="1:5" x14ac:dyDescent="0.25">
      <c r="A1931" s="94">
        <v>46020</v>
      </c>
      <c r="B1931" s="95">
        <v>511615.22</v>
      </c>
      <c r="C1931" s="95">
        <v>4786687.3509999998</v>
      </c>
      <c r="D1931" s="95">
        <v>45.935000000000002</v>
      </c>
      <c r="E1931" s="91" t="s">
        <v>104</v>
      </c>
    </row>
    <row r="1932" spans="1:5" x14ac:dyDescent="0.25">
      <c r="A1932" s="94">
        <v>46020</v>
      </c>
      <c r="B1932" s="95">
        <v>511615.17499999999</v>
      </c>
      <c r="C1932" s="95">
        <v>4786687.3770000003</v>
      </c>
      <c r="D1932" s="95">
        <v>43.957999999999998</v>
      </c>
      <c r="E1932" s="91" t="s">
        <v>110</v>
      </c>
    </row>
    <row r="1933" spans="1:5" x14ac:dyDescent="0.25">
      <c r="A1933" s="94">
        <v>46020</v>
      </c>
      <c r="B1933" s="95">
        <v>511629.179</v>
      </c>
      <c r="C1933" s="95">
        <v>4786680.0599999996</v>
      </c>
      <c r="D1933" s="95">
        <v>48.462000000000003</v>
      </c>
      <c r="E1933" s="91" t="s">
        <v>105</v>
      </c>
    </row>
    <row r="1934" spans="1:5" x14ac:dyDescent="0.25">
      <c r="A1934" s="94">
        <v>46020</v>
      </c>
      <c r="B1934" s="95">
        <v>511629.304</v>
      </c>
      <c r="C1934" s="95">
        <v>4786680.0219999999</v>
      </c>
      <c r="D1934" s="95">
        <v>45.944000000000003</v>
      </c>
      <c r="E1934" s="91" t="s">
        <v>106</v>
      </c>
    </row>
    <row r="1935" spans="1:5" x14ac:dyDescent="0.25">
      <c r="A1935" s="94">
        <v>46020</v>
      </c>
      <c r="B1935" s="95">
        <v>511642.28</v>
      </c>
      <c r="C1935" s="95">
        <v>4786673.1220000004</v>
      </c>
      <c r="D1935" s="95">
        <v>48.447000000000003</v>
      </c>
      <c r="E1935" s="91" t="s">
        <v>107</v>
      </c>
    </row>
    <row r="1936" spans="1:5" x14ac:dyDescent="0.25">
      <c r="A1936" s="94">
        <v>46020</v>
      </c>
      <c r="B1936" s="95">
        <v>511642.435</v>
      </c>
      <c r="C1936" s="95">
        <v>4786673.0109999999</v>
      </c>
      <c r="D1936" s="95">
        <v>45.942999999999998</v>
      </c>
      <c r="E1936" s="91" t="s">
        <v>108</v>
      </c>
    </row>
    <row r="1937" spans="1:5" x14ac:dyDescent="0.25">
      <c r="A1937" s="94">
        <v>46020</v>
      </c>
      <c r="B1937" s="95">
        <v>511642.47499999998</v>
      </c>
      <c r="C1937" s="95">
        <v>4786672.9019999998</v>
      </c>
      <c r="D1937" s="95">
        <v>43.970999999999997</v>
      </c>
      <c r="E1937" s="91" t="s">
        <v>111</v>
      </c>
    </row>
    <row r="1938" spans="1:5" x14ac:dyDescent="0.25">
      <c r="A1938" s="94">
        <v>46020</v>
      </c>
      <c r="B1938" s="95">
        <v>511649.13500000001</v>
      </c>
      <c r="C1938" s="95">
        <v>4786669.4019999998</v>
      </c>
      <c r="D1938" s="95">
        <v>43.953000000000003</v>
      </c>
      <c r="E1938" s="91" t="s">
        <v>113</v>
      </c>
    </row>
    <row r="1939" spans="1:5" x14ac:dyDescent="0.25">
      <c r="A1939" s="94">
        <v>46024</v>
      </c>
      <c r="B1939" s="95">
        <v>511615.09100000001</v>
      </c>
      <c r="C1939" s="95">
        <v>4786687.9790000003</v>
      </c>
      <c r="D1939" s="95">
        <v>51.024999999999999</v>
      </c>
      <c r="E1939" s="91" t="s">
        <v>96</v>
      </c>
    </row>
    <row r="1940" spans="1:5" x14ac:dyDescent="0.25">
      <c r="A1940" s="94">
        <v>46024</v>
      </c>
      <c r="B1940" s="95">
        <v>511628.87699999998</v>
      </c>
      <c r="C1940" s="95">
        <v>4786680.6440000003</v>
      </c>
      <c r="D1940" s="95">
        <v>51.036999999999999</v>
      </c>
      <c r="E1940" s="91" t="s">
        <v>97</v>
      </c>
    </row>
    <row r="1941" spans="1:5" x14ac:dyDescent="0.25">
      <c r="A1941" s="94">
        <v>46024</v>
      </c>
      <c r="B1941" s="95">
        <v>511642.57799999998</v>
      </c>
      <c r="C1941" s="95">
        <v>4786673.3499999996</v>
      </c>
      <c r="D1941" s="95">
        <v>51.05</v>
      </c>
      <c r="E1941" s="91" t="s">
        <v>98</v>
      </c>
    </row>
    <row r="1942" spans="1:5" x14ac:dyDescent="0.25">
      <c r="A1942" s="94">
        <v>46024</v>
      </c>
      <c r="B1942" s="95">
        <v>511607.69400000002</v>
      </c>
      <c r="C1942" s="95">
        <v>4786691.4179999996</v>
      </c>
      <c r="D1942" s="95">
        <v>43.942</v>
      </c>
      <c r="E1942" s="91" t="s">
        <v>112</v>
      </c>
    </row>
    <row r="1943" spans="1:5" x14ac:dyDescent="0.25">
      <c r="A1943" s="94">
        <v>46024</v>
      </c>
      <c r="B1943" s="95">
        <v>511629.41399999999</v>
      </c>
      <c r="C1943" s="95">
        <v>4786679.9069999997</v>
      </c>
      <c r="D1943" s="95">
        <v>43.945999999999998</v>
      </c>
      <c r="E1943" s="91" t="s">
        <v>109</v>
      </c>
    </row>
    <row r="1944" spans="1:5" x14ac:dyDescent="0.25">
      <c r="A1944" s="94">
        <v>46024</v>
      </c>
      <c r="B1944" s="95">
        <v>511649.7</v>
      </c>
      <c r="C1944" s="95">
        <v>4786682.159</v>
      </c>
      <c r="D1944" s="95">
        <v>56.183</v>
      </c>
      <c r="E1944" s="91" t="s">
        <v>89</v>
      </c>
    </row>
    <row r="1945" spans="1:5" x14ac:dyDescent="0.25">
      <c r="A1945" s="94">
        <v>46024</v>
      </c>
      <c r="B1945" s="95">
        <v>511630.76</v>
      </c>
      <c r="C1945" s="95">
        <v>4786689.8590000002</v>
      </c>
      <c r="D1945" s="95">
        <v>55.944000000000003</v>
      </c>
      <c r="E1945" s="91" t="s">
        <v>90</v>
      </c>
    </row>
    <row r="1946" spans="1:5" x14ac:dyDescent="0.25">
      <c r="A1946" s="94">
        <v>46024</v>
      </c>
      <c r="B1946" s="95">
        <v>511623.43099999998</v>
      </c>
      <c r="C1946" s="95">
        <v>4786694.0750000002</v>
      </c>
      <c r="D1946" s="95">
        <v>54.774999999999999</v>
      </c>
      <c r="E1946" s="91" t="s">
        <v>91</v>
      </c>
    </row>
    <row r="1947" spans="1:5" x14ac:dyDescent="0.25">
      <c r="A1947" s="94">
        <v>46024</v>
      </c>
      <c r="B1947" s="95">
        <v>511613.31300000002</v>
      </c>
      <c r="C1947" s="95">
        <v>4786695.3049999997</v>
      </c>
      <c r="D1947" s="95">
        <v>60.564999999999998</v>
      </c>
      <c r="E1947" s="91" t="s">
        <v>92</v>
      </c>
    </row>
    <row r="1948" spans="1:5" x14ac:dyDescent="0.25">
      <c r="A1948" s="94">
        <v>46024</v>
      </c>
      <c r="B1948" s="95">
        <v>511614.75199999998</v>
      </c>
      <c r="C1948" s="95">
        <v>4786712.5580000002</v>
      </c>
      <c r="D1948" s="95">
        <v>60.817</v>
      </c>
      <c r="E1948" s="91" t="s">
        <v>93</v>
      </c>
    </row>
    <row r="1949" spans="1:5" x14ac:dyDescent="0.25">
      <c r="A1949" s="94">
        <v>46024</v>
      </c>
      <c r="B1949" s="95">
        <v>511660.663</v>
      </c>
      <c r="C1949" s="95">
        <v>4786683.4680000003</v>
      </c>
      <c r="D1949" s="95">
        <v>55.4</v>
      </c>
      <c r="E1949" s="91" t="s">
        <v>94</v>
      </c>
    </row>
    <row r="1950" spans="1:5" x14ac:dyDescent="0.25">
      <c r="A1950" s="94">
        <v>46024</v>
      </c>
      <c r="B1950" s="95">
        <v>511670.87400000001</v>
      </c>
      <c r="C1950" s="95">
        <v>4786685.9189999998</v>
      </c>
      <c r="D1950" s="95">
        <v>54.814999999999998</v>
      </c>
      <c r="E1950" s="91" t="s">
        <v>95</v>
      </c>
    </row>
    <row r="1951" spans="1:5" x14ac:dyDescent="0.25">
      <c r="A1951" s="94">
        <v>46024</v>
      </c>
      <c r="B1951" s="95">
        <v>511649.79200000002</v>
      </c>
      <c r="C1951" s="95">
        <v>4786669.4939999999</v>
      </c>
      <c r="D1951" s="95">
        <v>51.055999999999997</v>
      </c>
      <c r="E1951" s="91" t="s">
        <v>99</v>
      </c>
    </row>
    <row r="1952" spans="1:5" x14ac:dyDescent="0.25">
      <c r="A1952" s="94">
        <v>46024</v>
      </c>
      <c r="B1952" s="95">
        <v>511607.54700000002</v>
      </c>
      <c r="C1952" s="95">
        <v>4786691.9759999998</v>
      </c>
      <c r="D1952" s="95">
        <v>51.046999999999997</v>
      </c>
      <c r="E1952" s="91" t="s">
        <v>100</v>
      </c>
    </row>
    <row r="1953" spans="1:5" x14ac:dyDescent="0.25">
      <c r="A1953" s="94">
        <v>46024</v>
      </c>
      <c r="B1953" s="95">
        <v>511607.26199999999</v>
      </c>
      <c r="C1953" s="95">
        <v>4786692.1689999998</v>
      </c>
      <c r="D1953" s="95">
        <v>51.048000000000002</v>
      </c>
      <c r="E1953" s="91" t="s">
        <v>101</v>
      </c>
    </row>
    <row r="1954" spans="1:5" x14ac:dyDescent="0.25">
      <c r="A1954" s="94">
        <v>46024</v>
      </c>
      <c r="B1954" s="95">
        <v>511601.11099999998</v>
      </c>
      <c r="C1954" s="95">
        <v>4786695.4139999999</v>
      </c>
      <c r="D1954" s="95">
        <v>51.037999999999997</v>
      </c>
      <c r="E1954" s="91" t="s">
        <v>102</v>
      </c>
    </row>
    <row r="1955" spans="1:5" x14ac:dyDescent="0.25">
      <c r="A1955" s="94">
        <v>46024</v>
      </c>
      <c r="B1955" s="95">
        <v>511615.24900000001</v>
      </c>
      <c r="C1955" s="95">
        <v>4786687.4280000003</v>
      </c>
      <c r="D1955" s="95">
        <v>48.442</v>
      </c>
      <c r="E1955" s="91" t="s">
        <v>103</v>
      </c>
    </row>
    <row r="1956" spans="1:5" x14ac:dyDescent="0.25">
      <c r="A1956" s="94">
        <v>46024</v>
      </c>
      <c r="B1956" s="95">
        <v>511615.22100000002</v>
      </c>
      <c r="C1956" s="95">
        <v>4786687.3509999998</v>
      </c>
      <c r="D1956" s="95">
        <v>45.935000000000002</v>
      </c>
      <c r="E1956" s="91" t="s">
        <v>104</v>
      </c>
    </row>
    <row r="1957" spans="1:5" x14ac:dyDescent="0.25">
      <c r="A1957" s="94">
        <v>46024</v>
      </c>
      <c r="B1957" s="95">
        <v>511615.17</v>
      </c>
      <c r="C1957" s="95">
        <v>4786687.3820000002</v>
      </c>
      <c r="D1957" s="95">
        <v>43.957000000000001</v>
      </c>
      <c r="E1957" s="91" t="s">
        <v>110</v>
      </c>
    </row>
    <row r="1958" spans="1:5" x14ac:dyDescent="0.25">
      <c r="A1958" s="94">
        <v>46024</v>
      </c>
      <c r="B1958" s="95">
        <v>511629.18</v>
      </c>
      <c r="C1958" s="95">
        <v>4786680.0599999996</v>
      </c>
      <c r="D1958" s="95">
        <v>48.460999999999999</v>
      </c>
      <c r="E1958" s="91" t="s">
        <v>105</v>
      </c>
    </row>
    <row r="1959" spans="1:5" x14ac:dyDescent="0.25">
      <c r="A1959" s="94">
        <v>46024</v>
      </c>
      <c r="B1959" s="95">
        <v>511629.304</v>
      </c>
      <c r="C1959" s="95">
        <v>4786680.0209999997</v>
      </c>
      <c r="D1959" s="95">
        <v>45.942999999999998</v>
      </c>
      <c r="E1959" s="91" t="s">
        <v>106</v>
      </c>
    </row>
    <row r="1960" spans="1:5" x14ac:dyDescent="0.25">
      <c r="A1960" s="94">
        <v>46024</v>
      </c>
      <c r="B1960" s="95">
        <v>511642.28100000002</v>
      </c>
      <c r="C1960" s="95">
        <v>4786673.1229999997</v>
      </c>
      <c r="D1960" s="95">
        <v>48.445</v>
      </c>
      <c r="E1960" s="91" t="s">
        <v>107</v>
      </c>
    </row>
    <row r="1961" spans="1:5" x14ac:dyDescent="0.25">
      <c r="A1961" s="94">
        <v>46024</v>
      </c>
      <c r="B1961" s="95">
        <v>511642.435</v>
      </c>
      <c r="C1961" s="95">
        <v>4786673.0109999999</v>
      </c>
      <c r="D1961" s="95">
        <v>45.941000000000003</v>
      </c>
      <c r="E1961" s="91" t="s">
        <v>108</v>
      </c>
    </row>
    <row r="1962" spans="1:5" x14ac:dyDescent="0.25">
      <c r="A1962" s="94">
        <v>46024</v>
      </c>
      <c r="B1962" s="95">
        <v>511642.47</v>
      </c>
      <c r="C1962" s="95">
        <v>4786672.9069999997</v>
      </c>
      <c r="D1962" s="95">
        <v>43.97</v>
      </c>
      <c r="E1962" s="91" t="s">
        <v>111</v>
      </c>
    </row>
    <row r="1963" spans="1:5" x14ac:dyDescent="0.25">
      <c r="A1963" s="94">
        <v>46024</v>
      </c>
      <c r="B1963" s="95">
        <v>511649.12900000002</v>
      </c>
      <c r="C1963" s="95">
        <v>4786669.4060000004</v>
      </c>
      <c r="D1963" s="95">
        <v>43.953000000000003</v>
      </c>
      <c r="E1963" s="91" t="s">
        <v>113</v>
      </c>
    </row>
    <row r="1964" spans="1:5" x14ac:dyDescent="0.25">
      <c r="A1964" s="94">
        <v>46029</v>
      </c>
      <c r="B1964" s="95">
        <v>511615.09100000001</v>
      </c>
      <c r="C1964" s="95">
        <v>4786687.9800000004</v>
      </c>
      <c r="D1964" s="91">
        <v>51.024999999999999</v>
      </c>
      <c r="E1964" s="96" t="s">
        <v>96</v>
      </c>
    </row>
    <row r="1965" spans="1:5" x14ac:dyDescent="0.25">
      <c r="A1965" s="94">
        <v>46029</v>
      </c>
      <c r="B1965" s="95">
        <v>511628.87800000003</v>
      </c>
      <c r="C1965" s="95">
        <v>4786680.6449999996</v>
      </c>
      <c r="D1965" s="91">
        <v>51.036000000000001</v>
      </c>
      <c r="E1965" s="96" t="s">
        <v>97</v>
      </c>
    </row>
    <row r="1966" spans="1:5" x14ac:dyDescent="0.25">
      <c r="A1966" s="94">
        <v>46029</v>
      </c>
      <c r="B1966" s="95">
        <v>511642.57799999998</v>
      </c>
      <c r="C1966" s="95">
        <v>4786673.3509999998</v>
      </c>
      <c r="D1966" s="91">
        <v>51.048999999999999</v>
      </c>
      <c r="E1966" s="96" t="s">
        <v>98</v>
      </c>
    </row>
    <row r="1967" spans="1:5" x14ac:dyDescent="0.25">
      <c r="A1967" s="94">
        <v>46029</v>
      </c>
      <c r="B1967" s="95">
        <v>511629.41499999998</v>
      </c>
      <c r="C1967" s="95">
        <v>4786679.9079999998</v>
      </c>
      <c r="D1967" s="91">
        <v>43.945</v>
      </c>
      <c r="E1967" s="96" t="s">
        <v>109</v>
      </c>
    </row>
    <row r="1968" spans="1:5" x14ac:dyDescent="0.25">
      <c r="A1968" s="94">
        <v>46029</v>
      </c>
      <c r="B1968" s="95">
        <v>511649.7</v>
      </c>
      <c r="C1968" s="95">
        <v>4786682.159</v>
      </c>
      <c r="D1968" s="91">
        <v>56.182000000000002</v>
      </c>
      <c r="E1968" s="96" t="s">
        <v>89</v>
      </c>
    </row>
    <row r="1969" spans="1:5" x14ac:dyDescent="0.25">
      <c r="A1969" s="94">
        <v>46029</v>
      </c>
      <c r="B1969" s="95">
        <v>511630.761</v>
      </c>
      <c r="C1969" s="95">
        <v>4786689.8609999996</v>
      </c>
      <c r="D1969" s="91">
        <v>55.944000000000003</v>
      </c>
      <c r="E1969" s="96" t="s">
        <v>90</v>
      </c>
    </row>
    <row r="1970" spans="1:5" x14ac:dyDescent="0.25">
      <c r="A1970" s="94">
        <v>46029</v>
      </c>
      <c r="B1970" s="95">
        <v>511623.43099999998</v>
      </c>
      <c r="C1970" s="95">
        <v>4786694.0760000004</v>
      </c>
      <c r="D1970" s="91">
        <v>54.776000000000003</v>
      </c>
      <c r="E1970" s="96" t="s">
        <v>91</v>
      </c>
    </row>
    <row r="1971" spans="1:5" x14ac:dyDescent="0.25">
      <c r="A1971" s="94">
        <v>46029</v>
      </c>
      <c r="B1971" s="95">
        <v>511613.31300000002</v>
      </c>
      <c r="C1971" s="95">
        <v>4786695.3049999997</v>
      </c>
      <c r="D1971" s="91">
        <v>60.564999999999998</v>
      </c>
      <c r="E1971" s="96" t="s">
        <v>92</v>
      </c>
    </row>
    <row r="1972" spans="1:5" x14ac:dyDescent="0.25">
      <c r="A1972" s="94">
        <v>46029</v>
      </c>
      <c r="B1972" s="95">
        <v>511614.75099999999</v>
      </c>
      <c r="C1972" s="95">
        <v>4786712.5590000004</v>
      </c>
      <c r="D1972" s="91">
        <v>60.814999999999998</v>
      </c>
      <c r="E1972" s="96" t="s">
        <v>93</v>
      </c>
    </row>
    <row r="1973" spans="1:5" x14ac:dyDescent="0.25">
      <c r="A1973" s="94">
        <v>46029</v>
      </c>
      <c r="B1973" s="95">
        <v>511660.66399999999</v>
      </c>
      <c r="C1973" s="95">
        <v>4786683.4680000003</v>
      </c>
      <c r="D1973" s="91">
        <v>55.399000000000001</v>
      </c>
      <c r="E1973" s="96" t="s">
        <v>94</v>
      </c>
    </row>
    <row r="1974" spans="1:5" x14ac:dyDescent="0.25">
      <c r="A1974" s="94">
        <v>46029</v>
      </c>
      <c r="B1974" s="95">
        <v>511670.87400000001</v>
      </c>
      <c r="C1974" s="95">
        <v>4786685.92</v>
      </c>
      <c r="D1974" s="91">
        <v>54.814999999999998</v>
      </c>
      <c r="E1974" s="96" t="s">
        <v>95</v>
      </c>
    </row>
    <row r="1975" spans="1:5" x14ac:dyDescent="0.25">
      <c r="A1975" s="94">
        <v>46029</v>
      </c>
      <c r="B1975" s="95">
        <v>511649.79200000002</v>
      </c>
      <c r="C1975" s="95">
        <v>4786669.4939999999</v>
      </c>
      <c r="D1975" s="91">
        <v>51.055</v>
      </c>
      <c r="E1975" s="96" t="s">
        <v>99</v>
      </c>
    </row>
    <row r="1976" spans="1:5" x14ac:dyDescent="0.25">
      <c r="A1976" s="94">
        <v>46029</v>
      </c>
      <c r="B1976" s="95">
        <v>511607.54599999997</v>
      </c>
      <c r="C1976" s="95">
        <v>4786691.977</v>
      </c>
      <c r="D1976" s="91">
        <v>51.045999999999999</v>
      </c>
      <c r="E1976" s="96" t="s">
        <v>100</v>
      </c>
    </row>
    <row r="1977" spans="1:5" x14ac:dyDescent="0.25">
      <c r="A1977" s="94">
        <v>46029</v>
      </c>
      <c r="B1977" s="95">
        <v>511607.26199999999</v>
      </c>
      <c r="C1977" s="95">
        <v>4786692.17</v>
      </c>
      <c r="D1977" s="91">
        <v>51.046999999999997</v>
      </c>
      <c r="E1977" s="96" t="s">
        <v>101</v>
      </c>
    </row>
    <row r="1978" spans="1:5" x14ac:dyDescent="0.25">
      <c r="A1978" s="94">
        <v>46029</v>
      </c>
      <c r="B1978" s="95">
        <v>511601.11</v>
      </c>
      <c r="C1978" s="95">
        <v>4786695.415</v>
      </c>
      <c r="D1978" s="91">
        <v>51.036999999999999</v>
      </c>
      <c r="E1978" s="96" t="s">
        <v>102</v>
      </c>
    </row>
    <row r="1979" spans="1:5" x14ac:dyDescent="0.25">
      <c r="A1979" s="94">
        <v>46029</v>
      </c>
      <c r="B1979" s="95">
        <v>511615.24900000001</v>
      </c>
      <c r="C1979" s="95">
        <v>4786687.4289999995</v>
      </c>
      <c r="D1979" s="91">
        <v>48.441000000000003</v>
      </c>
      <c r="E1979" s="96" t="s">
        <v>103</v>
      </c>
    </row>
    <row r="1980" spans="1:5" x14ac:dyDescent="0.25">
      <c r="A1980" s="94">
        <v>46029</v>
      </c>
      <c r="B1980" s="95">
        <v>511615.22100000002</v>
      </c>
      <c r="C1980" s="95">
        <v>4786687.352</v>
      </c>
      <c r="D1980" s="91">
        <v>45.933999999999997</v>
      </c>
      <c r="E1980" s="96" t="s">
        <v>104</v>
      </c>
    </row>
    <row r="1981" spans="1:5" x14ac:dyDescent="0.25">
      <c r="A1981" s="94">
        <v>46029</v>
      </c>
      <c r="B1981" s="95">
        <v>511615.17200000002</v>
      </c>
      <c r="C1981" s="95">
        <v>4786687.3830000004</v>
      </c>
      <c r="D1981" s="91">
        <v>43.957000000000001</v>
      </c>
      <c r="E1981" s="96" t="s">
        <v>110</v>
      </c>
    </row>
    <row r="1982" spans="1:5" x14ac:dyDescent="0.25">
      <c r="A1982" s="94">
        <v>46029</v>
      </c>
      <c r="B1982" s="95">
        <v>511629.18099999998</v>
      </c>
      <c r="C1982" s="95">
        <v>4786680.0609999998</v>
      </c>
      <c r="D1982" s="91">
        <v>48.46</v>
      </c>
      <c r="E1982" s="96" t="s">
        <v>105</v>
      </c>
    </row>
    <row r="1983" spans="1:5" x14ac:dyDescent="0.25">
      <c r="A1983" s="94">
        <v>46029</v>
      </c>
      <c r="B1983" s="95">
        <v>511629.30300000001</v>
      </c>
      <c r="C1983" s="95">
        <v>4786680.023</v>
      </c>
      <c r="D1983" s="91">
        <v>45.942</v>
      </c>
      <c r="E1983" s="96" t="s">
        <v>106</v>
      </c>
    </row>
    <row r="1984" spans="1:5" x14ac:dyDescent="0.25">
      <c r="A1984" s="94">
        <v>46029</v>
      </c>
      <c r="B1984" s="95">
        <v>511642.28100000002</v>
      </c>
      <c r="C1984" s="95">
        <v>4786673.1229999997</v>
      </c>
      <c r="D1984" s="91">
        <v>48.445</v>
      </c>
      <c r="E1984" s="96" t="s">
        <v>107</v>
      </c>
    </row>
    <row r="1985" spans="1:5" x14ac:dyDescent="0.25">
      <c r="A1985" s="94">
        <v>46029</v>
      </c>
      <c r="B1985" s="95">
        <v>511642.43400000001</v>
      </c>
      <c r="C1985" s="95">
        <v>4786673.0109999999</v>
      </c>
      <c r="D1985" s="91">
        <v>45.941000000000003</v>
      </c>
      <c r="E1985" s="96" t="s">
        <v>108</v>
      </c>
    </row>
    <row r="1986" spans="1:5" x14ac:dyDescent="0.25">
      <c r="A1986" s="94">
        <v>46030</v>
      </c>
      <c r="B1986" s="96">
        <v>511615.092</v>
      </c>
      <c r="C1986" s="96">
        <v>4786687.9800000004</v>
      </c>
      <c r="D1986" s="96">
        <v>51.024999999999999</v>
      </c>
      <c r="E1986" s="96" t="s">
        <v>96</v>
      </c>
    </row>
    <row r="1987" spans="1:5" x14ac:dyDescent="0.25">
      <c r="A1987" s="94">
        <v>46030</v>
      </c>
      <c r="B1987" s="96">
        <v>511628.87599999999</v>
      </c>
      <c r="C1987" s="96">
        <v>4786680.6430000002</v>
      </c>
      <c r="D1987" s="96">
        <v>51.036999999999999</v>
      </c>
      <c r="E1987" s="96" t="s">
        <v>97</v>
      </c>
    </row>
    <row r="1988" spans="1:5" x14ac:dyDescent="0.25">
      <c r="A1988" s="94">
        <v>46030</v>
      </c>
      <c r="B1988" s="96">
        <v>511642.57699999999</v>
      </c>
      <c r="C1988" s="96">
        <v>4786673.3470000001</v>
      </c>
      <c r="D1988" s="96">
        <v>51.046999999999997</v>
      </c>
      <c r="E1988" s="96" t="s">
        <v>98</v>
      </c>
    </row>
    <row r="1989" spans="1:5" x14ac:dyDescent="0.25">
      <c r="A1989" s="94">
        <v>46030</v>
      </c>
      <c r="B1989" s="96">
        <v>511607.69199999998</v>
      </c>
      <c r="C1989" s="96">
        <v>4786691.4189999998</v>
      </c>
      <c r="D1989" s="96">
        <v>43.942</v>
      </c>
      <c r="E1989" s="96" t="s">
        <v>112</v>
      </c>
    </row>
    <row r="1990" spans="1:5" x14ac:dyDescent="0.25">
      <c r="A1990" s="94">
        <v>46030</v>
      </c>
      <c r="B1990" s="96">
        <v>511629.41</v>
      </c>
      <c r="C1990" s="96">
        <v>4786679.909</v>
      </c>
      <c r="D1990" s="96">
        <v>43.945</v>
      </c>
      <c r="E1990" s="96" t="s">
        <v>109</v>
      </c>
    </row>
    <row r="1991" spans="1:5" x14ac:dyDescent="0.25">
      <c r="A1991" s="94">
        <v>46030</v>
      </c>
      <c r="B1991" s="96">
        <v>511649.70199999999</v>
      </c>
      <c r="C1991" s="96">
        <v>4786682.159</v>
      </c>
      <c r="D1991" s="96">
        <v>56.183999999999997</v>
      </c>
      <c r="E1991" s="96" t="s">
        <v>89</v>
      </c>
    </row>
    <row r="1992" spans="1:5" x14ac:dyDescent="0.25">
      <c r="A1992" s="94">
        <v>46030</v>
      </c>
      <c r="B1992" s="96">
        <v>511630.75900000002</v>
      </c>
      <c r="C1992" s="96">
        <v>4786689.8590000002</v>
      </c>
      <c r="D1992" s="96">
        <v>55.945</v>
      </c>
      <c r="E1992" s="96" t="s">
        <v>90</v>
      </c>
    </row>
    <row r="1993" spans="1:5" x14ac:dyDescent="0.25">
      <c r="A1993" s="94">
        <v>46030</v>
      </c>
      <c r="B1993" s="96">
        <v>511623.43099999998</v>
      </c>
      <c r="C1993" s="96">
        <v>4786694.0750000002</v>
      </c>
      <c r="D1993" s="96">
        <v>54.777000000000001</v>
      </c>
      <c r="E1993" s="96" t="s">
        <v>91</v>
      </c>
    </row>
    <row r="1994" spans="1:5" x14ac:dyDescent="0.25">
      <c r="A1994" s="94">
        <v>46030</v>
      </c>
      <c r="B1994" s="96">
        <v>511613.31199999998</v>
      </c>
      <c r="C1994" s="96">
        <v>4786695.3039999995</v>
      </c>
      <c r="D1994" s="96">
        <v>60.566000000000003</v>
      </c>
      <c r="E1994" s="96" t="s">
        <v>92</v>
      </c>
    </row>
    <row r="1995" spans="1:5" x14ac:dyDescent="0.25">
      <c r="A1995" s="94">
        <v>46030</v>
      </c>
      <c r="B1995" s="96">
        <v>511614.75099999999</v>
      </c>
      <c r="C1995" s="96">
        <v>4786712.5580000002</v>
      </c>
      <c r="D1995" s="96">
        <v>60.817</v>
      </c>
      <c r="E1995" s="96" t="s">
        <v>93</v>
      </c>
    </row>
    <row r="1996" spans="1:5" x14ac:dyDescent="0.25">
      <c r="A1996" s="94">
        <v>46030</v>
      </c>
      <c r="B1996" s="96">
        <v>511660.66499999998</v>
      </c>
      <c r="C1996" s="96">
        <v>4786683.4680000003</v>
      </c>
      <c r="D1996" s="96">
        <v>55.4</v>
      </c>
      <c r="E1996" s="96" t="s">
        <v>94</v>
      </c>
    </row>
    <row r="1997" spans="1:5" x14ac:dyDescent="0.25">
      <c r="A1997" s="94">
        <v>46030</v>
      </c>
      <c r="B1997" s="96">
        <v>511670.87300000002</v>
      </c>
      <c r="C1997" s="96">
        <v>4786685.9189999998</v>
      </c>
      <c r="D1997" s="96">
        <v>54.816000000000003</v>
      </c>
      <c r="E1997" s="96" t="s">
        <v>95</v>
      </c>
    </row>
    <row r="1998" spans="1:5" x14ac:dyDescent="0.25">
      <c r="A1998" s="94">
        <v>46030</v>
      </c>
      <c r="B1998" s="96">
        <v>511649.79100000003</v>
      </c>
      <c r="C1998" s="96">
        <v>4786669.4879999999</v>
      </c>
      <c r="D1998" s="96">
        <v>51.051000000000002</v>
      </c>
      <c r="E1998" s="96" t="s">
        <v>99</v>
      </c>
    </row>
    <row r="1999" spans="1:5" x14ac:dyDescent="0.25">
      <c r="A1999" s="94">
        <v>46030</v>
      </c>
      <c r="B1999" s="96">
        <v>511607.54599999997</v>
      </c>
      <c r="C1999" s="96">
        <v>4786691.9759999998</v>
      </c>
      <c r="D1999" s="96">
        <v>51.046999999999997</v>
      </c>
      <c r="E1999" s="96" t="s">
        <v>100</v>
      </c>
    </row>
    <row r="2000" spans="1:5" x14ac:dyDescent="0.25">
      <c r="A2000" s="94">
        <v>46030</v>
      </c>
      <c r="B2000" s="96">
        <v>511607.261</v>
      </c>
      <c r="C2000" s="96">
        <v>4786692.1679999996</v>
      </c>
      <c r="D2000" s="96">
        <v>51.048000000000002</v>
      </c>
      <c r="E2000" s="96" t="s">
        <v>101</v>
      </c>
    </row>
    <row r="2001" spans="1:5" x14ac:dyDescent="0.25">
      <c r="A2001" s="94">
        <v>46030</v>
      </c>
      <c r="B2001" s="96">
        <v>511601.11</v>
      </c>
      <c r="C2001" s="96">
        <v>4786695.4139999999</v>
      </c>
      <c r="D2001" s="96">
        <v>51.037999999999997</v>
      </c>
      <c r="E2001" s="96" t="s">
        <v>102</v>
      </c>
    </row>
    <row r="2002" spans="1:5" x14ac:dyDescent="0.25">
      <c r="A2002" s="94">
        <v>46030</v>
      </c>
      <c r="B2002" s="96">
        <v>511615.24800000002</v>
      </c>
      <c r="C2002" s="96">
        <v>4786687.4289999995</v>
      </c>
      <c r="D2002" s="96">
        <v>48.442</v>
      </c>
      <c r="E2002" s="96" t="s">
        <v>103</v>
      </c>
    </row>
    <row r="2003" spans="1:5" x14ac:dyDescent="0.25">
      <c r="A2003" s="94">
        <v>46030</v>
      </c>
      <c r="B2003" s="96">
        <v>511615.22100000002</v>
      </c>
      <c r="C2003" s="96">
        <v>4786687.3509999998</v>
      </c>
      <c r="D2003" s="96">
        <v>45.935000000000002</v>
      </c>
      <c r="E2003" s="96" t="s">
        <v>104</v>
      </c>
    </row>
    <row r="2004" spans="1:5" x14ac:dyDescent="0.25">
      <c r="A2004" s="94">
        <v>46030</v>
      </c>
      <c r="B2004" s="96">
        <v>511615.16800000001</v>
      </c>
      <c r="C2004" s="96">
        <v>4786687.3820000002</v>
      </c>
      <c r="D2004" s="96">
        <v>43.957000000000001</v>
      </c>
      <c r="E2004" s="96" t="s">
        <v>110</v>
      </c>
    </row>
    <row r="2005" spans="1:5" x14ac:dyDescent="0.25">
      <c r="A2005" s="94">
        <v>46030</v>
      </c>
      <c r="B2005" s="96">
        <v>511629.18099999998</v>
      </c>
      <c r="C2005" s="96">
        <v>4786680.0599999996</v>
      </c>
      <c r="D2005" s="96">
        <v>48.46</v>
      </c>
      <c r="E2005" s="96" t="s">
        <v>105</v>
      </c>
    </row>
    <row r="2006" spans="1:5" x14ac:dyDescent="0.25">
      <c r="A2006" s="94">
        <v>46030</v>
      </c>
      <c r="B2006" s="96">
        <v>511629.30300000001</v>
      </c>
      <c r="C2006" s="96">
        <v>4786680.0219999999</v>
      </c>
      <c r="D2006" s="96">
        <v>45.942999999999998</v>
      </c>
      <c r="E2006" s="96" t="s">
        <v>106</v>
      </c>
    </row>
    <row r="2007" spans="1:5" x14ac:dyDescent="0.25">
      <c r="A2007" s="94">
        <v>46030</v>
      </c>
      <c r="B2007" s="96">
        <v>511642.27899999998</v>
      </c>
      <c r="C2007" s="96">
        <v>4786673.12</v>
      </c>
      <c r="D2007" s="96">
        <v>48.442999999999998</v>
      </c>
      <c r="E2007" s="96" t="s">
        <v>107</v>
      </c>
    </row>
    <row r="2008" spans="1:5" x14ac:dyDescent="0.25">
      <c r="A2008" s="94">
        <v>46030</v>
      </c>
      <c r="B2008" s="96">
        <v>511642.43300000002</v>
      </c>
      <c r="C2008" s="96">
        <v>4786673.0089999996</v>
      </c>
      <c r="D2008" s="96">
        <v>45.939</v>
      </c>
      <c r="E2008" s="96" t="s">
        <v>108</v>
      </c>
    </row>
    <row r="2009" spans="1:5" x14ac:dyDescent="0.25">
      <c r="A2009" s="94">
        <v>46030</v>
      </c>
      <c r="B2009" s="96">
        <v>511642.46500000003</v>
      </c>
      <c r="C2009" s="96">
        <v>4786672.9060000004</v>
      </c>
      <c r="D2009" s="96">
        <v>43.968000000000004</v>
      </c>
      <c r="E2009" s="96" t="s">
        <v>111</v>
      </c>
    </row>
    <row r="2010" spans="1:5" x14ac:dyDescent="0.25">
      <c r="A2010" s="94">
        <v>46030</v>
      </c>
      <c r="B2010" s="96">
        <v>511649.12400000001</v>
      </c>
      <c r="C2010" s="96">
        <v>4786669.4050000003</v>
      </c>
      <c r="D2010" s="96">
        <v>43.948999999999998</v>
      </c>
      <c r="E2010" s="96" t="s">
        <v>113</v>
      </c>
    </row>
    <row r="2011" spans="1:5" x14ac:dyDescent="0.25">
      <c r="A2011" s="94">
        <v>46031</v>
      </c>
      <c r="B2011" s="95">
        <v>511615.09</v>
      </c>
      <c r="C2011" s="95">
        <v>4786687.9780000001</v>
      </c>
      <c r="D2011" s="95">
        <v>51.024999999999999</v>
      </c>
      <c r="E2011" s="91" t="s">
        <v>96</v>
      </c>
    </row>
    <row r="2012" spans="1:5" x14ac:dyDescent="0.25">
      <c r="A2012" s="94">
        <v>46031</v>
      </c>
      <c r="B2012" s="95">
        <v>511628.87699999998</v>
      </c>
      <c r="C2012" s="95">
        <v>4786680.642</v>
      </c>
      <c r="D2012" s="95">
        <v>51.036999999999999</v>
      </c>
      <c r="E2012" s="91" t="s">
        <v>97</v>
      </c>
    </row>
    <row r="2013" spans="1:5" x14ac:dyDescent="0.25">
      <c r="A2013" s="94">
        <v>46031</v>
      </c>
      <c r="B2013" s="95">
        <v>511642.57699999999</v>
      </c>
      <c r="C2013" s="95">
        <v>4786673.3459999999</v>
      </c>
      <c r="D2013" s="95">
        <v>51.045999999999999</v>
      </c>
      <c r="E2013" s="91" t="s">
        <v>98</v>
      </c>
    </row>
    <row r="2014" spans="1:5" x14ac:dyDescent="0.25">
      <c r="A2014" s="94">
        <v>46031</v>
      </c>
      <c r="B2014" s="95">
        <v>511607.696</v>
      </c>
      <c r="C2014" s="95">
        <v>4786691.4179999996</v>
      </c>
      <c r="D2014" s="95">
        <v>43.942</v>
      </c>
      <c r="E2014" s="91" t="s">
        <v>112</v>
      </c>
    </row>
    <row r="2015" spans="1:5" x14ac:dyDescent="0.25">
      <c r="A2015" s="94">
        <v>46031</v>
      </c>
      <c r="B2015" s="95">
        <v>511629.41399999999</v>
      </c>
      <c r="C2015" s="95">
        <v>4786679.9060000004</v>
      </c>
      <c r="D2015" s="95">
        <v>43.945</v>
      </c>
      <c r="E2015" s="91" t="s">
        <v>109</v>
      </c>
    </row>
    <row r="2016" spans="1:5" x14ac:dyDescent="0.25">
      <c r="A2016" s="94">
        <v>46031</v>
      </c>
      <c r="B2016" s="95">
        <v>511649.701</v>
      </c>
      <c r="C2016" s="95">
        <v>4786682.1569999997</v>
      </c>
      <c r="D2016" s="95">
        <v>56.183999999999997</v>
      </c>
      <c r="E2016" s="91" t="s">
        <v>89</v>
      </c>
    </row>
    <row r="2017" spans="1:5" x14ac:dyDescent="0.25">
      <c r="A2017" s="94">
        <v>46031</v>
      </c>
      <c r="B2017" s="95">
        <v>511630.76</v>
      </c>
      <c r="C2017" s="95">
        <v>4786689.8590000002</v>
      </c>
      <c r="D2017" s="95">
        <v>55.945</v>
      </c>
      <c r="E2017" s="91" t="s">
        <v>90</v>
      </c>
    </row>
    <row r="2018" spans="1:5" x14ac:dyDescent="0.25">
      <c r="A2018" s="94">
        <v>46031</v>
      </c>
      <c r="B2018" s="95">
        <v>511623.43099999998</v>
      </c>
      <c r="C2018" s="95">
        <v>4786694.074</v>
      </c>
      <c r="D2018" s="95">
        <v>54.777000000000001</v>
      </c>
      <c r="E2018" s="91" t="s">
        <v>91</v>
      </c>
    </row>
    <row r="2019" spans="1:5" x14ac:dyDescent="0.25">
      <c r="A2019" s="94">
        <v>46031</v>
      </c>
      <c r="B2019" s="95">
        <v>511613.31400000001</v>
      </c>
      <c r="C2019" s="95">
        <v>4786695.3049999997</v>
      </c>
      <c r="D2019" s="95">
        <v>60.566000000000003</v>
      </c>
      <c r="E2019" s="91" t="s">
        <v>92</v>
      </c>
    </row>
    <row r="2020" spans="1:5" x14ac:dyDescent="0.25">
      <c r="A2020" s="94">
        <v>46031</v>
      </c>
      <c r="B2020" s="95">
        <v>511614.75099999999</v>
      </c>
      <c r="C2020" s="95">
        <v>4786712.557</v>
      </c>
      <c r="D2020" s="95">
        <v>60.817</v>
      </c>
      <c r="E2020" s="91" t="s">
        <v>93</v>
      </c>
    </row>
    <row r="2021" spans="1:5" x14ac:dyDescent="0.25">
      <c r="A2021" s="94">
        <v>46031</v>
      </c>
      <c r="B2021" s="95">
        <v>511660.66399999999</v>
      </c>
      <c r="C2021" s="95">
        <v>4786683.4670000002</v>
      </c>
      <c r="D2021" s="95">
        <v>55.401000000000003</v>
      </c>
      <c r="E2021" s="91" t="s">
        <v>94</v>
      </c>
    </row>
    <row r="2022" spans="1:5" x14ac:dyDescent="0.25">
      <c r="A2022" s="94">
        <v>46031</v>
      </c>
      <c r="B2022" s="95">
        <v>511670.875</v>
      </c>
      <c r="C2022" s="95">
        <v>4786685.9189999998</v>
      </c>
      <c r="D2022" s="95">
        <v>54.816000000000003</v>
      </c>
      <c r="E2022" s="91" t="s">
        <v>95</v>
      </c>
    </row>
    <row r="2023" spans="1:5" x14ac:dyDescent="0.25">
      <c r="A2023" s="94">
        <v>46031</v>
      </c>
      <c r="B2023" s="95">
        <v>511649.79100000003</v>
      </c>
      <c r="C2023" s="95">
        <v>4786669.4859999996</v>
      </c>
      <c r="D2023" s="95">
        <v>51.051000000000002</v>
      </c>
      <c r="E2023" s="91" t="s">
        <v>99</v>
      </c>
    </row>
    <row r="2024" spans="1:5" x14ac:dyDescent="0.25">
      <c r="A2024" s="94">
        <v>46031</v>
      </c>
      <c r="B2024" s="95">
        <v>511607.54599999997</v>
      </c>
      <c r="C2024" s="95">
        <v>4786691.9759999998</v>
      </c>
      <c r="D2024" s="95">
        <v>51.046999999999997</v>
      </c>
      <c r="E2024" s="91" t="s">
        <v>100</v>
      </c>
    </row>
    <row r="2025" spans="1:5" x14ac:dyDescent="0.25">
      <c r="A2025" s="94">
        <v>46031</v>
      </c>
      <c r="B2025" s="95">
        <v>511607.26199999999</v>
      </c>
      <c r="C2025" s="95">
        <v>4786692.1689999998</v>
      </c>
      <c r="D2025" s="95">
        <v>51.048000000000002</v>
      </c>
      <c r="E2025" s="91" t="s">
        <v>101</v>
      </c>
    </row>
    <row r="2026" spans="1:5" x14ac:dyDescent="0.25">
      <c r="A2026" s="94">
        <v>46031</v>
      </c>
      <c r="B2026" s="95">
        <v>511601.11</v>
      </c>
      <c r="C2026" s="95">
        <v>4786695.4139999999</v>
      </c>
      <c r="D2026" s="95">
        <v>51.037999999999997</v>
      </c>
      <c r="E2026" s="91" t="s">
        <v>102</v>
      </c>
    </row>
    <row r="2027" spans="1:5" x14ac:dyDescent="0.25">
      <c r="A2027" s="94">
        <v>46031</v>
      </c>
      <c r="B2027" s="95">
        <v>511615.24599999998</v>
      </c>
      <c r="C2027" s="95">
        <v>4786687.4270000001</v>
      </c>
      <c r="D2027" s="95">
        <v>48.442</v>
      </c>
      <c r="E2027" s="91" t="s">
        <v>103</v>
      </c>
    </row>
    <row r="2028" spans="1:5" x14ac:dyDescent="0.25">
      <c r="A2028" s="94">
        <v>46031</v>
      </c>
      <c r="B2028" s="95">
        <v>511615.22</v>
      </c>
      <c r="C2028" s="95">
        <v>4786687.3509999998</v>
      </c>
      <c r="D2028" s="95">
        <v>45.935000000000002</v>
      </c>
      <c r="E2028" s="91" t="s">
        <v>104</v>
      </c>
    </row>
    <row r="2029" spans="1:5" x14ac:dyDescent="0.25">
      <c r="A2029" s="94">
        <v>46031</v>
      </c>
      <c r="B2029" s="95">
        <v>511615.17200000002</v>
      </c>
      <c r="C2029" s="95">
        <v>4786687.3810000001</v>
      </c>
      <c r="D2029" s="95">
        <v>43.957000000000001</v>
      </c>
      <c r="E2029" s="91" t="s">
        <v>110</v>
      </c>
    </row>
    <row r="2030" spans="1:5" x14ac:dyDescent="0.25">
      <c r="A2030" s="94">
        <v>46031</v>
      </c>
      <c r="B2030" s="95">
        <v>511629.179</v>
      </c>
      <c r="C2030" s="95">
        <v>4786680.0590000004</v>
      </c>
      <c r="D2030" s="95">
        <v>48.46</v>
      </c>
      <c r="E2030" s="91" t="s">
        <v>105</v>
      </c>
    </row>
    <row r="2031" spans="1:5" x14ac:dyDescent="0.25">
      <c r="A2031" s="94">
        <v>46031</v>
      </c>
      <c r="B2031" s="95">
        <v>511629.30300000001</v>
      </c>
      <c r="C2031" s="95">
        <v>4786680.0209999997</v>
      </c>
      <c r="D2031" s="95">
        <v>45.942999999999998</v>
      </c>
      <c r="E2031" s="91" t="s">
        <v>106</v>
      </c>
    </row>
    <row r="2032" spans="1:5" x14ac:dyDescent="0.25">
      <c r="A2032" s="94">
        <v>46031</v>
      </c>
      <c r="B2032" s="95">
        <v>511642.28</v>
      </c>
      <c r="C2032" s="95">
        <v>4786673.1189999999</v>
      </c>
      <c r="D2032" s="95">
        <v>48.442</v>
      </c>
      <c r="E2032" s="91" t="s">
        <v>107</v>
      </c>
    </row>
    <row r="2033" spans="1:5" x14ac:dyDescent="0.25">
      <c r="A2033" s="94">
        <v>46031</v>
      </c>
      <c r="B2033" s="95">
        <v>511642.43300000002</v>
      </c>
      <c r="C2033" s="95">
        <v>4786673.0080000004</v>
      </c>
      <c r="D2033" s="95">
        <v>45.938000000000002</v>
      </c>
      <c r="E2033" s="91" t="s">
        <v>108</v>
      </c>
    </row>
    <row r="2034" spans="1:5" x14ac:dyDescent="0.25">
      <c r="A2034" s="94">
        <v>46031</v>
      </c>
      <c r="B2034" s="95">
        <v>511642.46899999998</v>
      </c>
      <c r="C2034" s="95">
        <v>4786672.9029999999</v>
      </c>
      <c r="D2034" s="95">
        <v>43.966999999999999</v>
      </c>
      <c r="E2034" s="91" t="s">
        <v>111</v>
      </c>
    </row>
    <row r="2035" spans="1:5" x14ac:dyDescent="0.25">
      <c r="A2035" s="94">
        <v>46031</v>
      </c>
      <c r="B2035" s="95">
        <v>511649.12800000003</v>
      </c>
      <c r="C2035" s="95">
        <v>4786669.4009999996</v>
      </c>
      <c r="D2035" s="95">
        <v>43.948</v>
      </c>
      <c r="E2035" s="91" t="s">
        <v>113</v>
      </c>
    </row>
    <row r="2036" spans="1:5" x14ac:dyDescent="0.25">
      <c r="A2036" s="94">
        <v>46034</v>
      </c>
      <c r="B2036" s="96">
        <v>511615.09100000001</v>
      </c>
      <c r="C2036" s="96">
        <v>4786687.9800000004</v>
      </c>
      <c r="D2036" s="96">
        <v>51.026000000000003</v>
      </c>
      <c r="E2036" s="96" t="s">
        <v>96</v>
      </c>
    </row>
    <row r="2037" spans="1:5" x14ac:dyDescent="0.25">
      <c r="A2037" s="94">
        <v>46034</v>
      </c>
      <c r="B2037" s="96">
        <v>511628.87699999998</v>
      </c>
      <c r="C2037" s="96">
        <v>4786680.6430000002</v>
      </c>
      <c r="D2037" s="96">
        <v>51.037999999999997</v>
      </c>
      <c r="E2037" s="96" t="s">
        <v>97</v>
      </c>
    </row>
    <row r="2038" spans="1:5" x14ac:dyDescent="0.25">
      <c r="A2038" s="94">
        <v>46034</v>
      </c>
      <c r="B2038" s="96">
        <v>511642.57799999998</v>
      </c>
      <c r="C2038" s="96">
        <v>4786673.3470000001</v>
      </c>
      <c r="D2038" s="96">
        <v>51.046999999999997</v>
      </c>
      <c r="E2038" s="96" t="s">
        <v>98</v>
      </c>
    </row>
    <row r="2039" spans="1:5" x14ac:dyDescent="0.25">
      <c r="A2039" s="94">
        <v>46034</v>
      </c>
      <c r="B2039" s="96">
        <v>511607.69199999998</v>
      </c>
      <c r="C2039" s="96">
        <v>4786691.42</v>
      </c>
      <c r="D2039" s="96">
        <v>43.942999999999998</v>
      </c>
      <c r="E2039" s="96" t="s">
        <v>112</v>
      </c>
    </row>
    <row r="2040" spans="1:5" x14ac:dyDescent="0.25">
      <c r="A2040" s="94">
        <v>46034</v>
      </c>
      <c r="B2040" s="96">
        <v>511629.41</v>
      </c>
      <c r="C2040" s="96">
        <v>4786679.91</v>
      </c>
      <c r="D2040" s="96">
        <v>43.945</v>
      </c>
      <c r="E2040" s="96" t="s">
        <v>109</v>
      </c>
    </row>
    <row r="2041" spans="1:5" x14ac:dyDescent="0.25">
      <c r="A2041" s="94">
        <v>46034</v>
      </c>
      <c r="B2041" s="96">
        <v>511649.7</v>
      </c>
      <c r="C2041" s="96">
        <v>4786682.1579999998</v>
      </c>
      <c r="D2041" s="96">
        <v>56.185000000000002</v>
      </c>
      <c r="E2041" s="96" t="s">
        <v>89</v>
      </c>
    </row>
    <row r="2042" spans="1:5" x14ac:dyDescent="0.25">
      <c r="A2042" s="94">
        <v>46034</v>
      </c>
      <c r="B2042" s="96">
        <v>511630.761</v>
      </c>
      <c r="C2042" s="96">
        <v>4786689.8600000003</v>
      </c>
      <c r="D2042" s="96">
        <v>55.945999999999998</v>
      </c>
      <c r="E2042" s="96" t="s">
        <v>90</v>
      </c>
    </row>
    <row r="2043" spans="1:5" x14ac:dyDescent="0.25">
      <c r="A2043" s="94">
        <v>46034</v>
      </c>
      <c r="B2043" s="96">
        <v>511623.43199999997</v>
      </c>
      <c r="C2043" s="96">
        <v>4786694.0750000002</v>
      </c>
      <c r="D2043" s="96">
        <v>54.777999999999999</v>
      </c>
      <c r="E2043" s="96" t="s">
        <v>91</v>
      </c>
    </row>
    <row r="2044" spans="1:5" x14ac:dyDescent="0.25">
      <c r="A2044" s="94">
        <v>46034</v>
      </c>
      <c r="B2044" s="96">
        <v>511613.31199999998</v>
      </c>
      <c r="C2044" s="96">
        <v>4786695.3039999995</v>
      </c>
      <c r="D2044" s="96">
        <v>60.566000000000003</v>
      </c>
      <c r="E2044" s="96" t="s">
        <v>92</v>
      </c>
    </row>
    <row r="2045" spans="1:5" x14ac:dyDescent="0.25">
      <c r="A2045" s="94">
        <v>46034</v>
      </c>
      <c r="B2045" s="96">
        <v>511614.75099999999</v>
      </c>
      <c r="C2045" s="96">
        <v>4786712.5580000002</v>
      </c>
      <c r="D2045" s="96">
        <v>60.817999999999998</v>
      </c>
      <c r="E2045" s="96" t="s">
        <v>93</v>
      </c>
    </row>
    <row r="2046" spans="1:5" x14ac:dyDescent="0.25">
      <c r="A2046" s="94">
        <v>46034</v>
      </c>
      <c r="B2046" s="96">
        <v>511660.66499999998</v>
      </c>
      <c r="C2046" s="96">
        <v>4786683.4680000003</v>
      </c>
      <c r="D2046" s="96">
        <v>55.401000000000003</v>
      </c>
      <c r="E2046" s="96" t="s">
        <v>94</v>
      </c>
    </row>
    <row r="2047" spans="1:5" x14ac:dyDescent="0.25">
      <c r="A2047" s="94">
        <v>46034</v>
      </c>
      <c r="B2047" s="96">
        <v>511670.875</v>
      </c>
      <c r="C2047" s="96">
        <v>4786685.92</v>
      </c>
      <c r="D2047" s="96">
        <v>54.817</v>
      </c>
      <c r="E2047" s="96" t="s">
        <v>95</v>
      </c>
    </row>
    <row r="2048" spans="1:5" x14ac:dyDescent="0.25">
      <c r="A2048" s="94">
        <v>46034</v>
      </c>
      <c r="B2048" s="96">
        <v>511649.79100000003</v>
      </c>
      <c r="C2048" s="96">
        <v>4786669.4869999997</v>
      </c>
      <c r="D2048" s="96">
        <v>51.051000000000002</v>
      </c>
      <c r="E2048" s="96" t="s">
        <v>99</v>
      </c>
    </row>
    <row r="2049" spans="1:5" x14ac:dyDescent="0.25">
      <c r="A2049" s="94">
        <v>46034</v>
      </c>
      <c r="B2049" s="96">
        <v>511607.54599999997</v>
      </c>
      <c r="C2049" s="96">
        <v>4786691.9759999998</v>
      </c>
      <c r="D2049" s="96">
        <v>51.048000000000002</v>
      </c>
      <c r="E2049" s="96" t="s">
        <v>100</v>
      </c>
    </row>
    <row r="2050" spans="1:5" x14ac:dyDescent="0.25">
      <c r="A2050" s="94">
        <v>46034</v>
      </c>
      <c r="B2050" s="96">
        <v>511607.26199999999</v>
      </c>
      <c r="C2050" s="96">
        <v>4786692.1689999998</v>
      </c>
      <c r="D2050" s="96">
        <v>51.048999999999999</v>
      </c>
      <c r="E2050" s="96" t="s">
        <v>101</v>
      </c>
    </row>
    <row r="2051" spans="1:5" x14ac:dyDescent="0.25">
      <c r="A2051" s="94">
        <v>46034</v>
      </c>
      <c r="B2051" s="96">
        <v>511601.109</v>
      </c>
      <c r="C2051" s="96">
        <v>4786695.4139999999</v>
      </c>
      <c r="D2051" s="96">
        <v>51.039000000000001</v>
      </c>
      <c r="E2051" s="96" t="s">
        <v>102</v>
      </c>
    </row>
    <row r="2052" spans="1:5" x14ac:dyDescent="0.25">
      <c r="A2052" s="94">
        <v>46034</v>
      </c>
      <c r="B2052" s="96">
        <v>511615.24800000002</v>
      </c>
      <c r="C2052" s="96">
        <v>4786687.4280000003</v>
      </c>
      <c r="D2052" s="96">
        <v>48.442999999999998</v>
      </c>
      <c r="E2052" s="96" t="s">
        <v>103</v>
      </c>
    </row>
    <row r="2053" spans="1:5" x14ac:dyDescent="0.25">
      <c r="A2053" s="94">
        <v>46034</v>
      </c>
      <c r="B2053" s="96">
        <v>511615.22</v>
      </c>
      <c r="C2053" s="96">
        <v>4786687.3509999998</v>
      </c>
      <c r="D2053" s="96">
        <v>45.936</v>
      </c>
      <c r="E2053" s="96" t="s">
        <v>104</v>
      </c>
    </row>
    <row r="2054" spans="1:5" x14ac:dyDescent="0.25">
      <c r="A2054" s="94">
        <v>46034</v>
      </c>
      <c r="B2054" s="96">
        <v>511615.16800000001</v>
      </c>
      <c r="C2054" s="96">
        <v>4786687.3839999996</v>
      </c>
      <c r="D2054" s="96">
        <v>43.957999999999998</v>
      </c>
      <c r="E2054" s="96" t="s">
        <v>110</v>
      </c>
    </row>
    <row r="2055" spans="1:5" x14ac:dyDescent="0.25">
      <c r="A2055" s="94">
        <v>46034</v>
      </c>
      <c r="B2055" s="96">
        <v>511629.18</v>
      </c>
      <c r="C2055" s="96">
        <v>4786680.0599999996</v>
      </c>
      <c r="D2055" s="96">
        <v>48.462000000000003</v>
      </c>
      <c r="E2055" s="96" t="s">
        <v>105</v>
      </c>
    </row>
    <row r="2056" spans="1:5" x14ac:dyDescent="0.25">
      <c r="A2056" s="94">
        <v>46034</v>
      </c>
      <c r="B2056" s="96">
        <v>511629.304</v>
      </c>
      <c r="C2056" s="96">
        <v>4786680.0219999999</v>
      </c>
      <c r="D2056" s="96">
        <v>45.944000000000003</v>
      </c>
      <c r="E2056" s="96" t="s">
        <v>106</v>
      </c>
    </row>
    <row r="2057" spans="1:5" x14ac:dyDescent="0.25">
      <c r="A2057" s="94">
        <v>46034</v>
      </c>
      <c r="B2057" s="96">
        <v>511642.27799999999</v>
      </c>
      <c r="C2057" s="96">
        <v>4786673.12</v>
      </c>
      <c r="D2057" s="96">
        <v>48.442999999999998</v>
      </c>
      <c r="E2057" s="96" t="s">
        <v>107</v>
      </c>
    </row>
    <row r="2058" spans="1:5" x14ac:dyDescent="0.25">
      <c r="A2058" s="94">
        <v>46034</v>
      </c>
      <c r="B2058" s="96">
        <v>511642.43199999997</v>
      </c>
      <c r="C2058" s="96">
        <v>4786673.0089999996</v>
      </c>
      <c r="D2058" s="96">
        <v>45.939</v>
      </c>
      <c r="E2058" s="96" t="s">
        <v>108</v>
      </c>
    </row>
    <row r="2059" spans="1:5" x14ac:dyDescent="0.25">
      <c r="A2059" s="94">
        <v>46034</v>
      </c>
      <c r="B2059" s="96">
        <v>511642.46600000001</v>
      </c>
      <c r="C2059" s="96">
        <v>4786672.9069999997</v>
      </c>
      <c r="D2059" s="96">
        <v>43.966999999999999</v>
      </c>
      <c r="E2059" s="96" t="s">
        <v>111</v>
      </c>
    </row>
    <row r="2060" spans="1:5" x14ac:dyDescent="0.25">
      <c r="A2060" s="94">
        <v>46034</v>
      </c>
      <c r="B2060" s="96">
        <v>511649.12300000002</v>
      </c>
      <c r="C2060" s="96">
        <v>4786669.4050000003</v>
      </c>
      <c r="D2060" s="96">
        <v>43.948</v>
      </c>
      <c r="E2060" s="96" t="s">
        <v>113</v>
      </c>
    </row>
    <row r="2061" spans="1:5" x14ac:dyDescent="0.25">
      <c r="A2061" s="94">
        <v>46035</v>
      </c>
      <c r="B2061" s="96">
        <v>511615.08899999998</v>
      </c>
      <c r="C2061" s="96">
        <v>4786687.9790000003</v>
      </c>
      <c r="D2061" s="96">
        <v>51.027000000000001</v>
      </c>
      <c r="E2061" s="96" t="s">
        <v>96</v>
      </c>
    </row>
    <row r="2062" spans="1:5" x14ac:dyDescent="0.25">
      <c r="A2062" s="94">
        <v>46035</v>
      </c>
      <c r="B2062" s="96">
        <v>511628.87599999999</v>
      </c>
      <c r="C2062" s="96">
        <v>4786680.6430000002</v>
      </c>
      <c r="D2062" s="96">
        <v>51.037999999999997</v>
      </c>
      <c r="E2062" s="96" t="s">
        <v>97</v>
      </c>
    </row>
    <row r="2063" spans="1:5" x14ac:dyDescent="0.25">
      <c r="A2063" s="94">
        <v>46035</v>
      </c>
      <c r="B2063" s="96">
        <v>511642.57699999999</v>
      </c>
      <c r="C2063" s="96">
        <v>4786673.3470000001</v>
      </c>
      <c r="D2063" s="96">
        <v>51.046999999999997</v>
      </c>
      <c r="E2063" s="96" t="s">
        <v>98</v>
      </c>
    </row>
    <row r="2064" spans="1:5" x14ac:dyDescent="0.25">
      <c r="A2064" s="94">
        <v>46035</v>
      </c>
      <c r="B2064" s="96">
        <v>511607.69199999998</v>
      </c>
      <c r="C2064" s="96">
        <v>4786691.42</v>
      </c>
      <c r="D2064" s="96">
        <v>43.942999999999998</v>
      </c>
      <c r="E2064" s="96" t="s">
        <v>112</v>
      </c>
    </row>
    <row r="2065" spans="1:5" x14ac:dyDescent="0.25">
      <c r="A2065" s="94">
        <v>46035</v>
      </c>
      <c r="B2065" s="96">
        <v>511629.41</v>
      </c>
      <c r="C2065" s="96">
        <v>4786679.91</v>
      </c>
      <c r="D2065" s="96">
        <v>43.945</v>
      </c>
      <c r="E2065" s="96" t="s">
        <v>109</v>
      </c>
    </row>
    <row r="2066" spans="1:5" x14ac:dyDescent="0.25">
      <c r="A2066" s="94">
        <v>46035</v>
      </c>
      <c r="B2066" s="96">
        <v>511649.7</v>
      </c>
      <c r="C2066" s="96">
        <v>4786682.1579999998</v>
      </c>
      <c r="D2066" s="96">
        <v>56.185000000000002</v>
      </c>
      <c r="E2066" s="96" t="s">
        <v>89</v>
      </c>
    </row>
    <row r="2067" spans="1:5" x14ac:dyDescent="0.25">
      <c r="A2067" s="94">
        <v>46035</v>
      </c>
      <c r="B2067" s="96">
        <v>511630.76</v>
      </c>
      <c r="C2067" s="96">
        <v>4786689.8600000003</v>
      </c>
      <c r="D2067" s="96">
        <v>55.945999999999998</v>
      </c>
      <c r="E2067" s="96" t="s">
        <v>90</v>
      </c>
    </row>
    <row r="2068" spans="1:5" x14ac:dyDescent="0.25">
      <c r="A2068" s="94">
        <v>46035</v>
      </c>
      <c r="B2068" s="96">
        <v>511623.43</v>
      </c>
      <c r="C2068" s="96">
        <v>4786694.074</v>
      </c>
      <c r="D2068" s="96">
        <v>54.777999999999999</v>
      </c>
      <c r="E2068" s="96" t="s">
        <v>91</v>
      </c>
    </row>
    <row r="2069" spans="1:5" x14ac:dyDescent="0.25">
      <c r="A2069" s="94">
        <v>46035</v>
      </c>
      <c r="B2069" s="96">
        <v>511613.31199999998</v>
      </c>
      <c r="C2069" s="96">
        <v>4786695.3030000003</v>
      </c>
      <c r="D2069" s="96">
        <v>60.567</v>
      </c>
      <c r="E2069" s="96" t="s">
        <v>92</v>
      </c>
    </row>
    <row r="2070" spans="1:5" x14ac:dyDescent="0.25">
      <c r="A2070" s="94">
        <v>46035</v>
      </c>
      <c r="B2070" s="96">
        <v>511614.75</v>
      </c>
      <c r="C2070" s="96">
        <v>4786712.557</v>
      </c>
      <c r="D2070" s="96">
        <v>60.819000000000003</v>
      </c>
      <c r="E2070" s="96" t="s">
        <v>93</v>
      </c>
    </row>
    <row r="2071" spans="1:5" x14ac:dyDescent="0.25">
      <c r="A2071" s="94">
        <v>46035</v>
      </c>
      <c r="B2071" s="96">
        <v>511660.663</v>
      </c>
      <c r="C2071" s="96">
        <v>4786683.4670000002</v>
      </c>
      <c r="D2071" s="96">
        <v>55.402000000000001</v>
      </c>
      <c r="E2071" s="96" t="s">
        <v>94</v>
      </c>
    </row>
    <row r="2072" spans="1:5" x14ac:dyDescent="0.25">
      <c r="A2072" s="94">
        <v>46035</v>
      </c>
      <c r="B2072" s="96">
        <v>511670.87199999997</v>
      </c>
      <c r="C2072" s="96">
        <v>4786685.9189999998</v>
      </c>
      <c r="D2072" s="96">
        <v>54.817999999999998</v>
      </c>
      <c r="E2072" s="96" t="s">
        <v>95</v>
      </c>
    </row>
    <row r="2073" spans="1:5" x14ac:dyDescent="0.25">
      <c r="A2073" s="94">
        <v>46035</v>
      </c>
      <c r="B2073" s="96">
        <v>511649.79</v>
      </c>
      <c r="C2073" s="96">
        <v>4786669.4869999997</v>
      </c>
      <c r="D2073" s="96">
        <v>51.052</v>
      </c>
      <c r="E2073" s="96" t="s">
        <v>99</v>
      </c>
    </row>
    <row r="2074" spans="1:5" x14ac:dyDescent="0.25">
      <c r="A2074" s="94">
        <v>46035</v>
      </c>
      <c r="B2074" s="96">
        <v>511607.54499999998</v>
      </c>
      <c r="C2074" s="96">
        <v>4786691.9759999998</v>
      </c>
      <c r="D2074" s="96">
        <v>51.048000000000002</v>
      </c>
      <c r="E2074" s="96" t="s">
        <v>100</v>
      </c>
    </row>
    <row r="2075" spans="1:5" x14ac:dyDescent="0.25">
      <c r="A2075" s="94">
        <v>46035</v>
      </c>
      <c r="B2075" s="96">
        <v>511607.261</v>
      </c>
      <c r="C2075" s="96">
        <v>4786692.1689999998</v>
      </c>
      <c r="D2075" s="96">
        <v>51.048999999999999</v>
      </c>
      <c r="E2075" s="96" t="s">
        <v>101</v>
      </c>
    </row>
    <row r="2076" spans="1:5" x14ac:dyDescent="0.25">
      <c r="A2076" s="94">
        <v>46035</v>
      </c>
      <c r="B2076" s="96">
        <v>511601.109</v>
      </c>
      <c r="C2076" s="96">
        <v>4786695.4139999999</v>
      </c>
      <c r="D2076" s="96">
        <v>51.039000000000001</v>
      </c>
      <c r="E2076" s="96" t="s">
        <v>102</v>
      </c>
    </row>
    <row r="2077" spans="1:5" x14ac:dyDescent="0.25">
      <c r="A2077" s="94">
        <v>46035</v>
      </c>
      <c r="B2077" s="96">
        <v>511615.24699999997</v>
      </c>
      <c r="C2077" s="96">
        <v>4786687.4270000001</v>
      </c>
      <c r="D2077" s="96">
        <v>48.442999999999998</v>
      </c>
      <c r="E2077" s="96" t="s">
        <v>103</v>
      </c>
    </row>
    <row r="2078" spans="1:5" x14ac:dyDescent="0.25">
      <c r="A2078" s="94">
        <v>46035</v>
      </c>
      <c r="B2078" s="96">
        <v>511615.22</v>
      </c>
      <c r="C2078" s="96">
        <v>4786687.3509999998</v>
      </c>
      <c r="D2078" s="96">
        <v>45.936</v>
      </c>
      <c r="E2078" s="96" t="s">
        <v>104</v>
      </c>
    </row>
    <row r="2079" spans="1:5" x14ac:dyDescent="0.25">
      <c r="A2079" s="94">
        <v>46035</v>
      </c>
      <c r="B2079" s="96">
        <v>511615.16800000001</v>
      </c>
      <c r="C2079" s="96">
        <v>4786687.3839999996</v>
      </c>
      <c r="D2079" s="96">
        <v>43.957999999999998</v>
      </c>
      <c r="E2079" s="96" t="s">
        <v>110</v>
      </c>
    </row>
    <row r="2080" spans="1:5" x14ac:dyDescent="0.25">
      <c r="A2080" s="94">
        <v>46035</v>
      </c>
      <c r="B2080" s="96">
        <v>511629.17800000001</v>
      </c>
      <c r="C2080" s="96">
        <v>4786680.0590000004</v>
      </c>
      <c r="D2080" s="96">
        <v>48.462000000000003</v>
      </c>
      <c r="E2080" s="96" t="s">
        <v>105</v>
      </c>
    </row>
    <row r="2081" spans="1:5" x14ac:dyDescent="0.25">
      <c r="A2081" s="94">
        <v>46035</v>
      </c>
      <c r="B2081" s="96">
        <v>511629.30200000003</v>
      </c>
      <c r="C2081" s="96">
        <v>4786680.0219999999</v>
      </c>
      <c r="D2081" s="96">
        <v>45.944000000000003</v>
      </c>
      <c r="E2081" s="96" t="s">
        <v>106</v>
      </c>
    </row>
    <row r="2082" spans="1:5" x14ac:dyDescent="0.25">
      <c r="A2082" s="94">
        <v>46035</v>
      </c>
      <c r="B2082" s="96">
        <v>511642.27899999998</v>
      </c>
      <c r="C2082" s="96">
        <v>4786673.12</v>
      </c>
      <c r="D2082" s="96">
        <v>48.444000000000003</v>
      </c>
      <c r="E2082" s="96" t="s">
        <v>107</v>
      </c>
    </row>
    <row r="2083" spans="1:5" x14ac:dyDescent="0.25">
      <c r="A2083" s="94">
        <v>46035</v>
      </c>
      <c r="B2083" s="96">
        <v>511642.43300000002</v>
      </c>
      <c r="C2083" s="96">
        <v>4786673.0089999996</v>
      </c>
      <c r="D2083" s="96">
        <v>45.939</v>
      </c>
      <c r="E2083" s="96" t="s">
        <v>108</v>
      </c>
    </row>
    <row r="2084" spans="1:5" x14ac:dyDescent="0.25">
      <c r="A2084" s="94">
        <v>46035</v>
      </c>
      <c r="B2084" s="96">
        <v>511642.46600000001</v>
      </c>
      <c r="C2084" s="96">
        <v>4786672.9069999997</v>
      </c>
      <c r="D2084" s="96">
        <v>43.966999999999999</v>
      </c>
      <c r="E2084" s="96" t="s">
        <v>111</v>
      </c>
    </row>
    <row r="2085" spans="1:5" x14ac:dyDescent="0.25">
      <c r="A2085" s="94">
        <v>46035</v>
      </c>
      <c r="B2085" s="96">
        <v>511649.12300000002</v>
      </c>
      <c r="C2085" s="96">
        <v>4786669.4050000003</v>
      </c>
      <c r="D2085" s="96">
        <v>43.948</v>
      </c>
      <c r="E2085" s="96" t="s">
        <v>113</v>
      </c>
    </row>
    <row r="2086" spans="1:5" x14ac:dyDescent="0.25">
      <c r="A2086" s="94">
        <v>46036</v>
      </c>
      <c r="B2086" s="95">
        <v>511615.092</v>
      </c>
      <c r="C2086" s="95">
        <v>4786687.9809999997</v>
      </c>
      <c r="D2086" s="95">
        <v>51.026000000000003</v>
      </c>
      <c r="E2086" s="91" t="s">
        <v>96</v>
      </c>
    </row>
    <row r="2087" spans="1:5" x14ac:dyDescent="0.25">
      <c r="A2087" s="94">
        <v>46036</v>
      </c>
      <c r="B2087" s="95">
        <v>511628.87599999999</v>
      </c>
      <c r="C2087" s="95">
        <v>4786680.6430000002</v>
      </c>
      <c r="D2087" s="95">
        <v>51.036999999999999</v>
      </c>
      <c r="E2087" s="91" t="s">
        <v>97</v>
      </c>
    </row>
    <row r="2088" spans="1:5" x14ac:dyDescent="0.25">
      <c r="A2088" s="94">
        <v>46036</v>
      </c>
      <c r="B2088" s="95">
        <v>511642.57699999999</v>
      </c>
      <c r="C2088" s="95">
        <v>4786673.3470000001</v>
      </c>
      <c r="D2088" s="95">
        <v>51.045999999999999</v>
      </c>
      <c r="E2088" s="91" t="s">
        <v>98</v>
      </c>
    </row>
    <row r="2089" spans="1:5" x14ac:dyDescent="0.25">
      <c r="A2089" s="94">
        <v>46036</v>
      </c>
      <c r="B2089" s="95">
        <v>511607.69199999998</v>
      </c>
      <c r="C2089" s="95">
        <v>4786691.4189999998</v>
      </c>
      <c r="D2089" s="95">
        <v>43.942999999999998</v>
      </c>
      <c r="E2089" s="91" t="s">
        <v>112</v>
      </c>
    </row>
    <row r="2090" spans="1:5" x14ac:dyDescent="0.25">
      <c r="A2090" s="94">
        <v>46036</v>
      </c>
      <c r="B2090" s="95">
        <v>511629.41</v>
      </c>
      <c r="C2090" s="95">
        <v>4786679.909</v>
      </c>
      <c r="D2090" s="95">
        <v>43.945</v>
      </c>
      <c r="E2090" s="91" t="s">
        <v>109</v>
      </c>
    </row>
    <row r="2091" spans="1:5" x14ac:dyDescent="0.25">
      <c r="A2091" s="94">
        <v>46036</v>
      </c>
      <c r="B2091" s="95">
        <v>511649.70199999999</v>
      </c>
      <c r="C2091" s="95">
        <v>4786682.1579999998</v>
      </c>
      <c r="D2091" s="95">
        <v>56.183999999999997</v>
      </c>
      <c r="E2091" s="91" t="s">
        <v>89</v>
      </c>
    </row>
    <row r="2092" spans="1:5" x14ac:dyDescent="0.25">
      <c r="A2092" s="94">
        <v>46036</v>
      </c>
      <c r="B2092" s="95">
        <v>511630.76</v>
      </c>
      <c r="C2092" s="95">
        <v>4786689.8600000003</v>
      </c>
      <c r="D2092" s="95">
        <v>55.945</v>
      </c>
      <c r="E2092" s="91" t="s">
        <v>90</v>
      </c>
    </row>
    <row r="2093" spans="1:5" x14ac:dyDescent="0.25">
      <c r="A2093" s="94">
        <v>46036</v>
      </c>
      <c r="B2093" s="95">
        <v>511623.43</v>
      </c>
      <c r="C2093" s="95">
        <v>4786694.074</v>
      </c>
      <c r="D2093" s="95">
        <v>54.777000000000001</v>
      </c>
      <c r="E2093" s="91" t="s">
        <v>91</v>
      </c>
    </row>
    <row r="2094" spans="1:5" x14ac:dyDescent="0.25">
      <c r="A2094" s="94">
        <v>46036</v>
      </c>
      <c r="B2094" s="95">
        <v>511613.31199999998</v>
      </c>
      <c r="C2094" s="95">
        <v>4786695.3039999995</v>
      </c>
      <c r="D2094" s="95">
        <v>60.566000000000003</v>
      </c>
      <c r="E2094" s="91" t="s">
        <v>92</v>
      </c>
    </row>
    <row r="2095" spans="1:5" x14ac:dyDescent="0.25">
      <c r="A2095" s="94">
        <v>46036</v>
      </c>
      <c r="B2095" s="95">
        <v>511614.75</v>
      </c>
      <c r="C2095" s="95">
        <v>4786712.5580000002</v>
      </c>
      <c r="D2095" s="95">
        <v>60.817999999999998</v>
      </c>
      <c r="E2095" s="91" t="s">
        <v>93</v>
      </c>
    </row>
    <row r="2096" spans="1:5" x14ac:dyDescent="0.25">
      <c r="A2096" s="94">
        <v>46036</v>
      </c>
      <c r="B2096" s="95">
        <v>511660.66499999998</v>
      </c>
      <c r="C2096" s="95">
        <v>4786683.4680000003</v>
      </c>
      <c r="D2096" s="95">
        <v>55.401000000000003</v>
      </c>
      <c r="E2096" s="91" t="s">
        <v>94</v>
      </c>
    </row>
    <row r="2097" spans="1:5" x14ac:dyDescent="0.25">
      <c r="A2097" s="94">
        <v>46036</v>
      </c>
      <c r="B2097" s="95">
        <v>511670.875</v>
      </c>
      <c r="C2097" s="95">
        <v>4786685.92</v>
      </c>
      <c r="D2097" s="95">
        <v>54.816000000000003</v>
      </c>
      <c r="E2097" s="91" t="s">
        <v>95</v>
      </c>
    </row>
    <row r="2098" spans="1:5" x14ac:dyDescent="0.25">
      <c r="A2098" s="94">
        <v>46036</v>
      </c>
      <c r="B2098" s="95">
        <v>511649.79100000003</v>
      </c>
      <c r="C2098" s="95">
        <v>4786669.4869999997</v>
      </c>
      <c r="D2098" s="95">
        <v>51.05</v>
      </c>
      <c r="E2098" s="91" t="s">
        <v>99</v>
      </c>
    </row>
    <row r="2099" spans="1:5" x14ac:dyDescent="0.25">
      <c r="A2099" s="94">
        <v>46036</v>
      </c>
      <c r="B2099" s="95">
        <v>511607.54599999997</v>
      </c>
      <c r="C2099" s="95">
        <v>4786691.977</v>
      </c>
      <c r="D2099" s="95">
        <v>51.048000000000002</v>
      </c>
      <c r="E2099" s="91" t="s">
        <v>100</v>
      </c>
    </row>
    <row r="2100" spans="1:5" x14ac:dyDescent="0.25">
      <c r="A2100" s="94">
        <v>46036</v>
      </c>
      <c r="B2100" s="95">
        <v>511607.26199999999</v>
      </c>
      <c r="C2100" s="95">
        <v>4786692.17</v>
      </c>
      <c r="D2100" s="95">
        <v>51.048000000000002</v>
      </c>
      <c r="E2100" s="91" t="s">
        <v>101</v>
      </c>
    </row>
    <row r="2101" spans="1:5" x14ac:dyDescent="0.25">
      <c r="A2101" s="94">
        <v>46036</v>
      </c>
      <c r="B2101" s="95">
        <v>511601.11</v>
      </c>
      <c r="C2101" s="95">
        <v>4786695.415</v>
      </c>
      <c r="D2101" s="95">
        <v>51.037999999999997</v>
      </c>
      <c r="E2101" s="91" t="s">
        <v>102</v>
      </c>
    </row>
    <row r="2102" spans="1:5" x14ac:dyDescent="0.25">
      <c r="A2102" s="94">
        <v>46036</v>
      </c>
      <c r="B2102" s="95">
        <v>511615.24699999997</v>
      </c>
      <c r="C2102" s="95">
        <v>4786687.4280000003</v>
      </c>
      <c r="D2102" s="95">
        <v>48.442</v>
      </c>
      <c r="E2102" s="91" t="s">
        <v>103</v>
      </c>
    </row>
    <row r="2103" spans="1:5" x14ac:dyDescent="0.25">
      <c r="A2103" s="94">
        <v>46036</v>
      </c>
      <c r="B2103" s="95">
        <v>511615.22</v>
      </c>
      <c r="C2103" s="95">
        <v>4786687.3509999998</v>
      </c>
      <c r="D2103" s="95">
        <v>45.935000000000002</v>
      </c>
      <c r="E2103" s="91" t="s">
        <v>104</v>
      </c>
    </row>
    <row r="2104" spans="1:5" x14ac:dyDescent="0.25">
      <c r="A2104" s="94">
        <v>46036</v>
      </c>
      <c r="B2104" s="95">
        <v>511615.16700000002</v>
      </c>
      <c r="C2104" s="95">
        <v>4786687.3830000004</v>
      </c>
      <c r="D2104" s="95">
        <v>43.957999999999998</v>
      </c>
      <c r="E2104" s="91" t="s">
        <v>110</v>
      </c>
    </row>
    <row r="2105" spans="1:5" x14ac:dyDescent="0.25">
      <c r="A2105" s="94">
        <v>46036</v>
      </c>
      <c r="B2105" s="95">
        <v>511629.18</v>
      </c>
      <c r="C2105" s="95">
        <v>4786680.0599999996</v>
      </c>
      <c r="D2105" s="95">
        <v>48.460999999999999</v>
      </c>
      <c r="E2105" s="91" t="s">
        <v>105</v>
      </c>
    </row>
    <row r="2106" spans="1:5" x14ac:dyDescent="0.25">
      <c r="A2106" s="94">
        <v>46036</v>
      </c>
      <c r="B2106" s="95">
        <v>511629.30300000001</v>
      </c>
      <c r="C2106" s="95">
        <v>4786680.0219999999</v>
      </c>
      <c r="D2106" s="95">
        <v>45.942999999999998</v>
      </c>
      <c r="E2106" s="91" t="s">
        <v>106</v>
      </c>
    </row>
    <row r="2107" spans="1:5" x14ac:dyDescent="0.25">
      <c r="A2107" s="94">
        <v>46036</v>
      </c>
      <c r="B2107" s="95">
        <v>511642.27899999998</v>
      </c>
      <c r="C2107" s="95">
        <v>4786673.12</v>
      </c>
      <c r="D2107" s="95">
        <v>48.442</v>
      </c>
      <c r="E2107" s="91" t="s">
        <v>107</v>
      </c>
    </row>
    <row r="2108" spans="1:5" x14ac:dyDescent="0.25">
      <c r="A2108" s="94">
        <v>46036</v>
      </c>
      <c r="B2108" s="95">
        <v>511642.435</v>
      </c>
      <c r="C2108" s="95">
        <v>4786673.0089999996</v>
      </c>
      <c r="D2108" s="95">
        <v>45.938000000000002</v>
      </c>
      <c r="E2108" s="91" t="s">
        <v>108</v>
      </c>
    </row>
    <row r="2109" spans="1:5" x14ac:dyDescent="0.25">
      <c r="A2109" s="94">
        <v>46036</v>
      </c>
      <c r="B2109" s="95">
        <v>511642.46600000001</v>
      </c>
      <c r="C2109" s="95">
        <v>4786672.9060000004</v>
      </c>
      <c r="D2109" s="95">
        <v>43.966999999999999</v>
      </c>
      <c r="E2109" s="91" t="s">
        <v>111</v>
      </c>
    </row>
    <row r="2110" spans="1:5" x14ac:dyDescent="0.25">
      <c r="A2110" s="94">
        <v>46036</v>
      </c>
      <c r="B2110" s="95">
        <v>511649.12300000002</v>
      </c>
      <c r="C2110" s="95">
        <v>4786669.4040000001</v>
      </c>
      <c r="D2110" s="95">
        <v>43.948</v>
      </c>
      <c r="E2110" s="91" t="s">
        <v>113</v>
      </c>
    </row>
    <row r="2111" spans="1:5" x14ac:dyDescent="0.25">
      <c r="A2111" s="94">
        <v>46037</v>
      </c>
      <c r="B2111" s="95">
        <v>511615.09100000001</v>
      </c>
      <c r="C2111" s="95">
        <v>4786687.9790000003</v>
      </c>
      <c r="D2111" s="95">
        <v>51.027000000000001</v>
      </c>
      <c r="E2111" s="91" t="s">
        <v>96</v>
      </c>
    </row>
    <row r="2112" spans="1:5" x14ac:dyDescent="0.25">
      <c r="A2112" s="94">
        <v>46037</v>
      </c>
      <c r="B2112" s="95">
        <v>511628.87800000003</v>
      </c>
      <c r="C2112" s="95">
        <v>4786680.6440000003</v>
      </c>
      <c r="D2112" s="95">
        <v>51.037999999999997</v>
      </c>
      <c r="E2112" s="91" t="s">
        <v>97</v>
      </c>
    </row>
    <row r="2113" spans="1:5" x14ac:dyDescent="0.25">
      <c r="A2113" s="94">
        <v>46037</v>
      </c>
      <c r="B2113" s="95">
        <v>511642.57799999998</v>
      </c>
      <c r="C2113" s="95">
        <v>4786673.3459999999</v>
      </c>
      <c r="D2113" s="95">
        <v>51.048000000000002</v>
      </c>
      <c r="E2113" s="91" t="s">
        <v>98</v>
      </c>
    </row>
    <row r="2114" spans="1:5" x14ac:dyDescent="0.25">
      <c r="A2114" s="94">
        <v>46037</v>
      </c>
      <c r="B2114" s="95">
        <v>511607.69300000003</v>
      </c>
      <c r="C2114" s="95">
        <v>4786691.4179999996</v>
      </c>
      <c r="D2114" s="95">
        <v>43.944000000000003</v>
      </c>
      <c r="E2114" s="91" t="s">
        <v>112</v>
      </c>
    </row>
    <row r="2115" spans="1:5" x14ac:dyDescent="0.25">
      <c r="A2115" s="94">
        <v>46037</v>
      </c>
      <c r="B2115" s="95">
        <v>511629.41100000002</v>
      </c>
      <c r="C2115" s="95">
        <v>4786679.9079999998</v>
      </c>
      <c r="D2115" s="95">
        <v>43.945999999999998</v>
      </c>
      <c r="E2115" s="91" t="s">
        <v>109</v>
      </c>
    </row>
    <row r="2116" spans="1:5" x14ac:dyDescent="0.25">
      <c r="A2116" s="94">
        <v>46037</v>
      </c>
      <c r="B2116" s="95">
        <v>511649.7</v>
      </c>
      <c r="C2116" s="95">
        <v>4786682.1579999998</v>
      </c>
      <c r="D2116" s="95">
        <v>56.186</v>
      </c>
      <c r="E2116" s="91" t="s">
        <v>89</v>
      </c>
    </row>
    <row r="2117" spans="1:5" x14ac:dyDescent="0.25">
      <c r="A2117" s="94">
        <v>46037</v>
      </c>
      <c r="B2117" s="95">
        <v>511630.76</v>
      </c>
      <c r="C2117" s="95">
        <v>4786689.8600000003</v>
      </c>
      <c r="D2117" s="95">
        <v>55.947000000000003</v>
      </c>
      <c r="E2117" s="91" t="s">
        <v>90</v>
      </c>
    </row>
    <row r="2118" spans="1:5" x14ac:dyDescent="0.25">
      <c r="A2118" s="94">
        <v>46037</v>
      </c>
      <c r="B2118" s="95">
        <v>511623.43</v>
      </c>
      <c r="C2118" s="95">
        <v>4786694.074</v>
      </c>
      <c r="D2118" s="95">
        <v>54.779000000000003</v>
      </c>
      <c r="E2118" s="91" t="s">
        <v>91</v>
      </c>
    </row>
    <row r="2119" spans="1:5" x14ac:dyDescent="0.25">
      <c r="A2119" s="94">
        <v>46037</v>
      </c>
      <c r="B2119" s="95">
        <v>511613.31199999998</v>
      </c>
      <c r="C2119" s="95">
        <v>4786695.3039999995</v>
      </c>
      <c r="D2119" s="95">
        <v>60.567</v>
      </c>
      <c r="E2119" s="91" t="s">
        <v>92</v>
      </c>
    </row>
    <row r="2120" spans="1:5" x14ac:dyDescent="0.25">
      <c r="A2120" s="94">
        <v>46037</v>
      </c>
      <c r="B2120" s="95">
        <v>511614.75</v>
      </c>
      <c r="C2120" s="95">
        <v>4786712.5580000002</v>
      </c>
      <c r="D2120" s="95">
        <v>60.819000000000003</v>
      </c>
      <c r="E2120" s="91" t="s">
        <v>93</v>
      </c>
    </row>
    <row r="2121" spans="1:5" x14ac:dyDescent="0.25">
      <c r="A2121" s="94">
        <v>46037</v>
      </c>
      <c r="B2121" s="95">
        <v>511660.66399999999</v>
      </c>
      <c r="C2121" s="95">
        <v>4786683.4680000003</v>
      </c>
      <c r="D2121" s="95">
        <v>55.402000000000001</v>
      </c>
      <c r="E2121" s="91" t="s">
        <v>94</v>
      </c>
    </row>
    <row r="2122" spans="1:5" x14ac:dyDescent="0.25">
      <c r="A2122" s="94">
        <v>46037</v>
      </c>
      <c r="B2122" s="95">
        <v>511670.87400000001</v>
      </c>
      <c r="C2122" s="95">
        <v>4786685.92</v>
      </c>
      <c r="D2122" s="95">
        <v>54.817999999999998</v>
      </c>
      <c r="E2122" s="91" t="s">
        <v>95</v>
      </c>
    </row>
    <row r="2123" spans="1:5" x14ac:dyDescent="0.25">
      <c r="A2123" s="94">
        <v>46037</v>
      </c>
      <c r="B2123" s="95">
        <v>511649.78899999999</v>
      </c>
      <c r="C2123" s="95">
        <v>4786669.4869999997</v>
      </c>
      <c r="D2123" s="95">
        <v>51.052</v>
      </c>
      <c r="E2123" s="91" t="s">
        <v>99</v>
      </c>
    </row>
    <row r="2124" spans="1:5" x14ac:dyDescent="0.25">
      <c r="A2124" s="94">
        <v>46037</v>
      </c>
      <c r="B2124" s="95">
        <v>511607.54499999998</v>
      </c>
      <c r="C2124" s="95">
        <v>4786691.977</v>
      </c>
      <c r="D2124" s="95">
        <v>51.048999999999999</v>
      </c>
      <c r="E2124" s="91" t="s">
        <v>100</v>
      </c>
    </row>
    <row r="2125" spans="1:5" x14ac:dyDescent="0.25">
      <c r="A2125" s="94">
        <v>46037</v>
      </c>
      <c r="B2125" s="95">
        <v>511607.261</v>
      </c>
      <c r="C2125" s="95">
        <v>4786692.1689999998</v>
      </c>
      <c r="D2125" s="95">
        <v>51.05</v>
      </c>
      <c r="E2125" s="91" t="s">
        <v>101</v>
      </c>
    </row>
    <row r="2126" spans="1:5" x14ac:dyDescent="0.25">
      <c r="A2126" s="94">
        <v>46037</v>
      </c>
      <c r="B2126" s="95">
        <v>511601.109</v>
      </c>
      <c r="C2126" s="95">
        <v>4786695.415</v>
      </c>
      <c r="D2126" s="95">
        <v>51.04</v>
      </c>
      <c r="E2126" s="91" t="s">
        <v>102</v>
      </c>
    </row>
    <row r="2127" spans="1:5" x14ac:dyDescent="0.25">
      <c r="A2127" s="94">
        <v>46037</v>
      </c>
      <c r="B2127" s="95">
        <v>511615.24699999997</v>
      </c>
      <c r="C2127" s="95">
        <v>4786687.4280000003</v>
      </c>
      <c r="D2127" s="95">
        <v>48.444000000000003</v>
      </c>
      <c r="E2127" s="91" t="s">
        <v>103</v>
      </c>
    </row>
    <row r="2128" spans="1:5" x14ac:dyDescent="0.25">
      <c r="A2128" s="94">
        <v>46037</v>
      </c>
      <c r="B2128" s="95">
        <v>511615.22</v>
      </c>
      <c r="C2128" s="95">
        <v>4786687.3509999998</v>
      </c>
      <c r="D2128" s="95">
        <v>45.936999999999998</v>
      </c>
      <c r="E2128" s="91" t="s">
        <v>104</v>
      </c>
    </row>
    <row r="2129" spans="1:5" x14ac:dyDescent="0.25">
      <c r="A2129" s="94">
        <v>46037</v>
      </c>
      <c r="B2129" s="95">
        <v>511615.17</v>
      </c>
      <c r="C2129" s="95">
        <v>4786687.3820000002</v>
      </c>
      <c r="D2129" s="95">
        <v>43.959000000000003</v>
      </c>
      <c r="E2129" s="91" t="s">
        <v>110</v>
      </c>
    </row>
    <row r="2130" spans="1:5" x14ac:dyDescent="0.25">
      <c r="A2130" s="94">
        <v>46037</v>
      </c>
      <c r="B2130" s="95">
        <v>511629.18099999998</v>
      </c>
      <c r="C2130" s="95">
        <v>4786680.0599999996</v>
      </c>
      <c r="D2130" s="95">
        <v>48.462000000000003</v>
      </c>
      <c r="E2130" s="91" t="s">
        <v>105</v>
      </c>
    </row>
    <row r="2131" spans="1:5" x14ac:dyDescent="0.25">
      <c r="A2131" s="94">
        <v>46037</v>
      </c>
      <c r="B2131" s="95">
        <v>511629.30300000001</v>
      </c>
      <c r="C2131" s="95">
        <v>4786680.0219999999</v>
      </c>
      <c r="D2131" s="95">
        <v>45.945</v>
      </c>
      <c r="E2131" s="91" t="s">
        <v>106</v>
      </c>
    </row>
    <row r="2132" spans="1:5" x14ac:dyDescent="0.25">
      <c r="A2132" s="94">
        <v>46037</v>
      </c>
      <c r="B2132" s="95">
        <v>511642.27899999998</v>
      </c>
      <c r="C2132" s="95">
        <v>4786673.12</v>
      </c>
      <c r="D2132" s="95">
        <v>48.444000000000003</v>
      </c>
      <c r="E2132" s="91" t="s">
        <v>107</v>
      </c>
    </row>
    <row r="2133" spans="1:5" x14ac:dyDescent="0.25">
      <c r="A2133" s="94">
        <v>46037</v>
      </c>
      <c r="B2133" s="95">
        <v>511642.43199999997</v>
      </c>
      <c r="C2133" s="95">
        <v>4786673.0080000004</v>
      </c>
      <c r="D2133" s="95">
        <v>45.939</v>
      </c>
      <c r="E2133" s="91" t="s">
        <v>108</v>
      </c>
    </row>
    <row r="2134" spans="1:5" x14ac:dyDescent="0.25">
      <c r="A2134" s="94">
        <v>46037</v>
      </c>
      <c r="B2134" s="95">
        <v>511642.46799999999</v>
      </c>
      <c r="C2134" s="95">
        <v>4786672.9050000003</v>
      </c>
      <c r="D2134" s="95">
        <v>43.968000000000004</v>
      </c>
      <c r="E2134" s="91" t="s">
        <v>111</v>
      </c>
    </row>
    <row r="2135" spans="1:5" x14ac:dyDescent="0.25">
      <c r="A2135" s="94">
        <v>46037</v>
      </c>
      <c r="B2135" s="95">
        <v>511649.12599999999</v>
      </c>
      <c r="C2135" s="95">
        <v>4786669.4029999999</v>
      </c>
      <c r="D2135" s="95">
        <v>43.948999999999998</v>
      </c>
      <c r="E2135" s="91" t="s">
        <v>113</v>
      </c>
    </row>
    <row r="2136" spans="1:5" x14ac:dyDescent="0.25">
      <c r="A2136" s="94">
        <v>46038</v>
      </c>
      <c r="B2136" s="95">
        <v>511615.09</v>
      </c>
      <c r="C2136" s="95">
        <v>4786687.9809999997</v>
      </c>
      <c r="D2136" s="95">
        <v>51.024999999999999</v>
      </c>
      <c r="E2136" s="91" t="s">
        <v>96</v>
      </c>
    </row>
    <row r="2137" spans="1:5" x14ac:dyDescent="0.25">
      <c r="A2137" s="94">
        <v>46038</v>
      </c>
      <c r="B2137" s="95">
        <v>511628.875</v>
      </c>
      <c r="C2137" s="95">
        <v>4786680.6440000003</v>
      </c>
      <c r="D2137" s="95">
        <v>51.039000000000001</v>
      </c>
      <c r="E2137" s="91" t="s">
        <v>97</v>
      </c>
    </row>
    <row r="2138" spans="1:5" x14ac:dyDescent="0.25">
      <c r="A2138" s="94">
        <v>46038</v>
      </c>
      <c r="B2138" s="95">
        <v>511642.576</v>
      </c>
      <c r="C2138" s="95">
        <v>4786673.3470000001</v>
      </c>
      <c r="D2138" s="95">
        <v>51.045999999999999</v>
      </c>
      <c r="E2138" s="91" t="s">
        <v>98</v>
      </c>
    </row>
    <row r="2139" spans="1:5" x14ac:dyDescent="0.25">
      <c r="A2139" s="94">
        <v>46038</v>
      </c>
      <c r="B2139" s="95">
        <v>511607.69400000002</v>
      </c>
      <c r="C2139" s="95">
        <v>4786691.4189999998</v>
      </c>
      <c r="D2139" s="95">
        <v>43.942999999999998</v>
      </c>
      <c r="E2139" s="91" t="s">
        <v>112</v>
      </c>
    </row>
    <row r="2140" spans="1:5" x14ac:dyDescent="0.25">
      <c r="A2140" s="94">
        <v>46038</v>
      </c>
      <c r="B2140" s="95">
        <v>511629.41100000002</v>
      </c>
      <c r="C2140" s="95">
        <v>4786679.9079999998</v>
      </c>
      <c r="D2140" s="95">
        <v>43.945999999999998</v>
      </c>
      <c r="E2140" s="91" t="s">
        <v>109</v>
      </c>
    </row>
    <row r="2141" spans="1:5" x14ac:dyDescent="0.25">
      <c r="A2141" s="94">
        <v>46038</v>
      </c>
      <c r="B2141" s="95">
        <v>511649.701</v>
      </c>
      <c r="C2141" s="95">
        <v>4786682.1579999998</v>
      </c>
      <c r="D2141" s="95">
        <v>56.183999999999997</v>
      </c>
      <c r="E2141" s="91" t="s">
        <v>89</v>
      </c>
    </row>
    <row r="2142" spans="1:5" x14ac:dyDescent="0.25">
      <c r="A2142" s="94">
        <v>46038</v>
      </c>
      <c r="B2142" s="95">
        <v>511630.76</v>
      </c>
      <c r="C2142" s="95">
        <v>4786689.8590000002</v>
      </c>
      <c r="D2142" s="95">
        <v>55.945999999999998</v>
      </c>
      <c r="E2142" s="91" t="s">
        <v>90</v>
      </c>
    </row>
    <row r="2143" spans="1:5" x14ac:dyDescent="0.25">
      <c r="A2143" s="94">
        <v>46038</v>
      </c>
      <c r="B2143" s="95">
        <v>511623.43099999998</v>
      </c>
      <c r="C2143" s="95">
        <v>4786694.0750000002</v>
      </c>
      <c r="D2143" s="95">
        <v>54.777999999999999</v>
      </c>
      <c r="E2143" s="91" t="s">
        <v>91</v>
      </c>
    </row>
    <row r="2144" spans="1:5" x14ac:dyDescent="0.25">
      <c r="A2144" s="94">
        <v>46038</v>
      </c>
      <c r="B2144" s="95">
        <v>511613.31300000002</v>
      </c>
      <c r="C2144" s="95">
        <v>4786695.3049999997</v>
      </c>
      <c r="D2144" s="95">
        <v>60.567</v>
      </c>
      <c r="E2144" s="91" t="s">
        <v>92</v>
      </c>
    </row>
    <row r="2145" spans="1:5" x14ac:dyDescent="0.25">
      <c r="A2145" s="94">
        <v>46038</v>
      </c>
      <c r="B2145" s="95">
        <v>511614.75099999999</v>
      </c>
      <c r="C2145" s="95">
        <v>4786712.5580000002</v>
      </c>
      <c r="D2145" s="95">
        <v>60.819000000000003</v>
      </c>
      <c r="E2145" s="91" t="s">
        <v>93</v>
      </c>
    </row>
    <row r="2146" spans="1:5" x14ac:dyDescent="0.25">
      <c r="A2146" s="94">
        <v>46038</v>
      </c>
      <c r="B2146" s="95">
        <v>511660.663</v>
      </c>
      <c r="C2146" s="95">
        <v>4786683.4680000003</v>
      </c>
      <c r="D2146" s="95">
        <v>55.401000000000003</v>
      </c>
      <c r="E2146" s="91" t="s">
        <v>94</v>
      </c>
    </row>
    <row r="2147" spans="1:5" x14ac:dyDescent="0.25">
      <c r="A2147" s="94">
        <v>46038</v>
      </c>
      <c r="B2147" s="95">
        <v>511670.87400000001</v>
      </c>
      <c r="C2147" s="95">
        <v>4786685.9189999998</v>
      </c>
      <c r="D2147" s="95">
        <v>54.817999999999998</v>
      </c>
      <c r="E2147" s="91" t="s">
        <v>95</v>
      </c>
    </row>
    <row r="2148" spans="1:5" x14ac:dyDescent="0.25">
      <c r="A2148" s="94">
        <v>46038</v>
      </c>
      <c r="B2148" s="95">
        <v>511649.79200000002</v>
      </c>
      <c r="C2148" s="95">
        <v>4786669.4869999997</v>
      </c>
      <c r="D2148" s="95">
        <v>51.05</v>
      </c>
      <c r="E2148" s="91" t="s">
        <v>99</v>
      </c>
    </row>
    <row r="2149" spans="1:5" x14ac:dyDescent="0.25">
      <c r="A2149" s="94">
        <v>46038</v>
      </c>
      <c r="B2149" s="95">
        <v>511607.54599999997</v>
      </c>
      <c r="C2149" s="95">
        <v>4786691.977</v>
      </c>
      <c r="D2149" s="95">
        <v>51.048000000000002</v>
      </c>
      <c r="E2149" s="91" t="s">
        <v>100</v>
      </c>
    </row>
    <row r="2150" spans="1:5" x14ac:dyDescent="0.25">
      <c r="A2150" s="94">
        <v>46038</v>
      </c>
      <c r="B2150" s="95">
        <v>511607.26299999998</v>
      </c>
      <c r="C2150" s="95">
        <v>4786692.17</v>
      </c>
      <c r="D2150" s="95">
        <v>51.048999999999999</v>
      </c>
      <c r="E2150" s="91" t="s">
        <v>101</v>
      </c>
    </row>
    <row r="2151" spans="1:5" x14ac:dyDescent="0.25">
      <c r="A2151" s="94">
        <v>46038</v>
      </c>
      <c r="B2151" s="95">
        <v>511601.11</v>
      </c>
      <c r="C2151" s="95">
        <v>4786695.415</v>
      </c>
      <c r="D2151" s="95">
        <v>51.039000000000001</v>
      </c>
      <c r="E2151" s="91" t="s">
        <v>102</v>
      </c>
    </row>
    <row r="2152" spans="1:5" x14ac:dyDescent="0.25">
      <c r="A2152" s="94">
        <v>46038</v>
      </c>
      <c r="B2152" s="95">
        <v>511615.24699999997</v>
      </c>
      <c r="C2152" s="95">
        <v>4786687.4280000003</v>
      </c>
      <c r="D2152" s="95">
        <v>48.442999999999998</v>
      </c>
      <c r="E2152" s="91" t="s">
        <v>103</v>
      </c>
    </row>
    <row r="2153" spans="1:5" x14ac:dyDescent="0.25">
      <c r="A2153" s="94">
        <v>46038</v>
      </c>
      <c r="B2153" s="95">
        <v>511615.22</v>
      </c>
      <c r="C2153" s="95">
        <v>4786687.352</v>
      </c>
      <c r="D2153" s="95">
        <v>45.936</v>
      </c>
      <c r="E2153" s="91" t="s">
        <v>104</v>
      </c>
    </row>
    <row r="2154" spans="1:5" x14ac:dyDescent="0.25">
      <c r="A2154" s="94">
        <v>46038</v>
      </c>
      <c r="B2154" s="95">
        <v>511615.16800000001</v>
      </c>
      <c r="C2154" s="95">
        <v>4786687.3810000001</v>
      </c>
      <c r="D2154" s="95">
        <v>43.957999999999998</v>
      </c>
      <c r="E2154" s="91" t="s">
        <v>110</v>
      </c>
    </row>
    <row r="2155" spans="1:5" x14ac:dyDescent="0.25">
      <c r="A2155" s="94">
        <v>46038</v>
      </c>
      <c r="B2155" s="95">
        <v>511629.18</v>
      </c>
      <c r="C2155" s="95">
        <v>4786680.0599999996</v>
      </c>
      <c r="D2155" s="95">
        <v>48.463000000000001</v>
      </c>
      <c r="E2155" s="91" t="s">
        <v>105</v>
      </c>
    </row>
    <row r="2156" spans="1:5" x14ac:dyDescent="0.25">
      <c r="A2156" s="94">
        <v>46038</v>
      </c>
      <c r="B2156" s="95">
        <v>511629.304</v>
      </c>
      <c r="C2156" s="95">
        <v>4786680.0219999999</v>
      </c>
      <c r="D2156" s="95">
        <v>45.944000000000003</v>
      </c>
      <c r="E2156" s="91" t="s">
        <v>106</v>
      </c>
    </row>
    <row r="2157" spans="1:5" x14ac:dyDescent="0.25">
      <c r="A2157" s="94">
        <v>46038</v>
      </c>
      <c r="B2157" s="95">
        <v>511642.27899999998</v>
      </c>
      <c r="C2157" s="95">
        <v>4786673.1189999999</v>
      </c>
      <c r="D2157" s="95">
        <v>48.445</v>
      </c>
      <c r="E2157" s="91" t="s">
        <v>107</v>
      </c>
    </row>
    <row r="2158" spans="1:5" x14ac:dyDescent="0.25">
      <c r="A2158" s="94">
        <v>46038</v>
      </c>
      <c r="B2158" s="95">
        <v>511642.43400000001</v>
      </c>
      <c r="C2158" s="95">
        <v>4786673.0089999996</v>
      </c>
      <c r="D2158" s="95">
        <v>45.94</v>
      </c>
      <c r="E2158" s="91" t="s">
        <v>108</v>
      </c>
    </row>
    <row r="2159" spans="1:5" x14ac:dyDescent="0.25">
      <c r="A2159" s="94">
        <v>46038</v>
      </c>
      <c r="B2159" s="95">
        <v>511642.467</v>
      </c>
      <c r="C2159" s="95">
        <v>4786672.9050000003</v>
      </c>
      <c r="D2159" s="95">
        <v>43.966999999999999</v>
      </c>
      <c r="E2159" s="91" t="s">
        <v>111</v>
      </c>
    </row>
    <row r="2160" spans="1:5" x14ac:dyDescent="0.25">
      <c r="A2160" s="94">
        <v>46038</v>
      </c>
      <c r="B2160" s="95">
        <v>511649.125</v>
      </c>
      <c r="C2160" s="95">
        <v>4786669.4029999999</v>
      </c>
      <c r="D2160" s="95">
        <v>43.948</v>
      </c>
      <c r="E2160" s="91" t="s">
        <v>113</v>
      </c>
    </row>
    <row r="2161" spans="1:5" x14ac:dyDescent="0.25">
      <c r="A2161" s="94">
        <v>46041</v>
      </c>
      <c r="B2161" s="95">
        <v>511615.092</v>
      </c>
      <c r="C2161" s="95">
        <v>4786687.9800000004</v>
      </c>
      <c r="D2161" s="95">
        <v>51.026000000000003</v>
      </c>
      <c r="E2161" s="91" t="s">
        <v>96</v>
      </c>
    </row>
    <row r="2162" spans="1:5" x14ac:dyDescent="0.25">
      <c r="A2162" s="94">
        <v>46041</v>
      </c>
      <c r="B2162" s="95">
        <v>511628.87699999998</v>
      </c>
      <c r="C2162" s="95">
        <v>4786680.6430000002</v>
      </c>
      <c r="D2162" s="95">
        <v>51.037999999999997</v>
      </c>
      <c r="E2162" s="91" t="s">
        <v>97</v>
      </c>
    </row>
    <row r="2163" spans="1:5" x14ac:dyDescent="0.25">
      <c r="A2163" s="94">
        <v>46041</v>
      </c>
      <c r="B2163" s="95">
        <v>511642.57699999999</v>
      </c>
      <c r="C2163" s="95">
        <v>4786673.3470000001</v>
      </c>
      <c r="D2163" s="95">
        <v>51.045999999999999</v>
      </c>
      <c r="E2163" s="91" t="s">
        <v>98</v>
      </c>
    </row>
    <row r="2164" spans="1:5" x14ac:dyDescent="0.25">
      <c r="A2164" s="94">
        <v>46041</v>
      </c>
      <c r="B2164" s="95">
        <v>511607.69500000001</v>
      </c>
      <c r="C2164" s="95">
        <v>4786691.4189999998</v>
      </c>
      <c r="D2164" s="95">
        <v>43.942999999999998</v>
      </c>
      <c r="E2164" s="91" t="s">
        <v>112</v>
      </c>
    </row>
    <row r="2165" spans="1:5" x14ac:dyDescent="0.25">
      <c r="A2165" s="94">
        <v>46041</v>
      </c>
      <c r="B2165" s="95">
        <v>511629.41399999999</v>
      </c>
      <c r="C2165" s="95">
        <v>4786679.909</v>
      </c>
      <c r="D2165" s="95">
        <v>43.945</v>
      </c>
      <c r="E2165" s="91" t="s">
        <v>109</v>
      </c>
    </row>
    <row r="2166" spans="1:5" x14ac:dyDescent="0.25">
      <c r="A2166" s="94">
        <v>46041</v>
      </c>
      <c r="B2166" s="95">
        <v>511649.701</v>
      </c>
      <c r="C2166" s="95">
        <v>4786682.1579999998</v>
      </c>
      <c r="D2166" s="95">
        <v>56.185000000000002</v>
      </c>
      <c r="E2166" s="91" t="s">
        <v>89</v>
      </c>
    </row>
    <row r="2167" spans="1:5" x14ac:dyDescent="0.25">
      <c r="A2167" s="94">
        <v>46041</v>
      </c>
      <c r="B2167" s="95">
        <v>511630.76</v>
      </c>
      <c r="C2167" s="95">
        <v>4786689.8590000002</v>
      </c>
      <c r="D2167" s="95">
        <v>55.945999999999998</v>
      </c>
      <c r="E2167" s="91" t="s">
        <v>90</v>
      </c>
    </row>
    <row r="2168" spans="1:5" x14ac:dyDescent="0.25">
      <c r="A2168" s="94">
        <v>46041</v>
      </c>
      <c r="B2168" s="95">
        <v>511623.43099999998</v>
      </c>
      <c r="C2168" s="95">
        <v>4786694.0750000002</v>
      </c>
      <c r="D2168" s="95">
        <v>54.777999999999999</v>
      </c>
      <c r="E2168" s="91" t="s">
        <v>91</v>
      </c>
    </row>
    <row r="2169" spans="1:5" x14ac:dyDescent="0.25">
      <c r="A2169" s="94">
        <v>46041</v>
      </c>
      <c r="B2169" s="95">
        <v>511613.31300000002</v>
      </c>
      <c r="C2169" s="95">
        <v>4786695.3049999997</v>
      </c>
      <c r="D2169" s="95">
        <v>60.567</v>
      </c>
      <c r="E2169" s="91" t="s">
        <v>92</v>
      </c>
    </row>
    <row r="2170" spans="1:5" x14ac:dyDescent="0.25">
      <c r="A2170" s="94">
        <v>46041</v>
      </c>
      <c r="B2170" s="95">
        <v>511614.75099999999</v>
      </c>
      <c r="C2170" s="95">
        <v>4786712.5580000002</v>
      </c>
      <c r="D2170" s="95">
        <v>60.817999999999998</v>
      </c>
      <c r="E2170" s="91" t="s">
        <v>93</v>
      </c>
    </row>
    <row r="2171" spans="1:5" x14ac:dyDescent="0.25">
      <c r="A2171" s="94">
        <v>46041</v>
      </c>
      <c r="B2171" s="95">
        <v>511660.66499999998</v>
      </c>
      <c r="C2171" s="95">
        <v>4786683.4680000003</v>
      </c>
      <c r="D2171" s="95">
        <v>55.401000000000003</v>
      </c>
      <c r="E2171" s="91" t="s">
        <v>94</v>
      </c>
    </row>
    <row r="2172" spans="1:5" x14ac:dyDescent="0.25">
      <c r="A2172" s="94">
        <v>46041</v>
      </c>
      <c r="B2172" s="95">
        <v>511670.87400000001</v>
      </c>
      <c r="C2172" s="95">
        <v>4786685.9189999998</v>
      </c>
      <c r="D2172" s="95">
        <v>54.817</v>
      </c>
      <c r="E2172" s="91" t="s">
        <v>95</v>
      </c>
    </row>
    <row r="2173" spans="1:5" x14ac:dyDescent="0.25">
      <c r="A2173" s="94">
        <v>46041</v>
      </c>
      <c r="B2173" s="95">
        <v>511649.79</v>
      </c>
      <c r="C2173" s="95">
        <v>4786669.4859999996</v>
      </c>
      <c r="D2173" s="95">
        <v>51.05</v>
      </c>
      <c r="E2173" s="91" t="s">
        <v>99</v>
      </c>
    </row>
    <row r="2174" spans="1:5" x14ac:dyDescent="0.25">
      <c r="A2174" s="94">
        <v>46041</v>
      </c>
      <c r="B2174" s="95">
        <v>511607.54599999997</v>
      </c>
      <c r="C2174" s="95">
        <v>4786691.977</v>
      </c>
      <c r="D2174" s="95">
        <v>51.048000000000002</v>
      </c>
      <c r="E2174" s="91" t="s">
        <v>100</v>
      </c>
    </row>
    <row r="2175" spans="1:5" x14ac:dyDescent="0.25">
      <c r="A2175" s="94">
        <v>46041</v>
      </c>
      <c r="B2175" s="95">
        <v>511607.26199999999</v>
      </c>
      <c r="C2175" s="95">
        <v>4786692.1689999998</v>
      </c>
      <c r="D2175" s="95">
        <v>51.048999999999999</v>
      </c>
      <c r="E2175" s="91" t="s">
        <v>101</v>
      </c>
    </row>
    <row r="2176" spans="1:5" x14ac:dyDescent="0.25">
      <c r="A2176" s="94">
        <v>46041</v>
      </c>
      <c r="B2176" s="95">
        <v>511601.11</v>
      </c>
      <c r="C2176" s="95">
        <v>4786695.4139999999</v>
      </c>
      <c r="D2176" s="95">
        <v>51.039000000000001</v>
      </c>
      <c r="E2176" s="91" t="s">
        <v>102</v>
      </c>
    </row>
    <row r="2177" spans="1:5" x14ac:dyDescent="0.25">
      <c r="A2177" s="94">
        <v>46041</v>
      </c>
      <c r="B2177" s="95">
        <v>511615.24699999997</v>
      </c>
      <c r="C2177" s="95">
        <v>4786687.4280000003</v>
      </c>
      <c r="D2177" s="95">
        <v>48.442999999999998</v>
      </c>
      <c r="E2177" s="91" t="s">
        <v>103</v>
      </c>
    </row>
    <row r="2178" spans="1:5" x14ac:dyDescent="0.25">
      <c r="A2178" s="94">
        <v>46041</v>
      </c>
      <c r="B2178" s="95">
        <v>511615.22</v>
      </c>
      <c r="C2178" s="95">
        <v>4786687.3509999998</v>
      </c>
      <c r="D2178" s="95">
        <v>45.936</v>
      </c>
      <c r="E2178" s="91" t="s">
        <v>104</v>
      </c>
    </row>
    <row r="2179" spans="1:5" x14ac:dyDescent="0.25">
      <c r="A2179" s="94">
        <v>46041</v>
      </c>
      <c r="B2179" s="95">
        <v>511615.17</v>
      </c>
      <c r="C2179" s="95">
        <v>4786687.3820000002</v>
      </c>
      <c r="D2179" s="95">
        <v>43.957999999999998</v>
      </c>
      <c r="E2179" s="91" t="s">
        <v>110</v>
      </c>
    </row>
    <row r="2180" spans="1:5" x14ac:dyDescent="0.25">
      <c r="A2180" s="94">
        <v>46041</v>
      </c>
      <c r="B2180" s="95">
        <v>511629.17800000001</v>
      </c>
      <c r="C2180" s="95">
        <v>4786680.0590000004</v>
      </c>
      <c r="D2180" s="95">
        <v>48.460999999999999</v>
      </c>
      <c r="E2180" s="91" t="s">
        <v>105</v>
      </c>
    </row>
    <row r="2181" spans="1:5" x14ac:dyDescent="0.25">
      <c r="A2181" s="94">
        <v>46041</v>
      </c>
      <c r="B2181" s="95">
        <v>511629.30300000001</v>
      </c>
      <c r="C2181" s="95">
        <v>4786680.0219999999</v>
      </c>
      <c r="D2181" s="95">
        <v>45.942999999999998</v>
      </c>
      <c r="E2181" s="91" t="s">
        <v>106</v>
      </c>
    </row>
    <row r="2182" spans="1:5" x14ac:dyDescent="0.25">
      <c r="A2182" s="94">
        <v>46041</v>
      </c>
      <c r="B2182" s="95">
        <v>511642.277</v>
      </c>
      <c r="C2182" s="95">
        <v>4786673.1189999999</v>
      </c>
      <c r="D2182" s="95">
        <v>48.442</v>
      </c>
      <c r="E2182" s="91" t="s">
        <v>107</v>
      </c>
    </row>
    <row r="2183" spans="1:5" x14ac:dyDescent="0.25">
      <c r="A2183" s="94">
        <v>46041</v>
      </c>
      <c r="B2183" s="95">
        <v>511642.43300000002</v>
      </c>
      <c r="C2183" s="95">
        <v>4786673.0080000004</v>
      </c>
      <c r="D2183" s="95">
        <v>45.938000000000002</v>
      </c>
      <c r="E2183" s="91" t="s">
        <v>108</v>
      </c>
    </row>
    <row r="2184" spans="1:5" x14ac:dyDescent="0.25">
      <c r="A2184" s="94">
        <v>46041</v>
      </c>
      <c r="B2184" s="95">
        <v>511642.46799999999</v>
      </c>
      <c r="C2184" s="95">
        <v>4786672.9050000003</v>
      </c>
      <c r="D2184" s="95">
        <v>43.966999999999999</v>
      </c>
      <c r="E2184" s="91" t="s">
        <v>111</v>
      </c>
    </row>
    <row r="2185" spans="1:5" x14ac:dyDescent="0.25">
      <c r="A2185" s="94">
        <v>46041</v>
      </c>
      <c r="B2185" s="95">
        <v>511649.12699999998</v>
      </c>
      <c r="C2185" s="95">
        <v>4786669.4029999999</v>
      </c>
      <c r="D2185" s="95">
        <v>43.947000000000003</v>
      </c>
      <c r="E2185" s="91" t="s">
        <v>113</v>
      </c>
    </row>
    <row r="2186" spans="1:5" x14ac:dyDescent="0.25">
      <c r="A2186" s="94">
        <v>46042</v>
      </c>
      <c r="B2186" s="96">
        <v>511615.092</v>
      </c>
      <c r="C2186" s="96">
        <v>4786687.9800000004</v>
      </c>
      <c r="D2186" s="96">
        <v>51.026000000000003</v>
      </c>
      <c r="E2186" s="96" t="s">
        <v>96</v>
      </c>
    </row>
    <row r="2187" spans="1:5" x14ac:dyDescent="0.25">
      <c r="A2187" s="94">
        <v>46042</v>
      </c>
      <c r="B2187" s="96">
        <v>511628.87599999999</v>
      </c>
      <c r="C2187" s="96">
        <v>4786680.6430000002</v>
      </c>
      <c r="D2187" s="96">
        <v>51.036999999999999</v>
      </c>
      <c r="E2187" s="96" t="s">
        <v>97</v>
      </c>
    </row>
    <row r="2188" spans="1:5" x14ac:dyDescent="0.25">
      <c r="A2188" s="94">
        <v>46042</v>
      </c>
      <c r="B2188" s="96">
        <v>511642.576</v>
      </c>
      <c r="C2188" s="96">
        <v>4786673.3459999999</v>
      </c>
      <c r="D2188" s="96">
        <v>51.045999999999999</v>
      </c>
      <c r="E2188" s="96" t="s">
        <v>98</v>
      </c>
    </row>
    <row r="2189" spans="1:5" x14ac:dyDescent="0.25">
      <c r="A2189" s="94">
        <v>46042</v>
      </c>
      <c r="B2189" s="96">
        <v>511607.69</v>
      </c>
      <c r="C2189" s="96">
        <v>4786691.42</v>
      </c>
      <c r="D2189" s="96">
        <v>43.942999999999998</v>
      </c>
      <c r="E2189" s="96" t="s">
        <v>112</v>
      </c>
    </row>
    <row r="2190" spans="1:5" x14ac:dyDescent="0.25">
      <c r="A2190" s="94">
        <v>46042</v>
      </c>
      <c r="B2190" s="96">
        <v>511629.408</v>
      </c>
      <c r="C2190" s="96">
        <v>4786679.9110000003</v>
      </c>
      <c r="D2190" s="96">
        <v>43.945999999999998</v>
      </c>
      <c r="E2190" s="96" t="s">
        <v>109</v>
      </c>
    </row>
    <row r="2191" spans="1:5" x14ac:dyDescent="0.25">
      <c r="A2191" s="94">
        <v>46042</v>
      </c>
      <c r="B2191" s="96">
        <v>511649.701</v>
      </c>
      <c r="C2191" s="96">
        <v>4786682.1579999998</v>
      </c>
      <c r="D2191" s="96">
        <v>56.185000000000002</v>
      </c>
      <c r="E2191" s="96" t="s">
        <v>89</v>
      </c>
    </row>
    <row r="2192" spans="1:5" x14ac:dyDescent="0.25">
      <c r="A2192" s="94">
        <v>46042</v>
      </c>
      <c r="B2192" s="96">
        <v>511630.76</v>
      </c>
      <c r="C2192" s="96">
        <v>4786689.8590000002</v>
      </c>
      <c r="D2192" s="96">
        <v>55.945999999999998</v>
      </c>
      <c r="E2192" s="96" t="s">
        <v>90</v>
      </c>
    </row>
    <row r="2193" spans="1:5" x14ac:dyDescent="0.25">
      <c r="A2193" s="94">
        <v>46042</v>
      </c>
      <c r="B2193" s="96">
        <v>511623.43099999998</v>
      </c>
      <c r="C2193" s="96">
        <v>4786694.0750000002</v>
      </c>
      <c r="D2193" s="96">
        <v>54.777999999999999</v>
      </c>
      <c r="E2193" s="96" t="s">
        <v>91</v>
      </c>
    </row>
    <row r="2194" spans="1:5" x14ac:dyDescent="0.25">
      <c r="A2194" s="94">
        <v>46042</v>
      </c>
      <c r="B2194" s="96">
        <v>511613.31300000002</v>
      </c>
      <c r="C2194" s="96">
        <v>4786695.3049999997</v>
      </c>
      <c r="D2194" s="96">
        <v>60.567</v>
      </c>
      <c r="E2194" s="96" t="s">
        <v>92</v>
      </c>
    </row>
    <row r="2195" spans="1:5" x14ac:dyDescent="0.25">
      <c r="A2195" s="94">
        <v>46042</v>
      </c>
      <c r="B2195" s="96">
        <v>511614.74900000001</v>
      </c>
      <c r="C2195" s="96">
        <v>4786712.557</v>
      </c>
      <c r="D2195" s="96">
        <v>60.817999999999998</v>
      </c>
      <c r="E2195" s="96" t="s">
        <v>93</v>
      </c>
    </row>
    <row r="2196" spans="1:5" x14ac:dyDescent="0.25">
      <c r="A2196" s="94">
        <v>46042</v>
      </c>
      <c r="B2196" s="96">
        <v>511660.66399999999</v>
      </c>
      <c r="C2196" s="96">
        <v>4786683.4670000002</v>
      </c>
      <c r="D2196" s="96">
        <v>55.402000000000001</v>
      </c>
      <c r="E2196" s="96" t="s">
        <v>94</v>
      </c>
    </row>
    <row r="2197" spans="1:5" x14ac:dyDescent="0.25">
      <c r="A2197" s="94">
        <v>46042</v>
      </c>
      <c r="B2197" s="96">
        <v>511670.875</v>
      </c>
      <c r="C2197" s="96">
        <v>4786685.9189999998</v>
      </c>
      <c r="D2197" s="96">
        <v>54.817999999999998</v>
      </c>
      <c r="E2197" s="96" t="s">
        <v>95</v>
      </c>
    </row>
    <row r="2198" spans="1:5" x14ac:dyDescent="0.25">
      <c r="A2198" s="94">
        <v>46042</v>
      </c>
      <c r="B2198" s="96">
        <v>511649.79100000003</v>
      </c>
      <c r="C2198" s="96">
        <v>4786669.4859999996</v>
      </c>
      <c r="D2198" s="96">
        <v>51.051000000000002</v>
      </c>
      <c r="E2198" s="96" t="s">
        <v>99</v>
      </c>
    </row>
    <row r="2199" spans="1:5" x14ac:dyDescent="0.25">
      <c r="A2199" s="94">
        <v>46042</v>
      </c>
      <c r="B2199" s="96">
        <v>511607.54499999998</v>
      </c>
      <c r="C2199" s="96">
        <v>4786691.9759999998</v>
      </c>
      <c r="D2199" s="96">
        <v>51.048000000000002</v>
      </c>
      <c r="E2199" s="96" t="s">
        <v>100</v>
      </c>
    </row>
    <row r="2200" spans="1:5" x14ac:dyDescent="0.25">
      <c r="A2200" s="94">
        <v>46042</v>
      </c>
      <c r="B2200" s="96">
        <v>511607.26199999999</v>
      </c>
      <c r="C2200" s="96">
        <v>4786692.1689999998</v>
      </c>
      <c r="D2200" s="96">
        <v>51.048999999999999</v>
      </c>
      <c r="E2200" s="96" t="s">
        <v>101</v>
      </c>
    </row>
    <row r="2201" spans="1:5" x14ac:dyDescent="0.25">
      <c r="A2201" s="94">
        <v>46042</v>
      </c>
      <c r="B2201" s="96">
        <v>511601.11</v>
      </c>
      <c r="C2201" s="96">
        <v>4786695.4139999999</v>
      </c>
      <c r="D2201" s="96">
        <v>51.039000000000001</v>
      </c>
      <c r="E2201" s="96" t="s">
        <v>102</v>
      </c>
    </row>
    <row r="2202" spans="1:5" x14ac:dyDescent="0.25">
      <c r="A2202" s="94">
        <v>46042</v>
      </c>
      <c r="B2202" s="96">
        <v>511615.24699999997</v>
      </c>
      <c r="C2202" s="96">
        <v>4786687.4280000003</v>
      </c>
      <c r="D2202" s="96">
        <v>48.442999999999998</v>
      </c>
      <c r="E2202" s="96" t="s">
        <v>103</v>
      </c>
    </row>
    <row r="2203" spans="1:5" x14ac:dyDescent="0.25">
      <c r="A2203" s="94">
        <v>46042</v>
      </c>
      <c r="B2203" s="96">
        <v>511615.22</v>
      </c>
      <c r="C2203" s="96">
        <v>4786687.3509999998</v>
      </c>
      <c r="D2203" s="96">
        <v>45.936</v>
      </c>
      <c r="E2203" s="96" t="s">
        <v>104</v>
      </c>
    </row>
    <row r="2204" spans="1:5" x14ac:dyDescent="0.25">
      <c r="A2204" s="94">
        <v>46042</v>
      </c>
      <c r="B2204" s="96">
        <v>511615.16499999998</v>
      </c>
      <c r="C2204" s="96">
        <v>4786687.3830000004</v>
      </c>
      <c r="D2204" s="96">
        <v>43.957999999999998</v>
      </c>
      <c r="E2204" s="96" t="s">
        <v>110</v>
      </c>
    </row>
    <row r="2205" spans="1:5" x14ac:dyDescent="0.25">
      <c r="A2205" s="94">
        <v>46042</v>
      </c>
      <c r="B2205" s="96">
        <v>511629.18</v>
      </c>
      <c r="C2205" s="96">
        <v>4786680.0590000004</v>
      </c>
      <c r="D2205" s="96">
        <v>48.462000000000003</v>
      </c>
      <c r="E2205" s="96" t="s">
        <v>105</v>
      </c>
    </row>
    <row r="2206" spans="1:5" x14ac:dyDescent="0.25">
      <c r="A2206" s="94">
        <v>46042</v>
      </c>
      <c r="B2206" s="96">
        <v>511629.30300000001</v>
      </c>
      <c r="C2206" s="96">
        <v>4786680.0219999999</v>
      </c>
      <c r="D2206" s="96">
        <v>45.944000000000003</v>
      </c>
      <c r="E2206" s="96" t="s">
        <v>106</v>
      </c>
    </row>
    <row r="2207" spans="1:5" x14ac:dyDescent="0.25">
      <c r="A2207" s="94">
        <v>46042</v>
      </c>
      <c r="B2207" s="96">
        <v>511642.28</v>
      </c>
      <c r="C2207" s="96">
        <v>4786673.1189999999</v>
      </c>
      <c r="D2207" s="96">
        <v>48.442999999999998</v>
      </c>
      <c r="E2207" s="96" t="s">
        <v>107</v>
      </c>
    </row>
    <row r="2208" spans="1:5" x14ac:dyDescent="0.25">
      <c r="A2208" s="94">
        <v>46042</v>
      </c>
      <c r="B2208" s="96">
        <v>511642.43400000001</v>
      </c>
      <c r="C2208" s="96">
        <v>4786673.0080000004</v>
      </c>
      <c r="D2208" s="96">
        <v>45.938000000000002</v>
      </c>
      <c r="E2208" s="96" t="s">
        <v>108</v>
      </c>
    </row>
    <row r="2209" spans="1:5" x14ac:dyDescent="0.25">
      <c r="A2209" s="94">
        <v>46042</v>
      </c>
      <c r="B2209" s="96">
        <v>511642.46399999998</v>
      </c>
      <c r="C2209" s="96">
        <v>4786672.9079999998</v>
      </c>
      <c r="D2209" s="96">
        <v>43.968000000000004</v>
      </c>
      <c r="E2209" s="96" t="s">
        <v>111</v>
      </c>
    </row>
    <row r="2210" spans="1:5" x14ac:dyDescent="0.25">
      <c r="A2210" s="94">
        <v>46042</v>
      </c>
      <c r="B2210" s="96">
        <v>511649.12</v>
      </c>
      <c r="C2210" s="96">
        <v>4786669.4060000004</v>
      </c>
      <c r="D2210" s="96">
        <v>43.948</v>
      </c>
      <c r="E2210" s="96" t="s">
        <v>113</v>
      </c>
    </row>
    <row r="2211" spans="1:5" x14ac:dyDescent="0.25">
      <c r="A2211" s="94">
        <v>46043</v>
      </c>
      <c r="B2211" s="95">
        <v>511615.09100000001</v>
      </c>
      <c r="C2211" s="95">
        <v>4786687.9800000004</v>
      </c>
      <c r="D2211" s="95">
        <v>51.027000000000001</v>
      </c>
      <c r="E2211" s="91" t="s">
        <v>96</v>
      </c>
    </row>
    <row r="2212" spans="1:5" x14ac:dyDescent="0.25">
      <c r="A2212" s="94">
        <v>46043</v>
      </c>
      <c r="B2212" s="95">
        <v>511628.87699999998</v>
      </c>
      <c r="C2212" s="95">
        <v>4786680.6430000002</v>
      </c>
      <c r="D2212" s="95">
        <v>51.036999999999999</v>
      </c>
      <c r="E2212" s="91" t="s">
        <v>97</v>
      </c>
    </row>
    <row r="2213" spans="1:5" x14ac:dyDescent="0.25">
      <c r="A2213" s="94">
        <v>46043</v>
      </c>
      <c r="B2213" s="95">
        <v>511642.57799999998</v>
      </c>
      <c r="C2213" s="95">
        <v>4786673.3470000001</v>
      </c>
      <c r="D2213" s="95">
        <v>51.046999999999997</v>
      </c>
      <c r="E2213" s="91" t="s">
        <v>98</v>
      </c>
    </row>
    <row r="2214" spans="1:5" x14ac:dyDescent="0.25">
      <c r="A2214" s="94">
        <v>46043</v>
      </c>
      <c r="B2214" s="95">
        <v>511607.69400000002</v>
      </c>
      <c r="C2214" s="95">
        <v>4786691.4170000004</v>
      </c>
      <c r="D2214" s="95">
        <v>43.942999999999998</v>
      </c>
      <c r="E2214" s="91" t="s">
        <v>112</v>
      </c>
    </row>
    <row r="2215" spans="1:5" x14ac:dyDescent="0.25">
      <c r="A2215" s="94">
        <v>46043</v>
      </c>
      <c r="B2215" s="95">
        <v>511629.41200000001</v>
      </c>
      <c r="C2215" s="95">
        <v>4786679.9069999997</v>
      </c>
      <c r="D2215" s="95">
        <v>43.945</v>
      </c>
      <c r="E2215" s="91" t="s">
        <v>109</v>
      </c>
    </row>
    <row r="2216" spans="1:5" x14ac:dyDescent="0.25">
      <c r="A2216" s="94">
        <v>46043</v>
      </c>
      <c r="B2216" s="95">
        <v>511649.7</v>
      </c>
      <c r="C2216" s="95">
        <v>4786682.1579999998</v>
      </c>
      <c r="D2216" s="95">
        <v>56.185000000000002</v>
      </c>
      <c r="E2216" s="91" t="s">
        <v>89</v>
      </c>
    </row>
    <row r="2217" spans="1:5" x14ac:dyDescent="0.25">
      <c r="A2217" s="94">
        <v>46043</v>
      </c>
      <c r="B2217" s="95">
        <v>511630.75900000002</v>
      </c>
      <c r="C2217" s="95">
        <v>4786689.8590000002</v>
      </c>
      <c r="D2217" s="95">
        <v>55.945999999999998</v>
      </c>
      <c r="E2217" s="91" t="s">
        <v>90</v>
      </c>
    </row>
    <row r="2218" spans="1:5" x14ac:dyDescent="0.25">
      <c r="A2218" s="94">
        <v>46043</v>
      </c>
      <c r="B2218" s="95">
        <v>511623.43</v>
      </c>
      <c r="C2218" s="95">
        <v>4786694.0750000002</v>
      </c>
      <c r="D2218" s="95">
        <v>54.777999999999999</v>
      </c>
      <c r="E2218" s="91" t="s">
        <v>91</v>
      </c>
    </row>
    <row r="2219" spans="1:5" x14ac:dyDescent="0.25">
      <c r="A2219" s="94">
        <v>46043</v>
      </c>
      <c r="B2219" s="95">
        <v>511613.31300000002</v>
      </c>
      <c r="C2219" s="95">
        <v>4786695.3049999997</v>
      </c>
      <c r="D2219" s="95">
        <v>60.567</v>
      </c>
      <c r="E2219" s="91" t="s">
        <v>92</v>
      </c>
    </row>
    <row r="2220" spans="1:5" x14ac:dyDescent="0.25">
      <c r="A2220" s="94">
        <v>46043</v>
      </c>
      <c r="B2220" s="95">
        <v>511614.75</v>
      </c>
      <c r="C2220" s="95">
        <v>4786712.5580000002</v>
      </c>
      <c r="D2220" s="95">
        <v>60.819000000000003</v>
      </c>
      <c r="E2220" s="91" t="s">
        <v>93</v>
      </c>
    </row>
    <row r="2221" spans="1:5" x14ac:dyDescent="0.25">
      <c r="A2221" s="94">
        <v>46043</v>
      </c>
      <c r="B2221" s="95">
        <v>511660.66399999999</v>
      </c>
      <c r="C2221" s="95">
        <v>4786683.4680000003</v>
      </c>
      <c r="D2221" s="95">
        <v>55.401000000000003</v>
      </c>
      <c r="E2221" s="91" t="s">
        <v>94</v>
      </c>
    </row>
    <row r="2222" spans="1:5" x14ac:dyDescent="0.25">
      <c r="A2222" s="94">
        <v>46043</v>
      </c>
      <c r="B2222" s="95">
        <v>511670.87199999997</v>
      </c>
      <c r="C2222" s="95">
        <v>4786685.9189999998</v>
      </c>
      <c r="D2222" s="95">
        <v>54.817999999999998</v>
      </c>
      <c r="E2222" s="91" t="s">
        <v>95</v>
      </c>
    </row>
    <row r="2223" spans="1:5" x14ac:dyDescent="0.25">
      <c r="A2223" s="94">
        <v>46043</v>
      </c>
      <c r="B2223" s="95">
        <v>511649.79100000003</v>
      </c>
      <c r="C2223" s="95">
        <v>4786669.4869999997</v>
      </c>
      <c r="D2223" s="95">
        <v>51.051000000000002</v>
      </c>
      <c r="E2223" s="91" t="s">
        <v>99</v>
      </c>
    </row>
    <row r="2224" spans="1:5" x14ac:dyDescent="0.25">
      <c r="A2224" s="94">
        <v>46043</v>
      </c>
      <c r="B2224" s="95">
        <v>511607.54499999998</v>
      </c>
      <c r="C2224" s="95">
        <v>4786691.9759999998</v>
      </c>
      <c r="D2224" s="95">
        <v>51.048999999999999</v>
      </c>
      <c r="E2224" s="91" t="s">
        <v>100</v>
      </c>
    </row>
    <row r="2225" spans="1:5" x14ac:dyDescent="0.25">
      <c r="A2225" s="94">
        <v>46043</v>
      </c>
      <c r="B2225" s="95">
        <v>511607.26199999999</v>
      </c>
      <c r="C2225" s="95">
        <v>4786692.17</v>
      </c>
      <c r="D2225" s="95">
        <v>51.048999999999999</v>
      </c>
      <c r="E2225" s="91" t="s">
        <v>101</v>
      </c>
    </row>
    <row r="2226" spans="1:5" x14ac:dyDescent="0.25">
      <c r="A2226" s="94">
        <v>46043</v>
      </c>
      <c r="B2226" s="95">
        <v>511601.11</v>
      </c>
      <c r="C2226" s="95">
        <v>4786695.415</v>
      </c>
      <c r="D2226" s="95">
        <v>51.039000000000001</v>
      </c>
      <c r="E2226" s="91" t="s">
        <v>102</v>
      </c>
    </row>
    <row r="2227" spans="1:5" x14ac:dyDescent="0.25">
      <c r="A2227" s="94">
        <v>46043</v>
      </c>
      <c r="B2227" s="95">
        <v>511615.24900000001</v>
      </c>
      <c r="C2227" s="95">
        <v>4786687.4289999995</v>
      </c>
      <c r="D2227" s="95">
        <v>48.444000000000003</v>
      </c>
      <c r="E2227" s="91" t="s">
        <v>103</v>
      </c>
    </row>
    <row r="2228" spans="1:5" x14ac:dyDescent="0.25">
      <c r="A2228" s="94">
        <v>46043</v>
      </c>
      <c r="B2228" s="95">
        <v>511615.22200000001</v>
      </c>
      <c r="C2228" s="95">
        <v>4786687.352</v>
      </c>
      <c r="D2228" s="95">
        <v>45.936</v>
      </c>
      <c r="E2228" s="91" t="s">
        <v>104</v>
      </c>
    </row>
    <row r="2229" spans="1:5" x14ac:dyDescent="0.25">
      <c r="A2229" s="94">
        <v>46043</v>
      </c>
      <c r="B2229" s="95">
        <v>511615.17</v>
      </c>
      <c r="C2229" s="95">
        <v>4786687.3810000001</v>
      </c>
      <c r="D2229" s="95">
        <v>43.957999999999998</v>
      </c>
      <c r="E2229" s="91" t="s">
        <v>110</v>
      </c>
    </row>
    <row r="2230" spans="1:5" x14ac:dyDescent="0.25">
      <c r="A2230" s="94">
        <v>46043</v>
      </c>
      <c r="B2230" s="95">
        <v>511629.18099999998</v>
      </c>
      <c r="C2230" s="95">
        <v>4786680.0599999996</v>
      </c>
      <c r="D2230" s="95">
        <v>48.462000000000003</v>
      </c>
      <c r="E2230" s="91" t="s">
        <v>105</v>
      </c>
    </row>
    <row r="2231" spans="1:5" x14ac:dyDescent="0.25">
      <c r="A2231" s="94">
        <v>46043</v>
      </c>
      <c r="B2231" s="95">
        <v>511629.304</v>
      </c>
      <c r="C2231" s="95">
        <v>4786680.023</v>
      </c>
      <c r="D2231" s="95">
        <v>45.944000000000003</v>
      </c>
      <c r="E2231" s="91" t="s">
        <v>106</v>
      </c>
    </row>
    <row r="2232" spans="1:5" x14ac:dyDescent="0.25">
      <c r="A2232" s="94">
        <v>46043</v>
      </c>
      <c r="B2232" s="95">
        <v>511642.27899999998</v>
      </c>
      <c r="C2232" s="95">
        <v>4786673.1189999999</v>
      </c>
      <c r="D2232" s="95">
        <v>48.444000000000003</v>
      </c>
      <c r="E2232" s="91" t="s">
        <v>107</v>
      </c>
    </row>
    <row r="2233" spans="1:5" x14ac:dyDescent="0.25">
      <c r="A2233" s="94">
        <v>46043</v>
      </c>
      <c r="B2233" s="95">
        <v>511642.43300000002</v>
      </c>
      <c r="C2233" s="95">
        <v>4786673.0080000004</v>
      </c>
      <c r="D2233" s="95">
        <v>45.939</v>
      </c>
      <c r="E2233" s="91" t="s">
        <v>108</v>
      </c>
    </row>
    <row r="2234" spans="1:5" x14ac:dyDescent="0.25">
      <c r="A2234" s="94">
        <v>46043</v>
      </c>
      <c r="B2234" s="95">
        <v>511642.46799999999</v>
      </c>
      <c r="C2234" s="95">
        <v>4786672.9040000001</v>
      </c>
      <c r="D2234" s="95">
        <v>43.966000000000001</v>
      </c>
      <c r="E2234" s="91" t="s">
        <v>111</v>
      </c>
    </row>
    <row r="2235" spans="1:5" x14ac:dyDescent="0.25">
      <c r="A2235" s="94">
        <v>46043</v>
      </c>
      <c r="B2235" s="95">
        <v>511649.12599999999</v>
      </c>
      <c r="C2235" s="95">
        <v>4786669.4009999996</v>
      </c>
      <c r="D2235" s="95">
        <v>43.947000000000003</v>
      </c>
      <c r="E2235" s="91" t="s">
        <v>113</v>
      </c>
    </row>
    <row r="2236" spans="1:5" x14ac:dyDescent="0.25">
      <c r="A2236" s="94">
        <v>46044</v>
      </c>
      <c r="B2236" s="95">
        <v>511615.09100000001</v>
      </c>
      <c r="C2236" s="95">
        <v>4786687.9800000004</v>
      </c>
      <c r="D2236" s="95">
        <v>51.026000000000003</v>
      </c>
      <c r="E2236" s="91" t="s">
        <v>96</v>
      </c>
    </row>
    <row r="2237" spans="1:5" x14ac:dyDescent="0.25">
      <c r="A2237" s="94">
        <v>46044</v>
      </c>
      <c r="B2237" s="95">
        <v>511628.875</v>
      </c>
      <c r="C2237" s="95">
        <v>4786680.642</v>
      </c>
      <c r="D2237" s="95">
        <v>51.037999999999997</v>
      </c>
      <c r="E2237" s="91" t="s">
        <v>97</v>
      </c>
    </row>
    <row r="2238" spans="1:5" x14ac:dyDescent="0.25">
      <c r="A2238" s="94">
        <v>46044</v>
      </c>
      <c r="B2238" s="95">
        <v>511642.57699999999</v>
      </c>
      <c r="C2238" s="95">
        <v>4786673.3459999999</v>
      </c>
      <c r="D2238" s="95">
        <v>51.045999999999999</v>
      </c>
      <c r="E2238" s="91" t="s">
        <v>98</v>
      </c>
    </row>
    <row r="2239" spans="1:5" x14ac:dyDescent="0.25">
      <c r="A2239" s="94">
        <v>46044</v>
      </c>
      <c r="B2239" s="95">
        <v>511607.69799999997</v>
      </c>
      <c r="C2239" s="95">
        <v>4786691.415</v>
      </c>
      <c r="D2239" s="95">
        <v>43.942</v>
      </c>
      <c r="E2239" s="91" t="s">
        <v>112</v>
      </c>
    </row>
    <row r="2240" spans="1:5" x14ac:dyDescent="0.25">
      <c r="A2240" s="94">
        <v>46044</v>
      </c>
      <c r="B2240" s="95">
        <v>511629.41499999998</v>
      </c>
      <c r="C2240" s="95">
        <v>4786679.9040000001</v>
      </c>
      <c r="D2240" s="95">
        <v>43.944000000000003</v>
      </c>
      <c r="E2240" s="91" t="s">
        <v>109</v>
      </c>
    </row>
    <row r="2241" spans="1:5" x14ac:dyDescent="0.25">
      <c r="A2241" s="94">
        <v>46044</v>
      </c>
      <c r="B2241" s="95">
        <v>511649.69900000002</v>
      </c>
      <c r="C2241" s="95">
        <v>4786682.1569999997</v>
      </c>
      <c r="D2241" s="95">
        <v>56.185000000000002</v>
      </c>
      <c r="E2241" s="91" t="s">
        <v>89</v>
      </c>
    </row>
    <row r="2242" spans="1:5" x14ac:dyDescent="0.25">
      <c r="A2242" s="94">
        <v>46044</v>
      </c>
      <c r="B2242" s="95">
        <v>511630.75799999997</v>
      </c>
      <c r="C2242" s="95">
        <v>4786689.858</v>
      </c>
      <c r="D2242" s="95">
        <v>55.945999999999998</v>
      </c>
      <c r="E2242" s="91" t="s">
        <v>90</v>
      </c>
    </row>
    <row r="2243" spans="1:5" x14ac:dyDescent="0.25">
      <c r="A2243" s="94">
        <v>46044</v>
      </c>
      <c r="B2243" s="95">
        <v>511623.42800000001</v>
      </c>
      <c r="C2243" s="95">
        <v>4786694.0729999999</v>
      </c>
      <c r="D2243" s="95">
        <v>54.777999999999999</v>
      </c>
      <c r="E2243" s="91" t="s">
        <v>91</v>
      </c>
    </row>
    <row r="2244" spans="1:5" x14ac:dyDescent="0.25">
      <c r="A2244" s="94">
        <v>46044</v>
      </c>
      <c r="B2244" s="95">
        <v>511613.31199999998</v>
      </c>
      <c r="C2244" s="95">
        <v>4786695.3039999995</v>
      </c>
      <c r="D2244" s="95">
        <v>60.566000000000003</v>
      </c>
      <c r="E2244" s="91" t="s">
        <v>92</v>
      </c>
    </row>
    <row r="2245" spans="1:5" x14ac:dyDescent="0.25">
      <c r="A2245" s="94">
        <v>46044</v>
      </c>
      <c r="B2245" s="95">
        <v>511614.75</v>
      </c>
      <c r="C2245" s="95">
        <v>4786712.557</v>
      </c>
      <c r="D2245" s="95">
        <v>60.817999999999998</v>
      </c>
      <c r="E2245" s="91" t="s">
        <v>93</v>
      </c>
    </row>
    <row r="2246" spans="1:5" x14ac:dyDescent="0.25">
      <c r="A2246" s="94">
        <v>46044</v>
      </c>
      <c r="B2246" s="95">
        <v>511660.66200000001</v>
      </c>
      <c r="C2246" s="95">
        <v>4786683.4670000002</v>
      </c>
      <c r="D2246" s="95">
        <v>55.401000000000003</v>
      </c>
      <c r="E2246" s="91" t="s">
        <v>94</v>
      </c>
    </row>
    <row r="2247" spans="1:5" x14ac:dyDescent="0.25">
      <c r="A2247" s="94">
        <v>46044</v>
      </c>
      <c r="B2247" s="95">
        <v>511670.87400000001</v>
      </c>
      <c r="C2247" s="95">
        <v>4786685.92</v>
      </c>
      <c r="D2247" s="95">
        <v>54.817</v>
      </c>
      <c r="E2247" s="91" t="s">
        <v>95</v>
      </c>
    </row>
    <row r="2248" spans="1:5" x14ac:dyDescent="0.25">
      <c r="A2248" s="94">
        <v>46044</v>
      </c>
      <c r="B2248" s="95">
        <v>511649.79100000003</v>
      </c>
      <c r="C2248" s="95">
        <v>4786669.4859999996</v>
      </c>
      <c r="D2248" s="95">
        <v>51.05</v>
      </c>
      <c r="E2248" s="91" t="s">
        <v>99</v>
      </c>
    </row>
    <row r="2249" spans="1:5" x14ac:dyDescent="0.25">
      <c r="A2249" s="94">
        <v>46044</v>
      </c>
      <c r="B2249" s="95">
        <v>511607.54599999997</v>
      </c>
      <c r="C2249" s="95">
        <v>4786691.977</v>
      </c>
      <c r="D2249" s="95">
        <v>51.048000000000002</v>
      </c>
      <c r="E2249" s="91" t="s">
        <v>100</v>
      </c>
    </row>
    <row r="2250" spans="1:5" x14ac:dyDescent="0.25">
      <c r="A2250" s="94">
        <v>46044</v>
      </c>
      <c r="B2250" s="95">
        <v>511607.261</v>
      </c>
      <c r="C2250" s="95">
        <v>4786692.1689999998</v>
      </c>
      <c r="D2250" s="95">
        <v>51.048000000000002</v>
      </c>
      <c r="E2250" s="91" t="s">
        <v>101</v>
      </c>
    </row>
    <row r="2251" spans="1:5" x14ac:dyDescent="0.25">
      <c r="A2251" s="94">
        <v>46044</v>
      </c>
      <c r="B2251" s="95">
        <v>511601.11</v>
      </c>
      <c r="C2251" s="95">
        <v>4786695.4139999999</v>
      </c>
      <c r="D2251" s="95">
        <v>51.039000000000001</v>
      </c>
      <c r="E2251" s="91" t="s">
        <v>102</v>
      </c>
    </row>
    <row r="2252" spans="1:5" x14ac:dyDescent="0.25">
      <c r="A2252" s="94">
        <v>46044</v>
      </c>
      <c r="B2252" s="95">
        <v>511615.24599999998</v>
      </c>
      <c r="C2252" s="95">
        <v>4786687.4270000001</v>
      </c>
      <c r="D2252" s="95">
        <v>48.442999999999998</v>
      </c>
      <c r="E2252" s="91" t="s">
        <v>103</v>
      </c>
    </row>
    <row r="2253" spans="1:5" x14ac:dyDescent="0.25">
      <c r="A2253" s="94">
        <v>46044</v>
      </c>
      <c r="B2253" s="95">
        <v>511615.22</v>
      </c>
      <c r="C2253" s="95">
        <v>4786687.3509999998</v>
      </c>
      <c r="D2253" s="95">
        <v>45.935000000000002</v>
      </c>
      <c r="E2253" s="91" t="s">
        <v>104</v>
      </c>
    </row>
    <row r="2254" spans="1:5" x14ac:dyDescent="0.25">
      <c r="A2254" s="94">
        <v>46044</v>
      </c>
      <c r="B2254" s="95">
        <v>511615.17300000001</v>
      </c>
      <c r="C2254" s="95">
        <v>4786687.3770000003</v>
      </c>
      <c r="D2254" s="95">
        <v>43.957000000000001</v>
      </c>
      <c r="E2254" s="91" t="s">
        <v>110</v>
      </c>
    </row>
    <row r="2255" spans="1:5" x14ac:dyDescent="0.25">
      <c r="A2255" s="94">
        <v>46044</v>
      </c>
      <c r="B2255" s="95">
        <v>511629.179</v>
      </c>
      <c r="C2255" s="95">
        <v>4786680.0599999996</v>
      </c>
      <c r="D2255" s="95">
        <v>48.460999999999999</v>
      </c>
      <c r="E2255" s="91" t="s">
        <v>105</v>
      </c>
    </row>
    <row r="2256" spans="1:5" x14ac:dyDescent="0.25">
      <c r="A2256" s="94">
        <v>46044</v>
      </c>
      <c r="B2256" s="95">
        <v>511629.30300000001</v>
      </c>
      <c r="C2256" s="95">
        <v>4786680.0219999999</v>
      </c>
      <c r="D2256" s="95">
        <v>45.944000000000003</v>
      </c>
      <c r="E2256" s="91" t="s">
        <v>106</v>
      </c>
    </row>
    <row r="2257" spans="1:5" x14ac:dyDescent="0.25">
      <c r="A2257" s="94">
        <v>46044</v>
      </c>
      <c r="B2257" s="95">
        <v>511642.28100000002</v>
      </c>
      <c r="C2257" s="95">
        <v>4786673.12</v>
      </c>
      <c r="D2257" s="95">
        <v>48.442</v>
      </c>
      <c r="E2257" s="91" t="s">
        <v>107</v>
      </c>
    </row>
    <row r="2258" spans="1:5" x14ac:dyDescent="0.25">
      <c r="A2258" s="94">
        <v>46044</v>
      </c>
      <c r="B2258" s="95">
        <v>511642.43099999998</v>
      </c>
      <c r="C2258" s="95">
        <v>4786673.0080000004</v>
      </c>
      <c r="D2258" s="95">
        <v>45.938000000000002</v>
      </c>
      <c r="E2258" s="91" t="s">
        <v>108</v>
      </c>
    </row>
    <row r="2259" spans="1:5" x14ac:dyDescent="0.25">
      <c r="A2259" s="94">
        <v>46044</v>
      </c>
      <c r="B2259" s="95">
        <v>511642.47100000002</v>
      </c>
      <c r="C2259" s="95">
        <v>4786672.9000000004</v>
      </c>
      <c r="D2259" s="95">
        <v>43.966000000000001</v>
      </c>
      <c r="E2259" s="91" t="s">
        <v>111</v>
      </c>
    </row>
    <row r="2260" spans="1:5" x14ac:dyDescent="0.25">
      <c r="A2260" s="94">
        <v>46044</v>
      </c>
      <c r="B2260" s="95">
        <v>511649.12900000002</v>
      </c>
      <c r="C2260" s="95">
        <v>4786669.3969999999</v>
      </c>
      <c r="D2260" s="95">
        <v>43.945999999999998</v>
      </c>
      <c r="E2260" s="91" t="s">
        <v>113</v>
      </c>
    </row>
    <row r="2261" spans="1:5" x14ac:dyDescent="0.25">
      <c r="A2261" s="94">
        <v>46045</v>
      </c>
      <c r="B2261" s="95">
        <v>511615.092</v>
      </c>
      <c r="C2261" s="95">
        <v>4786687.9800000004</v>
      </c>
      <c r="D2261" s="95">
        <v>51.026000000000003</v>
      </c>
      <c r="E2261" s="91" t="s">
        <v>96</v>
      </c>
    </row>
    <row r="2262" spans="1:5" x14ac:dyDescent="0.25">
      <c r="A2262" s="94">
        <v>46045</v>
      </c>
      <c r="B2262" s="95">
        <v>511628.87599999999</v>
      </c>
      <c r="C2262" s="95">
        <v>4786680.642</v>
      </c>
      <c r="D2262" s="95">
        <v>51.036999999999999</v>
      </c>
      <c r="E2262" s="91" t="s">
        <v>97</v>
      </c>
    </row>
    <row r="2263" spans="1:5" x14ac:dyDescent="0.25">
      <c r="A2263" s="94">
        <v>46045</v>
      </c>
      <c r="B2263" s="95">
        <v>511642.57699999999</v>
      </c>
      <c r="C2263" s="95">
        <v>4786673.3449999997</v>
      </c>
      <c r="D2263" s="95">
        <v>51.045000000000002</v>
      </c>
      <c r="E2263" s="91" t="s">
        <v>98</v>
      </c>
    </row>
    <row r="2264" spans="1:5" x14ac:dyDescent="0.25">
      <c r="A2264" s="94">
        <v>46045</v>
      </c>
      <c r="B2264" s="95">
        <v>511607.69400000002</v>
      </c>
      <c r="C2264" s="95">
        <v>4786691.4179999996</v>
      </c>
      <c r="D2264" s="95">
        <v>43.941000000000003</v>
      </c>
      <c r="E2264" s="91" t="s">
        <v>112</v>
      </c>
    </row>
    <row r="2265" spans="1:5" x14ac:dyDescent="0.25">
      <c r="A2265" s="94">
        <v>46045</v>
      </c>
      <c r="B2265" s="95">
        <v>511629.41100000002</v>
      </c>
      <c r="C2265" s="95">
        <v>4786679.9060000004</v>
      </c>
      <c r="D2265" s="95">
        <v>43.944000000000003</v>
      </c>
      <c r="E2265" s="91" t="s">
        <v>109</v>
      </c>
    </row>
    <row r="2266" spans="1:5" x14ac:dyDescent="0.25">
      <c r="A2266" s="94">
        <v>46045</v>
      </c>
      <c r="B2266" s="95">
        <v>511649.69900000002</v>
      </c>
      <c r="C2266" s="95">
        <v>4786682.1569999997</v>
      </c>
      <c r="D2266" s="95">
        <v>56.183999999999997</v>
      </c>
      <c r="E2266" s="91" t="s">
        <v>89</v>
      </c>
    </row>
    <row r="2267" spans="1:5" x14ac:dyDescent="0.25">
      <c r="A2267" s="94">
        <v>46045</v>
      </c>
      <c r="B2267" s="95">
        <v>511630.761</v>
      </c>
      <c r="C2267" s="95">
        <v>4786689.8590000002</v>
      </c>
      <c r="D2267" s="95">
        <v>55.945</v>
      </c>
      <c r="E2267" s="91" t="s">
        <v>90</v>
      </c>
    </row>
    <row r="2268" spans="1:5" x14ac:dyDescent="0.25">
      <c r="A2268" s="94">
        <v>46045</v>
      </c>
      <c r="B2268" s="95">
        <v>511623.43099999998</v>
      </c>
      <c r="C2268" s="95">
        <v>4786694.074</v>
      </c>
      <c r="D2268" s="95">
        <v>54.777000000000001</v>
      </c>
      <c r="E2268" s="91" t="s">
        <v>91</v>
      </c>
    </row>
    <row r="2269" spans="1:5" x14ac:dyDescent="0.25">
      <c r="A2269" s="94">
        <v>46045</v>
      </c>
      <c r="B2269" s="95">
        <v>511613.31199999998</v>
      </c>
      <c r="C2269" s="95">
        <v>4786695.3039999995</v>
      </c>
      <c r="D2269" s="95">
        <v>60.566000000000003</v>
      </c>
      <c r="E2269" s="91" t="s">
        <v>92</v>
      </c>
    </row>
    <row r="2270" spans="1:5" x14ac:dyDescent="0.25">
      <c r="A2270" s="94">
        <v>46045</v>
      </c>
      <c r="B2270" s="95">
        <v>511614.75</v>
      </c>
      <c r="C2270" s="95">
        <v>4786712.557</v>
      </c>
      <c r="D2270" s="95">
        <v>60.817</v>
      </c>
      <c r="E2270" s="91" t="s">
        <v>93</v>
      </c>
    </row>
    <row r="2271" spans="1:5" x14ac:dyDescent="0.25">
      <c r="A2271" s="94">
        <v>46045</v>
      </c>
      <c r="B2271" s="95">
        <v>511660.663</v>
      </c>
      <c r="C2271" s="95">
        <v>4786683.4670000002</v>
      </c>
      <c r="D2271" s="95">
        <v>55.401000000000003</v>
      </c>
      <c r="E2271" s="91" t="s">
        <v>94</v>
      </c>
    </row>
    <row r="2272" spans="1:5" x14ac:dyDescent="0.25">
      <c r="A2272" s="94">
        <v>46045</v>
      </c>
      <c r="B2272" s="95">
        <v>511670.87300000002</v>
      </c>
      <c r="C2272" s="95">
        <v>4786685.9189999998</v>
      </c>
      <c r="D2272" s="95">
        <v>54.816000000000003</v>
      </c>
      <c r="E2272" s="91" t="s">
        <v>95</v>
      </c>
    </row>
    <row r="2273" spans="1:5" x14ac:dyDescent="0.25">
      <c r="A2273" s="94">
        <v>46045</v>
      </c>
      <c r="B2273" s="95">
        <v>511649.78899999999</v>
      </c>
      <c r="C2273" s="95">
        <v>4786669.4850000003</v>
      </c>
      <c r="D2273" s="95">
        <v>51.048999999999999</v>
      </c>
      <c r="E2273" s="91" t="s">
        <v>99</v>
      </c>
    </row>
    <row r="2274" spans="1:5" x14ac:dyDescent="0.25">
      <c r="A2274" s="94">
        <v>46045</v>
      </c>
      <c r="B2274" s="95">
        <v>511607.54599999997</v>
      </c>
      <c r="C2274" s="95">
        <v>4786691.9759999998</v>
      </c>
      <c r="D2274" s="95">
        <v>51.046999999999997</v>
      </c>
      <c r="E2274" s="91" t="s">
        <v>100</v>
      </c>
    </row>
    <row r="2275" spans="1:5" x14ac:dyDescent="0.25">
      <c r="A2275" s="94">
        <v>46045</v>
      </c>
      <c r="B2275" s="95">
        <v>511607.26</v>
      </c>
      <c r="C2275" s="95">
        <v>4786692.1670000004</v>
      </c>
      <c r="D2275" s="95">
        <v>51.048000000000002</v>
      </c>
      <c r="E2275" s="91" t="s">
        <v>101</v>
      </c>
    </row>
    <row r="2276" spans="1:5" x14ac:dyDescent="0.25">
      <c r="A2276" s="94">
        <v>46045</v>
      </c>
      <c r="B2276" s="95">
        <v>511601.11</v>
      </c>
      <c r="C2276" s="95">
        <v>4786695.4139999999</v>
      </c>
      <c r="D2276" s="95">
        <v>51.037999999999997</v>
      </c>
      <c r="E2276" s="91" t="s">
        <v>102</v>
      </c>
    </row>
    <row r="2277" spans="1:5" x14ac:dyDescent="0.25">
      <c r="A2277" s="94">
        <v>46045</v>
      </c>
      <c r="B2277" s="95">
        <v>511615.24699999997</v>
      </c>
      <c r="C2277" s="95">
        <v>4786687.4270000001</v>
      </c>
      <c r="D2277" s="95">
        <v>48.442999999999998</v>
      </c>
      <c r="E2277" s="91" t="s">
        <v>103</v>
      </c>
    </row>
    <row r="2278" spans="1:5" x14ac:dyDescent="0.25">
      <c r="A2278" s="94">
        <v>46045</v>
      </c>
      <c r="B2278" s="95">
        <v>511615.21899999998</v>
      </c>
      <c r="C2278" s="95">
        <v>4786687.3499999996</v>
      </c>
      <c r="D2278" s="95">
        <v>45.935000000000002</v>
      </c>
      <c r="E2278" s="91" t="s">
        <v>104</v>
      </c>
    </row>
    <row r="2279" spans="1:5" x14ac:dyDescent="0.25">
      <c r="A2279" s="94">
        <v>46045</v>
      </c>
      <c r="B2279" s="95">
        <v>511615.16899999999</v>
      </c>
      <c r="C2279" s="95">
        <v>4786687.3810000001</v>
      </c>
      <c r="D2279" s="95">
        <v>43.956000000000003</v>
      </c>
      <c r="E2279" s="91" t="s">
        <v>110</v>
      </c>
    </row>
    <row r="2280" spans="1:5" x14ac:dyDescent="0.25">
      <c r="A2280" s="94">
        <v>46045</v>
      </c>
      <c r="B2280" s="95">
        <v>511629.17800000001</v>
      </c>
      <c r="C2280" s="95">
        <v>4786680.0590000004</v>
      </c>
      <c r="D2280" s="95">
        <v>48.46</v>
      </c>
      <c r="E2280" s="91" t="s">
        <v>105</v>
      </c>
    </row>
    <row r="2281" spans="1:5" x14ac:dyDescent="0.25">
      <c r="A2281" s="94">
        <v>46045</v>
      </c>
      <c r="B2281" s="95">
        <v>511629.30200000003</v>
      </c>
      <c r="C2281" s="95">
        <v>4786680.0209999997</v>
      </c>
      <c r="D2281" s="95">
        <v>45.942999999999998</v>
      </c>
      <c r="E2281" s="91" t="s">
        <v>106</v>
      </c>
    </row>
    <row r="2282" spans="1:5" x14ac:dyDescent="0.25">
      <c r="A2282" s="94">
        <v>46045</v>
      </c>
      <c r="B2282" s="95">
        <v>511642.27799999999</v>
      </c>
      <c r="C2282" s="95">
        <v>4786673.1179999998</v>
      </c>
      <c r="D2282" s="95">
        <v>48.442</v>
      </c>
      <c r="E2282" s="91" t="s">
        <v>107</v>
      </c>
    </row>
    <row r="2283" spans="1:5" x14ac:dyDescent="0.25">
      <c r="A2283" s="94">
        <v>46045</v>
      </c>
      <c r="B2283" s="95">
        <v>511642.43199999997</v>
      </c>
      <c r="C2283" s="95">
        <v>4786673.0080000004</v>
      </c>
      <c r="D2283" s="95">
        <v>45.936999999999998</v>
      </c>
      <c r="E2283" s="91" t="s">
        <v>108</v>
      </c>
    </row>
    <row r="2284" spans="1:5" x14ac:dyDescent="0.25">
      <c r="A2284" s="94">
        <v>46045</v>
      </c>
      <c r="B2284" s="95">
        <v>511642.467</v>
      </c>
      <c r="C2284" s="95">
        <v>4786672.9019999998</v>
      </c>
      <c r="D2284" s="95">
        <v>43.965000000000003</v>
      </c>
      <c r="E2284" s="91" t="s">
        <v>111</v>
      </c>
    </row>
    <row r="2285" spans="1:5" x14ac:dyDescent="0.25">
      <c r="A2285" s="94">
        <v>46045</v>
      </c>
      <c r="B2285" s="95">
        <v>511649.12400000001</v>
      </c>
      <c r="C2285" s="95">
        <v>4786669.4000000004</v>
      </c>
      <c r="D2285" s="95">
        <v>43.945999999999998</v>
      </c>
      <c r="E2285" s="91" t="s">
        <v>113</v>
      </c>
    </row>
    <row r="2286" spans="1:5" x14ac:dyDescent="0.25">
      <c r="A2286" s="94">
        <v>46048</v>
      </c>
      <c r="B2286" s="95">
        <v>511615.09100000001</v>
      </c>
      <c r="C2286" s="95">
        <v>4786687.9790000003</v>
      </c>
      <c r="D2286" s="95">
        <v>51.026000000000003</v>
      </c>
      <c r="E2286" s="91" t="s">
        <v>96</v>
      </c>
    </row>
    <row r="2287" spans="1:5" x14ac:dyDescent="0.25">
      <c r="A2287" s="94">
        <v>46048</v>
      </c>
      <c r="B2287" s="95">
        <v>511628.87599999999</v>
      </c>
      <c r="C2287" s="95">
        <v>4786680.642</v>
      </c>
      <c r="D2287" s="95">
        <v>51.036999999999999</v>
      </c>
      <c r="E2287" s="91" t="s">
        <v>97</v>
      </c>
    </row>
    <row r="2288" spans="1:5" x14ac:dyDescent="0.25">
      <c r="A2288" s="94">
        <v>46048</v>
      </c>
      <c r="B2288" s="95">
        <v>511642.57699999999</v>
      </c>
      <c r="C2288" s="95">
        <v>4786673.3449999997</v>
      </c>
      <c r="D2288" s="95">
        <v>51.045000000000002</v>
      </c>
      <c r="E2288" s="91" t="s">
        <v>98</v>
      </c>
    </row>
    <row r="2289" spans="1:5" x14ac:dyDescent="0.25">
      <c r="A2289" s="94">
        <v>46048</v>
      </c>
      <c r="B2289" s="95">
        <v>511607.69799999997</v>
      </c>
      <c r="C2289" s="95">
        <v>4786691.4170000004</v>
      </c>
      <c r="D2289" s="95">
        <v>43.942</v>
      </c>
      <c r="E2289" s="91" t="s">
        <v>112</v>
      </c>
    </row>
    <row r="2290" spans="1:5" x14ac:dyDescent="0.25">
      <c r="A2290" s="94">
        <v>46048</v>
      </c>
      <c r="B2290" s="95">
        <v>511629.41499999998</v>
      </c>
      <c r="C2290" s="95">
        <v>4786679.9050000003</v>
      </c>
      <c r="D2290" s="95">
        <v>43.944000000000003</v>
      </c>
      <c r="E2290" s="91" t="s">
        <v>109</v>
      </c>
    </row>
    <row r="2291" spans="1:5" x14ac:dyDescent="0.25">
      <c r="A2291" s="94">
        <v>46048</v>
      </c>
      <c r="B2291" s="95">
        <v>511649.7</v>
      </c>
      <c r="C2291" s="95">
        <v>4786682.1579999998</v>
      </c>
      <c r="D2291" s="95">
        <v>56.185000000000002</v>
      </c>
      <c r="E2291" s="91" t="s">
        <v>89</v>
      </c>
    </row>
    <row r="2292" spans="1:5" x14ac:dyDescent="0.25">
      <c r="A2292" s="94">
        <v>46048</v>
      </c>
      <c r="B2292" s="95">
        <v>511630.76</v>
      </c>
      <c r="C2292" s="95">
        <v>4786689.8590000002</v>
      </c>
      <c r="D2292" s="95">
        <v>55.945999999999998</v>
      </c>
      <c r="E2292" s="91" t="s">
        <v>90</v>
      </c>
    </row>
    <row r="2293" spans="1:5" x14ac:dyDescent="0.25">
      <c r="A2293" s="94">
        <v>46048</v>
      </c>
      <c r="B2293" s="95">
        <v>511623.43099999998</v>
      </c>
      <c r="C2293" s="95">
        <v>4786694.074</v>
      </c>
      <c r="D2293" s="95">
        <v>54.777000000000001</v>
      </c>
      <c r="E2293" s="91" t="s">
        <v>91</v>
      </c>
    </row>
    <row r="2294" spans="1:5" x14ac:dyDescent="0.25">
      <c r="A2294" s="94">
        <v>46048</v>
      </c>
      <c r="B2294" s="95">
        <v>511613.31199999998</v>
      </c>
      <c r="C2294" s="95">
        <v>4786695.3039999995</v>
      </c>
      <c r="D2294" s="95">
        <v>60.567</v>
      </c>
      <c r="E2294" s="91" t="s">
        <v>92</v>
      </c>
    </row>
    <row r="2295" spans="1:5" x14ac:dyDescent="0.25">
      <c r="A2295" s="94">
        <v>46048</v>
      </c>
      <c r="B2295" s="95">
        <v>511614.75099999999</v>
      </c>
      <c r="C2295" s="95">
        <v>4786712.5580000002</v>
      </c>
      <c r="D2295" s="95">
        <v>60.817999999999998</v>
      </c>
      <c r="E2295" s="91" t="s">
        <v>93</v>
      </c>
    </row>
    <row r="2296" spans="1:5" x14ac:dyDescent="0.25">
      <c r="A2296" s="94">
        <v>46048</v>
      </c>
      <c r="B2296" s="95">
        <v>511660.66399999999</v>
      </c>
      <c r="C2296" s="95">
        <v>4786683.4670000002</v>
      </c>
      <c r="D2296" s="95">
        <v>55.401000000000003</v>
      </c>
      <c r="E2296" s="91" t="s">
        <v>94</v>
      </c>
    </row>
    <row r="2297" spans="1:5" x14ac:dyDescent="0.25">
      <c r="A2297" s="94">
        <v>46048</v>
      </c>
      <c r="B2297" s="95">
        <v>511670.87400000001</v>
      </c>
      <c r="C2297" s="95">
        <v>4786685.9189999998</v>
      </c>
      <c r="D2297" s="95">
        <v>54.817</v>
      </c>
      <c r="E2297" s="91" t="s">
        <v>95</v>
      </c>
    </row>
    <row r="2298" spans="1:5" x14ac:dyDescent="0.25">
      <c r="A2298" s="94">
        <v>46048</v>
      </c>
      <c r="B2298" s="95">
        <v>511649.78899999999</v>
      </c>
      <c r="C2298" s="95">
        <v>4786669.4850000003</v>
      </c>
      <c r="D2298" s="95">
        <v>51.048999999999999</v>
      </c>
      <c r="E2298" s="91" t="s">
        <v>99</v>
      </c>
    </row>
    <row r="2299" spans="1:5" x14ac:dyDescent="0.25">
      <c r="A2299" s="94">
        <v>46048</v>
      </c>
      <c r="B2299" s="95">
        <v>511607.54599999997</v>
      </c>
      <c r="C2299" s="95">
        <v>4786691.977</v>
      </c>
      <c r="D2299" s="95">
        <v>51.046999999999997</v>
      </c>
      <c r="E2299" s="91" t="s">
        <v>100</v>
      </c>
    </row>
    <row r="2300" spans="1:5" x14ac:dyDescent="0.25">
      <c r="A2300" s="94">
        <v>46048</v>
      </c>
      <c r="B2300" s="95">
        <v>511607.26199999999</v>
      </c>
      <c r="C2300" s="95">
        <v>4786692.1689999998</v>
      </c>
      <c r="D2300" s="95">
        <v>51.048000000000002</v>
      </c>
      <c r="E2300" s="91" t="s">
        <v>101</v>
      </c>
    </row>
    <row r="2301" spans="1:5" x14ac:dyDescent="0.25">
      <c r="A2301" s="94">
        <v>46048</v>
      </c>
      <c r="B2301" s="95">
        <v>511601.11</v>
      </c>
      <c r="C2301" s="95">
        <v>4786695.4139999999</v>
      </c>
      <c r="D2301" s="95">
        <v>51.037999999999997</v>
      </c>
      <c r="E2301" s="91" t="s">
        <v>102</v>
      </c>
    </row>
    <row r="2302" spans="1:5" x14ac:dyDescent="0.25">
      <c r="A2302" s="94">
        <v>46048</v>
      </c>
      <c r="B2302" s="95">
        <v>511615.24800000002</v>
      </c>
      <c r="C2302" s="95">
        <v>4786687.4280000003</v>
      </c>
      <c r="D2302" s="95">
        <v>48.442</v>
      </c>
      <c r="E2302" s="91" t="s">
        <v>103</v>
      </c>
    </row>
    <row r="2303" spans="1:5" x14ac:dyDescent="0.25">
      <c r="A2303" s="94">
        <v>46048</v>
      </c>
      <c r="B2303" s="95">
        <v>511615.22</v>
      </c>
      <c r="C2303" s="95">
        <v>4786687.3509999998</v>
      </c>
      <c r="D2303" s="95">
        <v>45.935000000000002</v>
      </c>
      <c r="E2303" s="91" t="s">
        <v>104</v>
      </c>
    </row>
    <row r="2304" spans="1:5" x14ac:dyDescent="0.25">
      <c r="A2304" s="94">
        <v>46048</v>
      </c>
      <c r="B2304" s="95">
        <v>511615.17300000001</v>
      </c>
      <c r="C2304" s="95">
        <v>4786687.3779999996</v>
      </c>
      <c r="D2304" s="95">
        <v>43.957000000000001</v>
      </c>
      <c r="E2304" s="91" t="s">
        <v>110</v>
      </c>
    </row>
    <row r="2305" spans="1:5" x14ac:dyDescent="0.25">
      <c r="A2305" s="94">
        <v>46048</v>
      </c>
      <c r="B2305" s="95">
        <v>511629.18</v>
      </c>
      <c r="C2305" s="95">
        <v>4786680.0590000004</v>
      </c>
      <c r="D2305" s="95">
        <v>48.460999999999999</v>
      </c>
      <c r="E2305" s="91" t="s">
        <v>105</v>
      </c>
    </row>
    <row r="2306" spans="1:5" x14ac:dyDescent="0.25">
      <c r="A2306" s="94">
        <v>46048</v>
      </c>
      <c r="B2306" s="95">
        <v>511629.30300000001</v>
      </c>
      <c r="C2306" s="95">
        <v>4786680.0219999999</v>
      </c>
      <c r="D2306" s="95">
        <v>45.942999999999998</v>
      </c>
      <c r="E2306" s="91" t="s">
        <v>106</v>
      </c>
    </row>
    <row r="2307" spans="1:5" x14ac:dyDescent="0.25">
      <c r="A2307" s="94">
        <v>46048</v>
      </c>
      <c r="B2307" s="95">
        <v>511642.277</v>
      </c>
      <c r="C2307" s="95">
        <v>4786673.1179999998</v>
      </c>
      <c r="D2307" s="95">
        <v>48.441000000000003</v>
      </c>
      <c r="E2307" s="91" t="s">
        <v>107</v>
      </c>
    </row>
    <row r="2308" spans="1:5" x14ac:dyDescent="0.25">
      <c r="A2308" s="94">
        <v>46048</v>
      </c>
      <c r="B2308" s="95">
        <v>511642.43400000001</v>
      </c>
      <c r="C2308" s="95">
        <v>4786673.0080000004</v>
      </c>
      <c r="D2308" s="95">
        <v>45.936999999999998</v>
      </c>
      <c r="E2308" s="91" t="s">
        <v>108</v>
      </c>
    </row>
    <row r="2309" spans="1:5" x14ac:dyDescent="0.25">
      <c r="A2309" s="94">
        <v>46048</v>
      </c>
      <c r="B2309" s="95">
        <v>511642.47</v>
      </c>
      <c r="C2309" s="95">
        <v>4786672.9009999996</v>
      </c>
      <c r="D2309" s="95">
        <v>43.966000000000001</v>
      </c>
      <c r="E2309" s="91" t="s">
        <v>111</v>
      </c>
    </row>
    <row r="2310" spans="1:5" x14ac:dyDescent="0.25">
      <c r="A2310" s="94">
        <v>46048</v>
      </c>
      <c r="B2310" s="95">
        <v>511649.12800000003</v>
      </c>
      <c r="C2310" s="95">
        <v>4786669.398</v>
      </c>
      <c r="D2310" s="95">
        <v>43.945999999999998</v>
      </c>
      <c r="E2310" s="91" t="s">
        <v>113</v>
      </c>
    </row>
    <row r="2311" spans="1:5" x14ac:dyDescent="0.25">
      <c r="A2311" s="94">
        <v>46048</v>
      </c>
      <c r="B2311" s="95">
        <v>511607.17499999999</v>
      </c>
      <c r="C2311" s="95">
        <v>4786690.852</v>
      </c>
      <c r="D2311" s="95">
        <v>41.311999999999998</v>
      </c>
      <c r="E2311" s="91" t="s">
        <v>139</v>
      </c>
    </row>
    <row r="2312" spans="1:5" x14ac:dyDescent="0.25">
      <c r="A2312" s="94">
        <v>46048</v>
      </c>
      <c r="B2312" s="95">
        <v>511614.978</v>
      </c>
      <c r="C2312" s="95">
        <v>4786686.6220000004</v>
      </c>
      <c r="D2312" s="95">
        <v>41.438000000000002</v>
      </c>
      <c r="E2312" s="91" t="s">
        <v>140</v>
      </c>
    </row>
    <row r="2313" spans="1:5" x14ac:dyDescent="0.25">
      <c r="A2313" s="94">
        <v>46048</v>
      </c>
      <c r="B2313" s="95">
        <v>511628.82799999998</v>
      </c>
      <c r="C2313" s="95">
        <v>4786679.1519999998</v>
      </c>
      <c r="D2313" s="95">
        <v>41.371000000000002</v>
      </c>
      <c r="E2313" s="91" t="s">
        <v>141</v>
      </c>
    </row>
    <row r="2314" spans="1:5" x14ac:dyDescent="0.25">
      <c r="A2314" s="94">
        <v>46048</v>
      </c>
      <c r="B2314" s="95">
        <v>511641.99699999997</v>
      </c>
      <c r="C2314" s="95">
        <v>4786671.95</v>
      </c>
      <c r="D2314" s="95">
        <v>41.509</v>
      </c>
      <c r="E2314" s="91" t="s">
        <v>142</v>
      </c>
    </row>
    <row r="2315" spans="1:5" x14ac:dyDescent="0.25">
      <c r="A2315" s="94">
        <v>46048</v>
      </c>
      <c r="B2315" s="95">
        <v>511648.77799999999</v>
      </c>
      <c r="C2315" s="95">
        <v>4786668.2719999999</v>
      </c>
      <c r="D2315" s="95">
        <v>41.307000000000002</v>
      </c>
      <c r="E2315" s="91" t="s">
        <v>143</v>
      </c>
    </row>
    <row r="2316" spans="1:5" x14ac:dyDescent="0.25">
      <c r="A2316" s="94">
        <v>46049</v>
      </c>
      <c r="B2316" s="95">
        <v>511615.09100000001</v>
      </c>
      <c r="C2316" s="95">
        <v>4786687.9780000001</v>
      </c>
      <c r="D2316" s="95">
        <v>51.027000000000001</v>
      </c>
      <c r="E2316" s="91" t="s">
        <v>96</v>
      </c>
    </row>
    <row r="2317" spans="1:5" x14ac:dyDescent="0.25">
      <c r="A2317" s="94">
        <v>46049</v>
      </c>
      <c r="B2317" s="95">
        <v>511628.87699999998</v>
      </c>
      <c r="C2317" s="95">
        <v>4786680.642</v>
      </c>
      <c r="D2317" s="95">
        <v>51.037999999999997</v>
      </c>
      <c r="E2317" s="91" t="s">
        <v>97</v>
      </c>
    </row>
    <row r="2318" spans="1:5" x14ac:dyDescent="0.25">
      <c r="A2318" s="94">
        <v>46049</v>
      </c>
      <c r="B2318" s="95">
        <v>511642.576</v>
      </c>
      <c r="C2318" s="95">
        <v>4786673.3439999996</v>
      </c>
      <c r="D2318" s="95">
        <v>51.046999999999997</v>
      </c>
      <c r="E2318" s="91" t="s">
        <v>98</v>
      </c>
    </row>
    <row r="2319" spans="1:5" x14ac:dyDescent="0.25">
      <c r="A2319" s="94">
        <v>46049</v>
      </c>
      <c r="B2319" s="95">
        <v>511607.69500000001</v>
      </c>
      <c r="C2319" s="95">
        <v>4786691.4170000004</v>
      </c>
      <c r="D2319" s="95">
        <v>43.942</v>
      </c>
      <c r="E2319" s="91" t="s">
        <v>112</v>
      </c>
    </row>
    <row r="2320" spans="1:5" x14ac:dyDescent="0.25">
      <c r="A2320" s="94">
        <v>46049</v>
      </c>
      <c r="B2320" s="95">
        <v>511629.41200000001</v>
      </c>
      <c r="C2320" s="95">
        <v>4786679.9050000003</v>
      </c>
      <c r="D2320" s="95">
        <v>43.945</v>
      </c>
      <c r="E2320" s="91" t="s">
        <v>109</v>
      </c>
    </row>
    <row r="2321" spans="1:5" x14ac:dyDescent="0.25">
      <c r="A2321" s="94">
        <v>46049</v>
      </c>
      <c r="B2321" s="95">
        <v>511649.69900000002</v>
      </c>
      <c r="C2321" s="95">
        <v>4786682.1560000004</v>
      </c>
      <c r="D2321" s="95">
        <v>56.183999999999997</v>
      </c>
      <c r="E2321" s="91" t="s">
        <v>89</v>
      </c>
    </row>
    <row r="2322" spans="1:5" x14ac:dyDescent="0.25">
      <c r="A2322" s="94">
        <v>46049</v>
      </c>
      <c r="B2322" s="95">
        <v>511630.75900000002</v>
      </c>
      <c r="C2322" s="95">
        <v>4786689.8569999998</v>
      </c>
      <c r="D2322" s="95">
        <v>55.947000000000003</v>
      </c>
      <c r="E2322" s="91" t="s">
        <v>90</v>
      </c>
    </row>
    <row r="2323" spans="1:5" x14ac:dyDescent="0.25">
      <c r="A2323" s="94">
        <v>46049</v>
      </c>
      <c r="B2323" s="95">
        <v>511623.43</v>
      </c>
      <c r="C2323" s="95">
        <v>4786694.0729999999</v>
      </c>
      <c r="D2323" s="95">
        <v>54.777999999999999</v>
      </c>
      <c r="E2323" s="91" t="s">
        <v>91</v>
      </c>
    </row>
    <row r="2324" spans="1:5" x14ac:dyDescent="0.25">
      <c r="A2324" s="94">
        <v>46049</v>
      </c>
      <c r="B2324" s="95">
        <v>511613.31099999999</v>
      </c>
      <c r="C2324" s="95">
        <v>4786695.3020000001</v>
      </c>
      <c r="D2324" s="95">
        <v>60.567</v>
      </c>
      <c r="E2324" s="91" t="s">
        <v>92</v>
      </c>
    </row>
    <row r="2325" spans="1:5" x14ac:dyDescent="0.25">
      <c r="A2325" s="94">
        <v>46049</v>
      </c>
      <c r="B2325" s="95">
        <v>511614.75099999999</v>
      </c>
      <c r="C2325" s="95">
        <v>4786712.557</v>
      </c>
      <c r="D2325" s="95">
        <v>60.817999999999998</v>
      </c>
      <c r="E2325" s="91" t="s">
        <v>93</v>
      </c>
    </row>
    <row r="2326" spans="1:5" x14ac:dyDescent="0.25">
      <c r="A2326" s="94">
        <v>46049</v>
      </c>
      <c r="B2326" s="95">
        <v>511660.66499999998</v>
      </c>
      <c r="C2326" s="95">
        <v>4786683.466</v>
      </c>
      <c r="D2326" s="95">
        <v>55.402000000000001</v>
      </c>
      <c r="E2326" s="91" t="s">
        <v>94</v>
      </c>
    </row>
    <row r="2327" spans="1:5" x14ac:dyDescent="0.25">
      <c r="A2327" s="94">
        <v>46049</v>
      </c>
      <c r="B2327" s="95">
        <v>511670.875</v>
      </c>
      <c r="C2327" s="95">
        <v>4786685.9179999996</v>
      </c>
      <c r="D2327" s="95">
        <v>54.817999999999998</v>
      </c>
      <c r="E2327" s="91" t="s">
        <v>95</v>
      </c>
    </row>
    <row r="2328" spans="1:5" x14ac:dyDescent="0.25">
      <c r="A2328" s="94">
        <v>46049</v>
      </c>
      <c r="B2328" s="95">
        <v>511649.788</v>
      </c>
      <c r="C2328" s="95">
        <v>4786669.4840000002</v>
      </c>
      <c r="D2328" s="95">
        <v>51.05</v>
      </c>
      <c r="E2328" s="91" t="s">
        <v>99</v>
      </c>
    </row>
    <row r="2329" spans="1:5" x14ac:dyDescent="0.25">
      <c r="A2329" s="94">
        <v>46049</v>
      </c>
      <c r="B2329" s="95">
        <v>511607.54499999998</v>
      </c>
      <c r="C2329" s="95">
        <v>4786691.9749999996</v>
      </c>
      <c r="D2329" s="95">
        <v>51.048000000000002</v>
      </c>
      <c r="E2329" s="91" t="s">
        <v>100</v>
      </c>
    </row>
    <row r="2330" spans="1:5" x14ac:dyDescent="0.25">
      <c r="A2330" s="94">
        <v>46049</v>
      </c>
      <c r="B2330" s="95">
        <v>511607.261</v>
      </c>
      <c r="C2330" s="95">
        <v>4786692.1679999996</v>
      </c>
      <c r="D2330" s="95">
        <v>51.048999999999999</v>
      </c>
      <c r="E2330" s="91" t="s">
        <v>101</v>
      </c>
    </row>
    <row r="2331" spans="1:5" x14ac:dyDescent="0.25">
      <c r="A2331" s="94">
        <v>46049</v>
      </c>
      <c r="B2331" s="95">
        <v>511601.109</v>
      </c>
      <c r="C2331" s="95">
        <v>4786695.4119999995</v>
      </c>
      <c r="D2331" s="95">
        <v>51.039000000000001</v>
      </c>
      <c r="E2331" s="91" t="s">
        <v>102</v>
      </c>
    </row>
    <row r="2332" spans="1:5" x14ac:dyDescent="0.25">
      <c r="A2332" s="94">
        <v>46049</v>
      </c>
      <c r="B2332" s="95">
        <v>511615.24699999997</v>
      </c>
      <c r="C2332" s="95">
        <v>4786687.426</v>
      </c>
      <c r="D2332" s="95">
        <v>48.444000000000003</v>
      </c>
      <c r="E2332" s="91" t="s">
        <v>103</v>
      </c>
    </row>
    <row r="2333" spans="1:5" x14ac:dyDescent="0.25">
      <c r="A2333" s="94">
        <v>46049</v>
      </c>
      <c r="B2333" s="95">
        <v>511615.21799999999</v>
      </c>
      <c r="C2333" s="95">
        <v>4786687.3490000004</v>
      </c>
      <c r="D2333" s="95">
        <v>45.936</v>
      </c>
      <c r="E2333" s="91" t="s">
        <v>104</v>
      </c>
    </row>
    <row r="2334" spans="1:5" x14ac:dyDescent="0.25">
      <c r="A2334" s="94">
        <v>46049</v>
      </c>
      <c r="B2334" s="95">
        <v>511615.17</v>
      </c>
      <c r="C2334" s="95">
        <v>4786687.3789999997</v>
      </c>
      <c r="D2334" s="95">
        <v>43.957000000000001</v>
      </c>
      <c r="E2334" s="91" t="s">
        <v>110</v>
      </c>
    </row>
    <row r="2335" spans="1:5" x14ac:dyDescent="0.25">
      <c r="A2335" s="94">
        <v>46049</v>
      </c>
      <c r="B2335" s="95">
        <v>511629.179</v>
      </c>
      <c r="C2335" s="95">
        <v>4786680.0580000002</v>
      </c>
      <c r="D2335" s="95">
        <v>48.460999999999999</v>
      </c>
      <c r="E2335" s="91" t="s">
        <v>105</v>
      </c>
    </row>
    <row r="2336" spans="1:5" x14ac:dyDescent="0.25">
      <c r="A2336" s="94">
        <v>46049</v>
      </c>
      <c r="B2336" s="95">
        <v>511629.30099999998</v>
      </c>
      <c r="C2336" s="95">
        <v>4786680.0199999996</v>
      </c>
      <c r="D2336" s="95">
        <v>45.944000000000003</v>
      </c>
      <c r="E2336" s="91" t="s">
        <v>106</v>
      </c>
    </row>
    <row r="2337" spans="1:5" x14ac:dyDescent="0.25">
      <c r="A2337" s="94">
        <v>46049</v>
      </c>
      <c r="B2337" s="95">
        <v>511642.27899999998</v>
      </c>
      <c r="C2337" s="95">
        <v>4786673.1169999996</v>
      </c>
      <c r="D2337" s="95">
        <v>48.442999999999998</v>
      </c>
      <c r="E2337" s="91" t="s">
        <v>107</v>
      </c>
    </row>
    <row r="2338" spans="1:5" x14ac:dyDescent="0.25">
      <c r="A2338" s="94">
        <v>46049</v>
      </c>
      <c r="B2338" s="95">
        <v>511642.43300000002</v>
      </c>
      <c r="C2338" s="95">
        <v>4786673.0060000001</v>
      </c>
      <c r="D2338" s="95">
        <v>45.939</v>
      </c>
      <c r="E2338" s="91" t="s">
        <v>108</v>
      </c>
    </row>
    <row r="2339" spans="1:5" x14ac:dyDescent="0.25">
      <c r="A2339" s="94">
        <v>46049</v>
      </c>
      <c r="B2339" s="95">
        <v>511642.46899999998</v>
      </c>
      <c r="C2339" s="95">
        <v>4786672.9019999998</v>
      </c>
      <c r="D2339" s="95">
        <v>43.965000000000003</v>
      </c>
      <c r="E2339" s="91" t="s">
        <v>111</v>
      </c>
    </row>
    <row r="2340" spans="1:5" x14ac:dyDescent="0.25">
      <c r="A2340" s="94">
        <v>46049</v>
      </c>
      <c r="B2340" s="95">
        <v>511649.125</v>
      </c>
      <c r="C2340" s="95">
        <v>4786669.3990000002</v>
      </c>
      <c r="D2340" s="95">
        <v>43.945</v>
      </c>
      <c r="E2340" s="91" t="s">
        <v>113</v>
      </c>
    </row>
    <row r="2341" spans="1:5" x14ac:dyDescent="0.25">
      <c r="A2341" s="94">
        <v>46049</v>
      </c>
      <c r="B2341" s="95">
        <v>511607.18</v>
      </c>
      <c r="C2341" s="95">
        <v>4786690.8490000004</v>
      </c>
      <c r="D2341" s="95">
        <v>41.311999999999998</v>
      </c>
      <c r="E2341" s="91" t="s">
        <v>139</v>
      </c>
    </row>
    <row r="2342" spans="1:5" x14ac:dyDescent="0.25">
      <c r="A2342" s="94">
        <v>46049</v>
      </c>
      <c r="B2342" s="95">
        <v>511614.98200000002</v>
      </c>
      <c r="C2342" s="95">
        <v>4786686.6169999996</v>
      </c>
      <c r="D2342" s="95">
        <v>41.439</v>
      </c>
      <c r="E2342" s="91" t="s">
        <v>140</v>
      </c>
    </row>
    <row r="2343" spans="1:5" x14ac:dyDescent="0.25">
      <c r="A2343" s="94">
        <v>46049</v>
      </c>
      <c r="B2343" s="95">
        <v>511628.83199999999</v>
      </c>
      <c r="C2343" s="95">
        <v>4786679.1469999999</v>
      </c>
      <c r="D2343" s="95">
        <v>41.371000000000002</v>
      </c>
      <c r="E2343" s="91" t="s">
        <v>141</v>
      </c>
    </row>
    <row r="2344" spans="1:5" x14ac:dyDescent="0.25">
      <c r="A2344" s="94">
        <v>46049</v>
      </c>
      <c r="B2344" s="95">
        <v>511641.99900000001</v>
      </c>
      <c r="C2344" s="95">
        <v>4786671.9450000003</v>
      </c>
      <c r="D2344" s="95">
        <v>41.51</v>
      </c>
      <c r="E2344" s="91" t="s">
        <v>142</v>
      </c>
    </row>
    <row r="2345" spans="1:5" x14ac:dyDescent="0.25">
      <c r="A2345" s="94">
        <v>46049</v>
      </c>
      <c r="B2345" s="95">
        <v>511648.78100000002</v>
      </c>
      <c r="C2345" s="95">
        <v>4786668.2659999998</v>
      </c>
      <c r="D2345" s="95">
        <v>41.307000000000002</v>
      </c>
      <c r="E2345" s="91" t="s">
        <v>143</v>
      </c>
    </row>
    <row r="2346" spans="1:5" x14ac:dyDescent="0.25">
      <c r="A2346" s="94">
        <v>46050</v>
      </c>
      <c r="B2346" s="95">
        <v>511615.092</v>
      </c>
      <c r="C2346" s="95">
        <v>4786687.9809999997</v>
      </c>
      <c r="D2346" s="95">
        <v>51.024999999999999</v>
      </c>
      <c r="E2346" s="91" t="s">
        <v>96</v>
      </c>
    </row>
    <row r="2347" spans="1:5" x14ac:dyDescent="0.25">
      <c r="A2347" s="94">
        <v>46050</v>
      </c>
      <c r="B2347" s="95">
        <v>511628.87699999998</v>
      </c>
      <c r="C2347" s="95">
        <v>4786680.6430000002</v>
      </c>
      <c r="D2347" s="95">
        <v>51.036000000000001</v>
      </c>
      <c r="E2347" s="91" t="s">
        <v>97</v>
      </c>
    </row>
    <row r="2348" spans="1:5" x14ac:dyDescent="0.25">
      <c r="A2348" s="94">
        <v>46050</v>
      </c>
      <c r="B2348" s="95">
        <v>511642.57799999998</v>
      </c>
      <c r="C2348" s="95">
        <v>4786673.3459999999</v>
      </c>
      <c r="D2348" s="95">
        <v>51.043999999999997</v>
      </c>
      <c r="E2348" s="91" t="s">
        <v>98</v>
      </c>
    </row>
    <row r="2349" spans="1:5" x14ac:dyDescent="0.25">
      <c r="A2349" s="94">
        <v>46050</v>
      </c>
      <c r="B2349" s="95">
        <v>511607.69300000003</v>
      </c>
      <c r="C2349" s="95">
        <v>4786691.4179999996</v>
      </c>
      <c r="D2349" s="95">
        <v>43.942</v>
      </c>
      <c r="E2349" s="91" t="s">
        <v>112</v>
      </c>
    </row>
    <row r="2350" spans="1:5" x14ac:dyDescent="0.25">
      <c r="A2350" s="94">
        <v>46050</v>
      </c>
      <c r="B2350" s="95">
        <v>511629.41</v>
      </c>
      <c r="C2350" s="95">
        <v>4786679.9079999998</v>
      </c>
      <c r="D2350" s="95">
        <v>43.944000000000003</v>
      </c>
      <c r="E2350" s="91" t="s">
        <v>109</v>
      </c>
    </row>
    <row r="2351" spans="1:5" x14ac:dyDescent="0.25">
      <c r="A2351" s="94">
        <v>46050</v>
      </c>
      <c r="B2351" s="95">
        <v>511649.7</v>
      </c>
      <c r="C2351" s="95">
        <v>4786682.1579999998</v>
      </c>
      <c r="D2351" s="95">
        <v>56.183</v>
      </c>
      <c r="E2351" s="91" t="s">
        <v>89</v>
      </c>
    </row>
    <row r="2352" spans="1:5" x14ac:dyDescent="0.25">
      <c r="A2352" s="94">
        <v>46050</v>
      </c>
      <c r="B2352" s="95">
        <v>511630.76</v>
      </c>
      <c r="C2352" s="95">
        <v>4786689.8590000002</v>
      </c>
      <c r="D2352" s="95">
        <v>55.944000000000003</v>
      </c>
      <c r="E2352" s="91" t="s">
        <v>90</v>
      </c>
    </row>
    <row r="2353" spans="1:5" x14ac:dyDescent="0.25">
      <c r="A2353" s="94">
        <v>46050</v>
      </c>
      <c r="B2353" s="95">
        <v>511623.43</v>
      </c>
      <c r="C2353" s="95">
        <v>4786694.0750000002</v>
      </c>
      <c r="D2353" s="95">
        <v>54.777000000000001</v>
      </c>
      <c r="E2353" s="91" t="s">
        <v>91</v>
      </c>
    </row>
    <row r="2354" spans="1:5" x14ac:dyDescent="0.25">
      <c r="A2354" s="94">
        <v>46050</v>
      </c>
      <c r="B2354" s="95">
        <v>511613.31300000002</v>
      </c>
      <c r="C2354" s="95">
        <v>4786695.3049999997</v>
      </c>
      <c r="D2354" s="95">
        <v>60.566000000000003</v>
      </c>
      <c r="E2354" s="91" t="s">
        <v>92</v>
      </c>
    </row>
    <row r="2355" spans="1:5" x14ac:dyDescent="0.25">
      <c r="A2355" s="94">
        <v>46050</v>
      </c>
      <c r="B2355" s="95">
        <v>511614.75099999999</v>
      </c>
      <c r="C2355" s="95">
        <v>4786712.5580000002</v>
      </c>
      <c r="D2355" s="95">
        <v>60.817</v>
      </c>
      <c r="E2355" s="91" t="s">
        <v>93</v>
      </c>
    </row>
    <row r="2356" spans="1:5" x14ac:dyDescent="0.25">
      <c r="A2356" s="94">
        <v>46050</v>
      </c>
      <c r="B2356" s="95">
        <v>511660.66399999999</v>
      </c>
      <c r="C2356" s="95">
        <v>4786683.4680000003</v>
      </c>
      <c r="D2356" s="95">
        <v>55.4</v>
      </c>
      <c r="E2356" s="91" t="s">
        <v>94</v>
      </c>
    </row>
    <row r="2357" spans="1:5" x14ac:dyDescent="0.25">
      <c r="A2357" s="94">
        <v>46050</v>
      </c>
      <c r="B2357" s="95">
        <v>511670.87300000002</v>
      </c>
      <c r="C2357" s="95">
        <v>4786685.92</v>
      </c>
      <c r="D2357" s="95">
        <v>54.814999999999998</v>
      </c>
      <c r="E2357" s="91" t="s">
        <v>95</v>
      </c>
    </row>
    <row r="2358" spans="1:5" x14ac:dyDescent="0.25">
      <c r="A2358" s="94">
        <v>46050</v>
      </c>
      <c r="B2358" s="95">
        <v>511649.79</v>
      </c>
      <c r="C2358" s="95">
        <v>4786669.4859999996</v>
      </c>
      <c r="D2358" s="95">
        <v>51.048000000000002</v>
      </c>
      <c r="E2358" s="91" t="s">
        <v>99</v>
      </c>
    </row>
    <row r="2359" spans="1:5" x14ac:dyDescent="0.25">
      <c r="A2359" s="94">
        <v>46050</v>
      </c>
      <c r="B2359" s="95">
        <v>511607.54599999997</v>
      </c>
      <c r="C2359" s="95">
        <v>4786691.977</v>
      </c>
      <c r="D2359" s="95">
        <v>51.046999999999997</v>
      </c>
      <c r="E2359" s="91" t="s">
        <v>100</v>
      </c>
    </row>
    <row r="2360" spans="1:5" x14ac:dyDescent="0.25">
      <c r="A2360" s="94">
        <v>46050</v>
      </c>
      <c r="B2360" s="95">
        <v>511607.26199999999</v>
      </c>
      <c r="C2360" s="95">
        <v>4786692.17</v>
      </c>
      <c r="D2360" s="95">
        <v>51.046999999999997</v>
      </c>
      <c r="E2360" s="91" t="s">
        <v>101</v>
      </c>
    </row>
    <row r="2361" spans="1:5" x14ac:dyDescent="0.25">
      <c r="A2361" s="94">
        <v>46050</v>
      </c>
      <c r="B2361" s="95">
        <v>511601.109</v>
      </c>
      <c r="C2361" s="95">
        <v>4786695.4139999999</v>
      </c>
      <c r="D2361" s="95">
        <v>51.037999999999997</v>
      </c>
      <c r="E2361" s="91" t="s">
        <v>102</v>
      </c>
    </row>
    <row r="2362" spans="1:5" x14ac:dyDescent="0.25">
      <c r="A2362" s="94">
        <v>46050</v>
      </c>
      <c r="B2362" s="95">
        <v>511615.24800000002</v>
      </c>
      <c r="C2362" s="95">
        <v>4786687.4289999995</v>
      </c>
      <c r="D2362" s="95">
        <v>48.441000000000003</v>
      </c>
      <c r="E2362" s="91" t="s">
        <v>103</v>
      </c>
    </row>
    <row r="2363" spans="1:5" x14ac:dyDescent="0.25">
      <c r="A2363" s="94">
        <v>46050</v>
      </c>
      <c r="B2363" s="95">
        <v>511615.21899999998</v>
      </c>
      <c r="C2363" s="95">
        <v>4786687.3509999998</v>
      </c>
      <c r="D2363" s="95">
        <v>45.933999999999997</v>
      </c>
      <c r="E2363" s="91" t="s">
        <v>104</v>
      </c>
    </row>
    <row r="2364" spans="1:5" x14ac:dyDescent="0.25">
      <c r="A2364" s="94">
        <v>46050</v>
      </c>
      <c r="B2364" s="95">
        <v>511615.16899999999</v>
      </c>
      <c r="C2364" s="95">
        <v>4786687.3830000004</v>
      </c>
      <c r="D2364" s="95">
        <v>43.957000000000001</v>
      </c>
      <c r="E2364" s="91" t="s">
        <v>110</v>
      </c>
    </row>
    <row r="2365" spans="1:5" x14ac:dyDescent="0.25">
      <c r="A2365" s="94">
        <v>46050</v>
      </c>
      <c r="B2365" s="95">
        <v>511629.18</v>
      </c>
      <c r="C2365" s="95">
        <v>4786680.0599999996</v>
      </c>
      <c r="D2365" s="95">
        <v>48.46</v>
      </c>
      <c r="E2365" s="91" t="s">
        <v>105</v>
      </c>
    </row>
    <row r="2366" spans="1:5" x14ac:dyDescent="0.25">
      <c r="A2366" s="94">
        <v>46050</v>
      </c>
      <c r="B2366" s="95">
        <v>511629.30300000001</v>
      </c>
      <c r="C2366" s="95">
        <v>4786680.0219999999</v>
      </c>
      <c r="D2366" s="95">
        <v>45.942</v>
      </c>
      <c r="E2366" s="91" t="s">
        <v>106</v>
      </c>
    </row>
    <row r="2367" spans="1:5" x14ac:dyDescent="0.25">
      <c r="A2367" s="94">
        <v>46050</v>
      </c>
      <c r="B2367" s="95">
        <v>511642.277</v>
      </c>
      <c r="C2367" s="95">
        <v>4786673.1189999999</v>
      </c>
      <c r="D2367" s="95">
        <v>48.44</v>
      </c>
      <c r="E2367" s="91" t="s">
        <v>107</v>
      </c>
    </row>
    <row r="2368" spans="1:5" x14ac:dyDescent="0.25">
      <c r="A2368" s="94">
        <v>46050</v>
      </c>
      <c r="B2368" s="95">
        <v>511642.43300000002</v>
      </c>
      <c r="C2368" s="95">
        <v>4786673.0089999996</v>
      </c>
      <c r="D2368" s="95">
        <v>45.936</v>
      </c>
      <c r="E2368" s="91" t="s">
        <v>108</v>
      </c>
    </row>
    <row r="2369" spans="1:5" x14ac:dyDescent="0.25">
      <c r="A2369" s="94">
        <v>46050</v>
      </c>
      <c r="B2369" s="95">
        <v>511642.467</v>
      </c>
      <c r="C2369" s="95">
        <v>4786672.9050000003</v>
      </c>
      <c r="D2369" s="95">
        <v>43.965000000000003</v>
      </c>
      <c r="E2369" s="91" t="s">
        <v>111</v>
      </c>
    </row>
    <row r="2370" spans="1:5" x14ac:dyDescent="0.25">
      <c r="A2370" s="94">
        <v>46050</v>
      </c>
      <c r="B2370" s="95">
        <v>511649.12400000001</v>
      </c>
      <c r="C2370" s="95">
        <v>4786669.4019999998</v>
      </c>
      <c r="D2370" s="95">
        <v>43.945</v>
      </c>
      <c r="E2370" s="91" t="s">
        <v>113</v>
      </c>
    </row>
    <row r="2371" spans="1:5" x14ac:dyDescent="0.25">
      <c r="A2371" s="94">
        <v>46050</v>
      </c>
      <c r="B2371" s="95">
        <v>511607.17800000001</v>
      </c>
      <c r="C2371" s="95">
        <v>4786690.852</v>
      </c>
      <c r="D2371" s="95">
        <v>41.311999999999998</v>
      </c>
      <c r="E2371" s="91" t="s">
        <v>139</v>
      </c>
    </row>
    <row r="2372" spans="1:5" x14ac:dyDescent="0.25">
      <c r="A2372" s="94">
        <v>46050</v>
      </c>
      <c r="B2372" s="95">
        <v>511614.98</v>
      </c>
      <c r="C2372" s="95">
        <v>4786686.6210000003</v>
      </c>
      <c r="D2372" s="95">
        <v>41.438000000000002</v>
      </c>
      <c r="E2372" s="91" t="s">
        <v>140</v>
      </c>
    </row>
    <row r="2373" spans="1:5" x14ac:dyDescent="0.25">
      <c r="A2373" s="94">
        <v>46050</v>
      </c>
      <c r="B2373" s="95">
        <v>511628.83100000001</v>
      </c>
      <c r="C2373" s="95">
        <v>4786679.1500000004</v>
      </c>
      <c r="D2373" s="95">
        <v>41.372</v>
      </c>
      <c r="E2373" s="91" t="s">
        <v>141</v>
      </c>
    </row>
    <row r="2374" spans="1:5" x14ac:dyDescent="0.25">
      <c r="A2374" s="94">
        <v>46050</v>
      </c>
      <c r="B2374" s="95">
        <v>511641.99800000002</v>
      </c>
      <c r="C2374" s="95">
        <v>4786671.9479999999</v>
      </c>
      <c r="D2374" s="95">
        <v>41.509</v>
      </c>
      <c r="E2374" s="91" t="s">
        <v>142</v>
      </c>
    </row>
    <row r="2375" spans="1:5" x14ac:dyDescent="0.25">
      <c r="A2375" s="94">
        <v>46050</v>
      </c>
      <c r="B2375" s="95">
        <v>511648.78</v>
      </c>
      <c r="C2375" s="95">
        <v>4786668.2699999996</v>
      </c>
      <c r="D2375" s="95">
        <v>41.307000000000002</v>
      </c>
      <c r="E2375" s="91" t="s">
        <v>143</v>
      </c>
    </row>
    <row r="2376" spans="1:5" x14ac:dyDescent="0.25">
      <c r="A2376" s="94">
        <v>46051</v>
      </c>
      <c r="B2376" s="95">
        <v>511615.09299999999</v>
      </c>
      <c r="C2376" s="95">
        <v>4786687.9800000004</v>
      </c>
      <c r="D2376" s="95">
        <v>51.024999999999999</v>
      </c>
      <c r="E2376" s="91" t="s">
        <v>96</v>
      </c>
    </row>
    <row r="2377" spans="1:5" x14ac:dyDescent="0.25">
      <c r="A2377" s="94">
        <v>46051</v>
      </c>
      <c r="B2377" s="95">
        <v>511628.87800000003</v>
      </c>
      <c r="C2377" s="95">
        <v>4786680.6430000002</v>
      </c>
      <c r="D2377" s="95">
        <v>51.036000000000001</v>
      </c>
      <c r="E2377" s="91" t="s">
        <v>97</v>
      </c>
    </row>
    <row r="2378" spans="1:5" x14ac:dyDescent="0.25">
      <c r="A2378" s="94">
        <v>46051</v>
      </c>
      <c r="B2378" s="95">
        <v>511642.57799999998</v>
      </c>
      <c r="C2378" s="95">
        <v>4786673.3449999997</v>
      </c>
      <c r="D2378" s="95">
        <v>51.045000000000002</v>
      </c>
      <c r="E2378" s="91" t="s">
        <v>98</v>
      </c>
    </row>
    <row r="2379" spans="1:5" x14ac:dyDescent="0.25">
      <c r="A2379" s="94">
        <v>46051</v>
      </c>
      <c r="B2379" s="95">
        <v>511607.69400000002</v>
      </c>
      <c r="C2379" s="95">
        <v>4786691.4210000001</v>
      </c>
      <c r="D2379" s="95">
        <v>43.942</v>
      </c>
      <c r="E2379" s="91" t="s">
        <v>112</v>
      </c>
    </row>
    <row r="2380" spans="1:5" x14ac:dyDescent="0.25">
      <c r="A2380" s="94">
        <v>46051</v>
      </c>
      <c r="B2380" s="95">
        <v>511629.41</v>
      </c>
      <c r="C2380" s="95">
        <v>4786679.9079999998</v>
      </c>
      <c r="D2380" s="95">
        <v>43.944000000000003</v>
      </c>
      <c r="E2380" s="91" t="s">
        <v>109</v>
      </c>
    </row>
    <row r="2381" spans="1:5" x14ac:dyDescent="0.25">
      <c r="A2381" s="94">
        <v>46051</v>
      </c>
      <c r="B2381" s="95">
        <v>511649.7</v>
      </c>
      <c r="C2381" s="95">
        <v>4786682.1569999997</v>
      </c>
      <c r="D2381" s="95">
        <v>56.183999999999997</v>
      </c>
      <c r="E2381" s="91" t="s">
        <v>89</v>
      </c>
    </row>
    <row r="2382" spans="1:5" x14ac:dyDescent="0.25">
      <c r="A2382" s="94">
        <v>46051</v>
      </c>
      <c r="B2382" s="95">
        <v>511630.76</v>
      </c>
      <c r="C2382" s="95">
        <v>4786689.8590000002</v>
      </c>
      <c r="D2382" s="95">
        <v>55.945</v>
      </c>
      <c r="E2382" s="91" t="s">
        <v>90</v>
      </c>
    </row>
    <row r="2383" spans="1:5" x14ac:dyDescent="0.25">
      <c r="A2383" s="94">
        <v>46051</v>
      </c>
      <c r="B2383" s="95">
        <v>511623.43199999997</v>
      </c>
      <c r="C2383" s="95">
        <v>4786694.074</v>
      </c>
      <c r="D2383" s="95">
        <v>54.777000000000001</v>
      </c>
      <c r="E2383" s="91" t="s">
        <v>91</v>
      </c>
    </row>
    <row r="2384" spans="1:5" x14ac:dyDescent="0.25">
      <c r="A2384" s="94">
        <v>46051</v>
      </c>
      <c r="B2384" s="95">
        <v>511613.31199999998</v>
      </c>
      <c r="C2384" s="95">
        <v>4786695.3039999995</v>
      </c>
      <c r="D2384" s="95">
        <v>60.566000000000003</v>
      </c>
      <c r="E2384" s="91" t="s">
        <v>92</v>
      </c>
    </row>
    <row r="2385" spans="1:5" x14ac:dyDescent="0.25">
      <c r="A2385" s="94">
        <v>46051</v>
      </c>
      <c r="B2385" s="95">
        <v>511614.75099999999</v>
      </c>
      <c r="C2385" s="95">
        <v>4786712.5580000002</v>
      </c>
      <c r="D2385" s="95">
        <v>60.817</v>
      </c>
      <c r="E2385" s="91" t="s">
        <v>93</v>
      </c>
    </row>
    <row r="2386" spans="1:5" x14ac:dyDescent="0.25">
      <c r="A2386" s="94">
        <v>46051</v>
      </c>
      <c r="B2386" s="95">
        <v>511660.663</v>
      </c>
      <c r="C2386" s="95">
        <v>4786683.4670000002</v>
      </c>
      <c r="D2386" s="95">
        <v>55.401000000000003</v>
      </c>
      <c r="E2386" s="91" t="s">
        <v>94</v>
      </c>
    </row>
    <row r="2387" spans="1:5" x14ac:dyDescent="0.25">
      <c r="A2387" s="94">
        <v>46051</v>
      </c>
      <c r="B2387" s="95">
        <v>511670.87400000001</v>
      </c>
      <c r="C2387" s="95">
        <v>4786685.9179999996</v>
      </c>
      <c r="D2387" s="95">
        <v>54.817</v>
      </c>
      <c r="E2387" s="91" t="s">
        <v>95</v>
      </c>
    </row>
    <row r="2388" spans="1:5" x14ac:dyDescent="0.25">
      <c r="A2388" s="94">
        <v>46051</v>
      </c>
      <c r="B2388" s="95">
        <v>511649.79</v>
      </c>
      <c r="C2388" s="95">
        <v>4786669.4850000003</v>
      </c>
      <c r="D2388" s="95">
        <v>51.048000000000002</v>
      </c>
      <c r="E2388" s="91" t="s">
        <v>99</v>
      </c>
    </row>
    <row r="2389" spans="1:5" x14ac:dyDescent="0.25">
      <c r="A2389" s="94">
        <v>46051</v>
      </c>
      <c r="B2389" s="95">
        <v>511607.54599999997</v>
      </c>
      <c r="C2389" s="95">
        <v>4786691.9759999998</v>
      </c>
      <c r="D2389" s="95">
        <v>51.046999999999997</v>
      </c>
      <c r="E2389" s="91" t="s">
        <v>100</v>
      </c>
    </row>
    <row r="2390" spans="1:5" x14ac:dyDescent="0.25">
      <c r="A2390" s="94">
        <v>46051</v>
      </c>
      <c r="B2390" s="95">
        <v>511607.26199999999</v>
      </c>
      <c r="C2390" s="95">
        <v>4786692.1689999998</v>
      </c>
      <c r="D2390" s="95">
        <v>51.048000000000002</v>
      </c>
      <c r="E2390" s="91" t="s">
        <v>101</v>
      </c>
    </row>
    <row r="2391" spans="1:5" x14ac:dyDescent="0.25">
      <c r="A2391" s="94">
        <v>46051</v>
      </c>
      <c r="B2391" s="95">
        <v>511601.11</v>
      </c>
      <c r="C2391" s="95">
        <v>4786695.4139999999</v>
      </c>
      <c r="D2391" s="95">
        <v>51.037999999999997</v>
      </c>
      <c r="E2391" s="91" t="s">
        <v>102</v>
      </c>
    </row>
    <row r="2392" spans="1:5" x14ac:dyDescent="0.25">
      <c r="A2392" s="94">
        <v>46051</v>
      </c>
      <c r="B2392" s="95">
        <v>511615.24699999997</v>
      </c>
      <c r="C2392" s="95">
        <v>4786687.4280000003</v>
      </c>
      <c r="D2392" s="95">
        <v>48.442</v>
      </c>
      <c r="E2392" s="91" t="s">
        <v>103</v>
      </c>
    </row>
    <row r="2393" spans="1:5" x14ac:dyDescent="0.25">
      <c r="A2393" s="94">
        <v>46051</v>
      </c>
      <c r="B2393" s="95">
        <v>511615.22</v>
      </c>
      <c r="C2393" s="95">
        <v>4786687.3509999998</v>
      </c>
      <c r="D2393" s="95">
        <v>45.935000000000002</v>
      </c>
      <c r="E2393" s="91" t="s">
        <v>104</v>
      </c>
    </row>
    <row r="2394" spans="1:5" x14ac:dyDescent="0.25">
      <c r="A2394" s="94">
        <v>46051</v>
      </c>
      <c r="B2394" s="95">
        <v>511615.16899999999</v>
      </c>
      <c r="C2394" s="95">
        <v>4786687.3820000002</v>
      </c>
      <c r="D2394" s="95">
        <v>43.957000000000001</v>
      </c>
      <c r="E2394" s="91" t="s">
        <v>110</v>
      </c>
    </row>
    <row r="2395" spans="1:5" x14ac:dyDescent="0.25">
      <c r="A2395" s="94">
        <v>46051</v>
      </c>
      <c r="B2395" s="95">
        <v>511629.18</v>
      </c>
      <c r="C2395" s="95">
        <v>4786680.0590000004</v>
      </c>
      <c r="D2395" s="95">
        <v>48.46</v>
      </c>
      <c r="E2395" s="91" t="s">
        <v>105</v>
      </c>
    </row>
    <row r="2396" spans="1:5" x14ac:dyDescent="0.25">
      <c r="A2396" s="94">
        <v>46051</v>
      </c>
      <c r="B2396" s="95">
        <v>511629.304</v>
      </c>
      <c r="C2396" s="95">
        <v>4786680.0219999999</v>
      </c>
      <c r="D2396" s="95">
        <v>45.942999999999998</v>
      </c>
      <c r="E2396" s="91" t="s">
        <v>106</v>
      </c>
    </row>
    <row r="2397" spans="1:5" x14ac:dyDescent="0.25">
      <c r="A2397" s="94">
        <v>46051</v>
      </c>
      <c r="B2397" s="95">
        <v>511642.28</v>
      </c>
      <c r="C2397" s="95">
        <v>4786673.1179999998</v>
      </c>
      <c r="D2397" s="95">
        <v>48.441000000000003</v>
      </c>
      <c r="E2397" s="91" t="s">
        <v>107</v>
      </c>
    </row>
    <row r="2398" spans="1:5" x14ac:dyDescent="0.25">
      <c r="A2398" s="94">
        <v>46051</v>
      </c>
      <c r="B2398" s="95">
        <v>511642.43300000002</v>
      </c>
      <c r="C2398" s="95">
        <v>4786673.0070000002</v>
      </c>
      <c r="D2398" s="95">
        <v>45.936999999999998</v>
      </c>
      <c r="E2398" s="91" t="s">
        <v>108</v>
      </c>
    </row>
    <row r="2399" spans="1:5" x14ac:dyDescent="0.25">
      <c r="A2399" s="94">
        <v>46051</v>
      </c>
      <c r="B2399" s="95">
        <v>511642.46600000001</v>
      </c>
      <c r="C2399" s="95">
        <v>4786672.9050000003</v>
      </c>
      <c r="D2399" s="95">
        <v>43.965000000000003</v>
      </c>
      <c r="E2399" s="91" t="s">
        <v>111</v>
      </c>
    </row>
    <row r="2400" spans="1:5" x14ac:dyDescent="0.25">
      <c r="A2400" s="94">
        <v>46051</v>
      </c>
      <c r="B2400" s="95">
        <v>511649.125</v>
      </c>
      <c r="C2400" s="95">
        <v>4786669.4029999999</v>
      </c>
      <c r="D2400" s="95">
        <v>43.945999999999998</v>
      </c>
      <c r="E2400" s="91" t="s">
        <v>113</v>
      </c>
    </row>
    <row r="2401" spans="1:5" x14ac:dyDescent="0.25">
      <c r="A2401" s="94">
        <v>46051</v>
      </c>
      <c r="B2401" s="95">
        <v>511607.17800000001</v>
      </c>
      <c r="C2401" s="95">
        <v>4786690.852</v>
      </c>
      <c r="D2401" s="95">
        <v>41.311999999999998</v>
      </c>
      <c r="E2401" s="91" t="s">
        <v>139</v>
      </c>
    </row>
    <row r="2402" spans="1:5" x14ac:dyDescent="0.25">
      <c r="A2402" s="94">
        <v>46051</v>
      </c>
      <c r="B2402" s="95">
        <v>511614.98</v>
      </c>
      <c r="C2402" s="95">
        <v>4786686.62</v>
      </c>
      <c r="D2402" s="95">
        <v>41.439</v>
      </c>
      <c r="E2402" s="91" t="s">
        <v>140</v>
      </c>
    </row>
    <row r="2403" spans="1:5" x14ac:dyDescent="0.25">
      <c r="A2403" s="94">
        <v>46051</v>
      </c>
      <c r="B2403" s="95">
        <v>511628.83100000001</v>
      </c>
      <c r="C2403" s="95">
        <v>4786679.1500000004</v>
      </c>
      <c r="D2403" s="95">
        <v>41.371000000000002</v>
      </c>
      <c r="E2403" s="91" t="s">
        <v>141</v>
      </c>
    </row>
    <row r="2404" spans="1:5" x14ac:dyDescent="0.25">
      <c r="A2404" s="94">
        <v>46051</v>
      </c>
      <c r="B2404" s="95">
        <v>511641.99900000001</v>
      </c>
      <c r="C2404" s="95">
        <v>4786671.949</v>
      </c>
      <c r="D2404" s="95">
        <v>41.509</v>
      </c>
      <c r="E2404" s="91" t="s">
        <v>142</v>
      </c>
    </row>
    <row r="2405" spans="1:5" x14ac:dyDescent="0.25">
      <c r="A2405" s="94">
        <v>46051</v>
      </c>
      <c r="B2405" s="95">
        <v>511648.78</v>
      </c>
      <c r="C2405" s="95">
        <v>4786668.2699999996</v>
      </c>
      <c r="D2405" s="95">
        <v>41.307000000000002</v>
      </c>
      <c r="E2405" s="91" t="s">
        <v>143</v>
      </c>
    </row>
    <row r="2406" spans="1:5" x14ac:dyDescent="0.25">
      <c r="A2406" s="94">
        <v>46052</v>
      </c>
      <c r="B2406" s="95">
        <v>511615.09100000001</v>
      </c>
      <c r="C2406" s="95">
        <v>4786687.9800000004</v>
      </c>
      <c r="D2406" s="95">
        <v>51.026000000000003</v>
      </c>
      <c r="E2406" s="91" t="s">
        <v>96</v>
      </c>
    </row>
    <row r="2407" spans="1:5" x14ac:dyDescent="0.25">
      <c r="A2407" s="94">
        <v>46052</v>
      </c>
      <c r="B2407" s="95">
        <v>511628.87699999998</v>
      </c>
      <c r="C2407" s="95">
        <v>4786680.6430000002</v>
      </c>
      <c r="D2407" s="95">
        <v>51.036999999999999</v>
      </c>
      <c r="E2407" s="91" t="s">
        <v>97</v>
      </c>
    </row>
    <row r="2408" spans="1:5" x14ac:dyDescent="0.25">
      <c r="A2408" s="94">
        <v>46052</v>
      </c>
      <c r="B2408" s="95">
        <v>511642.57500000001</v>
      </c>
      <c r="C2408" s="95">
        <v>4786673.3449999997</v>
      </c>
      <c r="D2408" s="95">
        <v>51.045000000000002</v>
      </c>
      <c r="E2408" s="91" t="s">
        <v>98</v>
      </c>
    </row>
    <row r="2409" spans="1:5" x14ac:dyDescent="0.25">
      <c r="A2409" s="94">
        <v>46052</v>
      </c>
      <c r="B2409" s="95">
        <v>511607.69799999997</v>
      </c>
      <c r="C2409" s="95">
        <v>4786691.4170000004</v>
      </c>
      <c r="D2409" s="95">
        <v>43.941000000000003</v>
      </c>
      <c r="E2409" s="91" t="s">
        <v>112</v>
      </c>
    </row>
    <row r="2410" spans="1:5" x14ac:dyDescent="0.25">
      <c r="A2410" s="94">
        <v>46052</v>
      </c>
      <c r="B2410" s="95">
        <v>511629.41600000003</v>
      </c>
      <c r="C2410" s="95">
        <v>4786679.9050000003</v>
      </c>
      <c r="D2410" s="95">
        <v>43.944000000000003</v>
      </c>
      <c r="E2410" s="91" t="s">
        <v>109</v>
      </c>
    </row>
    <row r="2411" spans="1:5" x14ac:dyDescent="0.25">
      <c r="A2411" s="94">
        <v>46052</v>
      </c>
      <c r="B2411" s="95">
        <v>511649.7</v>
      </c>
      <c r="C2411" s="95">
        <v>4786682.1579999998</v>
      </c>
      <c r="D2411" s="95">
        <v>56.185000000000002</v>
      </c>
      <c r="E2411" s="91" t="s">
        <v>89</v>
      </c>
    </row>
    <row r="2412" spans="1:5" x14ac:dyDescent="0.25">
      <c r="A2412" s="94">
        <v>46052</v>
      </c>
      <c r="B2412" s="95">
        <v>511630.75799999997</v>
      </c>
      <c r="C2412" s="95">
        <v>4786689.8590000002</v>
      </c>
      <c r="D2412" s="95">
        <v>55.945</v>
      </c>
      <c r="E2412" s="91" t="s">
        <v>90</v>
      </c>
    </row>
    <row r="2413" spans="1:5" x14ac:dyDescent="0.25">
      <c r="A2413" s="94">
        <v>46052</v>
      </c>
      <c r="B2413" s="95">
        <v>511623.43099999998</v>
      </c>
      <c r="C2413" s="95">
        <v>4786694.0750000002</v>
      </c>
      <c r="D2413" s="95">
        <v>54.777000000000001</v>
      </c>
      <c r="E2413" s="91" t="s">
        <v>91</v>
      </c>
    </row>
    <row r="2414" spans="1:5" x14ac:dyDescent="0.25">
      <c r="A2414" s="94">
        <v>46052</v>
      </c>
      <c r="B2414" s="95">
        <v>511613.31199999998</v>
      </c>
      <c r="C2414" s="95">
        <v>4786695.3039999995</v>
      </c>
      <c r="D2414" s="95">
        <v>60.566000000000003</v>
      </c>
      <c r="E2414" s="91" t="s">
        <v>92</v>
      </c>
    </row>
    <row r="2415" spans="1:5" x14ac:dyDescent="0.25">
      <c r="A2415" s="94">
        <v>46052</v>
      </c>
      <c r="B2415" s="95">
        <v>511614.74900000001</v>
      </c>
      <c r="C2415" s="95">
        <v>4786712.557</v>
      </c>
      <c r="D2415" s="95">
        <v>60.817</v>
      </c>
      <c r="E2415" s="91" t="s">
        <v>93</v>
      </c>
    </row>
    <row r="2416" spans="1:5" x14ac:dyDescent="0.25">
      <c r="A2416" s="94">
        <v>46052</v>
      </c>
      <c r="B2416" s="95">
        <v>511660.66499999998</v>
      </c>
      <c r="C2416" s="95">
        <v>4786683.4680000003</v>
      </c>
      <c r="D2416" s="95">
        <v>55.401000000000003</v>
      </c>
      <c r="E2416" s="91" t="s">
        <v>94</v>
      </c>
    </row>
    <row r="2417" spans="1:5" x14ac:dyDescent="0.25">
      <c r="A2417" s="94">
        <v>46052</v>
      </c>
      <c r="B2417" s="95">
        <v>511670.87400000001</v>
      </c>
      <c r="C2417" s="95">
        <v>4786685.92</v>
      </c>
      <c r="D2417" s="95">
        <v>54.817</v>
      </c>
      <c r="E2417" s="91" t="s">
        <v>95</v>
      </c>
    </row>
    <row r="2418" spans="1:5" x14ac:dyDescent="0.25">
      <c r="A2418" s="94">
        <v>46052</v>
      </c>
      <c r="B2418" s="95">
        <v>511649.788</v>
      </c>
      <c r="C2418" s="95">
        <v>4786669.4850000003</v>
      </c>
      <c r="D2418" s="95">
        <v>51.048000000000002</v>
      </c>
      <c r="E2418" s="91" t="s">
        <v>99</v>
      </c>
    </row>
    <row r="2419" spans="1:5" x14ac:dyDescent="0.25">
      <c r="A2419" s="94">
        <v>46052</v>
      </c>
      <c r="B2419" s="95">
        <v>511607.54599999997</v>
      </c>
      <c r="C2419" s="95">
        <v>4786691.9759999998</v>
      </c>
      <c r="D2419" s="95">
        <v>51.046999999999997</v>
      </c>
      <c r="E2419" s="91" t="s">
        <v>100</v>
      </c>
    </row>
    <row r="2420" spans="1:5" x14ac:dyDescent="0.25">
      <c r="A2420" s="94">
        <v>46052</v>
      </c>
      <c r="B2420" s="95">
        <v>511607.261</v>
      </c>
      <c r="C2420" s="95">
        <v>4786692.1689999998</v>
      </c>
      <c r="D2420" s="95">
        <v>51.048000000000002</v>
      </c>
      <c r="E2420" s="91" t="s">
        <v>101</v>
      </c>
    </row>
    <row r="2421" spans="1:5" x14ac:dyDescent="0.25">
      <c r="A2421" s="94">
        <v>46052</v>
      </c>
      <c r="B2421" s="95">
        <v>511601.109</v>
      </c>
      <c r="C2421" s="95">
        <v>4786695.4139999999</v>
      </c>
      <c r="D2421" s="95">
        <v>51.037999999999997</v>
      </c>
      <c r="E2421" s="91" t="s">
        <v>102</v>
      </c>
    </row>
    <row r="2422" spans="1:5" x14ac:dyDescent="0.25">
      <c r="A2422" s="94">
        <v>46052</v>
      </c>
      <c r="B2422" s="95">
        <v>511615.24800000002</v>
      </c>
      <c r="C2422" s="95">
        <v>4786687.4289999995</v>
      </c>
      <c r="D2422" s="95">
        <v>48.442</v>
      </c>
      <c r="E2422" s="91" t="s">
        <v>103</v>
      </c>
    </row>
    <row r="2423" spans="1:5" x14ac:dyDescent="0.25">
      <c r="A2423" s="94">
        <v>46052</v>
      </c>
      <c r="B2423" s="95">
        <v>511615.21899999998</v>
      </c>
      <c r="C2423" s="95">
        <v>4786687.3509999998</v>
      </c>
      <c r="D2423" s="95">
        <v>45.935000000000002</v>
      </c>
      <c r="E2423" s="91" t="s">
        <v>104</v>
      </c>
    </row>
    <row r="2424" spans="1:5" x14ac:dyDescent="0.25">
      <c r="A2424" s="94">
        <v>46052</v>
      </c>
      <c r="B2424" s="95">
        <v>511615.17300000001</v>
      </c>
      <c r="C2424" s="95">
        <v>4786687.3789999997</v>
      </c>
      <c r="D2424" s="95">
        <v>43.957000000000001</v>
      </c>
      <c r="E2424" s="91" t="s">
        <v>110</v>
      </c>
    </row>
    <row r="2425" spans="1:5" x14ac:dyDescent="0.25">
      <c r="A2425" s="94">
        <v>46052</v>
      </c>
      <c r="B2425" s="95">
        <v>511629.18</v>
      </c>
      <c r="C2425" s="95">
        <v>4786680.0599999996</v>
      </c>
      <c r="D2425" s="95">
        <v>48.46</v>
      </c>
      <c r="E2425" s="91" t="s">
        <v>105</v>
      </c>
    </row>
    <row r="2426" spans="1:5" x14ac:dyDescent="0.25">
      <c r="A2426" s="94">
        <v>46052</v>
      </c>
      <c r="B2426" s="95">
        <v>511629.30200000003</v>
      </c>
      <c r="C2426" s="95">
        <v>4786680.0209999997</v>
      </c>
      <c r="D2426" s="95">
        <v>45.942</v>
      </c>
      <c r="E2426" s="91" t="s">
        <v>106</v>
      </c>
    </row>
    <row r="2427" spans="1:5" x14ac:dyDescent="0.25">
      <c r="A2427" s="94">
        <v>46052</v>
      </c>
      <c r="B2427" s="95">
        <v>511642.28</v>
      </c>
      <c r="C2427" s="95">
        <v>4786673.1189999999</v>
      </c>
      <c r="D2427" s="95">
        <v>48.441000000000003</v>
      </c>
      <c r="E2427" s="91" t="s">
        <v>107</v>
      </c>
    </row>
    <row r="2428" spans="1:5" x14ac:dyDescent="0.25">
      <c r="A2428" s="94">
        <v>46052</v>
      </c>
      <c r="B2428" s="95">
        <v>511642.43300000002</v>
      </c>
      <c r="C2428" s="95">
        <v>4786673.0080000004</v>
      </c>
      <c r="D2428" s="95">
        <v>45.936999999999998</v>
      </c>
      <c r="E2428" s="91" t="s">
        <v>108</v>
      </c>
    </row>
    <row r="2429" spans="1:5" x14ac:dyDescent="0.25">
      <c r="A2429" s="94">
        <v>46052</v>
      </c>
      <c r="B2429" s="95">
        <v>511642.47</v>
      </c>
      <c r="C2429" s="95">
        <v>4786672.9000000004</v>
      </c>
      <c r="D2429" s="95">
        <v>43.963999999999999</v>
      </c>
      <c r="E2429" s="91" t="s">
        <v>111</v>
      </c>
    </row>
    <row r="2430" spans="1:5" x14ac:dyDescent="0.25">
      <c r="A2430" s="94">
        <v>46052</v>
      </c>
      <c r="B2430" s="95">
        <v>511649.12800000003</v>
      </c>
      <c r="C2430" s="95">
        <v>4786669.398</v>
      </c>
      <c r="D2430" s="95">
        <v>43.945</v>
      </c>
      <c r="E2430" s="91" t="s">
        <v>113</v>
      </c>
    </row>
    <row r="2431" spans="1:5" x14ac:dyDescent="0.25">
      <c r="A2431" s="94">
        <v>46052</v>
      </c>
      <c r="B2431" s="95">
        <v>511607.18300000002</v>
      </c>
      <c r="C2431" s="95">
        <v>4786690.8480000002</v>
      </c>
      <c r="D2431" s="95">
        <v>41.311</v>
      </c>
      <c r="E2431" s="91" t="s">
        <v>139</v>
      </c>
    </row>
    <row r="2432" spans="1:5" x14ac:dyDescent="0.25">
      <c r="A2432" s="94">
        <v>46052</v>
      </c>
      <c r="B2432" s="95">
        <v>511614.98499999999</v>
      </c>
      <c r="C2432" s="95">
        <v>4786686.6179999998</v>
      </c>
      <c r="D2432" s="95">
        <v>41.438000000000002</v>
      </c>
      <c r="E2432" s="91" t="s">
        <v>140</v>
      </c>
    </row>
    <row r="2433" spans="1:5" x14ac:dyDescent="0.25">
      <c r="A2433" s="94">
        <v>46052</v>
      </c>
      <c r="B2433" s="95">
        <v>511628.83500000002</v>
      </c>
      <c r="C2433" s="95">
        <v>4786679.1469999999</v>
      </c>
      <c r="D2433" s="95">
        <v>41.371000000000002</v>
      </c>
      <c r="E2433" s="91" t="s">
        <v>141</v>
      </c>
    </row>
    <row r="2434" spans="1:5" x14ac:dyDescent="0.25">
      <c r="A2434" s="94">
        <v>46052</v>
      </c>
      <c r="B2434" s="95">
        <v>511642.00400000002</v>
      </c>
      <c r="C2434" s="95">
        <v>4786671.9450000003</v>
      </c>
      <c r="D2434" s="95">
        <v>41.508000000000003</v>
      </c>
      <c r="E2434" s="91" t="s">
        <v>142</v>
      </c>
    </row>
    <row r="2435" spans="1:5" x14ac:dyDescent="0.25">
      <c r="A2435" s="94">
        <v>46052</v>
      </c>
      <c r="B2435" s="95">
        <v>511648.78399999999</v>
      </c>
      <c r="C2435" s="95">
        <v>4786668.2659999998</v>
      </c>
      <c r="D2435" s="95">
        <v>41.305999999999997</v>
      </c>
      <c r="E2435" s="91" t="s">
        <v>143</v>
      </c>
    </row>
    <row r="2436" spans="1:5" x14ac:dyDescent="0.25">
      <c r="A2436" s="94">
        <v>46055</v>
      </c>
      <c r="B2436" s="95">
        <v>511615.09100000001</v>
      </c>
      <c r="C2436" s="95">
        <v>4786687.9790000003</v>
      </c>
      <c r="D2436" s="95">
        <v>51.03</v>
      </c>
      <c r="E2436" s="91" t="s">
        <v>96</v>
      </c>
    </row>
    <row r="2437" spans="1:5" x14ac:dyDescent="0.25">
      <c r="A2437" s="94">
        <v>46055</v>
      </c>
      <c r="B2437" s="95">
        <v>511628.87599999999</v>
      </c>
      <c r="C2437" s="95">
        <v>4786680.6409999998</v>
      </c>
      <c r="D2437" s="95">
        <v>51.040999999999997</v>
      </c>
      <c r="E2437" s="91" t="s">
        <v>97</v>
      </c>
    </row>
    <row r="2438" spans="1:5" x14ac:dyDescent="0.25">
      <c r="A2438" s="94">
        <v>46055</v>
      </c>
      <c r="B2438" s="95">
        <v>511642.57500000001</v>
      </c>
      <c r="C2438" s="95">
        <v>4786673.3439999996</v>
      </c>
      <c r="D2438" s="95">
        <v>51.048999999999999</v>
      </c>
      <c r="E2438" s="91" t="s">
        <v>98</v>
      </c>
    </row>
    <row r="2439" spans="1:5" x14ac:dyDescent="0.25">
      <c r="A2439" s="94">
        <v>46055</v>
      </c>
      <c r="B2439" s="95">
        <v>511607.68199999997</v>
      </c>
      <c r="C2439" s="95">
        <v>4786691.4210000001</v>
      </c>
      <c r="D2439" s="95">
        <v>43.942999999999998</v>
      </c>
      <c r="E2439" s="91" t="s">
        <v>112</v>
      </c>
    </row>
    <row r="2440" spans="1:5" x14ac:dyDescent="0.25">
      <c r="A2440" s="94">
        <v>46055</v>
      </c>
      <c r="B2440" s="95">
        <v>511629.40700000001</v>
      </c>
      <c r="C2440" s="95">
        <v>4786679.909</v>
      </c>
      <c r="D2440" s="95">
        <v>43.945999999999998</v>
      </c>
      <c r="E2440" s="91" t="s">
        <v>109</v>
      </c>
    </row>
    <row r="2441" spans="1:5" x14ac:dyDescent="0.25">
      <c r="A2441" s="94">
        <v>46055</v>
      </c>
      <c r="B2441" s="95">
        <v>511649.69799999997</v>
      </c>
      <c r="C2441" s="95">
        <v>4786682.1560000004</v>
      </c>
      <c r="D2441" s="95">
        <v>56.188000000000002</v>
      </c>
      <c r="E2441" s="91" t="s">
        <v>89</v>
      </c>
    </row>
    <row r="2442" spans="1:5" x14ac:dyDescent="0.25">
      <c r="A2442" s="94">
        <v>46055</v>
      </c>
      <c r="B2442" s="95">
        <v>511630.75799999997</v>
      </c>
      <c r="C2442" s="95">
        <v>4786689.8569999998</v>
      </c>
      <c r="D2442" s="95">
        <v>55.948999999999998</v>
      </c>
      <c r="E2442" s="91" t="s">
        <v>90</v>
      </c>
    </row>
    <row r="2443" spans="1:5" x14ac:dyDescent="0.25">
      <c r="A2443" s="94">
        <v>46055</v>
      </c>
      <c r="B2443" s="95">
        <v>511623.43</v>
      </c>
      <c r="C2443" s="95">
        <v>4786694.0729999999</v>
      </c>
      <c r="D2443" s="95">
        <v>54.780999999999999</v>
      </c>
      <c r="E2443" s="91" t="s">
        <v>91</v>
      </c>
    </row>
    <row r="2444" spans="1:5" x14ac:dyDescent="0.25">
      <c r="A2444" s="94">
        <v>46055</v>
      </c>
      <c r="B2444" s="95">
        <v>511613.31300000002</v>
      </c>
      <c r="C2444" s="95">
        <v>4786695.3039999995</v>
      </c>
      <c r="D2444" s="95">
        <v>60.57</v>
      </c>
      <c r="E2444" s="91" t="s">
        <v>92</v>
      </c>
    </row>
    <row r="2445" spans="1:5" x14ac:dyDescent="0.25">
      <c r="A2445" s="94">
        <v>46055</v>
      </c>
      <c r="B2445" s="95">
        <v>511614.75099999999</v>
      </c>
      <c r="C2445" s="95">
        <v>4786712.557</v>
      </c>
      <c r="D2445" s="95">
        <v>60.822000000000003</v>
      </c>
      <c r="E2445" s="91" t="s">
        <v>93</v>
      </c>
    </row>
    <row r="2446" spans="1:5" x14ac:dyDescent="0.25">
      <c r="A2446" s="94">
        <v>46055</v>
      </c>
      <c r="B2446" s="95">
        <v>511660.663</v>
      </c>
      <c r="C2446" s="95">
        <v>4786683.466</v>
      </c>
      <c r="D2446" s="95">
        <v>55.405000000000001</v>
      </c>
      <c r="E2446" s="91" t="s">
        <v>94</v>
      </c>
    </row>
    <row r="2447" spans="1:5" x14ac:dyDescent="0.25">
      <c r="A2447" s="94">
        <v>46055</v>
      </c>
      <c r="B2447" s="95">
        <v>511670.87300000002</v>
      </c>
      <c r="C2447" s="95">
        <v>4786685.9179999996</v>
      </c>
      <c r="D2447" s="95">
        <v>54.820999999999998</v>
      </c>
      <c r="E2447" s="91" t="s">
        <v>95</v>
      </c>
    </row>
    <row r="2448" spans="1:5" x14ac:dyDescent="0.25">
      <c r="A2448" s="94">
        <v>46055</v>
      </c>
      <c r="B2448" s="95">
        <v>511649.788</v>
      </c>
      <c r="C2448" s="95">
        <v>4786669.4840000002</v>
      </c>
      <c r="D2448" s="95">
        <v>51.052</v>
      </c>
      <c r="E2448" s="91" t="s">
        <v>99</v>
      </c>
    </row>
    <row r="2449" spans="1:5" x14ac:dyDescent="0.25">
      <c r="A2449" s="94">
        <v>46055</v>
      </c>
      <c r="B2449" s="95">
        <v>511607.54599999997</v>
      </c>
      <c r="C2449" s="95">
        <v>4786691.9759999998</v>
      </c>
      <c r="D2449" s="95">
        <v>51.051000000000002</v>
      </c>
      <c r="E2449" s="91" t="s">
        <v>100</v>
      </c>
    </row>
    <row r="2450" spans="1:5" x14ac:dyDescent="0.25">
      <c r="A2450" s="94">
        <v>46055</v>
      </c>
      <c r="B2450" s="95">
        <v>511607.26199999999</v>
      </c>
      <c r="C2450" s="95">
        <v>4786692.1679999996</v>
      </c>
      <c r="D2450" s="95">
        <v>51.052</v>
      </c>
      <c r="E2450" s="91" t="s">
        <v>101</v>
      </c>
    </row>
    <row r="2451" spans="1:5" x14ac:dyDescent="0.25">
      <c r="A2451" s="94">
        <v>46055</v>
      </c>
      <c r="B2451" s="95">
        <v>511601.11</v>
      </c>
      <c r="C2451" s="95">
        <v>4786695.4129999997</v>
      </c>
      <c r="D2451" s="95">
        <v>51.042000000000002</v>
      </c>
      <c r="E2451" s="91" t="s">
        <v>102</v>
      </c>
    </row>
    <row r="2452" spans="1:5" x14ac:dyDescent="0.25">
      <c r="A2452" s="94">
        <v>46055</v>
      </c>
      <c r="B2452" s="95">
        <v>511615.24800000002</v>
      </c>
      <c r="C2452" s="95">
        <v>4786687.4270000001</v>
      </c>
      <c r="D2452" s="95">
        <v>48.445999999999998</v>
      </c>
      <c r="E2452" s="91" t="s">
        <v>103</v>
      </c>
    </row>
    <row r="2453" spans="1:5" x14ac:dyDescent="0.25">
      <c r="A2453" s="94">
        <v>46055</v>
      </c>
      <c r="B2453" s="95">
        <v>511615.22</v>
      </c>
      <c r="C2453" s="95">
        <v>4786687.3499999996</v>
      </c>
      <c r="D2453" s="95">
        <v>45.939</v>
      </c>
      <c r="E2453" s="91" t="s">
        <v>104</v>
      </c>
    </row>
    <row r="2454" spans="1:5" x14ac:dyDescent="0.25">
      <c r="A2454" s="94">
        <v>46055</v>
      </c>
      <c r="B2454" s="95">
        <v>511615.16499999998</v>
      </c>
      <c r="C2454" s="95">
        <v>4786687.3830000004</v>
      </c>
      <c r="D2454" s="95">
        <v>43.957999999999998</v>
      </c>
      <c r="E2454" s="91" t="s">
        <v>110</v>
      </c>
    </row>
    <row r="2455" spans="1:5" x14ac:dyDescent="0.25">
      <c r="A2455" s="94">
        <v>46055</v>
      </c>
      <c r="B2455" s="95">
        <v>511629.17800000001</v>
      </c>
      <c r="C2455" s="95">
        <v>4786680.057</v>
      </c>
      <c r="D2455" s="95">
        <v>48.465000000000003</v>
      </c>
      <c r="E2455" s="91" t="s">
        <v>105</v>
      </c>
    </row>
    <row r="2456" spans="1:5" x14ac:dyDescent="0.25">
      <c r="A2456" s="94">
        <v>46055</v>
      </c>
      <c r="B2456" s="95">
        <v>511629.30300000001</v>
      </c>
      <c r="C2456" s="95">
        <v>4786680.0199999996</v>
      </c>
      <c r="D2456" s="95">
        <v>45.947000000000003</v>
      </c>
      <c r="E2456" s="91" t="s">
        <v>106</v>
      </c>
    </row>
    <row r="2457" spans="1:5" x14ac:dyDescent="0.25">
      <c r="A2457" s="94">
        <v>46055</v>
      </c>
      <c r="B2457" s="95">
        <v>511642.27899999998</v>
      </c>
      <c r="C2457" s="95">
        <v>4786673.1179999998</v>
      </c>
      <c r="D2457" s="95">
        <v>48.445</v>
      </c>
      <c r="E2457" s="91" t="s">
        <v>107</v>
      </c>
    </row>
    <row r="2458" spans="1:5" x14ac:dyDescent="0.25">
      <c r="A2458" s="94">
        <v>46055</v>
      </c>
      <c r="B2458" s="95">
        <v>511642.43199999997</v>
      </c>
      <c r="C2458" s="95">
        <v>4786673.0070000002</v>
      </c>
      <c r="D2458" s="95">
        <v>45.94</v>
      </c>
      <c r="E2458" s="91" t="s">
        <v>108</v>
      </c>
    </row>
    <row r="2459" spans="1:5" x14ac:dyDescent="0.25">
      <c r="A2459" s="94">
        <v>46055</v>
      </c>
      <c r="B2459" s="95">
        <v>511642.473</v>
      </c>
      <c r="C2459" s="95">
        <v>4786672.8940000003</v>
      </c>
      <c r="D2459" s="95">
        <v>43.972999999999999</v>
      </c>
      <c r="E2459" s="91" t="s">
        <v>111</v>
      </c>
    </row>
    <row r="2460" spans="1:5" x14ac:dyDescent="0.25">
      <c r="A2460" s="94">
        <v>46055</v>
      </c>
      <c r="B2460" s="95">
        <v>511649.11900000001</v>
      </c>
      <c r="C2460" s="95">
        <v>4786669.415</v>
      </c>
      <c r="D2460" s="95">
        <v>43.947000000000003</v>
      </c>
      <c r="E2460" s="91" t="s">
        <v>113</v>
      </c>
    </row>
    <row r="2461" spans="1:5" x14ac:dyDescent="0.25">
      <c r="A2461" s="94">
        <v>46055</v>
      </c>
      <c r="B2461" s="95">
        <v>511607.16800000001</v>
      </c>
      <c r="C2461" s="95">
        <v>4786690.8530000001</v>
      </c>
      <c r="D2461" s="95">
        <v>41.313000000000002</v>
      </c>
      <c r="E2461" s="91" t="s">
        <v>139</v>
      </c>
    </row>
    <row r="2462" spans="1:5" x14ac:dyDescent="0.25">
      <c r="A2462" s="94">
        <v>46055</v>
      </c>
      <c r="B2462" s="95">
        <v>511614.97100000002</v>
      </c>
      <c r="C2462" s="95">
        <v>4786686.625</v>
      </c>
      <c r="D2462" s="95">
        <v>41.44</v>
      </c>
      <c r="E2462" s="91" t="s">
        <v>140</v>
      </c>
    </row>
    <row r="2463" spans="1:5" x14ac:dyDescent="0.25">
      <c r="A2463" s="94">
        <v>46055</v>
      </c>
      <c r="B2463" s="95">
        <v>511628.82199999999</v>
      </c>
      <c r="C2463" s="95">
        <v>4786679.1569999997</v>
      </c>
      <c r="D2463" s="95">
        <v>41.372999999999998</v>
      </c>
      <c r="E2463" s="91" t="s">
        <v>141</v>
      </c>
    </row>
    <row r="2464" spans="1:5" x14ac:dyDescent="0.25">
      <c r="A2464" s="94">
        <v>46055</v>
      </c>
      <c r="B2464" s="95">
        <v>511641.99300000002</v>
      </c>
      <c r="C2464" s="95">
        <v>4786671.9589999998</v>
      </c>
      <c r="D2464" s="95">
        <v>41.51</v>
      </c>
      <c r="E2464" s="91" t="s">
        <v>142</v>
      </c>
    </row>
    <row r="2465" spans="1:5" x14ac:dyDescent="0.25">
      <c r="A2465" s="94">
        <v>46055</v>
      </c>
      <c r="B2465" s="95">
        <v>511648.77399999998</v>
      </c>
      <c r="C2465" s="95">
        <v>4786668.2819999997</v>
      </c>
      <c r="D2465" s="95">
        <v>41.308</v>
      </c>
      <c r="E2465" s="91" t="s">
        <v>143</v>
      </c>
    </row>
    <row r="2466" spans="1:5" x14ac:dyDescent="0.25">
      <c r="A2466" s="94">
        <v>46056</v>
      </c>
      <c r="B2466" s="95">
        <v>511615.09100000001</v>
      </c>
      <c r="C2466" s="95">
        <v>4786687.9780000001</v>
      </c>
      <c r="D2466" s="95">
        <v>51.027000000000001</v>
      </c>
      <c r="E2466" s="91" t="s">
        <v>96</v>
      </c>
    </row>
    <row r="2467" spans="1:5" x14ac:dyDescent="0.25">
      <c r="A2467" s="94">
        <v>46056</v>
      </c>
      <c r="B2467" s="95">
        <v>511628.87599999999</v>
      </c>
      <c r="C2467" s="95">
        <v>4786680.6399999997</v>
      </c>
      <c r="D2467" s="95">
        <v>51.037999999999997</v>
      </c>
      <c r="E2467" s="91" t="s">
        <v>97</v>
      </c>
    </row>
    <row r="2468" spans="1:5" x14ac:dyDescent="0.25">
      <c r="A2468" s="94">
        <v>46056</v>
      </c>
      <c r="B2468" s="95">
        <v>511642.576</v>
      </c>
      <c r="C2468" s="95">
        <v>4786673.3439999996</v>
      </c>
      <c r="D2468" s="95">
        <v>51.045999999999999</v>
      </c>
      <c r="E2468" s="91" t="s">
        <v>98</v>
      </c>
    </row>
    <row r="2469" spans="1:5" x14ac:dyDescent="0.25">
      <c r="A2469" s="94">
        <v>46056</v>
      </c>
      <c r="B2469" s="95">
        <v>511629.41100000002</v>
      </c>
      <c r="C2469" s="95">
        <v>4786679.9060000004</v>
      </c>
      <c r="D2469" s="95">
        <v>43.945</v>
      </c>
      <c r="E2469" s="91" t="s">
        <v>109</v>
      </c>
    </row>
    <row r="2470" spans="1:5" x14ac:dyDescent="0.25">
      <c r="A2470" s="94">
        <v>46056</v>
      </c>
      <c r="B2470" s="95">
        <v>511649.69900000002</v>
      </c>
      <c r="C2470" s="95">
        <v>4786682.1550000003</v>
      </c>
      <c r="D2470" s="95">
        <v>56.186</v>
      </c>
      <c r="E2470" s="91" t="s">
        <v>89</v>
      </c>
    </row>
    <row r="2471" spans="1:5" x14ac:dyDescent="0.25">
      <c r="A2471" s="94">
        <v>46056</v>
      </c>
      <c r="B2471" s="95">
        <v>511630.75900000002</v>
      </c>
      <c r="C2471" s="95">
        <v>4786689.8559999997</v>
      </c>
      <c r="D2471" s="95">
        <v>55.947000000000003</v>
      </c>
      <c r="E2471" s="91" t="s">
        <v>90</v>
      </c>
    </row>
    <row r="2472" spans="1:5" x14ac:dyDescent="0.25">
      <c r="A2472" s="94">
        <v>46056</v>
      </c>
      <c r="B2472" s="95">
        <v>511623.43099999998</v>
      </c>
      <c r="C2472" s="95">
        <v>4786694.0729999999</v>
      </c>
      <c r="D2472" s="95">
        <v>54.779000000000003</v>
      </c>
      <c r="E2472" s="91" t="s">
        <v>91</v>
      </c>
    </row>
    <row r="2473" spans="1:5" x14ac:dyDescent="0.25">
      <c r="A2473" s="94">
        <v>46056</v>
      </c>
      <c r="B2473" s="95">
        <v>511613.31199999998</v>
      </c>
      <c r="C2473" s="95">
        <v>4786695.3030000003</v>
      </c>
      <c r="D2473" s="95">
        <v>60.567999999999998</v>
      </c>
      <c r="E2473" s="91" t="s">
        <v>92</v>
      </c>
    </row>
    <row r="2474" spans="1:5" x14ac:dyDescent="0.25">
      <c r="A2474" s="94">
        <v>46056</v>
      </c>
      <c r="B2474" s="95">
        <v>511614.75099999999</v>
      </c>
      <c r="C2474" s="95">
        <v>4786712.5559999999</v>
      </c>
      <c r="D2474" s="95">
        <v>60.819000000000003</v>
      </c>
      <c r="E2474" s="91" t="s">
        <v>93</v>
      </c>
    </row>
    <row r="2475" spans="1:5" x14ac:dyDescent="0.25">
      <c r="A2475" s="94">
        <v>46056</v>
      </c>
      <c r="B2475" s="95">
        <v>511660.663</v>
      </c>
      <c r="C2475" s="95">
        <v>4786683.4649999999</v>
      </c>
      <c r="D2475" s="95">
        <v>55.402000000000001</v>
      </c>
      <c r="E2475" s="91" t="s">
        <v>94</v>
      </c>
    </row>
    <row r="2476" spans="1:5" x14ac:dyDescent="0.25">
      <c r="A2476" s="94">
        <v>46056</v>
      </c>
      <c r="B2476" s="95">
        <v>511670.87400000001</v>
      </c>
      <c r="C2476" s="95">
        <v>4786685.9170000004</v>
      </c>
      <c r="D2476" s="95">
        <v>54.817999999999998</v>
      </c>
      <c r="E2476" s="91" t="s">
        <v>95</v>
      </c>
    </row>
    <row r="2477" spans="1:5" x14ac:dyDescent="0.25">
      <c r="A2477" s="94">
        <v>46056</v>
      </c>
      <c r="B2477" s="95">
        <v>511649.788</v>
      </c>
      <c r="C2477" s="95">
        <v>4786669.4819999998</v>
      </c>
      <c r="D2477" s="95">
        <v>51.05</v>
      </c>
      <c r="E2477" s="91" t="s">
        <v>99</v>
      </c>
    </row>
    <row r="2478" spans="1:5" x14ac:dyDescent="0.25">
      <c r="A2478" s="94">
        <v>46056</v>
      </c>
      <c r="B2478" s="95">
        <v>511607.54599999997</v>
      </c>
      <c r="C2478" s="95">
        <v>4786691.9749999996</v>
      </c>
      <c r="D2478" s="95">
        <v>51.048000000000002</v>
      </c>
      <c r="E2478" s="91" t="s">
        <v>100</v>
      </c>
    </row>
    <row r="2479" spans="1:5" x14ac:dyDescent="0.25">
      <c r="A2479" s="94">
        <v>46056</v>
      </c>
      <c r="B2479" s="95">
        <v>511607.261</v>
      </c>
      <c r="C2479" s="95">
        <v>4786692.1670000004</v>
      </c>
      <c r="D2479" s="95">
        <v>51.048999999999999</v>
      </c>
      <c r="E2479" s="91" t="s">
        <v>101</v>
      </c>
    </row>
    <row r="2480" spans="1:5" x14ac:dyDescent="0.25">
      <c r="A2480" s="94">
        <v>46056</v>
      </c>
      <c r="B2480" s="95">
        <v>511601.11</v>
      </c>
      <c r="C2480" s="95">
        <v>4786695.4129999997</v>
      </c>
      <c r="D2480" s="95">
        <v>51.039000000000001</v>
      </c>
      <c r="E2480" s="91" t="s">
        <v>102</v>
      </c>
    </row>
    <row r="2481" spans="1:5" x14ac:dyDescent="0.25">
      <c r="A2481" s="94">
        <v>46056</v>
      </c>
      <c r="B2481" s="95">
        <v>511615.24599999998</v>
      </c>
      <c r="C2481" s="95">
        <v>4786687.4249999998</v>
      </c>
      <c r="D2481" s="95">
        <v>48.442999999999998</v>
      </c>
      <c r="E2481" s="91" t="s">
        <v>103</v>
      </c>
    </row>
    <row r="2482" spans="1:5" x14ac:dyDescent="0.25">
      <c r="A2482" s="94">
        <v>46056</v>
      </c>
      <c r="B2482" s="95">
        <v>511615.21899999998</v>
      </c>
      <c r="C2482" s="95">
        <v>4786687.3490000004</v>
      </c>
      <c r="D2482" s="95">
        <v>45.936</v>
      </c>
      <c r="E2482" s="91" t="s">
        <v>104</v>
      </c>
    </row>
    <row r="2483" spans="1:5" x14ac:dyDescent="0.25">
      <c r="A2483" s="94">
        <v>46056</v>
      </c>
      <c r="B2483" s="95">
        <v>511615.17</v>
      </c>
      <c r="C2483" s="95">
        <v>4786687.38</v>
      </c>
      <c r="D2483" s="95">
        <v>43.957000000000001</v>
      </c>
      <c r="E2483" s="91" t="s">
        <v>110</v>
      </c>
    </row>
    <row r="2484" spans="1:5" x14ac:dyDescent="0.25">
      <c r="A2484" s="94">
        <v>46056</v>
      </c>
      <c r="B2484" s="95">
        <v>511629.179</v>
      </c>
      <c r="C2484" s="95">
        <v>4786680.057</v>
      </c>
      <c r="D2484" s="95">
        <v>48.460999999999999</v>
      </c>
      <c r="E2484" s="91" t="s">
        <v>105</v>
      </c>
    </row>
    <row r="2485" spans="1:5" x14ac:dyDescent="0.25">
      <c r="A2485" s="94">
        <v>46056</v>
      </c>
      <c r="B2485" s="95">
        <v>511629.30300000001</v>
      </c>
      <c r="C2485" s="95">
        <v>4786680.0199999996</v>
      </c>
      <c r="D2485" s="95">
        <v>45.944000000000003</v>
      </c>
      <c r="E2485" s="91" t="s">
        <v>106</v>
      </c>
    </row>
    <row r="2486" spans="1:5" x14ac:dyDescent="0.25">
      <c r="A2486" s="94">
        <v>46056</v>
      </c>
      <c r="B2486" s="95">
        <v>511642.27799999999</v>
      </c>
      <c r="C2486" s="95">
        <v>4786673.1169999996</v>
      </c>
      <c r="D2486" s="95">
        <v>48.442</v>
      </c>
      <c r="E2486" s="91" t="s">
        <v>107</v>
      </c>
    </row>
    <row r="2487" spans="1:5" x14ac:dyDescent="0.25">
      <c r="A2487" s="94">
        <v>46056</v>
      </c>
      <c r="B2487" s="95">
        <v>511642.43199999997</v>
      </c>
      <c r="C2487" s="95">
        <v>4786673.0060000001</v>
      </c>
      <c r="D2487" s="95">
        <v>45.938000000000002</v>
      </c>
      <c r="E2487" s="91" t="s">
        <v>108</v>
      </c>
    </row>
    <row r="2488" spans="1:5" x14ac:dyDescent="0.25">
      <c r="A2488" s="94">
        <v>46056</v>
      </c>
      <c r="B2488" s="95">
        <v>511642.46600000001</v>
      </c>
      <c r="C2488" s="95">
        <v>4786672.9019999998</v>
      </c>
      <c r="D2488" s="95">
        <v>43.966000000000001</v>
      </c>
      <c r="E2488" s="91" t="s">
        <v>111</v>
      </c>
    </row>
    <row r="2489" spans="1:5" x14ac:dyDescent="0.25">
      <c r="A2489" s="94">
        <v>46056</v>
      </c>
      <c r="B2489" s="95">
        <v>511649.125</v>
      </c>
      <c r="C2489" s="95">
        <v>4786669.3990000002</v>
      </c>
      <c r="D2489" s="95">
        <v>43.945</v>
      </c>
      <c r="E2489" s="91" t="s">
        <v>113</v>
      </c>
    </row>
    <row r="2490" spans="1:5" x14ac:dyDescent="0.25">
      <c r="A2490" s="94">
        <v>46056</v>
      </c>
      <c r="B2490" s="95">
        <v>511607.17800000001</v>
      </c>
      <c r="C2490" s="95">
        <v>4786690.8490000004</v>
      </c>
      <c r="D2490" s="95">
        <v>41.313000000000002</v>
      </c>
      <c r="E2490" s="91" t="s">
        <v>139</v>
      </c>
    </row>
    <row r="2491" spans="1:5" x14ac:dyDescent="0.25">
      <c r="A2491" s="94">
        <v>46056</v>
      </c>
      <c r="B2491" s="95">
        <v>511614.98100000003</v>
      </c>
      <c r="C2491" s="95">
        <v>4786686.6179999998</v>
      </c>
      <c r="D2491" s="95">
        <v>41.439</v>
      </c>
      <c r="E2491" s="91" t="s">
        <v>140</v>
      </c>
    </row>
    <row r="2492" spans="1:5" x14ac:dyDescent="0.25">
      <c r="A2492" s="94">
        <v>46056</v>
      </c>
      <c r="B2492" s="95">
        <v>511628.83100000001</v>
      </c>
      <c r="C2492" s="95">
        <v>4786679.1469999999</v>
      </c>
      <c r="D2492" s="95">
        <v>41.372</v>
      </c>
      <c r="E2492" s="91" t="s">
        <v>141</v>
      </c>
    </row>
    <row r="2493" spans="1:5" x14ac:dyDescent="0.25">
      <c r="A2493" s="94">
        <v>46056</v>
      </c>
      <c r="B2493" s="95">
        <v>511642</v>
      </c>
      <c r="C2493" s="95">
        <v>4786671.9460000005</v>
      </c>
      <c r="D2493" s="95">
        <v>41.51</v>
      </c>
      <c r="E2493" s="91" t="s">
        <v>142</v>
      </c>
    </row>
    <row r="2494" spans="1:5" x14ac:dyDescent="0.25">
      <c r="A2494" s="94">
        <v>46056</v>
      </c>
      <c r="B2494" s="95">
        <v>511648.78</v>
      </c>
      <c r="C2494" s="95">
        <v>4786668.267</v>
      </c>
      <c r="D2494" s="95">
        <v>41.307000000000002</v>
      </c>
      <c r="E2494" s="91" t="s">
        <v>143</v>
      </c>
    </row>
    <row r="2495" spans="1:5" x14ac:dyDescent="0.25">
      <c r="A2495" s="94">
        <v>46057</v>
      </c>
      <c r="B2495" s="95">
        <v>511615.09</v>
      </c>
      <c r="C2495" s="95">
        <v>4786687.9780000001</v>
      </c>
      <c r="D2495" s="95">
        <v>51.027000000000001</v>
      </c>
      <c r="E2495" s="91" t="s">
        <v>96</v>
      </c>
    </row>
    <row r="2496" spans="1:5" x14ac:dyDescent="0.25">
      <c r="A2496" s="94">
        <v>46057</v>
      </c>
      <c r="B2496" s="95">
        <v>511628.87599999999</v>
      </c>
      <c r="C2496" s="95">
        <v>4786680.6409999998</v>
      </c>
      <c r="D2496" s="95">
        <v>51.037999999999997</v>
      </c>
      <c r="E2496" s="91" t="s">
        <v>97</v>
      </c>
    </row>
    <row r="2497" spans="1:5" x14ac:dyDescent="0.25">
      <c r="A2497" s="94">
        <v>46057</v>
      </c>
      <c r="B2497" s="95">
        <v>511642.57500000001</v>
      </c>
      <c r="C2497" s="95">
        <v>4786673.3439999996</v>
      </c>
      <c r="D2497" s="95">
        <v>51.045999999999999</v>
      </c>
      <c r="E2497" s="91" t="s">
        <v>98</v>
      </c>
    </row>
    <row r="2498" spans="1:5" x14ac:dyDescent="0.25">
      <c r="A2498" s="94">
        <v>46057</v>
      </c>
      <c r="B2498" s="95">
        <v>511607.69</v>
      </c>
      <c r="C2498" s="95">
        <v>4786691.42</v>
      </c>
      <c r="D2498" s="95">
        <v>43.942</v>
      </c>
      <c r="E2498" s="91" t="s">
        <v>112</v>
      </c>
    </row>
    <row r="2499" spans="1:5" x14ac:dyDescent="0.25">
      <c r="A2499" s="94">
        <v>46057</v>
      </c>
      <c r="B2499" s="95">
        <v>511629.408</v>
      </c>
      <c r="C2499" s="95">
        <v>4786679.909</v>
      </c>
      <c r="D2499" s="95">
        <v>43.944000000000003</v>
      </c>
      <c r="E2499" s="91" t="s">
        <v>109</v>
      </c>
    </row>
    <row r="2500" spans="1:5" x14ac:dyDescent="0.25">
      <c r="A2500" s="94">
        <v>46057</v>
      </c>
      <c r="B2500" s="95">
        <v>511649.7</v>
      </c>
      <c r="C2500" s="95">
        <v>4786682.1569999997</v>
      </c>
      <c r="D2500" s="95">
        <v>56.185000000000002</v>
      </c>
      <c r="E2500" s="91" t="s">
        <v>89</v>
      </c>
    </row>
    <row r="2501" spans="1:5" x14ac:dyDescent="0.25">
      <c r="A2501" s="94">
        <v>46057</v>
      </c>
      <c r="B2501" s="95">
        <v>511630.75699999998</v>
      </c>
      <c r="C2501" s="95">
        <v>4786689.8569999998</v>
      </c>
      <c r="D2501" s="95">
        <v>55.947000000000003</v>
      </c>
      <c r="E2501" s="91" t="s">
        <v>90</v>
      </c>
    </row>
    <row r="2502" spans="1:5" x14ac:dyDescent="0.25">
      <c r="A2502" s="94">
        <v>46057</v>
      </c>
      <c r="B2502" s="95">
        <v>511623.43</v>
      </c>
      <c r="C2502" s="95">
        <v>4786694.0729999999</v>
      </c>
      <c r="D2502" s="95">
        <v>54.777999999999999</v>
      </c>
      <c r="E2502" s="91" t="s">
        <v>91</v>
      </c>
    </row>
    <row r="2503" spans="1:5" x14ac:dyDescent="0.25">
      <c r="A2503" s="94">
        <v>46057</v>
      </c>
      <c r="B2503" s="95">
        <v>511613.31099999999</v>
      </c>
      <c r="C2503" s="95">
        <v>4786695.3020000001</v>
      </c>
      <c r="D2503" s="95">
        <v>60.567</v>
      </c>
      <c r="E2503" s="91" t="s">
        <v>92</v>
      </c>
    </row>
    <row r="2504" spans="1:5" x14ac:dyDescent="0.25">
      <c r="A2504" s="94">
        <v>46057</v>
      </c>
      <c r="B2504" s="95">
        <v>511614.75</v>
      </c>
      <c r="C2504" s="95">
        <v>4786712.5559999999</v>
      </c>
      <c r="D2504" s="95">
        <v>60.819000000000003</v>
      </c>
      <c r="E2504" s="91" t="s">
        <v>93</v>
      </c>
    </row>
    <row r="2505" spans="1:5" x14ac:dyDescent="0.25">
      <c r="A2505" s="94">
        <v>46057</v>
      </c>
      <c r="B2505" s="95">
        <v>511660.66399999999</v>
      </c>
      <c r="C2505" s="95">
        <v>4786683.4670000002</v>
      </c>
      <c r="D2505" s="95">
        <v>55.402000000000001</v>
      </c>
      <c r="E2505" s="91" t="s">
        <v>94</v>
      </c>
    </row>
    <row r="2506" spans="1:5" x14ac:dyDescent="0.25">
      <c r="A2506" s="94">
        <v>46057</v>
      </c>
      <c r="B2506" s="95">
        <v>511670.87400000001</v>
      </c>
      <c r="C2506" s="95">
        <v>4786685.9189999998</v>
      </c>
      <c r="D2506" s="95">
        <v>54.819000000000003</v>
      </c>
      <c r="E2506" s="91" t="s">
        <v>95</v>
      </c>
    </row>
    <row r="2507" spans="1:5" x14ac:dyDescent="0.25">
      <c r="A2507" s="94">
        <v>46057</v>
      </c>
      <c r="B2507" s="95">
        <v>511649.79</v>
      </c>
      <c r="C2507" s="95">
        <v>4786669.4840000002</v>
      </c>
      <c r="D2507" s="95">
        <v>51.05</v>
      </c>
      <c r="E2507" s="91" t="s">
        <v>99</v>
      </c>
    </row>
    <row r="2508" spans="1:5" x14ac:dyDescent="0.25">
      <c r="A2508" s="94">
        <v>46057</v>
      </c>
      <c r="B2508" s="95">
        <v>511607.54599999997</v>
      </c>
      <c r="C2508" s="95">
        <v>4786691.9759999998</v>
      </c>
      <c r="D2508" s="95">
        <v>51.048999999999999</v>
      </c>
      <c r="E2508" s="91" t="s">
        <v>100</v>
      </c>
    </row>
    <row r="2509" spans="1:5" x14ac:dyDescent="0.25">
      <c r="A2509" s="94">
        <v>46057</v>
      </c>
      <c r="B2509" s="95">
        <v>511607.26199999999</v>
      </c>
      <c r="C2509" s="95">
        <v>4786692.1689999998</v>
      </c>
      <c r="D2509" s="95">
        <v>51.048999999999999</v>
      </c>
      <c r="E2509" s="91" t="s">
        <v>101</v>
      </c>
    </row>
    <row r="2510" spans="1:5" x14ac:dyDescent="0.25">
      <c r="A2510" s="94">
        <v>46057</v>
      </c>
      <c r="B2510" s="95">
        <v>511601.11</v>
      </c>
      <c r="C2510" s="95">
        <v>4786695.4139999999</v>
      </c>
      <c r="D2510" s="95">
        <v>51.04</v>
      </c>
      <c r="E2510" s="91" t="s">
        <v>102</v>
      </c>
    </row>
    <row r="2511" spans="1:5" x14ac:dyDescent="0.25">
      <c r="A2511" s="94">
        <v>46057</v>
      </c>
      <c r="B2511" s="95">
        <v>511615.24699999997</v>
      </c>
      <c r="C2511" s="95">
        <v>4786687.426</v>
      </c>
      <c r="D2511" s="95">
        <v>48.442999999999998</v>
      </c>
      <c r="E2511" s="91" t="s">
        <v>103</v>
      </c>
    </row>
    <row r="2512" spans="1:5" x14ac:dyDescent="0.25">
      <c r="A2512" s="94">
        <v>46057</v>
      </c>
      <c r="B2512" s="95">
        <v>511615.22</v>
      </c>
      <c r="C2512" s="95">
        <v>4786687.3499999996</v>
      </c>
      <c r="D2512" s="95">
        <v>45.936</v>
      </c>
      <c r="E2512" s="91" t="s">
        <v>104</v>
      </c>
    </row>
    <row r="2513" spans="1:5" x14ac:dyDescent="0.25">
      <c r="A2513" s="94">
        <v>46057</v>
      </c>
      <c r="B2513" s="95">
        <v>511615.16499999998</v>
      </c>
      <c r="C2513" s="95">
        <v>4786687.3820000002</v>
      </c>
      <c r="D2513" s="95">
        <v>43.957000000000001</v>
      </c>
      <c r="E2513" s="91" t="s">
        <v>110</v>
      </c>
    </row>
    <row r="2514" spans="1:5" x14ac:dyDescent="0.25">
      <c r="A2514" s="94">
        <v>46057</v>
      </c>
      <c r="B2514" s="95">
        <v>511629.17700000003</v>
      </c>
      <c r="C2514" s="95">
        <v>4786680.057</v>
      </c>
      <c r="D2514" s="95">
        <v>48.462000000000003</v>
      </c>
      <c r="E2514" s="91" t="s">
        <v>105</v>
      </c>
    </row>
    <row r="2515" spans="1:5" x14ac:dyDescent="0.25">
      <c r="A2515" s="94">
        <v>46057</v>
      </c>
      <c r="B2515" s="95">
        <v>511629.30200000003</v>
      </c>
      <c r="C2515" s="95">
        <v>4786680.0199999996</v>
      </c>
      <c r="D2515" s="95">
        <v>45.944000000000003</v>
      </c>
      <c r="E2515" s="91" t="s">
        <v>106</v>
      </c>
    </row>
    <row r="2516" spans="1:5" x14ac:dyDescent="0.25">
      <c r="A2516" s="94">
        <v>46057</v>
      </c>
      <c r="B2516" s="95">
        <v>511642.27899999998</v>
      </c>
      <c r="C2516" s="95">
        <v>4786673.1179999998</v>
      </c>
      <c r="D2516" s="95">
        <v>48.442</v>
      </c>
      <c r="E2516" s="91" t="s">
        <v>107</v>
      </c>
    </row>
    <row r="2517" spans="1:5" x14ac:dyDescent="0.25">
      <c r="A2517" s="94">
        <v>46057</v>
      </c>
      <c r="B2517" s="95">
        <v>511642.43300000002</v>
      </c>
      <c r="C2517" s="95">
        <v>4786673.0070000002</v>
      </c>
      <c r="D2517" s="95">
        <v>45.938000000000002</v>
      </c>
      <c r="E2517" s="91" t="s">
        <v>108</v>
      </c>
    </row>
    <row r="2518" spans="1:5" x14ac:dyDescent="0.25">
      <c r="A2518" s="94">
        <v>46057</v>
      </c>
      <c r="B2518" s="95">
        <v>511642.462</v>
      </c>
      <c r="C2518" s="95">
        <v>4786672.9050000003</v>
      </c>
      <c r="D2518" s="95">
        <v>43.966000000000001</v>
      </c>
      <c r="E2518" s="91" t="s">
        <v>111</v>
      </c>
    </row>
    <row r="2519" spans="1:5" x14ac:dyDescent="0.25">
      <c r="A2519" s="94">
        <v>46057</v>
      </c>
      <c r="B2519" s="95">
        <v>511649.12</v>
      </c>
      <c r="C2519" s="95">
        <v>4786669.4029999999</v>
      </c>
      <c r="D2519" s="95">
        <v>43.945</v>
      </c>
      <c r="E2519" s="91" t="s">
        <v>113</v>
      </c>
    </row>
    <row r="2520" spans="1:5" x14ac:dyDescent="0.25">
      <c r="A2520" s="94">
        <v>46057</v>
      </c>
      <c r="B2520" s="95">
        <v>511662.30800000002</v>
      </c>
      <c r="C2520" s="95">
        <v>4786606.8789999997</v>
      </c>
      <c r="D2520" s="95">
        <v>46.238</v>
      </c>
      <c r="E2520" s="91" t="s">
        <v>145</v>
      </c>
    </row>
    <row r="2521" spans="1:5" x14ac:dyDescent="0.25">
      <c r="A2521" s="94">
        <v>46057</v>
      </c>
      <c r="B2521" s="95">
        <v>511607.174</v>
      </c>
      <c r="C2521" s="95">
        <v>4786690.8509999998</v>
      </c>
      <c r="D2521" s="95">
        <v>41.311999999999998</v>
      </c>
      <c r="E2521" s="91" t="s">
        <v>139</v>
      </c>
    </row>
    <row r="2522" spans="1:5" x14ac:dyDescent="0.25">
      <c r="A2522" s="94">
        <v>46057</v>
      </c>
      <c r="B2522" s="95">
        <v>511614.97700000001</v>
      </c>
      <c r="C2522" s="95">
        <v>4786686.6220000004</v>
      </c>
      <c r="D2522" s="95">
        <v>41.438000000000002</v>
      </c>
      <c r="E2522" s="91" t="s">
        <v>140</v>
      </c>
    </row>
    <row r="2523" spans="1:5" x14ac:dyDescent="0.25">
      <c r="A2523" s="94">
        <v>46057</v>
      </c>
      <c r="B2523" s="95">
        <v>511628.82699999999</v>
      </c>
      <c r="C2523" s="95">
        <v>4786679.1500000004</v>
      </c>
      <c r="D2523" s="95">
        <v>41.372</v>
      </c>
      <c r="E2523" s="91" t="s">
        <v>141</v>
      </c>
    </row>
    <row r="2524" spans="1:5" x14ac:dyDescent="0.25">
      <c r="A2524" s="94">
        <v>46057</v>
      </c>
      <c r="B2524" s="95">
        <v>511641.99599999998</v>
      </c>
      <c r="C2524" s="95">
        <v>4786671.95</v>
      </c>
      <c r="D2524" s="95">
        <v>41.509</v>
      </c>
      <c r="E2524" s="91" t="s">
        <v>142</v>
      </c>
    </row>
    <row r="2525" spans="1:5" x14ac:dyDescent="0.25">
      <c r="A2525" s="94">
        <v>46057</v>
      </c>
      <c r="B2525" s="95">
        <v>511648.77600000001</v>
      </c>
      <c r="C2525" s="95">
        <v>4786668.2709999997</v>
      </c>
      <c r="D2525" s="95">
        <v>41.307000000000002</v>
      </c>
      <c r="E2525" s="91" t="s">
        <v>143</v>
      </c>
    </row>
    <row r="2526" spans="1:5" x14ac:dyDescent="0.25">
      <c r="A2526" s="94">
        <v>46058</v>
      </c>
      <c r="B2526" s="95">
        <v>511615.09100000001</v>
      </c>
      <c r="C2526" s="95">
        <v>4786687.9780000001</v>
      </c>
      <c r="D2526" s="95">
        <v>51.027000000000001</v>
      </c>
      <c r="E2526" s="91" t="s">
        <v>96</v>
      </c>
    </row>
    <row r="2527" spans="1:5" x14ac:dyDescent="0.25">
      <c r="A2527" s="94">
        <v>46058</v>
      </c>
      <c r="B2527" s="95">
        <v>511628.87599999999</v>
      </c>
      <c r="C2527" s="95">
        <v>4786680.6409999998</v>
      </c>
      <c r="D2527" s="95">
        <v>51.037999999999997</v>
      </c>
      <c r="E2527" s="91" t="s">
        <v>97</v>
      </c>
    </row>
    <row r="2528" spans="1:5" x14ac:dyDescent="0.25">
      <c r="A2528" s="94">
        <v>46058</v>
      </c>
      <c r="B2528" s="95">
        <v>511642.57699999999</v>
      </c>
      <c r="C2528" s="95">
        <v>4786673.3430000003</v>
      </c>
      <c r="D2528" s="95">
        <v>51.046999999999997</v>
      </c>
      <c r="E2528" s="91" t="s">
        <v>98</v>
      </c>
    </row>
    <row r="2529" spans="1:5" x14ac:dyDescent="0.25">
      <c r="A2529" s="94">
        <v>46058</v>
      </c>
      <c r="B2529" s="95">
        <v>511607.69300000003</v>
      </c>
      <c r="C2529" s="95">
        <v>4786691.4179999996</v>
      </c>
      <c r="D2529" s="95">
        <v>43.942999999999998</v>
      </c>
      <c r="E2529" s="91" t="s">
        <v>112</v>
      </c>
    </row>
    <row r="2530" spans="1:5" x14ac:dyDescent="0.25">
      <c r="A2530" s="94">
        <v>46058</v>
      </c>
      <c r="B2530" s="95">
        <v>511629.41</v>
      </c>
      <c r="C2530" s="95">
        <v>4786679.9060000004</v>
      </c>
      <c r="D2530" s="95">
        <v>43.945</v>
      </c>
      <c r="E2530" s="91" t="s">
        <v>109</v>
      </c>
    </row>
    <row r="2531" spans="1:5" x14ac:dyDescent="0.25">
      <c r="A2531" s="94">
        <v>46058</v>
      </c>
      <c r="B2531" s="95">
        <v>511649.69900000002</v>
      </c>
      <c r="C2531" s="95">
        <v>4786682.1560000004</v>
      </c>
      <c r="D2531" s="95">
        <v>56.186</v>
      </c>
      <c r="E2531" s="91" t="s">
        <v>89</v>
      </c>
    </row>
    <row r="2532" spans="1:5" x14ac:dyDescent="0.25">
      <c r="A2532" s="94">
        <v>46058</v>
      </c>
      <c r="B2532" s="95">
        <v>511630.76</v>
      </c>
      <c r="C2532" s="95">
        <v>4786689.858</v>
      </c>
      <c r="D2532" s="95">
        <v>55.947000000000003</v>
      </c>
      <c r="E2532" s="91" t="s">
        <v>90</v>
      </c>
    </row>
    <row r="2533" spans="1:5" x14ac:dyDescent="0.25">
      <c r="A2533" s="94">
        <v>46058</v>
      </c>
      <c r="B2533" s="95">
        <v>511623.43099999998</v>
      </c>
      <c r="C2533" s="95">
        <v>4786694.074</v>
      </c>
      <c r="D2533" s="95">
        <v>54.779000000000003</v>
      </c>
      <c r="E2533" s="91" t="s">
        <v>91</v>
      </c>
    </row>
    <row r="2534" spans="1:5" x14ac:dyDescent="0.25">
      <c r="A2534" s="94">
        <v>46058</v>
      </c>
      <c r="B2534" s="95">
        <v>511613.31199999998</v>
      </c>
      <c r="C2534" s="95">
        <v>4786695.3030000003</v>
      </c>
      <c r="D2534" s="95">
        <v>60.567999999999998</v>
      </c>
      <c r="E2534" s="91" t="s">
        <v>92</v>
      </c>
    </row>
    <row r="2535" spans="1:5" x14ac:dyDescent="0.25">
      <c r="A2535" s="94">
        <v>46058</v>
      </c>
      <c r="B2535" s="95">
        <v>511614.75099999999</v>
      </c>
      <c r="C2535" s="95">
        <v>4786712.557</v>
      </c>
      <c r="D2535" s="95">
        <v>60.82</v>
      </c>
      <c r="E2535" s="91" t="s">
        <v>93</v>
      </c>
    </row>
    <row r="2536" spans="1:5" x14ac:dyDescent="0.25">
      <c r="A2536" s="94">
        <v>46058</v>
      </c>
      <c r="B2536" s="95">
        <v>511660.66399999999</v>
      </c>
      <c r="C2536" s="95">
        <v>4786683.4649999999</v>
      </c>
      <c r="D2536" s="95">
        <v>55.404000000000003</v>
      </c>
      <c r="E2536" s="91" t="s">
        <v>94</v>
      </c>
    </row>
    <row r="2537" spans="1:5" x14ac:dyDescent="0.25">
      <c r="A2537" s="94">
        <v>46058</v>
      </c>
      <c r="B2537" s="95">
        <v>511670.87400000001</v>
      </c>
      <c r="C2537" s="95">
        <v>4786685.9170000004</v>
      </c>
      <c r="D2537" s="95">
        <v>54.817999999999998</v>
      </c>
      <c r="E2537" s="91" t="s">
        <v>95</v>
      </c>
    </row>
    <row r="2538" spans="1:5" x14ac:dyDescent="0.25">
      <c r="A2538" s="94">
        <v>46058</v>
      </c>
      <c r="B2538" s="95">
        <v>511649.79</v>
      </c>
      <c r="C2538" s="95">
        <v>4786669.483</v>
      </c>
      <c r="D2538" s="95">
        <v>51.05</v>
      </c>
      <c r="E2538" s="91" t="s">
        <v>99</v>
      </c>
    </row>
    <row r="2539" spans="1:5" x14ac:dyDescent="0.25">
      <c r="A2539" s="94">
        <v>46058</v>
      </c>
      <c r="B2539" s="95">
        <v>511607.54499999998</v>
      </c>
      <c r="C2539" s="95">
        <v>4786691.9749999996</v>
      </c>
      <c r="D2539" s="95">
        <v>51.048999999999999</v>
      </c>
      <c r="E2539" s="91" t="s">
        <v>100</v>
      </c>
    </row>
    <row r="2540" spans="1:5" x14ac:dyDescent="0.25">
      <c r="A2540" s="94">
        <v>46058</v>
      </c>
      <c r="B2540" s="95">
        <v>511607.26199999999</v>
      </c>
      <c r="C2540" s="95">
        <v>4786692.1670000004</v>
      </c>
      <c r="D2540" s="95">
        <v>51.048999999999999</v>
      </c>
      <c r="E2540" s="91" t="s">
        <v>101</v>
      </c>
    </row>
    <row r="2541" spans="1:5" x14ac:dyDescent="0.25">
      <c r="A2541" s="94">
        <v>46058</v>
      </c>
      <c r="B2541" s="95">
        <v>511601.109</v>
      </c>
      <c r="C2541" s="95">
        <v>4786695.4119999995</v>
      </c>
      <c r="D2541" s="95">
        <v>51.04</v>
      </c>
      <c r="E2541" s="91" t="s">
        <v>102</v>
      </c>
    </row>
    <row r="2542" spans="1:5" x14ac:dyDescent="0.25">
      <c r="A2542" s="94">
        <v>46058</v>
      </c>
      <c r="B2542" s="95">
        <v>511615.24699999997</v>
      </c>
      <c r="C2542" s="95">
        <v>4786687.426</v>
      </c>
      <c r="D2542" s="95">
        <v>48.444000000000003</v>
      </c>
      <c r="E2542" s="91" t="s">
        <v>103</v>
      </c>
    </row>
    <row r="2543" spans="1:5" x14ac:dyDescent="0.25">
      <c r="A2543" s="94">
        <v>46058</v>
      </c>
      <c r="B2543" s="95">
        <v>511615.21899999998</v>
      </c>
      <c r="C2543" s="95">
        <v>4786687.3490000004</v>
      </c>
      <c r="D2543" s="95">
        <v>45.936999999999998</v>
      </c>
      <c r="E2543" s="91" t="s">
        <v>104</v>
      </c>
    </row>
    <row r="2544" spans="1:5" x14ac:dyDescent="0.25">
      <c r="A2544" s="94">
        <v>46058</v>
      </c>
      <c r="B2544" s="95">
        <v>511615.16800000001</v>
      </c>
      <c r="C2544" s="95">
        <v>4786687.3789999997</v>
      </c>
      <c r="D2544" s="95">
        <v>43.957999999999998</v>
      </c>
      <c r="E2544" s="91" t="s">
        <v>110</v>
      </c>
    </row>
    <row r="2545" spans="1:5" x14ac:dyDescent="0.25">
      <c r="A2545" s="94">
        <v>46058</v>
      </c>
      <c r="B2545" s="95">
        <v>511629.179</v>
      </c>
      <c r="C2545" s="95">
        <v>4786680.057</v>
      </c>
      <c r="D2545" s="95">
        <v>48.462000000000003</v>
      </c>
      <c r="E2545" s="91" t="s">
        <v>105</v>
      </c>
    </row>
    <row r="2546" spans="1:5" x14ac:dyDescent="0.25">
      <c r="A2546" s="94">
        <v>46058</v>
      </c>
      <c r="B2546" s="95">
        <v>511629.30300000001</v>
      </c>
      <c r="C2546" s="95">
        <v>4786680.0199999996</v>
      </c>
      <c r="D2546" s="95">
        <v>45.944000000000003</v>
      </c>
      <c r="E2546" s="91" t="s">
        <v>106</v>
      </c>
    </row>
    <row r="2547" spans="1:5" x14ac:dyDescent="0.25">
      <c r="A2547" s="94">
        <v>46058</v>
      </c>
      <c r="B2547" s="95">
        <v>511642.27799999999</v>
      </c>
      <c r="C2547" s="95">
        <v>4786673.1160000004</v>
      </c>
      <c r="D2547" s="95">
        <v>48.442999999999998</v>
      </c>
      <c r="E2547" s="91" t="s">
        <v>107</v>
      </c>
    </row>
    <row r="2548" spans="1:5" x14ac:dyDescent="0.25">
      <c r="A2548" s="94">
        <v>46058</v>
      </c>
      <c r="B2548" s="95">
        <v>511642.43300000002</v>
      </c>
      <c r="C2548" s="95">
        <v>4786673.0060000001</v>
      </c>
      <c r="D2548" s="95">
        <v>45.939</v>
      </c>
      <c r="E2548" s="91" t="s">
        <v>108</v>
      </c>
    </row>
    <row r="2549" spans="1:5" x14ac:dyDescent="0.25">
      <c r="A2549" s="94">
        <v>46058</v>
      </c>
      <c r="B2549" s="95">
        <v>511642.46500000003</v>
      </c>
      <c r="C2549" s="95">
        <v>4786672.9029999999</v>
      </c>
      <c r="D2549" s="95">
        <v>43.966000000000001</v>
      </c>
      <c r="E2549" s="91" t="s">
        <v>111</v>
      </c>
    </row>
    <row r="2550" spans="1:5" x14ac:dyDescent="0.25">
      <c r="A2550" s="94">
        <v>46058</v>
      </c>
      <c r="B2550" s="95">
        <v>511649.12300000002</v>
      </c>
      <c r="C2550" s="95">
        <v>4786669.4009999996</v>
      </c>
      <c r="D2550" s="95">
        <v>43.945999999999998</v>
      </c>
      <c r="E2550" s="91" t="s">
        <v>113</v>
      </c>
    </row>
    <row r="2551" spans="1:5" x14ac:dyDescent="0.25">
      <c r="A2551" s="94">
        <v>46058</v>
      </c>
      <c r="B2551" s="95">
        <v>511662.30800000002</v>
      </c>
      <c r="C2551" s="95">
        <v>4786606.8770000003</v>
      </c>
      <c r="D2551" s="95">
        <v>46.238</v>
      </c>
      <c r="E2551" s="91" t="s">
        <v>145</v>
      </c>
    </row>
    <row r="2552" spans="1:5" x14ac:dyDescent="0.25">
      <c r="A2552" s="94">
        <v>46058</v>
      </c>
      <c r="B2552" s="95">
        <v>511662.15299999999</v>
      </c>
      <c r="C2552" s="95">
        <v>4786607.0539999995</v>
      </c>
      <c r="D2552" s="95">
        <v>44.673999999999999</v>
      </c>
      <c r="E2552" s="91" t="s">
        <v>146</v>
      </c>
    </row>
    <row r="2553" spans="1:5" x14ac:dyDescent="0.25">
      <c r="A2553" s="94">
        <v>46058</v>
      </c>
      <c r="B2553" s="95">
        <v>511673.81699999998</v>
      </c>
      <c r="C2553" s="95">
        <v>4786631.07</v>
      </c>
      <c r="D2553" s="95">
        <v>40.158000000000001</v>
      </c>
      <c r="E2553" s="91" t="s">
        <v>147</v>
      </c>
    </row>
    <row r="2554" spans="1:5" x14ac:dyDescent="0.25">
      <c r="A2554" s="94">
        <v>46058</v>
      </c>
      <c r="B2554" s="95">
        <v>511573.397</v>
      </c>
      <c r="C2554" s="95">
        <v>4786684.3569999998</v>
      </c>
      <c r="D2554" s="95">
        <v>43.466999999999999</v>
      </c>
      <c r="E2554" s="91" t="s">
        <v>148</v>
      </c>
    </row>
    <row r="2555" spans="1:5" x14ac:dyDescent="0.25">
      <c r="A2555" s="94">
        <v>46058</v>
      </c>
      <c r="B2555" s="95">
        <v>511575.48100000003</v>
      </c>
      <c r="C2555" s="95">
        <v>4786688.2300000004</v>
      </c>
      <c r="D2555" s="95">
        <v>43.424999999999997</v>
      </c>
      <c r="E2555" s="91" t="s">
        <v>149</v>
      </c>
    </row>
    <row r="2556" spans="1:5" x14ac:dyDescent="0.25">
      <c r="A2556" s="94">
        <v>46058</v>
      </c>
      <c r="B2556" s="95">
        <v>511577.68199999997</v>
      </c>
      <c r="C2556" s="95">
        <v>4786692.2829999998</v>
      </c>
      <c r="D2556" s="95">
        <v>43.613999999999997</v>
      </c>
      <c r="E2556" s="91" t="s">
        <v>150</v>
      </c>
    </row>
    <row r="2557" spans="1:5" x14ac:dyDescent="0.25">
      <c r="A2557" s="94">
        <v>46058</v>
      </c>
      <c r="B2557" s="95">
        <v>511579.78499999997</v>
      </c>
      <c r="C2557" s="95">
        <v>4786696.199</v>
      </c>
      <c r="D2557" s="95">
        <v>43.686</v>
      </c>
      <c r="E2557" s="91" t="s">
        <v>151</v>
      </c>
    </row>
    <row r="2558" spans="1:5" x14ac:dyDescent="0.25">
      <c r="A2558" s="94">
        <v>46058</v>
      </c>
      <c r="B2558" s="95">
        <v>511607.17700000003</v>
      </c>
      <c r="C2558" s="95">
        <v>4786690.8480000002</v>
      </c>
      <c r="D2558" s="95">
        <v>41.313000000000002</v>
      </c>
      <c r="E2558" s="91" t="s">
        <v>139</v>
      </c>
    </row>
    <row r="2559" spans="1:5" x14ac:dyDescent="0.25">
      <c r="A2559" s="94">
        <v>46058</v>
      </c>
      <c r="B2559" s="95">
        <v>511614.98</v>
      </c>
      <c r="C2559" s="95">
        <v>4786686.6189999999</v>
      </c>
      <c r="D2559" s="95">
        <v>41.439</v>
      </c>
      <c r="E2559" s="91" t="s">
        <v>140</v>
      </c>
    </row>
    <row r="2560" spans="1:5" x14ac:dyDescent="0.25">
      <c r="A2560" s="94">
        <v>46058</v>
      </c>
      <c r="B2560" s="95">
        <v>511628.83</v>
      </c>
      <c r="C2560" s="95">
        <v>4786679.148</v>
      </c>
      <c r="D2560" s="95">
        <v>41.372</v>
      </c>
      <c r="E2560" s="91" t="s">
        <v>141</v>
      </c>
    </row>
    <row r="2561" spans="1:5" x14ac:dyDescent="0.25">
      <c r="A2561" s="94">
        <v>46058</v>
      </c>
      <c r="B2561" s="95">
        <v>511641.99900000001</v>
      </c>
      <c r="C2561" s="95">
        <v>4786671.9469999997</v>
      </c>
      <c r="D2561" s="95">
        <v>41.51</v>
      </c>
      <c r="E2561" s="91" t="s">
        <v>142</v>
      </c>
    </row>
    <row r="2562" spans="1:5" x14ac:dyDescent="0.25">
      <c r="A2562" s="94">
        <v>46058</v>
      </c>
      <c r="B2562" s="95">
        <v>511648.77799999999</v>
      </c>
      <c r="C2562" s="95">
        <v>4786668.2680000002</v>
      </c>
      <c r="D2562" s="95">
        <v>41.308</v>
      </c>
      <c r="E2562" s="91" t="s">
        <v>143</v>
      </c>
    </row>
    <row r="2563" spans="1:5" x14ac:dyDescent="0.25">
      <c r="A2563" s="94">
        <v>46059</v>
      </c>
      <c r="B2563" s="95">
        <v>511615.09</v>
      </c>
      <c r="C2563" s="95">
        <v>4786687.977</v>
      </c>
      <c r="D2563" s="95">
        <v>51.027000000000001</v>
      </c>
      <c r="E2563" s="91" t="s">
        <v>96</v>
      </c>
    </row>
    <row r="2564" spans="1:5" x14ac:dyDescent="0.25">
      <c r="A2564" s="94">
        <v>46059</v>
      </c>
      <c r="B2564" s="95">
        <v>511628.87699999998</v>
      </c>
      <c r="C2564" s="95">
        <v>4786680.6409999998</v>
      </c>
      <c r="D2564" s="95">
        <v>51.037999999999997</v>
      </c>
      <c r="E2564" s="91" t="s">
        <v>97</v>
      </c>
    </row>
    <row r="2565" spans="1:5" x14ac:dyDescent="0.25">
      <c r="A2565" s="94">
        <v>46059</v>
      </c>
      <c r="B2565" s="95">
        <v>511642.57699999999</v>
      </c>
      <c r="C2565" s="95">
        <v>4786673.3439999996</v>
      </c>
      <c r="D2565" s="95">
        <v>51.046999999999997</v>
      </c>
      <c r="E2565" s="91" t="s">
        <v>98</v>
      </c>
    </row>
    <row r="2566" spans="1:5" x14ac:dyDescent="0.25">
      <c r="A2566" s="94">
        <v>46059</v>
      </c>
      <c r="B2566" s="95">
        <v>511607.68599999999</v>
      </c>
      <c r="C2566" s="95">
        <v>4786691.42</v>
      </c>
      <c r="D2566" s="95">
        <v>43.942999999999998</v>
      </c>
      <c r="E2566" s="91" t="s">
        <v>112</v>
      </c>
    </row>
    <row r="2567" spans="1:5" x14ac:dyDescent="0.25">
      <c r="A2567" s="94">
        <v>46059</v>
      </c>
      <c r="B2567" s="95">
        <v>511629.40500000003</v>
      </c>
      <c r="C2567" s="95">
        <v>4786679.91</v>
      </c>
      <c r="D2567" s="95">
        <v>43.945</v>
      </c>
      <c r="E2567" s="91" t="s">
        <v>109</v>
      </c>
    </row>
    <row r="2568" spans="1:5" x14ac:dyDescent="0.25">
      <c r="A2568" s="94">
        <v>46059</v>
      </c>
      <c r="B2568" s="95">
        <v>511649.7</v>
      </c>
      <c r="C2568" s="95">
        <v>4786682.1550000003</v>
      </c>
      <c r="D2568" s="95">
        <v>56.186</v>
      </c>
      <c r="E2568" s="91" t="s">
        <v>89</v>
      </c>
    </row>
    <row r="2569" spans="1:5" x14ac:dyDescent="0.25">
      <c r="A2569" s="94">
        <v>46059</v>
      </c>
      <c r="B2569" s="95">
        <v>511630.75799999997</v>
      </c>
      <c r="C2569" s="95">
        <v>4786689.8559999997</v>
      </c>
      <c r="D2569" s="95">
        <v>55.947000000000003</v>
      </c>
      <c r="E2569" s="91" t="s">
        <v>90</v>
      </c>
    </row>
    <row r="2570" spans="1:5" x14ac:dyDescent="0.25">
      <c r="A2570" s="94">
        <v>46059</v>
      </c>
      <c r="B2570" s="95">
        <v>511623.429</v>
      </c>
      <c r="C2570" s="95">
        <v>4786694.0719999997</v>
      </c>
      <c r="D2570" s="95">
        <v>54.779000000000003</v>
      </c>
      <c r="E2570" s="91" t="s">
        <v>91</v>
      </c>
    </row>
    <row r="2571" spans="1:5" x14ac:dyDescent="0.25">
      <c r="A2571" s="94">
        <v>46059</v>
      </c>
      <c r="B2571" s="95">
        <v>511613.31199999998</v>
      </c>
      <c r="C2571" s="95">
        <v>4786695.3030000003</v>
      </c>
      <c r="D2571" s="95">
        <v>60.567999999999998</v>
      </c>
      <c r="E2571" s="91" t="s">
        <v>92</v>
      </c>
    </row>
    <row r="2572" spans="1:5" x14ac:dyDescent="0.25">
      <c r="A2572" s="94">
        <v>46059</v>
      </c>
      <c r="B2572" s="95">
        <v>511614.75</v>
      </c>
      <c r="C2572" s="95">
        <v>4786712.5559999999</v>
      </c>
      <c r="D2572" s="95">
        <v>60.82</v>
      </c>
      <c r="E2572" s="91" t="s">
        <v>93</v>
      </c>
    </row>
    <row r="2573" spans="1:5" x14ac:dyDescent="0.25">
      <c r="A2573" s="94">
        <v>46059</v>
      </c>
      <c r="B2573" s="95">
        <v>511660.66200000001</v>
      </c>
      <c r="C2573" s="95">
        <v>4786683.466</v>
      </c>
      <c r="D2573" s="95">
        <v>55.402999999999999</v>
      </c>
      <c r="E2573" s="91" t="s">
        <v>94</v>
      </c>
    </row>
    <row r="2574" spans="1:5" x14ac:dyDescent="0.25">
      <c r="A2574" s="94">
        <v>46059</v>
      </c>
      <c r="B2574" s="95">
        <v>511660.66399999999</v>
      </c>
      <c r="C2574" s="95">
        <v>4786683.466</v>
      </c>
      <c r="D2574" s="95">
        <v>55.402999999999999</v>
      </c>
      <c r="E2574" s="91" t="s">
        <v>94</v>
      </c>
    </row>
    <row r="2575" spans="1:5" x14ac:dyDescent="0.25">
      <c r="A2575" s="94">
        <v>46059</v>
      </c>
      <c r="B2575" s="95">
        <v>511670.87199999997</v>
      </c>
      <c r="C2575" s="95">
        <v>4786685.9170000004</v>
      </c>
      <c r="D2575" s="95">
        <v>54.817999999999998</v>
      </c>
      <c r="E2575" s="91" t="s">
        <v>95</v>
      </c>
    </row>
    <row r="2576" spans="1:5" x14ac:dyDescent="0.25">
      <c r="A2576" s="94">
        <v>46059</v>
      </c>
      <c r="B2576" s="95">
        <v>511649.78899999999</v>
      </c>
      <c r="C2576" s="95">
        <v>4786669.4840000002</v>
      </c>
      <c r="D2576" s="95">
        <v>51.05</v>
      </c>
      <c r="E2576" s="91" t="s">
        <v>99</v>
      </c>
    </row>
    <row r="2577" spans="1:5" x14ac:dyDescent="0.25">
      <c r="A2577" s="94">
        <v>46059</v>
      </c>
      <c r="B2577" s="95">
        <v>511607.54399999999</v>
      </c>
      <c r="C2577" s="95">
        <v>4786691.9740000004</v>
      </c>
      <c r="D2577" s="95">
        <v>51.048999999999999</v>
      </c>
      <c r="E2577" s="91" t="s">
        <v>100</v>
      </c>
    </row>
    <row r="2578" spans="1:5" x14ac:dyDescent="0.25">
      <c r="A2578" s="94">
        <v>46059</v>
      </c>
      <c r="B2578" s="95">
        <v>511607.261</v>
      </c>
      <c r="C2578" s="95">
        <v>4786692.1670000004</v>
      </c>
      <c r="D2578" s="95">
        <v>51.05</v>
      </c>
      <c r="E2578" s="91" t="s">
        <v>101</v>
      </c>
    </row>
    <row r="2579" spans="1:5" x14ac:dyDescent="0.25">
      <c r="A2579" s="94">
        <v>46059</v>
      </c>
      <c r="B2579" s="95">
        <v>511601.109</v>
      </c>
      <c r="C2579" s="95">
        <v>4786695.4119999995</v>
      </c>
      <c r="D2579" s="95">
        <v>51.04</v>
      </c>
      <c r="E2579" s="91" t="s">
        <v>102</v>
      </c>
    </row>
    <row r="2580" spans="1:5" x14ac:dyDescent="0.25">
      <c r="A2580" s="94">
        <v>46059</v>
      </c>
      <c r="B2580" s="95">
        <v>511615.24699999997</v>
      </c>
      <c r="C2580" s="95">
        <v>4786687.426</v>
      </c>
      <c r="D2580" s="95">
        <v>48.444000000000003</v>
      </c>
      <c r="E2580" s="91" t="s">
        <v>103</v>
      </c>
    </row>
    <row r="2581" spans="1:5" x14ac:dyDescent="0.25">
      <c r="A2581" s="94">
        <v>46059</v>
      </c>
      <c r="B2581" s="95">
        <v>511615.21899999998</v>
      </c>
      <c r="C2581" s="95">
        <v>4786687.3490000004</v>
      </c>
      <c r="D2581" s="95">
        <v>45.936</v>
      </c>
      <c r="E2581" s="91" t="s">
        <v>104</v>
      </c>
    </row>
    <row r="2582" spans="1:5" x14ac:dyDescent="0.25">
      <c r="A2582" s="94">
        <v>46059</v>
      </c>
      <c r="B2582" s="95">
        <v>511615.16200000001</v>
      </c>
      <c r="C2582" s="95">
        <v>4786687.3830000004</v>
      </c>
      <c r="D2582" s="95">
        <v>43.957000000000001</v>
      </c>
      <c r="E2582" s="91" t="s">
        <v>110</v>
      </c>
    </row>
    <row r="2583" spans="1:5" x14ac:dyDescent="0.25">
      <c r="A2583" s="94">
        <v>46059</v>
      </c>
      <c r="B2583" s="95">
        <v>511629.17800000001</v>
      </c>
      <c r="C2583" s="95">
        <v>4786680.057</v>
      </c>
      <c r="D2583" s="95">
        <v>48.462000000000003</v>
      </c>
      <c r="E2583" s="91" t="s">
        <v>105</v>
      </c>
    </row>
    <row r="2584" spans="1:5" x14ac:dyDescent="0.25">
      <c r="A2584" s="94">
        <v>46059</v>
      </c>
      <c r="B2584" s="95">
        <v>511629.30200000003</v>
      </c>
      <c r="C2584" s="95">
        <v>4786680.0190000003</v>
      </c>
      <c r="D2584" s="95">
        <v>45.944000000000003</v>
      </c>
      <c r="E2584" s="91" t="s">
        <v>106</v>
      </c>
    </row>
    <row r="2585" spans="1:5" x14ac:dyDescent="0.25">
      <c r="A2585" s="94">
        <v>46059</v>
      </c>
      <c r="B2585" s="95">
        <v>511642.277</v>
      </c>
      <c r="C2585" s="95">
        <v>4786673.1169999996</v>
      </c>
      <c r="D2585" s="95">
        <v>48.442</v>
      </c>
      <c r="E2585" s="91" t="s">
        <v>107</v>
      </c>
    </row>
    <row r="2586" spans="1:5" x14ac:dyDescent="0.25">
      <c r="A2586" s="94">
        <v>46059</v>
      </c>
      <c r="B2586" s="95">
        <v>511642.43099999998</v>
      </c>
      <c r="C2586" s="95">
        <v>4786673.0060000001</v>
      </c>
      <c r="D2586" s="95">
        <v>45.938000000000002</v>
      </c>
      <c r="E2586" s="91" t="s">
        <v>108</v>
      </c>
    </row>
    <row r="2587" spans="1:5" x14ac:dyDescent="0.25">
      <c r="A2587" s="94">
        <v>46059</v>
      </c>
      <c r="B2587" s="95">
        <v>511642.473</v>
      </c>
      <c r="C2587" s="95">
        <v>4786672.8930000002</v>
      </c>
      <c r="D2587" s="95">
        <v>43.97</v>
      </c>
      <c r="E2587" s="91" t="s">
        <v>111</v>
      </c>
    </row>
    <row r="2588" spans="1:5" x14ac:dyDescent="0.25">
      <c r="A2588" s="94">
        <v>46059</v>
      </c>
      <c r="B2588" s="95">
        <v>511649.12900000002</v>
      </c>
      <c r="C2588" s="95">
        <v>4786669.3890000004</v>
      </c>
      <c r="D2588" s="95">
        <v>43.95</v>
      </c>
      <c r="E2588" s="91" t="s">
        <v>113</v>
      </c>
    </row>
    <row r="2589" spans="1:5" x14ac:dyDescent="0.25">
      <c r="A2589" s="94">
        <v>46059</v>
      </c>
      <c r="B2589" s="95">
        <v>511662.31300000002</v>
      </c>
      <c r="C2589" s="95">
        <v>4786606.875</v>
      </c>
      <c r="D2589" s="95">
        <v>46.226999999999997</v>
      </c>
      <c r="E2589" s="91" t="s">
        <v>145</v>
      </c>
    </row>
    <row r="2590" spans="1:5" x14ac:dyDescent="0.25">
      <c r="A2590" s="94">
        <v>46059</v>
      </c>
      <c r="B2590" s="95">
        <v>511662.15700000001</v>
      </c>
      <c r="C2590" s="95">
        <v>4786607.0520000001</v>
      </c>
      <c r="D2590" s="95">
        <v>44.674999999999997</v>
      </c>
      <c r="E2590" s="91" t="s">
        <v>146</v>
      </c>
    </row>
    <row r="2591" spans="1:5" x14ac:dyDescent="0.25">
      <c r="A2591" s="94">
        <v>46059</v>
      </c>
      <c r="B2591" s="95">
        <v>511673.81199999998</v>
      </c>
      <c r="C2591" s="95">
        <v>4786631.0769999996</v>
      </c>
      <c r="D2591" s="95">
        <v>40.159999999999997</v>
      </c>
      <c r="E2591" s="91" t="s">
        <v>147</v>
      </c>
    </row>
    <row r="2592" spans="1:5" x14ac:dyDescent="0.25">
      <c r="A2592" s="94">
        <v>46059</v>
      </c>
      <c r="B2592" s="95">
        <v>511573.391</v>
      </c>
      <c r="C2592" s="95">
        <v>4786684.3559999997</v>
      </c>
      <c r="D2592" s="95">
        <v>43.466999999999999</v>
      </c>
      <c r="E2592" s="91" t="s">
        <v>148</v>
      </c>
    </row>
    <row r="2593" spans="1:5" x14ac:dyDescent="0.25">
      <c r="A2593" s="94">
        <v>46059</v>
      </c>
      <c r="B2593" s="95">
        <v>511575.47600000002</v>
      </c>
      <c r="C2593" s="95">
        <v>4786688.2300000004</v>
      </c>
      <c r="D2593" s="95">
        <v>43.426000000000002</v>
      </c>
      <c r="E2593" s="91" t="s">
        <v>149</v>
      </c>
    </row>
    <row r="2594" spans="1:5" x14ac:dyDescent="0.25">
      <c r="A2594" s="94">
        <v>46059</v>
      </c>
      <c r="B2594" s="95">
        <v>511577.67599999998</v>
      </c>
      <c r="C2594" s="95">
        <v>4786692.2819999997</v>
      </c>
      <c r="D2594" s="95">
        <v>43.615000000000002</v>
      </c>
      <c r="E2594" s="91" t="s">
        <v>150</v>
      </c>
    </row>
    <row r="2595" spans="1:5" x14ac:dyDescent="0.25">
      <c r="A2595" s="94">
        <v>46059</v>
      </c>
      <c r="B2595" s="95">
        <v>511579.77799999999</v>
      </c>
      <c r="C2595" s="95">
        <v>4786696.2</v>
      </c>
      <c r="D2595" s="95">
        <v>43.686999999999998</v>
      </c>
      <c r="E2595" s="91" t="s">
        <v>151</v>
      </c>
    </row>
    <row r="2596" spans="1:5" x14ac:dyDescent="0.25">
      <c r="A2596" s="94">
        <v>46059</v>
      </c>
      <c r="B2596" s="95">
        <v>511607.17200000002</v>
      </c>
      <c r="C2596" s="95">
        <v>4786690.8530000001</v>
      </c>
      <c r="D2596" s="95">
        <v>41.313000000000002</v>
      </c>
      <c r="E2596" s="91" t="s">
        <v>139</v>
      </c>
    </row>
    <row r="2597" spans="1:5" x14ac:dyDescent="0.25">
      <c r="A2597" s="94">
        <v>46059</v>
      </c>
      <c r="B2597" s="95">
        <v>511614.973</v>
      </c>
      <c r="C2597" s="95">
        <v>4786686.6210000003</v>
      </c>
      <c r="D2597" s="95">
        <v>41.439</v>
      </c>
      <c r="E2597" s="91" t="s">
        <v>140</v>
      </c>
    </row>
    <row r="2598" spans="1:5" x14ac:dyDescent="0.25">
      <c r="A2598" s="94">
        <v>46059</v>
      </c>
      <c r="B2598" s="95">
        <v>511628.82400000002</v>
      </c>
      <c r="C2598" s="95">
        <v>4786679.1509999996</v>
      </c>
      <c r="D2598" s="95">
        <v>41.372</v>
      </c>
      <c r="E2598" s="91" t="s">
        <v>141</v>
      </c>
    </row>
    <row r="2599" spans="1:5" x14ac:dyDescent="0.25">
      <c r="A2599" s="94">
        <v>46059</v>
      </c>
      <c r="B2599" s="95">
        <v>511641.99300000002</v>
      </c>
      <c r="C2599" s="95">
        <v>4786671.9510000004</v>
      </c>
      <c r="D2599" s="95">
        <v>41.51</v>
      </c>
      <c r="E2599" s="91" t="s">
        <v>142</v>
      </c>
    </row>
    <row r="2600" spans="1:5" x14ac:dyDescent="0.25">
      <c r="A2600" s="94">
        <v>46059</v>
      </c>
      <c r="B2600" s="95">
        <v>511648.77399999998</v>
      </c>
      <c r="C2600" s="95">
        <v>4786668.2719999999</v>
      </c>
      <c r="D2600" s="95">
        <v>41.308</v>
      </c>
      <c r="E2600" s="91" t="s">
        <v>143</v>
      </c>
    </row>
    <row r="2601" spans="1:5" x14ac:dyDescent="0.25">
      <c r="A2601" s="94">
        <v>46062</v>
      </c>
      <c r="B2601" s="95">
        <v>511615.09</v>
      </c>
      <c r="C2601" s="95">
        <v>4786687.977</v>
      </c>
      <c r="D2601" s="95">
        <v>51.027000000000001</v>
      </c>
      <c r="E2601" s="91" t="s">
        <v>96</v>
      </c>
    </row>
    <row r="2602" spans="1:5" x14ac:dyDescent="0.25">
      <c r="A2602" s="94">
        <v>46062</v>
      </c>
      <c r="B2602" s="95">
        <v>511615.09100000001</v>
      </c>
      <c r="C2602" s="95">
        <v>4786687.9780000001</v>
      </c>
      <c r="D2602" s="95">
        <v>51.027000000000001</v>
      </c>
      <c r="E2602" s="91" t="s">
        <v>96</v>
      </c>
    </row>
    <row r="2603" spans="1:5" x14ac:dyDescent="0.25">
      <c r="A2603" s="94">
        <v>46062</v>
      </c>
      <c r="B2603" s="95">
        <v>511628.875</v>
      </c>
      <c r="C2603" s="95">
        <v>4786680.6409999998</v>
      </c>
      <c r="D2603" s="95">
        <v>51.037999999999997</v>
      </c>
      <c r="E2603" s="91" t="s">
        <v>97</v>
      </c>
    </row>
    <row r="2604" spans="1:5" x14ac:dyDescent="0.25">
      <c r="A2604" s="94">
        <v>46062</v>
      </c>
      <c r="B2604" s="95">
        <v>511642.57500000001</v>
      </c>
      <c r="C2604" s="95">
        <v>4786673.3430000003</v>
      </c>
      <c r="D2604" s="95">
        <v>51.045999999999999</v>
      </c>
      <c r="E2604" s="91" t="s">
        <v>98</v>
      </c>
    </row>
    <row r="2605" spans="1:5" x14ac:dyDescent="0.25">
      <c r="A2605" s="94">
        <v>46062</v>
      </c>
      <c r="B2605" s="95">
        <v>511607.68699999998</v>
      </c>
      <c r="C2605" s="95">
        <v>4786691.4220000003</v>
      </c>
      <c r="D2605" s="95">
        <v>43.942</v>
      </c>
      <c r="E2605" s="91" t="s">
        <v>112</v>
      </c>
    </row>
    <row r="2606" spans="1:5" x14ac:dyDescent="0.25">
      <c r="A2606" s="94">
        <v>46062</v>
      </c>
      <c r="B2606" s="95">
        <v>511629.40600000002</v>
      </c>
      <c r="C2606" s="95">
        <v>4786679.9119999995</v>
      </c>
      <c r="D2606" s="95">
        <v>43.944000000000003</v>
      </c>
      <c r="E2606" s="91" t="s">
        <v>109</v>
      </c>
    </row>
    <row r="2607" spans="1:5" x14ac:dyDescent="0.25">
      <c r="A2607" s="94">
        <v>46062</v>
      </c>
      <c r="B2607" s="95">
        <v>511649.69900000002</v>
      </c>
      <c r="C2607" s="95">
        <v>4786682.1560000004</v>
      </c>
      <c r="D2607" s="95">
        <v>56.186</v>
      </c>
      <c r="E2607" s="91" t="s">
        <v>89</v>
      </c>
    </row>
    <row r="2608" spans="1:5" x14ac:dyDescent="0.25">
      <c r="A2608" s="94">
        <v>46062</v>
      </c>
      <c r="B2608" s="95">
        <v>511630.75900000002</v>
      </c>
      <c r="C2608" s="95">
        <v>4786689.8569999998</v>
      </c>
      <c r="D2608" s="95">
        <v>55.947000000000003</v>
      </c>
      <c r="E2608" s="91" t="s">
        <v>90</v>
      </c>
    </row>
    <row r="2609" spans="1:5" x14ac:dyDescent="0.25">
      <c r="A2609" s="94">
        <v>46062</v>
      </c>
      <c r="B2609" s="95">
        <v>511623.429</v>
      </c>
      <c r="C2609" s="95">
        <v>4786694.0729999999</v>
      </c>
      <c r="D2609" s="95">
        <v>54.779000000000003</v>
      </c>
      <c r="E2609" s="91" t="s">
        <v>91</v>
      </c>
    </row>
    <row r="2610" spans="1:5" x14ac:dyDescent="0.25">
      <c r="A2610" s="94">
        <v>46062</v>
      </c>
      <c r="B2610" s="95">
        <v>511613.31099999999</v>
      </c>
      <c r="C2610" s="95">
        <v>4786695.3030000003</v>
      </c>
      <c r="D2610" s="95">
        <v>60.567999999999998</v>
      </c>
      <c r="E2610" s="91" t="s">
        <v>92</v>
      </c>
    </row>
    <row r="2611" spans="1:5" x14ac:dyDescent="0.25">
      <c r="A2611" s="94">
        <v>46062</v>
      </c>
      <c r="B2611" s="95">
        <v>511614.75</v>
      </c>
      <c r="C2611" s="95">
        <v>4786712.557</v>
      </c>
      <c r="D2611" s="95">
        <v>60.82</v>
      </c>
      <c r="E2611" s="91" t="s">
        <v>93</v>
      </c>
    </row>
    <row r="2612" spans="1:5" x14ac:dyDescent="0.25">
      <c r="A2612" s="94">
        <v>46062</v>
      </c>
      <c r="B2612" s="95">
        <v>511660.66200000001</v>
      </c>
      <c r="C2612" s="95">
        <v>4786683.4649999999</v>
      </c>
      <c r="D2612" s="95">
        <v>55.402000000000001</v>
      </c>
      <c r="E2612" s="91" t="s">
        <v>94</v>
      </c>
    </row>
    <row r="2613" spans="1:5" x14ac:dyDescent="0.25">
      <c r="A2613" s="94">
        <v>46062</v>
      </c>
      <c r="B2613" s="95">
        <v>511670.87300000002</v>
      </c>
      <c r="C2613" s="95">
        <v>4786685.9179999996</v>
      </c>
      <c r="D2613" s="95">
        <v>54.817999999999998</v>
      </c>
      <c r="E2613" s="91" t="s">
        <v>95</v>
      </c>
    </row>
    <row r="2614" spans="1:5" x14ac:dyDescent="0.25">
      <c r="A2614" s="94">
        <v>46062</v>
      </c>
      <c r="B2614" s="95">
        <v>511649.788</v>
      </c>
      <c r="C2614" s="95">
        <v>4786669.483</v>
      </c>
      <c r="D2614" s="95">
        <v>51.05</v>
      </c>
      <c r="E2614" s="91" t="s">
        <v>99</v>
      </c>
    </row>
    <row r="2615" spans="1:5" x14ac:dyDescent="0.25">
      <c r="A2615" s="94">
        <v>46062</v>
      </c>
      <c r="B2615" s="95">
        <v>511607.54499999998</v>
      </c>
      <c r="C2615" s="95">
        <v>4786691.9740000004</v>
      </c>
      <c r="D2615" s="95">
        <v>51.048999999999999</v>
      </c>
      <c r="E2615" s="91" t="s">
        <v>100</v>
      </c>
    </row>
    <row r="2616" spans="1:5" x14ac:dyDescent="0.25">
      <c r="A2616" s="94">
        <v>46062</v>
      </c>
      <c r="B2616" s="95">
        <v>511607.26</v>
      </c>
      <c r="C2616" s="95">
        <v>4786692.1670000004</v>
      </c>
      <c r="D2616" s="95">
        <v>51.048999999999999</v>
      </c>
      <c r="E2616" s="91" t="s">
        <v>101</v>
      </c>
    </row>
    <row r="2617" spans="1:5" x14ac:dyDescent="0.25">
      <c r="A2617" s="94">
        <v>46062</v>
      </c>
      <c r="B2617" s="95">
        <v>511601.10800000001</v>
      </c>
      <c r="C2617" s="95">
        <v>4786695.4110000003</v>
      </c>
      <c r="D2617" s="95">
        <v>51.04</v>
      </c>
      <c r="E2617" s="91" t="s">
        <v>102</v>
      </c>
    </row>
    <row r="2618" spans="1:5" x14ac:dyDescent="0.25">
      <c r="A2618" s="94">
        <v>46062</v>
      </c>
      <c r="B2618" s="95">
        <v>511615.24599999998</v>
      </c>
      <c r="C2618" s="95">
        <v>4786687.426</v>
      </c>
      <c r="D2618" s="95">
        <v>48.444000000000003</v>
      </c>
      <c r="E2618" s="91" t="s">
        <v>103</v>
      </c>
    </row>
    <row r="2619" spans="1:5" x14ac:dyDescent="0.25">
      <c r="A2619" s="94">
        <v>46062</v>
      </c>
      <c r="B2619" s="95">
        <v>511615.21899999998</v>
      </c>
      <c r="C2619" s="95">
        <v>4786687.3490000004</v>
      </c>
      <c r="D2619" s="95">
        <v>45.936</v>
      </c>
      <c r="E2619" s="91" t="s">
        <v>104</v>
      </c>
    </row>
    <row r="2620" spans="1:5" x14ac:dyDescent="0.25">
      <c r="A2620" s="94">
        <v>46062</v>
      </c>
      <c r="B2620" s="95">
        <v>511615.16200000001</v>
      </c>
      <c r="C2620" s="95">
        <v>4786687.3839999996</v>
      </c>
      <c r="D2620" s="95">
        <v>43.957000000000001</v>
      </c>
      <c r="E2620" s="91" t="s">
        <v>110</v>
      </c>
    </row>
    <row r="2621" spans="1:5" x14ac:dyDescent="0.25">
      <c r="A2621" s="94">
        <v>46062</v>
      </c>
      <c r="B2621" s="95">
        <v>511629.17800000001</v>
      </c>
      <c r="C2621" s="95">
        <v>4786680.057</v>
      </c>
      <c r="D2621" s="95">
        <v>48.462000000000003</v>
      </c>
      <c r="E2621" s="91" t="s">
        <v>105</v>
      </c>
    </row>
    <row r="2622" spans="1:5" x14ac:dyDescent="0.25">
      <c r="A2622" s="94">
        <v>46062</v>
      </c>
      <c r="B2622" s="95">
        <v>511629.30200000003</v>
      </c>
      <c r="C2622" s="95">
        <v>4786680.0199999996</v>
      </c>
      <c r="D2622" s="95">
        <v>45.944000000000003</v>
      </c>
      <c r="E2622" s="91" t="s">
        <v>106</v>
      </c>
    </row>
    <row r="2623" spans="1:5" x14ac:dyDescent="0.25">
      <c r="A2623" s="94">
        <v>46062</v>
      </c>
      <c r="B2623" s="95">
        <v>511642.27500000002</v>
      </c>
      <c r="C2623" s="95">
        <v>4786673.1160000004</v>
      </c>
      <c r="D2623" s="95">
        <v>48.442999999999998</v>
      </c>
      <c r="E2623" s="91" t="s">
        <v>107</v>
      </c>
    </row>
    <row r="2624" spans="1:5" x14ac:dyDescent="0.25">
      <c r="A2624" s="94">
        <v>46062</v>
      </c>
      <c r="B2624" s="95">
        <v>511642.43199999997</v>
      </c>
      <c r="C2624" s="95">
        <v>4786673.0060000001</v>
      </c>
      <c r="D2624" s="95">
        <v>45.938000000000002</v>
      </c>
      <c r="E2624" s="91" t="s">
        <v>108</v>
      </c>
    </row>
    <row r="2625" spans="1:5" x14ac:dyDescent="0.25">
      <c r="A2625" s="94">
        <v>46062</v>
      </c>
      <c r="B2625" s="95">
        <v>511642.46100000001</v>
      </c>
      <c r="C2625" s="95">
        <v>4786672.909</v>
      </c>
      <c r="D2625" s="95">
        <v>43.965000000000003</v>
      </c>
      <c r="E2625" s="91" t="s">
        <v>111</v>
      </c>
    </row>
    <row r="2626" spans="1:5" x14ac:dyDescent="0.25">
      <c r="A2626" s="94">
        <v>46062</v>
      </c>
      <c r="B2626" s="95">
        <v>511649.11900000001</v>
      </c>
      <c r="C2626" s="95">
        <v>4786669.4060000004</v>
      </c>
      <c r="D2626" s="95">
        <v>43.945</v>
      </c>
      <c r="E2626" s="91" t="s">
        <v>113</v>
      </c>
    </row>
    <row r="2627" spans="1:5" x14ac:dyDescent="0.25">
      <c r="A2627" s="94">
        <v>46062</v>
      </c>
      <c r="B2627" s="95">
        <v>511662.30699999997</v>
      </c>
      <c r="C2627" s="95">
        <v>4786606.8830000004</v>
      </c>
      <c r="D2627" s="95">
        <v>46.238</v>
      </c>
      <c r="E2627" s="91" t="s">
        <v>145</v>
      </c>
    </row>
    <row r="2628" spans="1:5" x14ac:dyDescent="0.25">
      <c r="A2628" s="94">
        <v>46062</v>
      </c>
      <c r="B2628" s="95">
        <v>511662.14899999998</v>
      </c>
      <c r="C2628" s="95">
        <v>4786607.057</v>
      </c>
      <c r="D2628" s="95">
        <v>44.674999999999997</v>
      </c>
      <c r="E2628" s="91" t="s">
        <v>146</v>
      </c>
    </row>
    <row r="2629" spans="1:5" x14ac:dyDescent="0.25">
      <c r="A2629" s="94">
        <v>46062</v>
      </c>
      <c r="B2629" s="95">
        <v>511673.815</v>
      </c>
      <c r="C2629" s="95">
        <v>4786631.0769999996</v>
      </c>
      <c r="D2629" s="95">
        <v>40.158000000000001</v>
      </c>
      <c r="E2629" s="91" t="s">
        <v>147</v>
      </c>
    </row>
    <row r="2630" spans="1:5" x14ac:dyDescent="0.25">
      <c r="A2630" s="94">
        <v>46062</v>
      </c>
      <c r="B2630" s="95">
        <v>511573.39199999999</v>
      </c>
      <c r="C2630" s="95">
        <v>4786684.358</v>
      </c>
      <c r="D2630" s="95">
        <v>43.466000000000001</v>
      </c>
      <c r="E2630" s="91" t="s">
        <v>148</v>
      </c>
    </row>
    <row r="2631" spans="1:5" x14ac:dyDescent="0.25">
      <c r="A2631" s="94">
        <v>46062</v>
      </c>
      <c r="B2631" s="95">
        <v>511575.47700000001</v>
      </c>
      <c r="C2631" s="95">
        <v>4786688.2309999997</v>
      </c>
      <c r="D2631" s="95">
        <v>43.424999999999997</v>
      </c>
      <c r="E2631" s="91" t="s">
        <v>149</v>
      </c>
    </row>
    <row r="2632" spans="1:5" x14ac:dyDescent="0.25">
      <c r="A2632" s="94">
        <v>46062</v>
      </c>
      <c r="B2632" s="95">
        <v>511577.67700000003</v>
      </c>
      <c r="C2632" s="95">
        <v>4786692.284</v>
      </c>
      <c r="D2632" s="95">
        <v>43.613999999999997</v>
      </c>
      <c r="E2632" s="91" t="s">
        <v>150</v>
      </c>
    </row>
    <row r="2633" spans="1:5" x14ac:dyDescent="0.25">
      <c r="A2633" s="94">
        <v>46062</v>
      </c>
      <c r="B2633" s="95">
        <v>511579.77899999998</v>
      </c>
      <c r="C2633" s="95">
        <v>4786696.2010000004</v>
      </c>
      <c r="D2633" s="95">
        <v>43.686</v>
      </c>
      <c r="E2633" s="91" t="s">
        <v>151</v>
      </c>
    </row>
    <row r="2634" spans="1:5" x14ac:dyDescent="0.25">
      <c r="A2634" s="94">
        <v>46062</v>
      </c>
      <c r="B2634" s="95">
        <v>511607.17200000002</v>
      </c>
      <c r="C2634" s="95">
        <v>4786690.8530000001</v>
      </c>
      <c r="D2634" s="95">
        <v>41.311999999999998</v>
      </c>
      <c r="E2634" s="91" t="s">
        <v>139</v>
      </c>
    </row>
    <row r="2635" spans="1:5" x14ac:dyDescent="0.25">
      <c r="A2635" s="94">
        <v>46062</v>
      </c>
      <c r="B2635" s="95">
        <v>511614.97399999999</v>
      </c>
      <c r="C2635" s="95">
        <v>4786686.6229999997</v>
      </c>
      <c r="D2635" s="95">
        <v>41.439</v>
      </c>
      <c r="E2635" s="91" t="s">
        <v>140</v>
      </c>
    </row>
    <row r="2636" spans="1:5" x14ac:dyDescent="0.25">
      <c r="A2636" s="94">
        <v>46062</v>
      </c>
      <c r="B2636" s="95">
        <v>511628.82500000001</v>
      </c>
      <c r="C2636" s="95">
        <v>4786679.1529999999</v>
      </c>
      <c r="D2636" s="95">
        <v>41.372</v>
      </c>
      <c r="E2636" s="91" t="s">
        <v>141</v>
      </c>
    </row>
    <row r="2637" spans="1:5" x14ac:dyDescent="0.25">
      <c r="A2637" s="94">
        <v>46062</v>
      </c>
      <c r="B2637" s="95">
        <v>511641.99400000001</v>
      </c>
      <c r="C2637" s="95">
        <v>4786671.9519999996</v>
      </c>
      <c r="D2637" s="95">
        <v>41.509</v>
      </c>
      <c r="E2637" s="91" t="s">
        <v>142</v>
      </c>
    </row>
    <row r="2638" spans="1:5" x14ac:dyDescent="0.25">
      <c r="A2638" s="94">
        <v>46062</v>
      </c>
      <c r="B2638" s="95">
        <v>511648.77500000002</v>
      </c>
      <c r="C2638" s="95">
        <v>4786668.2740000002</v>
      </c>
      <c r="D2638" s="95">
        <v>41.307000000000002</v>
      </c>
      <c r="E2638" s="91" t="s">
        <v>143</v>
      </c>
    </row>
    <row r="2639" spans="1:5" x14ac:dyDescent="0.25">
      <c r="A2639" s="94">
        <v>46063</v>
      </c>
      <c r="B2639" s="95">
        <v>511615.09100000001</v>
      </c>
      <c r="C2639" s="95">
        <v>4786687.9780000001</v>
      </c>
      <c r="D2639" s="95">
        <v>51.027000000000001</v>
      </c>
      <c r="E2639" s="91" t="s">
        <v>96</v>
      </c>
    </row>
    <row r="2640" spans="1:5" x14ac:dyDescent="0.25">
      <c r="A2640" s="94">
        <v>46063</v>
      </c>
      <c r="B2640" s="95">
        <v>511628.87599999999</v>
      </c>
      <c r="C2640" s="95">
        <v>4786680.6409999998</v>
      </c>
      <c r="D2640" s="95">
        <v>51.037999999999997</v>
      </c>
      <c r="E2640" s="91" t="s">
        <v>97</v>
      </c>
    </row>
    <row r="2641" spans="1:5" x14ac:dyDescent="0.25">
      <c r="A2641" s="94">
        <v>46063</v>
      </c>
      <c r="B2641" s="95">
        <v>511642.57699999999</v>
      </c>
      <c r="C2641" s="95">
        <v>4786673.3439999996</v>
      </c>
      <c r="D2641" s="95">
        <v>51.046999999999997</v>
      </c>
      <c r="E2641" s="91" t="s">
        <v>98</v>
      </c>
    </row>
    <row r="2642" spans="1:5" x14ac:dyDescent="0.25">
      <c r="A2642" s="94">
        <v>46063</v>
      </c>
      <c r="B2642" s="95">
        <v>511607.696</v>
      </c>
      <c r="C2642" s="95">
        <v>4786691.415</v>
      </c>
      <c r="D2642" s="95">
        <v>43.942</v>
      </c>
      <c r="E2642" s="91" t="s">
        <v>112</v>
      </c>
    </row>
    <row r="2643" spans="1:5" x14ac:dyDescent="0.25">
      <c r="A2643" s="94">
        <v>46063</v>
      </c>
      <c r="B2643" s="95">
        <v>511629.413</v>
      </c>
      <c r="C2643" s="95">
        <v>4786679.9029999999</v>
      </c>
      <c r="D2643" s="95">
        <v>43.944000000000003</v>
      </c>
      <c r="E2643" s="91" t="s">
        <v>109</v>
      </c>
    </row>
    <row r="2644" spans="1:5" x14ac:dyDescent="0.25">
      <c r="A2644" s="94">
        <v>46063</v>
      </c>
      <c r="B2644" s="95">
        <v>511649.7</v>
      </c>
      <c r="C2644" s="95">
        <v>4786682.1560000004</v>
      </c>
      <c r="D2644" s="95">
        <v>56.186</v>
      </c>
      <c r="E2644" s="91" t="s">
        <v>89</v>
      </c>
    </row>
    <row r="2645" spans="1:5" x14ac:dyDescent="0.25">
      <c r="A2645" s="94">
        <v>46063</v>
      </c>
      <c r="B2645" s="95">
        <v>511630.75799999997</v>
      </c>
      <c r="C2645" s="95">
        <v>4786689.8569999998</v>
      </c>
      <c r="D2645" s="95">
        <v>55.947000000000003</v>
      </c>
      <c r="E2645" s="91" t="s">
        <v>90</v>
      </c>
    </row>
    <row r="2646" spans="1:5" x14ac:dyDescent="0.25">
      <c r="A2646" s="94">
        <v>46063</v>
      </c>
      <c r="B2646" s="95">
        <v>511623.429</v>
      </c>
      <c r="C2646" s="95">
        <v>4786694.0729999999</v>
      </c>
      <c r="D2646" s="95">
        <v>54.779000000000003</v>
      </c>
      <c r="E2646" s="91" t="s">
        <v>91</v>
      </c>
    </row>
    <row r="2647" spans="1:5" x14ac:dyDescent="0.25">
      <c r="A2647" s="94">
        <v>46063</v>
      </c>
      <c r="B2647" s="95">
        <v>511613.31099999999</v>
      </c>
      <c r="C2647" s="95">
        <v>4786695.3020000001</v>
      </c>
      <c r="D2647" s="95">
        <v>60.567999999999998</v>
      </c>
      <c r="E2647" s="91" t="s">
        <v>92</v>
      </c>
    </row>
    <row r="2648" spans="1:5" x14ac:dyDescent="0.25">
      <c r="A2648" s="94">
        <v>46063</v>
      </c>
      <c r="B2648" s="95">
        <v>511614.75</v>
      </c>
      <c r="C2648" s="95">
        <v>4786712.5559999999</v>
      </c>
      <c r="D2648" s="95">
        <v>60.82</v>
      </c>
      <c r="E2648" s="91" t="s">
        <v>93</v>
      </c>
    </row>
    <row r="2649" spans="1:5" x14ac:dyDescent="0.25">
      <c r="A2649" s="94">
        <v>46063</v>
      </c>
      <c r="B2649" s="95">
        <v>511660.66399999999</v>
      </c>
      <c r="C2649" s="95">
        <v>4786683.466</v>
      </c>
      <c r="D2649" s="95">
        <v>55.402999999999999</v>
      </c>
      <c r="E2649" s="91" t="s">
        <v>94</v>
      </c>
    </row>
    <row r="2650" spans="1:5" x14ac:dyDescent="0.25">
      <c r="A2650" s="94">
        <v>46063</v>
      </c>
      <c r="B2650" s="95">
        <v>511670.87400000001</v>
      </c>
      <c r="C2650" s="95">
        <v>4786685.9179999996</v>
      </c>
      <c r="D2650" s="95">
        <v>54.817999999999998</v>
      </c>
      <c r="E2650" s="91" t="s">
        <v>95</v>
      </c>
    </row>
    <row r="2651" spans="1:5" x14ac:dyDescent="0.25">
      <c r="A2651" s="94">
        <v>46063</v>
      </c>
      <c r="B2651" s="95">
        <v>511649.79</v>
      </c>
      <c r="C2651" s="95">
        <v>4786669.4840000002</v>
      </c>
      <c r="D2651" s="95">
        <v>51.05</v>
      </c>
      <c r="E2651" s="91" t="s">
        <v>99</v>
      </c>
    </row>
    <row r="2652" spans="1:5" x14ac:dyDescent="0.25">
      <c r="A2652" s="94">
        <v>46063</v>
      </c>
      <c r="B2652" s="95">
        <v>511607.54499999998</v>
      </c>
      <c r="C2652" s="95">
        <v>4786691.9749999996</v>
      </c>
      <c r="D2652" s="95">
        <v>51.048999999999999</v>
      </c>
      <c r="E2652" s="91" t="s">
        <v>100</v>
      </c>
    </row>
    <row r="2653" spans="1:5" x14ac:dyDescent="0.25">
      <c r="A2653" s="94">
        <v>46063</v>
      </c>
      <c r="B2653" s="95">
        <v>511607.26</v>
      </c>
      <c r="C2653" s="95">
        <v>4786692.1670000004</v>
      </c>
      <c r="D2653" s="95">
        <v>51.05</v>
      </c>
      <c r="E2653" s="91" t="s">
        <v>101</v>
      </c>
    </row>
    <row r="2654" spans="1:5" x14ac:dyDescent="0.25">
      <c r="A2654" s="94">
        <v>46063</v>
      </c>
      <c r="B2654" s="95">
        <v>511601.109</v>
      </c>
      <c r="C2654" s="95">
        <v>4786695.4129999997</v>
      </c>
      <c r="D2654" s="95">
        <v>51.04</v>
      </c>
      <c r="E2654" s="91" t="s">
        <v>102</v>
      </c>
    </row>
    <row r="2655" spans="1:5" x14ac:dyDescent="0.25">
      <c r="A2655" s="94">
        <v>46063</v>
      </c>
      <c r="B2655" s="95">
        <v>511615.24599999998</v>
      </c>
      <c r="C2655" s="95">
        <v>4786687.426</v>
      </c>
      <c r="D2655" s="95">
        <v>48.444000000000003</v>
      </c>
      <c r="E2655" s="91" t="s">
        <v>103</v>
      </c>
    </row>
    <row r="2656" spans="1:5" x14ac:dyDescent="0.25">
      <c r="A2656" s="94">
        <v>46063</v>
      </c>
      <c r="B2656" s="95">
        <v>511615.21899999998</v>
      </c>
      <c r="C2656" s="95">
        <v>4786687.3499999996</v>
      </c>
      <c r="D2656" s="95">
        <v>45.936</v>
      </c>
      <c r="E2656" s="91" t="s">
        <v>104</v>
      </c>
    </row>
    <row r="2657" spans="1:5" x14ac:dyDescent="0.25">
      <c r="A2657" s="94">
        <v>46063</v>
      </c>
      <c r="B2657" s="95">
        <v>511615.17200000002</v>
      </c>
      <c r="C2657" s="95">
        <v>4786687.3779999996</v>
      </c>
      <c r="D2657" s="95">
        <v>43.957000000000001</v>
      </c>
      <c r="E2657" s="91" t="s">
        <v>110</v>
      </c>
    </row>
    <row r="2658" spans="1:5" x14ac:dyDescent="0.25">
      <c r="A2658" s="94">
        <v>46063</v>
      </c>
      <c r="B2658" s="95">
        <v>511629.17800000001</v>
      </c>
      <c r="C2658" s="95">
        <v>4786680.0580000002</v>
      </c>
      <c r="D2658" s="95">
        <v>48.462000000000003</v>
      </c>
      <c r="E2658" s="91" t="s">
        <v>105</v>
      </c>
    </row>
    <row r="2659" spans="1:5" x14ac:dyDescent="0.25">
      <c r="A2659" s="94">
        <v>46063</v>
      </c>
      <c r="B2659" s="95">
        <v>511629.30200000003</v>
      </c>
      <c r="C2659" s="95">
        <v>4786680.0199999996</v>
      </c>
      <c r="D2659" s="95">
        <v>45.944000000000003</v>
      </c>
      <c r="E2659" s="91" t="s">
        <v>106</v>
      </c>
    </row>
    <row r="2660" spans="1:5" x14ac:dyDescent="0.25">
      <c r="A2660" s="94">
        <v>46063</v>
      </c>
      <c r="B2660" s="95">
        <v>511642.27899999998</v>
      </c>
      <c r="C2660" s="95">
        <v>4786673.1169999996</v>
      </c>
      <c r="D2660" s="95">
        <v>48.442999999999998</v>
      </c>
      <c r="E2660" s="91" t="s">
        <v>107</v>
      </c>
    </row>
    <row r="2661" spans="1:5" x14ac:dyDescent="0.25">
      <c r="A2661" s="94">
        <v>46063</v>
      </c>
      <c r="B2661" s="95">
        <v>511642.43099999998</v>
      </c>
      <c r="C2661" s="95">
        <v>4786673.0070000002</v>
      </c>
      <c r="D2661" s="95">
        <v>45.938000000000002</v>
      </c>
      <c r="E2661" s="91" t="s">
        <v>108</v>
      </c>
    </row>
    <row r="2662" spans="1:5" x14ac:dyDescent="0.25">
      <c r="A2662" s="94">
        <v>46063</v>
      </c>
      <c r="B2662" s="95">
        <v>511642.46899999998</v>
      </c>
      <c r="C2662" s="95">
        <v>4786672.8990000002</v>
      </c>
      <c r="D2662" s="95">
        <v>43.966000000000001</v>
      </c>
      <c r="E2662" s="91" t="s">
        <v>111</v>
      </c>
    </row>
    <row r="2663" spans="1:5" x14ac:dyDescent="0.25">
      <c r="A2663" s="94">
        <v>46063</v>
      </c>
      <c r="B2663" s="95">
        <v>511662.30900000001</v>
      </c>
      <c r="C2663" s="95">
        <v>4786606.8689999999</v>
      </c>
      <c r="D2663" s="95">
        <v>46.238</v>
      </c>
      <c r="E2663" s="91" t="s">
        <v>145</v>
      </c>
    </row>
    <row r="2664" spans="1:5" x14ac:dyDescent="0.25">
      <c r="A2664" s="94">
        <v>46063</v>
      </c>
      <c r="B2664" s="95">
        <v>511662.15</v>
      </c>
      <c r="C2664" s="95">
        <v>4786607.0429999996</v>
      </c>
      <c r="D2664" s="95">
        <v>44.679000000000002</v>
      </c>
      <c r="E2664" s="91" t="s">
        <v>146</v>
      </c>
    </row>
    <row r="2665" spans="1:5" x14ac:dyDescent="0.25">
      <c r="A2665" s="94">
        <v>46063</v>
      </c>
      <c r="B2665" s="95">
        <v>511662.06400000001</v>
      </c>
      <c r="C2665" s="95">
        <v>4786607.1339999996</v>
      </c>
      <c r="D2665" s="95">
        <v>43.386000000000003</v>
      </c>
      <c r="E2665" s="91" t="s">
        <v>144</v>
      </c>
    </row>
    <row r="2666" spans="1:5" x14ac:dyDescent="0.25">
      <c r="A2666" s="94">
        <v>46063</v>
      </c>
      <c r="B2666" s="95">
        <v>511673.81900000002</v>
      </c>
      <c r="C2666" s="95">
        <v>4786631.0640000002</v>
      </c>
      <c r="D2666" s="95">
        <v>40.158999999999999</v>
      </c>
      <c r="E2666" s="91" t="s">
        <v>147</v>
      </c>
    </row>
    <row r="2667" spans="1:5" x14ac:dyDescent="0.25">
      <c r="A2667" s="94">
        <v>46063</v>
      </c>
      <c r="B2667" s="95">
        <v>511573.40100000001</v>
      </c>
      <c r="C2667" s="95">
        <v>4786684.3550000004</v>
      </c>
      <c r="D2667" s="95">
        <v>43.466000000000001</v>
      </c>
      <c r="E2667" s="91" t="s">
        <v>148</v>
      </c>
    </row>
    <row r="2668" spans="1:5" x14ac:dyDescent="0.25">
      <c r="A2668" s="94">
        <v>46063</v>
      </c>
      <c r="B2668" s="95">
        <v>511575.48700000002</v>
      </c>
      <c r="C2668" s="95">
        <v>4786688.2280000001</v>
      </c>
      <c r="D2668" s="95">
        <v>43.424999999999997</v>
      </c>
      <c r="E2668" s="91" t="s">
        <v>149</v>
      </c>
    </row>
    <row r="2669" spans="1:5" x14ac:dyDescent="0.25">
      <c r="A2669" s="94">
        <v>46063</v>
      </c>
      <c r="B2669" s="95">
        <v>511577.68699999998</v>
      </c>
      <c r="C2669" s="95">
        <v>4786692.2819999997</v>
      </c>
      <c r="D2669" s="95">
        <v>43.613999999999997</v>
      </c>
      <c r="E2669" s="91" t="s">
        <v>150</v>
      </c>
    </row>
    <row r="2670" spans="1:5" x14ac:dyDescent="0.25">
      <c r="A2670" s="94">
        <v>46063</v>
      </c>
      <c r="B2670" s="95">
        <v>511579.78899999999</v>
      </c>
      <c r="C2670" s="95">
        <v>4786696.1969999997</v>
      </c>
      <c r="D2670" s="95">
        <v>43.686</v>
      </c>
      <c r="E2670" s="91" t="s">
        <v>151</v>
      </c>
    </row>
    <row r="2671" spans="1:5" x14ac:dyDescent="0.25">
      <c r="A2671" s="94">
        <v>46063</v>
      </c>
      <c r="B2671" s="95">
        <v>511607.18199999997</v>
      </c>
      <c r="C2671" s="95">
        <v>4786690.8459999999</v>
      </c>
      <c r="D2671" s="95">
        <v>41.311999999999998</v>
      </c>
      <c r="E2671" s="91" t="s">
        <v>139</v>
      </c>
    </row>
    <row r="2672" spans="1:5" x14ac:dyDescent="0.25">
      <c r="A2672" s="94">
        <v>46063</v>
      </c>
      <c r="B2672" s="95">
        <v>511614.984</v>
      </c>
      <c r="C2672" s="95">
        <v>4786686.6160000004</v>
      </c>
      <c r="D2672" s="95">
        <v>41.439</v>
      </c>
      <c r="E2672" s="91" t="s">
        <v>140</v>
      </c>
    </row>
    <row r="2673" spans="1:5" x14ac:dyDescent="0.25">
      <c r="A2673" s="94">
        <v>46063</v>
      </c>
      <c r="B2673" s="95">
        <v>511628.83199999999</v>
      </c>
      <c r="C2673" s="95">
        <v>4786679.1430000002</v>
      </c>
      <c r="D2673" s="95">
        <v>41.372999999999998</v>
      </c>
      <c r="E2673" s="91" t="s">
        <v>141</v>
      </c>
    </row>
    <row r="2674" spans="1:5" x14ac:dyDescent="0.25">
      <c r="A2674" s="94">
        <v>46063</v>
      </c>
      <c r="B2674" s="95">
        <v>511642.00099999999</v>
      </c>
      <c r="C2674" s="95">
        <v>4786671.9419999998</v>
      </c>
      <c r="D2674" s="95">
        <v>41.509</v>
      </c>
      <c r="E2674" s="91" t="s">
        <v>142</v>
      </c>
    </row>
    <row r="2675" spans="1:5" x14ac:dyDescent="0.25">
      <c r="A2675" s="94">
        <v>46063</v>
      </c>
      <c r="B2675" s="95">
        <v>511648.78200000001</v>
      </c>
      <c r="C2675" s="95">
        <v>4786668.2630000003</v>
      </c>
      <c r="D2675" s="95">
        <v>41.307000000000002</v>
      </c>
      <c r="E2675" s="91" t="s">
        <v>143</v>
      </c>
    </row>
    <row r="2676" spans="1:5" x14ac:dyDescent="0.25">
      <c r="A2676" s="94">
        <v>46064</v>
      </c>
      <c r="B2676" s="96">
        <v>511615.09</v>
      </c>
      <c r="C2676" s="96">
        <v>4786687.9780000001</v>
      </c>
      <c r="D2676" s="96">
        <v>51.027000000000001</v>
      </c>
      <c r="E2676" s="96" t="s">
        <v>96</v>
      </c>
    </row>
    <row r="2677" spans="1:5" x14ac:dyDescent="0.25">
      <c r="A2677" s="94">
        <v>46064</v>
      </c>
      <c r="B2677" s="96">
        <v>511628.87599999999</v>
      </c>
      <c r="C2677" s="96">
        <v>4786680.6409999998</v>
      </c>
      <c r="D2677" s="96">
        <v>51.037999999999997</v>
      </c>
      <c r="E2677" s="96" t="s">
        <v>97</v>
      </c>
    </row>
    <row r="2678" spans="1:5" x14ac:dyDescent="0.25">
      <c r="A2678" s="94">
        <v>46064</v>
      </c>
      <c r="B2678" s="96">
        <v>511642.576</v>
      </c>
      <c r="C2678" s="96">
        <v>4786673.3439999996</v>
      </c>
      <c r="D2678" s="96">
        <v>51.045999999999999</v>
      </c>
      <c r="E2678" s="96" t="s">
        <v>98</v>
      </c>
    </row>
    <row r="2679" spans="1:5" x14ac:dyDescent="0.25">
      <c r="A2679" s="94">
        <v>46064</v>
      </c>
      <c r="B2679" s="96">
        <v>511607.69</v>
      </c>
      <c r="C2679" s="96">
        <v>4786691.4170000004</v>
      </c>
      <c r="D2679" s="96">
        <v>43.942</v>
      </c>
      <c r="E2679" s="96" t="s">
        <v>112</v>
      </c>
    </row>
    <row r="2680" spans="1:5" x14ac:dyDescent="0.25">
      <c r="A2680" s="94">
        <v>46064</v>
      </c>
      <c r="B2680" s="96">
        <v>511629.40700000001</v>
      </c>
      <c r="C2680" s="96">
        <v>4786679.9069999997</v>
      </c>
      <c r="D2680" s="96">
        <v>43.944000000000003</v>
      </c>
      <c r="E2680" s="96" t="s">
        <v>109</v>
      </c>
    </row>
    <row r="2681" spans="1:5" x14ac:dyDescent="0.25">
      <c r="A2681" s="94">
        <v>46064</v>
      </c>
      <c r="B2681" s="96">
        <v>511649.7</v>
      </c>
      <c r="C2681" s="96">
        <v>4786682.1560000004</v>
      </c>
      <c r="D2681" s="96">
        <v>56.185000000000002</v>
      </c>
      <c r="E2681" s="96" t="s">
        <v>89</v>
      </c>
    </row>
    <row r="2682" spans="1:5" x14ac:dyDescent="0.25">
      <c r="A2682" s="94">
        <v>46064</v>
      </c>
      <c r="B2682" s="96">
        <v>511630.75900000002</v>
      </c>
      <c r="C2682" s="96">
        <v>4786689.858</v>
      </c>
      <c r="D2682" s="96">
        <v>55.947000000000003</v>
      </c>
      <c r="E2682" s="96" t="s">
        <v>90</v>
      </c>
    </row>
    <row r="2683" spans="1:5" x14ac:dyDescent="0.25">
      <c r="A2683" s="94">
        <v>46064</v>
      </c>
      <c r="B2683" s="96">
        <v>511623.43</v>
      </c>
      <c r="C2683" s="96">
        <v>4786694.0729999999</v>
      </c>
      <c r="D2683" s="96">
        <v>54.779000000000003</v>
      </c>
      <c r="E2683" s="96" t="s">
        <v>91</v>
      </c>
    </row>
    <row r="2684" spans="1:5" x14ac:dyDescent="0.25">
      <c r="A2684" s="94">
        <v>46064</v>
      </c>
      <c r="B2684" s="96">
        <v>511613.31</v>
      </c>
      <c r="C2684" s="96">
        <v>4786695.3020000001</v>
      </c>
      <c r="D2684" s="96">
        <v>60.567</v>
      </c>
      <c r="E2684" s="96" t="s">
        <v>92</v>
      </c>
    </row>
    <row r="2685" spans="1:5" x14ac:dyDescent="0.25">
      <c r="A2685" s="94">
        <v>46064</v>
      </c>
      <c r="B2685" s="96">
        <v>511614.75</v>
      </c>
      <c r="C2685" s="96">
        <v>4786712.557</v>
      </c>
      <c r="D2685" s="96">
        <v>60.82</v>
      </c>
      <c r="E2685" s="96" t="s">
        <v>93</v>
      </c>
    </row>
    <row r="2686" spans="1:5" x14ac:dyDescent="0.25">
      <c r="A2686" s="94">
        <v>46064</v>
      </c>
      <c r="B2686" s="96">
        <v>511660.66200000001</v>
      </c>
      <c r="C2686" s="96">
        <v>4786683.466</v>
      </c>
      <c r="D2686" s="96">
        <v>55.402000000000001</v>
      </c>
      <c r="E2686" s="96" t="s">
        <v>94</v>
      </c>
    </row>
    <row r="2687" spans="1:5" x14ac:dyDescent="0.25">
      <c r="A2687" s="94">
        <v>46064</v>
      </c>
      <c r="B2687" s="96">
        <v>511670.87300000002</v>
      </c>
      <c r="C2687" s="96">
        <v>4786685.9179999996</v>
      </c>
      <c r="D2687" s="96">
        <v>54.817999999999998</v>
      </c>
      <c r="E2687" s="96" t="s">
        <v>95</v>
      </c>
    </row>
    <row r="2688" spans="1:5" x14ac:dyDescent="0.25">
      <c r="A2688" s="94">
        <v>46064</v>
      </c>
      <c r="B2688" s="96">
        <v>511649.788</v>
      </c>
      <c r="C2688" s="96">
        <v>4786669.483</v>
      </c>
      <c r="D2688" s="96">
        <v>51.05</v>
      </c>
      <c r="E2688" s="96" t="s">
        <v>99</v>
      </c>
    </row>
    <row r="2689" spans="1:5" x14ac:dyDescent="0.25">
      <c r="A2689" s="94">
        <v>46064</v>
      </c>
      <c r="B2689" s="96">
        <v>511607.54399999999</v>
      </c>
      <c r="C2689" s="96">
        <v>4786691.9749999996</v>
      </c>
      <c r="D2689" s="96">
        <v>51.048999999999999</v>
      </c>
      <c r="E2689" s="96" t="s">
        <v>100</v>
      </c>
    </row>
    <row r="2690" spans="1:5" x14ac:dyDescent="0.25">
      <c r="A2690" s="94">
        <v>46064</v>
      </c>
      <c r="B2690" s="96">
        <v>511607.261</v>
      </c>
      <c r="C2690" s="96">
        <v>4786692.1670000004</v>
      </c>
      <c r="D2690" s="96">
        <v>51.048999999999999</v>
      </c>
      <c r="E2690" s="96" t="s">
        <v>101</v>
      </c>
    </row>
    <row r="2691" spans="1:5" x14ac:dyDescent="0.25">
      <c r="A2691" s="94">
        <v>46064</v>
      </c>
      <c r="B2691" s="96">
        <v>511601.10800000001</v>
      </c>
      <c r="C2691" s="96">
        <v>4786695.4119999995</v>
      </c>
      <c r="D2691" s="96">
        <v>51.04</v>
      </c>
      <c r="E2691" s="96" t="s">
        <v>102</v>
      </c>
    </row>
    <row r="2692" spans="1:5" x14ac:dyDescent="0.25">
      <c r="A2692" s="94">
        <v>46064</v>
      </c>
      <c r="B2692" s="96">
        <v>511615.24699999997</v>
      </c>
      <c r="C2692" s="96">
        <v>4786687.426</v>
      </c>
      <c r="D2692" s="96">
        <v>48.442999999999998</v>
      </c>
      <c r="E2692" s="96" t="s">
        <v>103</v>
      </c>
    </row>
    <row r="2693" spans="1:5" x14ac:dyDescent="0.25">
      <c r="A2693" s="94">
        <v>46064</v>
      </c>
      <c r="B2693" s="96">
        <v>511615.21899999998</v>
      </c>
      <c r="C2693" s="96">
        <v>4786687.3499999996</v>
      </c>
      <c r="D2693" s="96">
        <v>45.936</v>
      </c>
      <c r="E2693" s="96" t="s">
        <v>104</v>
      </c>
    </row>
    <row r="2694" spans="1:5" x14ac:dyDescent="0.25">
      <c r="A2694" s="94">
        <v>46064</v>
      </c>
      <c r="B2694" s="96">
        <v>511615.16499999998</v>
      </c>
      <c r="C2694" s="96">
        <v>4786687.3810000001</v>
      </c>
      <c r="D2694" s="96">
        <v>43.957000000000001</v>
      </c>
      <c r="E2694" s="96" t="s">
        <v>110</v>
      </c>
    </row>
    <row r="2695" spans="1:5" x14ac:dyDescent="0.25">
      <c r="A2695" s="94">
        <v>46064</v>
      </c>
      <c r="B2695" s="96">
        <v>511629.17800000001</v>
      </c>
      <c r="C2695" s="96">
        <v>4786680.0580000002</v>
      </c>
      <c r="D2695" s="96">
        <v>48.460999999999999</v>
      </c>
      <c r="E2695" s="96" t="s">
        <v>105</v>
      </c>
    </row>
    <row r="2696" spans="1:5" x14ac:dyDescent="0.25">
      <c r="A2696" s="94">
        <v>46064</v>
      </c>
      <c r="B2696" s="96">
        <v>511629.30099999998</v>
      </c>
      <c r="C2696" s="96">
        <v>4786680.0199999996</v>
      </c>
      <c r="D2696" s="96">
        <v>45.944000000000003</v>
      </c>
      <c r="E2696" s="96" t="s">
        <v>106</v>
      </c>
    </row>
    <row r="2697" spans="1:5" x14ac:dyDescent="0.25">
      <c r="A2697" s="94">
        <v>46064</v>
      </c>
      <c r="B2697" s="96">
        <v>511642.27600000001</v>
      </c>
      <c r="C2697" s="96">
        <v>4786673.1169999996</v>
      </c>
      <c r="D2697" s="96">
        <v>48.442</v>
      </c>
      <c r="E2697" s="96" t="s">
        <v>107</v>
      </c>
    </row>
    <row r="2698" spans="1:5" x14ac:dyDescent="0.25">
      <c r="A2698" s="94">
        <v>46064</v>
      </c>
      <c r="B2698" s="96">
        <v>511642.43199999997</v>
      </c>
      <c r="C2698" s="96">
        <v>4786673.0070000002</v>
      </c>
      <c r="D2698" s="96">
        <v>45.938000000000002</v>
      </c>
      <c r="E2698" s="96" t="s">
        <v>108</v>
      </c>
    </row>
    <row r="2699" spans="1:5" x14ac:dyDescent="0.25">
      <c r="A2699" s="94">
        <v>46064</v>
      </c>
      <c r="B2699" s="96">
        <v>511642.46299999999</v>
      </c>
      <c r="C2699" s="96">
        <v>4786672.9040000001</v>
      </c>
      <c r="D2699" s="96">
        <v>43.965000000000003</v>
      </c>
      <c r="E2699" s="96" t="s">
        <v>111</v>
      </c>
    </row>
    <row r="2700" spans="1:5" x14ac:dyDescent="0.25">
      <c r="A2700" s="94">
        <v>46064</v>
      </c>
      <c r="B2700" s="96">
        <v>511649.12199999997</v>
      </c>
      <c r="C2700" s="96">
        <v>4786669.4019999998</v>
      </c>
      <c r="D2700" s="96">
        <v>43.945</v>
      </c>
      <c r="E2700" s="96" t="s">
        <v>113</v>
      </c>
    </row>
    <row r="2701" spans="1:5" x14ac:dyDescent="0.25">
      <c r="A2701" s="94">
        <v>46064</v>
      </c>
      <c r="B2701" s="96">
        <v>511662.30599999998</v>
      </c>
      <c r="C2701" s="96">
        <v>4786606.8779999996</v>
      </c>
      <c r="D2701" s="96">
        <v>46.237000000000002</v>
      </c>
      <c r="E2701" s="96" t="s">
        <v>145</v>
      </c>
    </row>
    <row r="2702" spans="1:5" x14ac:dyDescent="0.25">
      <c r="A2702" s="94">
        <v>46064</v>
      </c>
      <c r="B2702" s="96">
        <v>511662.152</v>
      </c>
      <c r="C2702" s="96">
        <v>4786607.0549999997</v>
      </c>
      <c r="D2702" s="96">
        <v>44.674999999999997</v>
      </c>
      <c r="E2702" s="96" t="s">
        <v>146</v>
      </c>
    </row>
    <row r="2703" spans="1:5" x14ac:dyDescent="0.25">
      <c r="A2703" s="94">
        <v>46064</v>
      </c>
      <c r="B2703" s="96">
        <v>511662.05800000002</v>
      </c>
      <c r="C2703" s="96">
        <v>4786607.1390000004</v>
      </c>
      <c r="D2703" s="96">
        <v>43.387</v>
      </c>
      <c r="E2703" s="96" t="s">
        <v>144</v>
      </c>
    </row>
    <row r="2704" spans="1:5" x14ac:dyDescent="0.25">
      <c r="A2704" s="94">
        <v>46064</v>
      </c>
      <c r="B2704" s="96">
        <v>511673.81699999998</v>
      </c>
      <c r="C2704" s="96">
        <v>4786631.0729999999</v>
      </c>
      <c r="D2704" s="96">
        <v>40.158999999999999</v>
      </c>
      <c r="E2704" s="96" t="s">
        <v>147</v>
      </c>
    </row>
    <row r="2705" spans="1:5" x14ac:dyDescent="0.25">
      <c r="A2705" s="94">
        <v>46064</v>
      </c>
      <c r="B2705" s="96">
        <v>511573.39600000001</v>
      </c>
      <c r="C2705" s="96">
        <v>4786684.3559999997</v>
      </c>
      <c r="D2705" s="96">
        <v>43.466000000000001</v>
      </c>
      <c r="E2705" s="96" t="s">
        <v>148</v>
      </c>
    </row>
    <row r="2706" spans="1:5" x14ac:dyDescent="0.25">
      <c r="A2706" s="94">
        <v>46064</v>
      </c>
      <c r="B2706" s="96">
        <v>511575.48100000003</v>
      </c>
      <c r="C2706" s="96">
        <v>4786688.2280000001</v>
      </c>
      <c r="D2706" s="96">
        <v>43.424999999999997</v>
      </c>
      <c r="E2706" s="96" t="s">
        <v>149</v>
      </c>
    </row>
    <row r="2707" spans="1:5" x14ac:dyDescent="0.25">
      <c r="A2707" s="94">
        <v>46064</v>
      </c>
      <c r="B2707" s="96">
        <v>511577.68099999998</v>
      </c>
      <c r="C2707" s="96">
        <v>4786692.2819999997</v>
      </c>
      <c r="D2707" s="96">
        <v>43.613999999999997</v>
      </c>
      <c r="E2707" s="96" t="s">
        <v>150</v>
      </c>
    </row>
    <row r="2708" spans="1:5" x14ac:dyDescent="0.25">
      <c r="A2708" s="94">
        <v>46064</v>
      </c>
      <c r="B2708" s="96">
        <v>511579.783</v>
      </c>
      <c r="C2708" s="96">
        <v>4786696.199</v>
      </c>
      <c r="D2708" s="96">
        <v>43.686</v>
      </c>
      <c r="E2708" s="96" t="s">
        <v>151</v>
      </c>
    </row>
    <row r="2709" spans="1:5" x14ac:dyDescent="0.25">
      <c r="A2709" s="94">
        <v>46064</v>
      </c>
      <c r="B2709" s="96">
        <v>511607.17499999999</v>
      </c>
      <c r="C2709" s="96">
        <v>4786690.8490000004</v>
      </c>
      <c r="D2709" s="96">
        <v>41.313000000000002</v>
      </c>
      <c r="E2709" s="96" t="s">
        <v>139</v>
      </c>
    </row>
    <row r="2710" spans="1:5" x14ac:dyDescent="0.25">
      <c r="A2710" s="94">
        <v>46064</v>
      </c>
      <c r="B2710" s="96">
        <v>511614.97700000001</v>
      </c>
      <c r="C2710" s="96">
        <v>4786686.6189999999</v>
      </c>
      <c r="D2710" s="96">
        <v>41.439</v>
      </c>
      <c r="E2710" s="96" t="s">
        <v>140</v>
      </c>
    </row>
    <row r="2711" spans="1:5" x14ac:dyDescent="0.25">
      <c r="A2711" s="94">
        <v>46064</v>
      </c>
      <c r="B2711" s="96">
        <v>511628.82799999998</v>
      </c>
      <c r="C2711" s="96">
        <v>4786679.1490000002</v>
      </c>
      <c r="D2711" s="96">
        <v>41.372</v>
      </c>
      <c r="E2711" s="96" t="s">
        <v>141</v>
      </c>
    </row>
    <row r="2712" spans="1:5" x14ac:dyDescent="0.25">
      <c r="A2712" s="94">
        <v>46064</v>
      </c>
      <c r="B2712" s="96">
        <v>511641.99599999998</v>
      </c>
      <c r="C2712" s="96">
        <v>4786671.9469999997</v>
      </c>
      <c r="D2712" s="96">
        <v>41.509</v>
      </c>
      <c r="E2712" s="96" t="s">
        <v>142</v>
      </c>
    </row>
    <row r="2713" spans="1:5" x14ac:dyDescent="0.25">
      <c r="A2713" s="94">
        <v>46064</v>
      </c>
      <c r="B2713" s="96">
        <v>511648.777</v>
      </c>
      <c r="C2713" s="96">
        <v>4786668.2690000003</v>
      </c>
      <c r="D2713" s="96">
        <v>41.308</v>
      </c>
      <c r="E2713" s="96" t="s">
        <v>143</v>
      </c>
    </row>
    <row r="2714" spans="1:5" x14ac:dyDescent="0.25">
      <c r="A2714" s="94">
        <v>46065</v>
      </c>
      <c r="B2714" s="95">
        <v>511615.09</v>
      </c>
      <c r="C2714" s="95">
        <v>4786687.9780000001</v>
      </c>
      <c r="D2714" s="95">
        <v>51.027000000000001</v>
      </c>
      <c r="E2714" s="91" t="s">
        <v>96</v>
      </c>
    </row>
    <row r="2715" spans="1:5" x14ac:dyDescent="0.25">
      <c r="A2715" s="94">
        <v>46065</v>
      </c>
      <c r="B2715" s="95">
        <v>511628.875</v>
      </c>
      <c r="C2715" s="95">
        <v>4786680.6409999998</v>
      </c>
      <c r="D2715" s="95">
        <v>51.037999999999997</v>
      </c>
      <c r="E2715" s="91" t="s">
        <v>97</v>
      </c>
    </row>
    <row r="2716" spans="1:5" x14ac:dyDescent="0.25">
      <c r="A2716" s="94">
        <v>46065</v>
      </c>
      <c r="B2716" s="95">
        <v>511642.57500000001</v>
      </c>
      <c r="C2716" s="95">
        <v>4786673.3439999996</v>
      </c>
      <c r="D2716" s="95">
        <v>51.046999999999997</v>
      </c>
      <c r="E2716" s="91" t="s">
        <v>98</v>
      </c>
    </row>
    <row r="2717" spans="1:5" x14ac:dyDescent="0.25">
      <c r="A2717" s="94">
        <v>46065</v>
      </c>
      <c r="B2717" s="95">
        <v>511607.69199999998</v>
      </c>
      <c r="C2717" s="95">
        <v>4786691.4179999996</v>
      </c>
      <c r="D2717" s="95">
        <v>43.942</v>
      </c>
      <c r="E2717" s="91" t="s">
        <v>112</v>
      </c>
    </row>
    <row r="2718" spans="1:5" x14ac:dyDescent="0.25">
      <c r="A2718" s="94">
        <v>46065</v>
      </c>
      <c r="B2718" s="95">
        <v>511629.40899999999</v>
      </c>
      <c r="C2718" s="95">
        <v>4786679.9079999998</v>
      </c>
      <c r="D2718" s="95">
        <v>43.944000000000003</v>
      </c>
      <c r="E2718" s="91" t="s">
        <v>109</v>
      </c>
    </row>
    <row r="2719" spans="1:5" x14ac:dyDescent="0.25">
      <c r="A2719" s="94">
        <v>46065</v>
      </c>
      <c r="B2719" s="95">
        <v>511649.69900000002</v>
      </c>
      <c r="C2719" s="95">
        <v>4786682.1560000004</v>
      </c>
      <c r="D2719" s="95">
        <v>56.186</v>
      </c>
      <c r="E2719" s="91" t="s">
        <v>89</v>
      </c>
    </row>
    <row r="2720" spans="1:5" x14ac:dyDescent="0.25">
      <c r="A2720" s="94">
        <v>46065</v>
      </c>
      <c r="B2720" s="95">
        <v>511630.75900000002</v>
      </c>
      <c r="C2720" s="95">
        <v>4786689.858</v>
      </c>
      <c r="D2720" s="95">
        <v>55.948</v>
      </c>
      <c r="E2720" s="91" t="s">
        <v>90</v>
      </c>
    </row>
    <row r="2721" spans="1:5" x14ac:dyDescent="0.25">
      <c r="A2721" s="94">
        <v>46065</v>
      </c>
      <c r="B2721" s="95">
        <v>511623.43</v>
      </c>
      <c r="C2721" s="95">
        <v>4786694.0729999999</v>
      </c>
      <c r="D2721" s="95">
        <v>54.779000000000003</v>
      </c>
      <c r="E2721" s="91" t="s">
        <v>91</v>
      </c>
    </row>
    <row r="2722" spans="1:5" x14ac:dyDescent="0.25">
      <c r="A2722" s="94">
        <v>46065</v>
      </c>
      <c r="B2722" s="95">
        <v>511613.31099999999</v>
      </c>
      <c r="C2722" s="95">
        <v>4786695.3020000001</v>
      </c>
      <c r="D2722" s="95">
        <v>60.567999999999998</v>
      </c>
      <c r="E2722" s="91" t="s">
        <v>92</v>
      </c>
    </row>
    <row r="2723" spans="1:5" x14ac:dyDescent="0.25">
      <c r="A2723" s="94">
        <v>46065</v>
      </c>
      <c r="B2723" s="95">
        <v>511614.74900000001</v>
      </c>
      <c r="C2723" s="95">
        <v>4786712.5559999999</v>
      </c>
      <c r="D2723" s="95">
        <v>60.819000000000003</v>
      </c>
      <c r="E2723" s="91" t="s">
        <v>93</v>
      </c>
    </row>
    <row r="2724" spans="1:5" x14ac:dyDescent="0.25">
      <c r="A2724" s="94">
        <v>46065</v>
      </c>
      <c r="B2724" s="95">
        <v>511660.66200000001</v>
      </c>
      <c r="C2724" s="95">
        <v>4786683.466</v>
      </c>
      <c r="D2724" s="95">
        <v>55.402999999999999</v>
      </c>
      <c r="E2724" s="91" t="s">
        <v>94</v>
      </c>
    </row>
    <row r="2725" spans="1:5" x14ac:dyDescent="0.25">
      <c r="A2725" s="94">
        <v>46065</v>
      </c>
      <c r="B2725" s="95">
        <v>511670.875</v>
      </c>
      <c r="C2725" s="95">
        <v>4786685.9189999998</v>
      </c>
      <c r="D2725" s="95">
        <v>54.817999999999998</v>
      </c>
      <c r="E2725" s="91" t="s">
        <v>95</v>
      </c>
    </row>
    <row r="2726" spans="1:5" x14ac:dyDescent="0.25">
      <c r="A2726" s="94">
        <v>46065</v>
      </c>
      <c r="B2726" s="95">
        <v>511649.79</v>
      </c>
      <c r="C2726" s="95">
        <v>4786669.4840000002</v>
      </c>
      <c r="D2726" s="95">
        <v>51.05</v>
      </c>
      <c r="E2726" s="91" t="s">
        <v>99</v>
      </c>
    </row>
    <row r="2727" spans="1:5" x14ac:dyDescent="0.25">
      <c r="A2727" s="94">
        <v>46065</v>
      </c>
      <c r="B2727" s="95">
        <v>511607.54499999998</v>
      </c>
      <c r="C2727" s="95">
        <v>4786691.9749999996</v>
      </c>
      <c r="D2727" s="95">
        <v>51.048999999999999</v>
      </c>
      <c r="E2727" s="91" t="s">
        <v>100</v>
      </c>
    </row>
    <row r="2728" spans="1:5" x14ac:dyDescent="0.25">
      <c r="A2728" s="94">
        <v>46065</v>
      </c>
      <c r="B2728" s="95">
        <v>511607.261</v>
      </c>
      <c r="C2728" s="95">
        <v>4786692.1679999996</v>
      </c>
      <c r="D2728" s="95">
        <v>51.05</v>
      </c>
      <c r="E2728" s="91" t="s">
        <v>101</v>
      </c>
    </row>
    <row r="2729" spans="1:5" x14ac:dyDescent="0.25">
      <c r="A2729" s="94">
        <v>46065</v>
      </c>
      <c r="B2729" s="95">
        <v>511601.109</v>
      </c>
      <c r="C2729" s="95">
        <v>4786695.4129999997</v>
      </c>
      <c r="D2729" s="95">
        <v>51.04</v>
      </c>
      <c r="E2729" s="91" t="s">
        <v>102</v>
      </c>
    </row>
    <row r="2730" spans="1:5" x14ac:dyDescent="0.25">
      <c r="A2730" s="94">
        <v>46065</v>
      </c>
      <c r="B2730" s="95">
        <v>511615.24699999997</v>
      </c>
      <c r="C2730" s="95">
        <v>4786687.4270000001</v>
      </c>
      <c r="D2730" s="95">
        <v>48.444000000000003</v>
      </c>
      <c r="E2730" s="91" t="s">
        <v>103</v>
      </c>
    </row>
    <row r="2731" spans="1:5" x14ac:dyDescent="0.25">
      <c r="A2731" s="94">
        <v>46065</v>
      </c>
      <c r="B2731" s="95">
        <v>511615.21799999999</v>
      </c>
      <c r="C2731" s="95">
        <v>4786687.3490000004</v>
      </c>
      <c r="D2731" s="95">
        <v>45.936999999999998</v>
      </c>
      <c r="E2731" s="91" t="s">
        <v>104</v>
      </c>
    </row>
    <row r="2732" spans="1:5" x14ac:dyDescent="0.25">
      <c r="A2732" s="94">
        <v>46065</v>
      </c>
      <c r="B2732" s="95">
        <v>511615.16700000002</v>
      </c>
      <c r="C2732" s="95">
        <v>4786687.3820000002</v>
      </c>
      <c r="D2732" s="95">
        <v>43.957000000000001</v>
      </c>
      <c r="E2732" s="91" t="s">
        <v>110</v>
      </c>
    </row>
    <row r="2733" spans="1:5" x14ac:dyDescent="0.25">
      <c r="A2733" s="94">
        <v>46065</v>
      </c>
      <c r="B2733" s="95">
        <v>511629.179</v>
      </c>
      <c r="C2733" s="95">
        <v>4786680.0580000002</v>
      </c>
      <c r="D2733" s="95">
        <v>48.462000000000003</v>
      </c>
      <c r="E2733" s="91" t="s">
        <v>105</v>
      </c>
    </row>
    <row r="2734" spans="1:5" x14ac:dyDescent="0.25">
      <c r="A2734" s="94">
        <v>46065</v>
      </c>
      <c r="B2734" s="95">
        <v>511629.30200000003</v>
      </c>
      <c r="C2734" s="95">
        <v>4786680.0199999996</v>
      </c>
      <c r="D2734" s="95">
        <v>45.944000000000003</v>
      </c>
      <c r="E2734" s="91" t="s">
        <v>106</v>
      </c>
    </row>
    <row r="2735" spans="1:5" x14ac:dyDescent="0.25">
      <c r="A2735" s="94">
        <v>46065</v>
      </c>
      <c r="B2735" s="95">
        <v>511642.27899999998</v>
      </c>
      <c r="C2735" s="95">
        <v>4786673.1169999996</v>
      </c>
      <c r="D2735" s="95">
        <v>48.442999999999998</v>
      </c>
      <c r="E2735" s="91" t="s">
        <v>107</v>
      </c>
    </row>
    <row r="2736" spans="1:5" x14ac:dyDescent="0.25">
      <c r="A2736" s="94">
        <v>46065</v>
      </c>
      <c r="B2736" s="95">
        <v>511642.43199999997</v>
      </c>
      <c r="C2736" s="95">
        <v>4786673.0060000001</v>
      </c>
      <c r="D2736" s="95">
        <v>45.936999999999998</v>
      </c>
      <c r="E2736" s="91" t="s">
        <v>108</v>
      </c>
    </row>
    <row r="2737" spans="1:5" x14ac:dyDescent="0.25">
      <c r="A2737" s="94">
        <v>46065</v>
      </c>
      <c r="B2737" s="95">
        <v>511642.46399999998</v>
      </c>
      <c r="C2737" s="95">
        <v>4786672.9040000001</v>
      </c>
      <c r="D2737" s="95">
        <v>43.966000000000001</v>
      </c>
      <c r="E2737" s="91" t="s">
        <v>111</v>
      </c>
    </row>
    <row r="2738" spans="1:5" x14ac:dyDescent="0.25">
      <c r="A2738" s="94">
        <v>46065</v>
      </c>
      <c r="B2738" s="95">
        <v>511649.12300000002</v>
      </c>
      <c r="C2738" s="95">
        <v>4786669.4019999998</v>
      </c>
      <c r="D2738" s="95">
        <v>43.945</v>
      </c>
      <c r="E2738" s="91" t="s">
        <v>113</v>
      </c>
    </row>
    <row r="2739" spans="1:5" x14ac:dyDescent="0.25">
      <c r="A2739" s="94">
        <v>46065</v>
      </c>
      <c r="B2739" s="95">
        <v>511662.30800000002</v>
      </c>
      <c r="C2739" s="95">
        <v>4786606.8779999996</v>
      </c>
      <c r="D2739" s="95">
        <v>46.238</v>
      </c>
      <c r="E2739" s="91" t="s">
        <v>145</v>
      </c>
    </row>
    <row r="2740" spans="1:5" x14ac:dyDescent="0.25">
      <c r="A2740" s="94">
        <v>46065</v>
      </c>
      <c r="B2740" s="95">
        <v>511662.15100000001</v>
      </c>
      <c r="C2740" s="95">
        <v>4786607.0549999997</v>
      </c>
      <c r="D2740" s="95">
        <v>44.674999999999997</v>
      </c>
      <c r="E2740" s="91" t="s">
        <v>146</v>
      </c>
    </row>
    <row r="2741" spans="1:5" x14ac:dyDescent="0.25">
      <c r="A2741" s="94">
        <v>46065</v>
      </c>
      <c r="B2741" s="95">
        <v>511673.81699999998</v>
      </c>
      <c r="C2741" s="95">
        <v>4786631.0729999999</v>
      </c>
      <c r="D2741" s="95">
        <v>40.158999999999999</v>
      </c>
      <c r="E2741" s="91" t="s">
        <v>147</v>
      </c>
    </row>
    <row r="2742" spans="1:5" x14ac:dyDescent="0.25">
      <c r="A2742" s="94">
        <v>46065</v>
      </c>
      <c r="B2742" s="95">
        <v>511573.39600000001</v>
      </c>
      <c r="C2742" s="95">
        <v>4786684.3569999998</v>
      </c>
      <c r="D2742" s="95">
        <v>43.466000000000001</v>
      </c>
      <c r="E2742" s="91" t="s">
        <v>148</v>
      </c>
    </row>
    <row r="2743" spans="1:5" x14ac:dyDescent="0.25">
      <c r="A2743" s="94">
        <v>46065</v>
      </c>
      <c r="B2743" s="95">
        <v>511575.48100000003</v>
      </c>
      <c r="C2743" s="95">
        <v>4786688.2309999997</v>
      </c>
      <c r="D2743" s="95">
        <v>43.424999999999997</v>
      </c>
      <c r="E2743" s="91" t="s">
        <v>149</v>
      </c>
    </row>
    <row r="2744" spans="1:5" x14ac:dyDescent="0.25">
      <c r="A2744" s="94">
        <v>46065</v>
      </c>
      <c r="B2744" s="95">
        <v>511577.68199999997</v>
      </c>
      <c r="C2744" s="95">
        <v>4786692.2829999998</v>
      </c>
      <c r="D2744" s="95">
        <v>43.613999999999997</v>
      </c>
      <c r="E2744" s="91" t="s">
        <v>150</v>
      </c>
    </row>
    <row r="2745" spans="1:5" x14ac:dyDescent="0.25">
      <c r="A2745" s="94">
        <v>46065</v>
      </c>
      <c r="B2745" s="95">
        <v>511579.78399999999</v>
      </c>
      <c r="C2745" s="95">
        <v>4786696.2</v>
      </c>
      <c r="D2745" s="95">
        <v>43.686999999999998</v>
      </c>
      <c r="E2745" s="91" t="s">
        <v>151</v>
      </c>
    </row>
    <row r="2746" spans="1:5" x14ac:dyDescent="0.25">
      <c r="A2746" s="94">
        <v>46065</v>
      </c>
      <c r="B2746" s="95">
        <v>511607.17599999998</v>
      </c>
      <c r="C2746" s="95">
        <v>4786690.8499999996</v>
      </c>
      <c r="D2746" s="95">
        <v>41.313000000000002</v>
      </c>
      <c r="E2746" s="91" t="s">
        <v>139</v>
      </c>
    </row>
    <row r="2747" spans="1:5" x14ac:dyDescent="0.25">
      <c r="A2747" s="94">
        <v>46065</v>
      </c>
      <c r="B2747" s="95">
        <v>511614.978</v>
      </c>
      <c r="C2747" s="95">
        <v>4786686.6189999999</v>
      </c>
      <c r="D2747" s="95">
        <v>41.439</v>
      </c>
      <c r="E2747" s="91" t="s">
        <v>140</v>
      </c>
    </row>
    <row r="2748" spans="1:5" x14ac:dyDescent="0.25">
      <c r="A2748" s="94">
        <v>46065</v>
      </c>
      <c r="B2748" s="95">
        <v>511628.82900000003</v>
      </c>
      <c r="C2748" s="95">
        <v>4786679.1490000002</v>
      </c>
      <c r="D2748" s="95">
        <v>41.372</v>
      </c>
      <c r="E2748" s="91" t="s">
        <v>141</v>
      </c>
    </row>
    <row r="2749" spans="1:5" x14ac:dyDescent="0.25">
      <c r="A2749" s="94">
        <v>46065</v>
      </c>
      <c r="B2749" s="95">
        <v>511641.99800000002</v>
      </c>
      <c r="C2749" s="95">
        <v>4786671.9479999999</v>
      </c>
      <c r="D2749" s="95">
        <v>41.509</v>
      </c>
      <c r="E2749" s="91" t="s">
        <v>142</v>
      </c>
    </row>
    <row r="2750" spans="1:5" x14ac:dyDescent="0.25">
      <c r="A2750" s="94">
        <v>46065</v>
      </c>
      <c r="B2750" s="95">
        <v>511648.77799999999</v>
      </c>
      <c r="C2750" s="95">
        <v>4786668.2699999996</v>
      </c>
      <c r="D2750" s="95">
        <v>41.307000000000002</v>
      </c>
      <c r="E2750" s="91" t="s">
        <v>143</v>
      </c>
    </row>
    <row r="2751" spans="1:5" x14ac:dyDescent="0.25">
      <c r="A2751" s="94">
        <v>46066</v>
      </c>
      <c r="B2751" s="95">
        <v>511615.09100000001</v>
      </c>
      <c r="C2751" s="95">
        <v>4786687.9780000001</v>
      </c>
      <c r="D2751" s="95">
        <v>51.026000000000003</v>
      </c>
      <c r="E2751" s="91" t="s">
        <v>96</v>
      </c>
    </row>
    <row r="2752" spans="1:5" x14ac:dyDescent="0.25">
      <c r="A2752" s="94">
        <v>46066</v>
      </c>
      <c r="B2752" s="95">
        <v>511628.87699999998</v>
      </c>
      <c r="C2752" s="95">
        <v>4786680.6409999998</v>
      </c>
      <c r="D2752" s="95">
        <v>51.036999999999999</v>
      </c>
      <c r="E2752" s="91" t="s">
        <v>97</v>
      </c>
    </row>
    <row r="2753" spans="1:5" x14ac:dyDescent="0.25">
      <c r="A2753" s="94">
        <v>46066</v>
      </c>
      <c r="B2753" s="95">
        <v>511642.57500000001</v>
      </c>
      <c r="C2753" s="95">
        <v>4786673.3430000003</v>
      </c>
      <c r="D2753" s="95">
        <v>51.045999999999999</v>
      </c>
      <c r="E2753" s="91" t="s">
        <v>98</v>
      </c>
    </row>
    <row r="2754" spans="1:5" x14ac:dyDescent="0.25">
      <c r="A2754" s="94">
        <v>46066</v>
      </c>
      <c r="B2754" s="95">
        <v>511607.68699999998</v>
      </c>
      <c r="C2754" s="95">
        <v>4786691.4189999998</v>
      </c>
      <c r="D2754" s="95">
        <v>43.942999999999998</v>
      </c>
      <c r="E2754" s="91" t="s">
        <v>112</v>
      </c>
    </row>
    <row r="2755" spans="1:5" x14ac:dyDescent="0.25">
      <c r="A2755" s="94">
        <v>46066</v>
      </c>
      <c r="B2755" s="95">
        <v>511629.40500000003</v>
      </c>
      <c r="C2755" s="95">
        <v>4786679.9079999998</v>
      </c>
      <c r="D2755" s="95">
        <v>43.945</v>
      </c>
      <c r="E2755" s="91" t="s">
        <v>109</v>
      </c>
    </row>
    <row r="2756" spans="1:5" x14ac:dyDescent="0.25">
      <c r="A2756" s="94">
        <v>46066</v>
      </c>
      <c r="B2756" s="95">
        <v>511649.69900000002</v>
      </c>
      <c r="C2756" s="95">
        <v>4786682.1560000004</v>
      </c>
      <c r="D2756" s="95">
        <v>56.185000000000002</v>
      </c>
      <c r="E2756" s="91" t="s">
        <v>89</v>
      </c>
    </row>
    <row r="2757" spans="1:5" x14ac:dyDescent="0.25">
      <c r="A2757" s="94">
        <v>46066</v>
      </c>
      <c r="B2757" s="95">
        <v>511630.75900000002</v>
      </c>
      <c r="C2757" s="95">
        <v>4786689.8569999998</v>
      </c>
      <c r="D2757" s="95">
        <v>55.947000000000003</v>
      </c>
      <c r="E2757" s="91" t="s">
        <v>90</v>
      </c>
    </row>
    <row r="2758" spans="1:5" x14ac:dyDescent="0.25">
      <c r="A2758" s="94">
        <v>46066</v>
      </c>
      <c r="B2758" s="95">
        <v>511623.43</v>
      </c>
      <c r="C2758" s="95">
        <v>4786694.0729999999</v>
      </c>
      <c r="D2758" s="95">
        <v>54.777999999999999</v>
      </c>
      <c r="E2758" s="91" t="s">
        <v>91</v>
      </c>
    </row>
    <row r="2759" spans="1:5" x14ac:dyDescent="0.25">
      <c r="A2759" s="94">
        <v>46066</v>
      </c>
      <c r="B2759" s="95">
        <v>511613.31099999999</v>
      </c>
      <c r="C2759" s="95">
        <v>4786695.3020000001</v>
      </c>
      <c r="D2759" s="95">
        <v>60.567</v>
      </c>
      <c r="E2759" s="91" t="s">
        <v>92</v>
      </c>
    </row>
    <row r="2760" spans="1:5" x14ac:dyDescent="0.25">
      <c r="A2760" s="94">
        <v>46066</v>
      </c>
      <c r="B2760" s="95">
        <v>511614.74900000001</v>
      </c>
      <c r="C2760" s="95">
        <v>4786712.557</v>
      </c>
      <c r="D2760" s="95">
        <v>60.819000000000003</v>
      </c>
      <c r="E2760" s="91" t="s">
        <v>93</v>
      </c>
    </row>
    <row r="2761" spans="1:5" x14ac:dyDescent="0.25">
      <c r="A2761" s="94">
        <v>46066</v>
      </c>
      <c r="B2761" s="95">
        <v>511660.66399999999</v>
      </c>
      <c r="C2761" s="95">
        <v>4786683.4670000002</v>
      </c>
      <c r="D2761" s="95">
        <v>55.402000000000001</v>
      </c>
      <c r="E2761" s="91" t="s">
        <v>94</v>
      </c>
    </row>
    <row r="2762" spans="1:5" x14ac:dyDescent="0.25">
      <c r="A2762" s="94">
        <v>46066</v>
      </c>
      <c r="B2762" s="95">
        <v>511670.87300000002</v>
      </c>
      <c r="C2762" s="95">
        <v>4786685.9179999996</v>
      </c>
      <c r="D2762" s="95">
        <v>54.817</v>
      </c>
      <c r="E2762" s="91" t="s">
        <v>95</v>
      </c>
    </row>
    <row r="2763" spans="1:5" x14ac:dyDescent="0.25">
      <c r="A2763" s="94">
        <v>46066</v>
      </c>
      <c r="B2763" s="95">
        <v>511649.788</v>
      </c>
      <c r="C2763" s="95">
        <v>4786669.4840000002</v>
      </c>
      <c r="D2763" s="95">
        <v>51.048999999999999</v>
      </c>
      <c r="E2763" s="91" t="s">
        <v>99</v>
      </c>
    </row>
    <row r="2764" spans="1:5" x14ac:dyDescent="0.25">
      <c r="A2764" s="94">
        <v>46066</v>
      </c>
      <c r="B2764" s="95">
        <v>511607.54599999997</v>
      </c>
      <c r="C2764" s="95">
        <v>4786691.9759999998</v>
      </c>
      <c r="D2764" s="95">
        <v>51.048000000000002</v>
      </c>
      <c r="E2764" s="91" t="s">
        <v>100</v>
      </c>
    </row>
    <row r="2765" spans="1:5" x14ac:dyDescent="0.25">
      <c r="A2765" s="94">
        <v>46066</v>
      </c>
      <c r="B2765" s="95">
        <v>511607.26</v>
      </c>
      <c r="C2765" s="95">
        <v>4786692.1670000004</v>
      </c>
      <c r="D2765" s="95">
        <v>51.048999999999999</v>
      </c>
      <c r="E2765" s="91" t="s">
        <v>101</v>
      </c>
    </row>
    <row r="2766" spans="1:5" x14ac:dyDescent="0.25">
      <c r="A2766" s="94">
        <v>46066</v>
      </c>
      <c r="B2766" s="95">
        <v>511601.109</v>
      </c>
      <c r="C2766" s="95">
        <v>4786695.4129999997</v>
      </c>
      <c r="D2766" s="95">
        <v>51.04</v>
      </c>
      <c r="E2766" s="91" t="s">
        <v>102</v>
      </c>
    </row>
    <row r="2767" spans="1:5" x14ac:dyDescent="0.25">
      <c r="A2767" s="94">
        <v>46066</v>
      </c>
      <c r="B2767" s="95">
        <v>511615.24699999997</v>
      </c>
      <c r="C2767" s="95">
        <v>4786687.426</v>
      </c>
      <c r="D2767" s="95">
        <v>48.442999999999998</v>
      </c>
      <c r="E2767" s="91" t="s">
        <v>103</v>
      </c>
    </row>
    <row r="2768" spans="1:5" x14ac:dyDescent="0.25">
      <c r="A2768" s="94">
        <v>46066</v>
      </c>
      <c r="B2768" s="95">
        <v>511615.22</v>
      </c>
      <c r="C2768" s="95">
        <v>4786687.3499999996</v>
      </c>
      <c r="D2768" s="95">
        <v>45.936</v>
      </c>
      <c r="E2768" s="91" t="s">
        <v>104</v>
      </c>
    </row>
    <row r="2769" spans="1:5" x14ac:dyDescent="0.25">
      <c r="A2769" s="94">
        <v>46066</v>
      </c>
      <c r="B2769" s="95">
        <v>511615.163</v>
      </c>
      <c r="C2769" s="95">
        <v>4786687.3810000001</v>
      </c>
      <c r="D2769" s="95">
        <v>43.957000000000001</v>
      </c>
      <c r="E2769" s="91" t="s">
        <v>110</v>
      </c>
    </row>
    <row r="2770" spans="1:5" x14ac:dyDescent="0.25">
      <c r="A2770" s="94">
        <v>46066</v>
      </c>
      <c r="B2770" s="95">
        <v>511629.18</v>
      </c>
      <c r="C2770" s="95">
        <v>4786680.0580000002</v>
      </c>
      <c r="D2770" s="95">
        <v>48.460999999999999</v>
      </c>
      <c r="E2770" s="91" t="s">
        <v>105</v>
      </c>
    </row>
    <row r="2771" spans="1:5" x14ac:dyDescent="0.25">
      <c r="A2771" s="94">
        <v>46066</v>
      </c>
      <c r="B2771" s="95">
        <v>511629.30200000003</v>
      </c>
      <c r="C2771" s="95">
        <v>4786680.0199999996</v>
      </c>
      <c r="D2771" s="95">
        <v>45.944000000000003</v>
      </c>
      <c r="E2771" s="91" t="s">
        <v>106</v>
      </c>
    </row>
    <row r="2772" spans="1:5" x14ac:dyDescent="0.25">
      <c r="A2772" s="94">
        <v>46066</v>
      </c>
      <c r="B2772" s="95">
        <v>511642.27899999998</v>
      </c>
      <c r="C2772" s="95">
        <v>4786673.1169999996</v>
      </c>
      <c r="D2772" s="95">
        <v>48.442</v>
      </c>
      <c r="E2772" s="91" t="s">
        <v>107</v>
      </c>
    </row>
    <row r="2773" spans="1:5" x14ac:dyDescent="0.25">
      <c r="A2773" s="94">
        <v>46066</v>
      </c>
      <c r="B2773" s="95">
        <v>511642.43400000001</v>
      </c>
      <c r="C2773" s="95">
        <v>4786673.0060000001</v>
      </c>
      <c r="D2773" s="95">
        <v>45.938000000000002</v>
      </c>
      <c r="E2773" s="91" t="s">
        <v>108</v>
      </c>
    </row>
    <row r="2774" spans="1:5" x14ac:dyDescent="0.25">
      <c r="A2774" s="94">
        <v>46066</v>
      </c>
      <c r="B2774" s="95">
        <v>511642.462</v>
      </c>
      <c r="C2774" s="95">
        <v>4786672.9060000004</v>
      </c>
      <c r="D2774" s="95">
        <v>43.965000000000003</v>
      </c>
      <c r="E2774" s="91" t="s">
        <v>111</v>
      </c>
    </row>
    <row r="2775" spans="1:5" x14ac:dyDescent="0.25">
      <c r="A2775" s="94">
        <v>46066</v>
      </c>
      <c r="B2775" s="95">
        <v>511649.11900000001</v>
      </c>
      <c r="C2775" s="95">
        <v>4786669.4040000001</v>
      </c>
      <c r="D2775" s="95">
        <v>43.945</v>
      </c>
      <c r="E2775" s="91" t="s">
        <v>113</v>
      </c>
    </row>
    <row r="2776" spans="1:5" x14ac:dyDescent="0.25">
      <c r="A2776" s="94">
        <v>46066</v>
      </c>
      <c r="B2776" s="95">
        <v>511662.30599999998</v>
      </c>
      <c r="C2776" s="95">
        <v>4786606.8820000002</v>
      </c>
      <c r="D2776" s="95">
        <v>46.237000000000002</v>
      </c>
      <c r="E2776" s="91" t="s">
        <v>145</v>
      </c>
    </row>
    <row r="2777" spans="1:5" x14ac:dyDescent="0.25">
      <c r="A2777" s="94">
        <v>46066</v>
      </c>
      <c r="B2777" s="95">
        <v>511662.15</v>
      </c>
      <c r="C2777" s="95">
        <v>4786607.0559999999</v>
      </c>
      <c r="D2777" s="95">
        <v>44.674999999999997</v>
      </c>
      <c r="E2777" s="91" t="s">
        <v>146</v>
      </c>
    </row>
    <row r="2778" spans="1:5" x14ac:dyDescent="0.25">
      <c r="A2778" s="94">
        <v>46066</v>
      </c>
      <c r="B2778" s="95">
        <v>511673.81699999998</v>
      </c>
      <c r="C2778" s="95">
        <v>4786631.0820000004</v>
      </c>
      <c r="D2778" s="95">
        <v>40.161999999999999</v>
      </c>
      <c r="E2778" s="91" t="s">
        <v>147</v>
      </c>
    </row>
    <row r="2779" spans="1:5" x14ac:dyDescent="0.25">
      <c r="A2779" s="94">
        <v>46066</v>
      </c>
      <c r="B2779" s="95">
        <v>511573.39199999999</v>
      </c>
      <c r="C2779" s="95">
        <v>4786684.3559999997</v>
      </c>
      <c r="D2779" s="95">
        <v>43.466000000000001</v>
      </c>
      <c r="E2779" s="91" t="s">
        <v>148</v>
      </c>
    </row>
    <row r="2780" spans="1:5" x14ac:dyDescent="0.25">
      <c r="A2780" s="94">
        <v>46066</v>
      </c>
      <c r="B2780" s="95">
        <v>511575.47700000001</v>
      </c>
      <c r="C2780" s="95">
        <v>4786688.2300000004</v>
      </c>
      <c r="D2780" s="95">
        <v>43.424999999999997</v>
      </c>
      <c r="E2780" s="91" t="s">
        <v>149</v>
      </c>
    </row>
    <row r="2781" spans="1:5" x14ac:dyDescent="0.25">
      <c r="A2781" s="94">
        <v>46066</v>
      </c>
      <c r="B2781" s="95">
        <v>511577.67800000001</v>
      </c>
      <c r="C2781" s="95">
        <v>4786692.2810000004</v>
      </c>
      <c r="D2781" s="95">
        <v>43.613999999999997</v>
      </c>
      <c r="E2781" s="91" t="s">
        <v>150</v>
      </c>
    </row>
    <row r="2782" spans="1:5" x14ac:dyDescent="0.25">
      <c r="A2782" s="94">
        <v>46066</v>
      </c>
      <c r="B2782" s="95">
        <v>511579.78</v>
      </c>
      <c r="C2782" s="95">
        <v>4786696.1979999999</v>
      </c>
      <c r="D2782" s="95">
        <v>43.686</v>
      </c>
      <c r="E2782" s="91" t="s">
        <v>151</v>
      </c>
    </row>
    <row r="2783" spans="1:5" x14ac:dyDescent="0.25">
      <c r="A2783" s="94">
        <v>46066</v>
      </c>
      <c r="B2783" s="95">
        <v>511607.17200000002</v>
      </c>
      <c r="C2783" s="95">
        <v>4786690.8490000004</v>
      </c>
      <c r="D2783" s="95">
        <v>41.313000000000002</v>
      </c>
      <c r="E2783" s="91" t="s">
        <v>139</v>
      </c>
    </row>
    <row r="2784" spans="1:5" x14ac:dyDescent="0.25">
      <c r="A2784" s="94">
        <v>46066</v>
      </c>
      <c r="B2784" s="95">
        <v>511614.97399999999</v>
      </c>
      <c r="C2784" s="95">
        <v>4786686.6189999999</v>
      </c>
      <c r="D2784" s="95">
        <v>41.439</v>
      </c>
      <c r="E2784" s="91" t="s">
        <v>140</v>
      </c>
    </row>
    <row r="2785" spans="1:5" x14ac:dyDescent="0.25">
      <c r="A2785" s="94">
        <v>46066</v>
      </c>
      <c r="B2785" s="95">
        <v>511628.82400000002</v>
      </c>
      <c r="C2785" s="95">
        <v>4786679.1490000002</v>
      </c>
      <c r="D2785" s="95">
        <v>41.372</v>
      </c>
      <c r="E2785" s="91" t="s">
        <v>141</v>
      </c>
    </row>
    <row r="2786" spans="1:5" x14ac:dyDescent="0.25">
      <c r="A2786" s="94">
        <v>46066</v>
      </c>
      <c r="B2786" s="95">
        <v>511641.99400000001</v>
      </c>
      <c r="C2786" s="95">
        <v>4786671.949</v>
      </c>
      <c r="D2786" s="95">
        <v>41.509</v>
      </c>
      <c r="E2786" s="91" t="s">
        <v>142</v>
      </c>
    </row>
    <row r="2787" spans="1:5" x14ac:dyDescent="0.25">
      <c r="A2787" s="94">
        <v>46066</v>
      </c>
      <c r="B2787" s="95">
        <v>511648.77500000002</v>
      </c>
      <c r="C2787" s="95">
        <v>4786668.2709999997</v>
      </c>
      <c r="D2787" s="95">
        <v>41.307000000000002</v>
      </c>
      <c r="E2787" s="91" t="s">
        <v>143</v>
      </c>
    </row>
    <row r="2788" spans="1:5" x14ac:dyDescent="0.25">
      <c r="A2788" s="94">
        <v>46069</v>
      </c>
      <c r="B2788" s="95">
        <v>511615.09</v>
      </c>
      <c r="C2788" s="95">
        <v>4786687.977</v>
      </c>
      <c r="D2788" s="95">
        <v>51.026000000000003</v>
      </c>
      <c r="E2788" s="91" t="s">
        <v>96</v>
      </c>
    </row>
    <row r="2789" spans="1:5" x14ac:dyDescent="0.25">
      <c r="A2789" s="94">
        <v>46069</v>
      </c>
      <c r="B2789" s="95">
        <v>511628.87599999999</v>
      </c>
      <c r="C2789" s="95">
        <v>4786680.6409999998</v>
      </c>
      <c r="D2789" s="95">
        <v>51.037999999999997</v>
      </c>
      <c r="E2789" s="91" t="s">
        <v>97</v>
      </c>
    </row>
    <row r="2790" spans="1:5" x14ac:dyDescent="0.25">
      <c r="A2790" s="94">
        <v>46069</v>
      </c>
      <c r="B2790" s="95">
        <v>511642.57699999999</v>
      </c>
      <c r="C2790" s="95">
        <v>4786673.3439999996</v>
      </c>
      <c r="D2790" s="95">
        <v>51.045999999999999</v>
      </c>
      <c r="E2790" s="91" t="s">
        <v>98</v>
      </c>
    </row>
    <row r="2791" spans="1:5" x14ac:dyDescent="0.25">
      <c r="A2791" s="94">
        <v>46069</v>
      </c>
      <c r="B2791" s="95">
        <v>511607.69199999998</v>
      </c>
      <c r="C2791" s="95">
        <v>4786691.415</v>
      </c>
      <c r="D2791" s="95">
        <v>43.942</v>
      </c>
      <c r="E2791" s="91" t="s">
        <v>112</v>
      </c>
    </row>
    <row r="2792" spans="1:5" x14ac:dyDescent="0.25">
      <c r="A2792" s="94">
        <v>46069</v>
      </c>
      <c r="B2792" s="95">
        <v>511629.41100000002</v>
      </c>
      <c r="C2792" s="95">
        <v>4786679.9060000004</v>
      </c>
      <c r="D2792" s="95">
        <v>43.944000000000003</v>
      </c>
      <c r="E2792" s="91" t="s">
        <v>109</v>
      </c>
    </row>
    <row r="2793" spans="1:5" x14ac:dyDescent="0.25">
      <c r="A2793" s="94">
        <v>46069</v>
      </c>
      <c r="B2793" s="95">
        <v>511649.69900000002</v>
      </c>
      <c r="C2793" s="95">
        <v>4786682.1560000004</v>
      </c>
      <c r="D2793" s="95">
        <v>56.186</v>
      </c>
      <c r="E2793" s="91" t="s">
        <v>89</v>
      </c>
    </row>
    <row r="2794" spans="1:5" x14ac:dyDescent="0.25">
      <c r="A2794" s="94">
        <v>46069</v>
      </c>
      <c r="B2794" s="95">
        <v>511630.75900000002</v>
      </c>
      <c r="C2794" s="95">
        <v>4786689.8569999998</v>
      </c>
      <c r="D2794" s="95">
        <v>55.947000000000003</v>
      </c>
      <c r="E2794" s="91" t="s">
        <v>90</v>
      </c>
    </row>
    <row r="2795" spans="1:5" x14ac:dyDescent="0.25">
      <c r="A2795" s="94">
        <v>46069</v>
      </c>
      <c r="B2795" s="95">
        <v>511623.429</v>
      </c>
      <c r="C2795" s="95">
        <v>4786694.0729999999</v>
      </c>
      <c r="D2795" s="95">
        <v>54.777999999999999</v>
      </c>
      <c r="E2795" s="91" t="s">
        <v>91</v>
      </c>
    </row>
    <row r="2796" spans="1:5" x14ac:dyDescent="0.25">
      <c r="A2796" s="94">
        <v>46069</v>
      </c>
      <c r="B2796" s="95">
        <v>511613.31099999999</v>
      </c>
      <c r="C2796" s="95">
        <v>4786695.3020000001</v>
      </c>
      <c r="D2796" s="95">
        <v>60.567</v>
      </c>
      <c r="E2796" s="91" t="s">
        <v>92</v>
      </c>
    </row>
    <row r="2797" spans="1:5" x14ac:dyDescent="0.25">
      <c r="A2797" s="94">
        <v>46069</v>
      </c>
      <c r="B2797" s="95">
        <v>511614.75</v>
      </c>
      <c r="C2797" s="95">
        <v>4786712.5559999999</v>
      </c>
      <c r="D2797" s="95">
        <v>60.819000000000003</v>
      </c>
      <c r="E2797" s="91" t="s">
        <v>93</v>
      </c>
    </row>
    <row r="2798" spans="1:5" x14ac:dyDescent="0.25">
      <c r="A2798" s="94">
        <v>46069</v>
      </c>
      <c r="B2798" s="95">
        <v>511660.663</v>
      </c>
      <c r="C2798" s="95">
        <v>4786683.466</v>
      </c>
      <c r="D2798" s="95">
        <v>55.402000000000001</v>
      </c>
      <c r="E2798" s="91" t="s">
        <v>94</v>
      </c>
    </row>
    <row r="2799" spans="1:5" x14ac:dyDescent="0.25">
      <c r="A2799" s="94">
        <v>46069</v>
      </c>
      <c r="B2799" s="95">
        <v>511670.87300000002</v>
      </c>
      <c r="C2799" s="95">
        <v>4786685.9179999996</v>
      </c>
      <c r="D2799" s="95">
        <v>54.817999999999998</v>
      </c>
      <c r="E2799" s="91" t="s">
        <v>95</v>
      </c>
    </row>
    <row r="2800" spans="1:5" x14ac:dyDescent="0.25">
      <c r="A2800" s="94">
        <v>46069</v>
      </c>
      <c r="B2800" s="95">
        <v>511649.788</v>
      </c>
      <c r="C2800" s="95">
        <v>4786669.483</v>
      </c>
      <c r="D2800" s="95">
        <v>51.048999999999999</v>
      </c>
      <c r="E2800" s="91" t="s">
        <v>99</v>
      </c>
    </row>
    <row r="2801" spans="1:5" x14ac:dyDescent="0.25">
      <c r="A2801" s="94">
        <v>46069</v>
      </c>
      <c r="B2801" s="95">
        <v>511607.53700000001</v>
      </c>
      <c r="C2801" s="95">
        <v>4786691.9840000002</v>
      </c>
      <c r="D2801" s="95">
        <v>51.058999999999997</v>
      </c>
      <c r="E2801" s="91" t="s">
        <v>100</v>
      </c>
    </row>
    <row r="2802" spans="1:5" x14ac:dyDescent="0.25">
      <c r="A2802" s="94">
        <v>46069</v>
      </c>
      <c r="B2802" s="95">
        <v>511607.25400000002</v>
      </c>
      <c r="C2802" s="95">
        <v>4786692.176</v>
      </c>
      <c r="D2802" s="95">
        <v>51.058999999999997</v>
      </c>
      <c r="E2802" s="91" t="s">
        <v>101</v>
      </c>
    </row>
    <row r="2803" spans="1:5" x14ac:dyDescent="0.25">
      <c r="A2803" s="94">
        <v>46069</v>
      </c>
      <c r="B2803" s="95">
        <v>511601.10800000001</v>
      </c>
      <c r="C2803" s="95">
        <v>4786695.4119999995</v>
      </c>
      <c r="D2803" s="95">
        <v>51.04</v>
      </c>
      <c r="E2803" s="91" t="s">
        <v>102</v>
      </c>
    </row>
    <row r="2804" spans="1:5" x14ac:dyDescent="0.25">
      <c r="A2804" s="94">
        <v>46069</v>
      </c>
      <c r="B2804" s="95">
        <v>511615.24699999997</v>
      </c>
      <c r="C2804" s="95">
        <v>4786687.426</v>
      </c>
      <c r="D2804" s="95">
        <v>48.442999999999998</v>
      </c>
      <c r="E2804" s="91" t="s">
        <v>103</v>
      </c>
    </row>
    <row r="2805" spans="1:5" x14ac:dyDescent="0.25">
      <c r="A2805" s="94">
        <v>46069</v>
      </c>
      <c r="B2805" s="95">
        <v>511615.21899999998</v>
      </c>
      <c r="C2805" s="95">
        <v>4786687.3490000004</v>
      </c>
      <c r="D2805" s="95">
        <v>45.936</v>
      </c>
      <c r="E2805" s="91" t="s">
        <v>104</v>
      </c>
    </row>
    <row r="2806" spans="1:5" x14ac:dyDescent="0.25">
      <c r="A2806" s="94">
        <v>46069</v>
      </c>
      <c r="B2806" s="95">
        <v>511615.16800000001</v>
      </c>
      <c r="C2806" s="95">
        <v>4786687.3779999996</v>
      </c>
      <c r="D2806" s="95">
        <v>43.957000000000001</v>
      </c>
      <c r="E2806" s="91" t="s">
        <v>110</v>
      </c>
    </row>
    <row r="2807" spans="1:5" x14ac:dyDescent="0.25">
      <c r="A2807" s="94">
        <v>46069</v>
      </c>
      <c r="B2807" s="95">
        <v>511629.17700000003</v>
      </c>
      <c r="C2807" s="95">
        <v>4786680.057</v>
      </c>
      <c r="D2807" s="95">
        <v>48.462000000000003</v>
      </c>
      <c r="E2807" s="91" t="s">
        <v>105</v>
      </c>
    </row>
    <row r="2808" spans="1:5" x14ac:dyDescent="0.25">
      <c r="A2808" s="94">
        <v>46069</v>
      </c>
      <c r="B2808" s="95">
        <v>511629.30200000003</v>
      </c>
      <c r="C2808" s="95">
        <v>4786680.0190000003</v>
      </c>
      <c r="D2808" s="95">
        <v>45.945</v>
      </c>
      <c r="E2808" s="91" t="s">
        <v>106</v>
      </c>
    </row>
    <row r="2809" spans="1:5" x14ac:dyDescent="0.25">
      <c r="A2809" s="94">
        <v>46069</v>
      </c>
      <c r="B2809" s="95">
        <v>511642.27799999999</v>
      </c>
      <c r="C2809" s="95">
        <v>4786673.1169999996</v>
      </c>
      <c r="D2809" s="95">
        <v>48.442</v>
      </c>
      <c r="E2809" s="91" t="s">
        <v>107</v>
      </c>
    </row>
    <row r="2810" spans="1:5" x14ac:dyDescent="0.25">
      <c r="A2810" s="94">
        <v>46069</v>
      </c>
      <c r="B2810" s="95">
        <v>511642.43099999998</v>
      </c>
      <c r="C2810" s="95">
        <v>4786673.0060000001</v>
      </c>
      <c r="D2810" s="95">
        <v>45.938000000000002</v>
      </c>
      <c r="E2810" s="91" t="s">
        <v>108</v>
      </c>
    </row>
    <row r="2811" spans="1:5" x14ac:dyDescent="0.25">
      <c r="A2811" s="94">
        <v>46069</v>
      </c>
      <c r="B2811" s="95">
        <v>511642.46600000001</v>
      </c>
      <c r="C2811" s="95">
        <v>4786672.9019999998</v>
      </c>
      <c r="D2811" s="95">
        <v>43.965000000000003</v>
      </c>
      <c r="E2811" s="91" t="s">
        <v>111</v>
      </c>
    </row>
    <row r="2812" spans="1:5" x14ac:dyDescent="0.25">
      <c r="A2812" s="94">
        <v>46069</v>
      </c>
      <c r="B2812" s="95">
        <v>511649.12400000001</v>
      </c>
      <c r="C2812" s="95">
        <v>4786669.3990000002</v>
      </c>
      <c r="D2812" s="95">
        <v>43.945</v>
      </c>
      <c r="E2812" s="91" t="s">
        <v>113</v>
      </c>
    </row>
    <row r="2813" spans="1:5" x14ac:dyDescent="0.25">
      <c r="A2813" s="94">
        <v>46069</v>
      </c>
      <c r="B2813" s="95">
        <v>511662.30800000002</v>
      </c>
      <c r="C2813" s="95">
        <v>4786606.8739999998</v>
      </c>
      <c r="D2813" s="95">
        <v>46.238</v>
      </c>
      <c r="E2813" s="91" t="s">
        <v>145</v>
      </c>
    </row>
    <row r="2814" spans="1:5" x14ac:dyDescent="0.25">
      <c r="A2814" s="94">
        <v>46069</v>
      </c>
      <c r="B2814" s="95">
        <v>511662.14899999998</v>
      </c>
      <c r="C2814" s="95">
        <v>4786607.0480000004</v>
      </c>
      <c r="D2814" s="95">
        <v>44.679000000000002</v>
      </c>
      <c r="E2814" s="91" t="s">
        <v>146</v>
      </c>
    </row>
    <row r="2815" spans="1:5" x14ac:dyDescent="0.25">
      <c r="A2815" s="94">
        <v>46069</v>
      </c>
      <c r="B2815" s="95">
        <v>511673.81699999998</v>
      </c>
      <c r="C2815" s="95">
        <v>4786631.0690000001</v>
      </c>
      <c r="D2815" s="95">
        <v>40.158000000000001</v>
      </c>
      <c r="E2815" s="91" t="s">
        <v>147</v>
      </c>
    </row>
    <row r="2816" spans="1:5" x14ac:dyDescent="0.25">
      <c r="A2816" s="94">
        <v>46069</v>
      </c>
      <c r="B2816" s="95">
        <v>511573.397</v>
      </c>
      <c r="C2816" s="95">
        <v>4786684.3559999997</v>
      </c>
      <c r="D2816" s="95">
        <v>43.466000000000001</v>
      </c>
      <c r="E2816" s="91" t="s">
        <v>148</v>
      </c>
    </row>
    <row r="2817" spans="1:5" x14ac:dyDescent="0.25">
      <c r="A2817" s="94">
        <v>46069</v>
      </c>
      <c r="B2817" s="95">
        <v>511575.48300000001</v>
      </c>
      <c r="C2817" s="95">
        <v>4786688.2290000003</v>
      </c>
      <c r="D2817" s="95">
        <v>43.424999999999997</v>
      </c>
      <c r="E2817" s="91" t="s">
        <v>149</v>
      </c>
    </row>
    <row r="2818" spans="1:5" x14ac:dyDescent="0.25">
      <c r="A2818" s="94">
        <v>46069</v>
      </c>
      <c r="B2818" s="95">
        <v>511577.68300000002</v>
      </c>
      <c r="C2818" s="95">
        <v>4786692.2810000004</v>
      </c>
      <c r="D2818" s="95">
        <v>43.613999999999997</v>
      </c>
      <c r="E2818" s="91" t="s">
        <v>150</v>
      </c>
    </row>
    <row r="2819" spans="1:5" x14ac:dyDescent="0.25">
      <c r="A2819" s="94">
        <v>46069</v>
      </c>
      <c r="B2819" s="95">
        <v>511579.78499999997</v>
      </c>
      <c r="C2819" s="95">
        <v>4786696.199</v>
      </c>
      <c r="D2819" s="95">
        <v>43.686</v>
      </c>
      <c r="E2819" s="91" t="s">
        <v>151</v>
      </c>
    </row>
    <row r="2820" spans="1:5" x14ac:dyDescent="0.25">
      <c r="A2820" s="94">
        <v>46069</v>
      </c>
      <c r="B2820" s="95">
        <v>511607.17800000001</v>
      </c>
      <c r="C2820" s="95">
        <v>4786690.8499999996</v>
      </c>
      <c r="D2820" s="95">
        <v>41.311999999999998</v>
      </c>
      <c r="E2820" s="91" t="s">
        <v>139</v>
      </c>
    </row>
    <row r="2821" spans="1:5" x14ac:dyDescent="0.25">
      <c r="A2821" s="94">
        <v>46069</v>
      </c>
      <c r="B2821" s="95">
        <v>511614.97899999999</v>
      </c>
      <c r="C2821" s="95">
        <v>4786686.6160000004</v>
      </c>
      <c r="D2821" s="95">
        <v>41.439</v>
      </c>
      <c r="E2821" s="91" t="s">
        <v>140</v>
      </c>
    </row>
    <row r="2822" spans="1:5" x14ac:dyDescent="0.25">
      <c r="A2822" s="94">
        <v>46069</v>
      </c>
      <c r="B2822" s="95">
        <v>511628.83</v>
      </c>
      <c r="C2822" s="95">
        <v>4786679.1469999999</v>
      </c>
      <c r="D2822" s="95">
        <v>41.372</v>
      </c>
      <c r="E2822" s="91" t="s">
        <v>141</v>
      </c>
    </row>
    <row r="2823" spans="1:5" x14ac:dyDescent="0.25">
      <c r="A2823" s="94">
        <v>46069</v>
      </c>
      <c r="B2823" s="95">
        <v>511641.99800000002</v>
      </c>
      <c r="C2823" s="95">
        <v>4786671.9450000003</v>
      </c>
      <c r="D2823" s="95">
        <v>41.509</v>
      </c>
      <c r="E2823" s="91" t="s">
        <v>142</v>
      </c>
    </row>
    <row r="2824" spans="1:5" x14ac:dyDescent="0.25">
      <c r="A2824" s="94">
        <v>46069</v>
      </c>
      <c r="B2824" s="95">
        <v>511648.78</v>
      </c>
      <c r="C2824" s="95">
        <v>4786668.267</v>
      </c>
      <c r="D2824" s="95">
        <v>41.307000000000002</v>
      </c>
      <c r="E2824" s="91" t="s">
        <v>143</v>
      </c>
    </row>
    <row r="2825" spans="1:5" x14ac:dyDescent="0.25">
      <c r="A2825" s="94">
        <v>46070</v>
      </c>
      <c r="B2825" s="95">
        <v>511615.09100000001</v>
      </c>
      <c r="C2825" s="95">
        <v>4786687.977</v>
      </c>
      <c r="D2825" s="95">
        <v>51.026000000000003</v>
      </c>
      <c r="E2825" s="91" t="s">
        <v>96</v>
      </c>
    </row>
    <row r="2826" spans="1:5" x14ac:dyDescent="0.25">
      <c r="A2826" s="94">
        <v>46070</v>
      </c>
      <c r="B2826" s="95">
        <v>511628.87599999999</v>
      </c>
      <c r="C2826" s="95">
        <v>4786680.6399999997</v>
      </c>
      <c r="D2826" s="95">
        <v>51.037999999999997</v>
      </c>
      <c r="E2826" s="91" t="s">
        <v>97</v>
      </c>
    </row>
    <row r="2827" spans="1:5" x14ac:dyDescent="0.25">
      <c r="A2827" s="94">
        <v>46070</v>
      </c>
      <c r="B2827" s="95">
        <v>511642.576</v>
      </c>
      <c r="C2827" s="95">
        <v>4786673.3430000003</v>
      </c>
      <c r="D2827" s="95">
        <v>51.045999999999999</v>
      </c>
      <c r="E2827" s="91" t="s">
        <v>98</v>
      </c>
    </row>
    <row r="2828" spans="1:5" x14ac:dyDescent="0.25">
      <c r="A2828" s="94">
        <v>46070</v>
      </c>
      <c r="B2828" s="95">
        <v>511607.69099999999</v>
      </c>
      <c r="C2828" s="95">
        <v>4786691.4160000002</v>
      </c>
      <c r="D2828" s="95">
        <v>43.942</v>
      </c>
      <c r="E2828" s="91" t="s">
        <v>112</v>
      </c>
    </row>
    <row r="2829" spans="1:5" x14ac:dyDescent="0.25">
      <c r="A2829" s="94">
        <v>46070</v>
      </c>
      <c r="B2829" s="95">
        <v>511629.40899999999</v>
      </c>
      <c r="C2829" s="95">
        <v>4786679.9050000003</v>
      </c>
      <c r="D2829" s="95">
        <v>43.944000000000003</v>
      </c>
      <c r="E2829" s="91" t="s">
        <v>109</v>
      </c>
    </row>
    <row r="2830" spans="1:5" x14ac:dyDescent="0.25">
      <c r="A2830" s="94">
        <v>46070</v>
      </c>
      <c r="B2830" s="95">
        <v>511649.69900000002</v>
      </c>
      <c r="C2830" s="95">
        <v>4786682.1560000004</v>
      </c>
      <c r="D2830" s="95">
        <v>56.186</v>
      </c>
      <c r="E2830" s="91" t="s">
        <v>89</v>
      </c>
    </row>
    <row r="2831" spans="1:5" x14ac:dyDescent="0.25">
      <c r="A2831" s="94">
        <v>46070</v>
      </c>
      <c r="B2831" s="95">
        <v>511630.75900000002</v>
      </c>
      <c r="C2831" s="95">
        <v>4786689.8569999998</v>
      </c>
      <c r="D2831" s="95">
        <v>55.947000000000003</v>
      </c>
      <c r="E2831" s="91" t="s">
        <v>90</v>
      </c>
    </row>
    <row r="2832" spans="1:5" x14ac:dyDescent="0.25">
      <c r="A2832" s="94">
        <v>46070</v>
      </c>
      <c r="B2832" s="95">
        <v>511623.429</v>
      </c>
      <c r="C2832" s="95">
        <v>4786694.0729999999</v>
      </c>
      <c r="D2832" s="95">
        <v>54.779000000000003</v>
      </c>
      <c r="E2832" s="91" t="s">
        <v>91</v>
      </c>
    </row>
    <row r="2833" spans="1:5" x14ac:dyDescent="0.25">
      <c r="A2833" s="94">
        <v>46070</v>
      </c>
      <c r="B2833" s="95">
        <v>511613.31099999999</v>
      </c>
      <c r="C2833" s="95">
        <v>4786695.3030000003</v>
      </c>
      <c r="D2833" s="95">
        <v>60.567999999999998</v>
      </c>
      <c r="E2833" s="91" t="s">
        <v>92</v>
      </c>
    </row>
    <row r="2834" spans="1:5" x14ac:dyDescent="0.25">
      <c r="A2834" s="94">
        <v>46070</v>
      </c>
      <c r="B2834" s="95">
        <v>511614.75</v>
      </c>
      <c r="C2834" s="95">
        <v>4786712.557</v>
      </c>
      <c r="D2834" s="95">
        <v>60.82</v>
      </c>
      <c r="E2834" s="91" t="s">
        <v>93</v>
      </c>
    </row>
    <row r="2835" spans="1:5" x14ac:dyDescent="0.25">
      <c r="A2835" s="94">
        <v>46070</v>
      </c>
      <c r="B2835" s="95">
        <v>511660.663</v>
      </c>
      <c r="C2835" s="95">
        <v>4786683.466</v>
      </c>
      <c r="D2835" s="95">
        <v>55.402999999999999</v>
      </c>
      <c r="E2835" s="91" t="s">
        <v>94</v>
      </c>
    </row>
    <row r="2836" spans="1:5" x14ac:dyDescent="0.25">
      <c r="A2836" s="94">
        <v>46070</v>
      </c>
      <c r="B2836" s="95">
        <v>511670.87199999997</v>
      </c>
      <c r="C2836" s="95">
        <v>4786685.9160000002</v>
      </c>
      <c r="D2836" s="95">
        <v>54.817999999999998</v>
      </c>
      <c r="E2836" s="91" t="s">
        <v>95</v>
      </c>
    </row>
    <row r="2837" spans="1:5" x14ac:dyDescent="0.25">
      <c r="A2837" s="94">
        <v>46070</v>
      </c>
      <c r="B2837" s="95">
        <v>511649.788</v>
      </c>
      <c r="C2837" s="95">
        <v>4786669.483</v>
      </c>
      <c r="D2837" s="95">
        <v>51.048999999999999</v>
      </c>
      <c r="E2837" s="91" t="s">
        <v>99</v>
      </c>
    </row>
    <row r="2838" spans="1:5" x14ac:dyDescent="0.25">
      <c r="A2838" s="94">
        <v>46070</v>
      </c>
      <c r="B2838" s="95">
        <v>511607.54399999999</v>
      </c>
      <c r="C2838" s="95">
        <v>4786691.9730000002</v>
      </c>
      <c r="D2838" s="95">
        <v>51.048000000000002</v>
      </c>
      <c r="E2838" s="91" t="s">
        <v>100</v>
      </c>
    </row>
    <row r="2839" spans="1:5" x14ac:dyDescent="0.25">
      <c r="A2839" s="94">
        <v>46070</v>
      </c>
      <c r="B2839" s="95">
        <v>511607.261</v>
      </c>
      <c r="C2839" s="95">
        <v>4786692.1670000004</v>
      </c>
      <c r="D2839" s="95">
        <v>51.048999999999999</v>
      </c>
      <c r="E2839" s="91" t="s">
        <v>101</v>
      </c>
    </row>
    <row r="2840" spans="1:5" x14ac:dyDescent="0.25">
      <c r="A2840" s="94">
        <v>46070</v>
      </c>
      <c r="B2840" s="95">
        <v>511601.109</v>
      </c>
      <c r="C2840" s="95">
        <v>4786695.4119999995</v>
      </c>
      <c r="D2840" s="95">
        <v>51.04</v>
      </c>
      <c r="E2840" s="91" t="s">
        <v>102</v>
      </c>
    </row>
    <row r="2841" spans="1:5" x14ac:dyDescent="0.25">
      <c r="A2841" s="94">
        <v>46070</v>
      </c>
      <c r="B2841" s="95">
        <v>511615.24699999997</v>
      </c>
      <c r="C2841" s="95">
        <v>4786687.426</v>
      </c>
      <c r="D2841" s="95">
        <v>48.442999999999998</v>
      </c>
      <c r="E2841" s="91" t="s">
        <v>103</v>
      </c>
    </row>
    <row r="2842" spans="1:5" x14ac:dyDescent="0.25">
      <c r="A2842" s="94">
        <v>46070</v>
      </c>
      <c r="B2842" s="95">
        <v>511615.21899999998</v>
      </c>
      <c r="C2842" s="95">
        <v>4786687.3480000002</v>
      </c>
      <c r="D2842" s="95">
        <v>45.936</v>
      </c>
      <c r="E2842" s="91" t="s">
        <v>104</v>
      </c>
    </row>
    <row r="2843" spans="1:5" x14ac:dyDescent="0.25">
      <c r="A2843" s="94">
        <v>46070</v>
      </c>
      <c r="B2843" s="95">
        <v>511615.16700000002</v>
      </c>
      <c r="C2843" s="95">
        <v>4786687.3789999997</v>
      </c>
      <c r="D2843" s="95">
        <v>43.957000000000001</v>
      </c>
      <c r="E2843" s="91" t="s">
        <v>110</v>
      </c>
    </row>
    <row r="2844" spans="1:5" x14ac:dyDescent="0.25">
      <c r="A2844" s="94">
        <v>46070</v>
      </c>
      <c r="B2844" s="95">
        <v>511629.179</v>
      </c>
      <c r="C2844" s="95">
        <v>4786680.0559999999</v>
      </c>
      <c r="D2844" s="95">
        <v>48.460999999999999</v>
      </c>
      <c r="E2844" s="91" t="s">
        <v>105</v>
      </c>
    </row>
    <row r="2845" spans="1:5" x14ac:dyDescent="0.25">
      <c r="A2845" s="94">
        <v>46070</v>
      </c>
      <c r="B2845" s="95">
        <v>511629.30099999998</v>
      </c>
      <c r="C2845" s="95">
        <v>4786680.0190000003</v>
      </c>
      <c r="D2845" s="95">
        <v>45.944000000000003</v>
      </c>
      <c r="E2845" s="91" t="s">
        <v>106</v>
      </c>
    </row>
    <row r="2846" spans="1:5" x14ac:dyDescent="0.25">
      <c r="A2846" s="94">
        <v>46070</v>
      </c>
      <c r="B2846" s="95">
        <v>511642.27899999998</v>
      </c>
      <c r="C2846" s="95">
        <v>4786673.1160000004</v>
      </c>
      <c r="D2846" s="95">
        <v>48.442</v>
      </c>
      <c r="E2846" s="91" t="s">
        <v>107</v>
      </c>
    </row>
    <row r="2847" spans="1:5" x14ac:dyDescent="0.25">
      <c r="A2847" s="94">
        <v>46070</v>
      </c>
      <c r="B2847" s="95">
        <v>511642.43199999997</v>
      </c>
      <c r="C2847" s="95">
        <v>4786673.0060000001</v>
      </c>
      <c r="D2847" s="95">
        <v>45.938000000000002</v>
      </c>
      <c r="E2847" s="91" t="s">
        <v>108</v>
      </c>
    </row>
    <row r="2848" spans="1:5" x14ac:dyDescent="0.25">
      <c r="A2848" s="94">
        <v>46070</v>
      </c>
      <c r="B2848" s="95">
        <v>511642.46500000003</v>
      </c>
      <c r="C2848" s="95">
        <v>4786672.9019999998</v>
      </c>
      <c r="D2848" s="95">
        <v>43.965000000000003</v>
      </c>
      <c r="E2848" s="91" t="s">
        <v>111</v>
      </c>
    </row>
    <row r="2849" spans="1:8" x14ac:dyDescent="0.25">
      <c r="A2849" s="94">
        <v>46070</v>
      </c>
      <c r="B2849" s="95">
        <v>511649.12300000002</v>
      </c>
      <c r="C2849" s="95">
        <v>4786669.4000000004</v>
      </c>
      <c r="D2849" s="95">
        <v>43.945</v>
      </c>
      <c r="E2849" s="91" t="s">
        <v>113</v>
      </c>
    </row>
    <row r="2850" spans="1:8" x14ac:dyDescent="0.25">
      <c r="A2850" s="94">
        <v>46070</v>
      </c>
      <c r="B2850" s="95">
        <v>511662.30699999997</v>
      </c>
      <c r="C2850" s="95">
        <v>4786606.8760000002</v>
      </c>
      <c r="D2850" s="95">
        <v>46.238</v>
      </c>
      <c r="E2850" s="91" t="s">
        <v>145</v>
      </c>
    </row>
    <row r="2851" spans="1:8" x14ac:dyDescent="0.25">
      <c r="A2851" s="94">
        <v>46070</v>
      </c>
      <c r="B2851" s="95">
        <v>511662.14899999998</v>
      </c>
      <c r="C2851" s="95">
        <v>4786607.05</v>
      </c>
      <c r="D2851" s="95">
        <v>44.679000000000002</v>
      </c>
      <c r="E2851" s="91" t="s">
        <v>146</v>
      </c>
    </row>
    <row r="2852" spans="1:8" x14ac:dyDescent="0.25">
      <c r="A2852" s="94">
        <v>46070</v>
      </c>
      <c r="B2852" s="95">
        <v>511662.06300000002</v>
      </c>
      <c r="C2852" s="95">
        <v>4786607.142</v>
      </c>
      <c r="D2852" s="95">
        <v>43.39</v>
      </c>
      <c r="E2852" s="91" t="s">
        <v>144</v>
      </c>
      <c r="F2852" s="92"/>
      <c r="G2852" s="92"/>
      <c r="H2852" s="92"/>
    </row>
    <row r="2853" spans="1:8" x14ac:dyDescent="0.25">
      <c r="A2853" s="94">
        <v>46070</v>
      </c>
      <c r="B2853" s="95">
        <v>511673.81599999999</v>
      </c>
      <c r="C2853" s="95">
        <v>4786631.0719999997</v>
      </c>
      <c r="D2853" s="95">
        <v>40.158999999999999</v>
      </c>
      <c r="E2853" s="91" t="s">
        <v>147</v>
      </c>
    </row>
    <row r="2854" spans="1:8" x14ac:dyDescent="0.25">
      <c r="A2854" s="94">
        <v>46070</v>
      </c>
      <c r="B2854" s="95">
        <v>511573.39500000002</v>
      </c>
      <c r="C2854" s="95">
        <v>4786684.3559999997</v>
      </c>
      <c r="D2854" s="95">
        <v>43.466000000000001</v>
      </c>
      <c r="E2854" s="91" t="s">
        <v>148</v>
      </c>
    </row>
    <row r="2855" spans="1:8" x14ac:dyDescent="0.25">
      <c r="A2855" s="94">
        <v>46070</v>
      </c>
      <c r="B2855" s="95">
        <v>511575.48100000003</v>
      </c>
      <c r="C2855" s="95">
        <v>4786688.2290000003</v>
      </c>
      <c r="D2855" s="95">
        <v>43.424999999999997</v>
      </c>
      <c r="E2855" s="91" t="s">
        <v>149</v>
      </c>
    </row>
    <row r="2856" spans="1:8" x14ac:dyDescent="0.25">
      <c r="A2856" s="94">
        <v>46070</v>
      </c>
      <c r="B2856" s="95">
        <v>511577.68099999998</v>
      </c>
      <c r="C2856" s="95">
        <v>4786692.2829999998</v>
      </c>
      <c r="D2856" s="95">
        <v>43.613999999999997</v>
      </c>
      <c r="E2856" s="91" t="s">
        <v>150</v>
      </c>
    </row>
    <row r="2857" spans="1:8" x14ac:dyDescent="0.25">
      <c r="A2857" s="94">
        <v>46070</v>
      </c>
      <c r="B2857" s="95">
        <v>511579.783</v>
      </c>
      <c r="C2857" s="95">
        <v>4786696.1979999999</v>
      </c>
      <c r="D2857" s="95">
        <v>43.686</v>
      </c>
      <c r="E2857" s="91" t="s">
        <v>151</v>
      </c>
    </row>
    <row r="2858" spans="1:8" x14ac:dyDescent="0.25">
      <c r="A2858" s="94">
        <v>46070</v>
      </c>
      <c r="B2858" s="95">
        <v>511607.17499999999</v>
      </c>
      <c r="C2858" s="95">
        <v>4786690.8470000001</v>
      </c>
      <c r="D2858" s="95">
        <v>41.313000000000002</v>
      </c>
      <c r="E2858" s="91" t="s">
        <v>139</v>
      </c>
    </row>
    <row r="2859" spans="1:8" x14ac:dyDescent="0.25">
      <c r="A2859" s="94">
        <v>46070</v>
      </c>
      <c r="B2859" s="95">
        <v>511614.978</v>
      </c>
      <c r="C2859" s="95">
        <v>4786686.6160000004</v>
      </c>
      <c r="D2859" s="95">
        <v>41.44</v>
      </c>
      <c r="E2859" s="91" t="s">
        <v>140</v>
      </c>
    </row>
    <row r="2860" spans="1:8" x14ac:dyDescent="0.25">
      <c r="A2860" s="94">
        <v>46070</v>
      </c>
      <c r="B2860" s="95">
        <v>511628.82900000003</v>
      </c>
      <c r="C2860" s="95">
        <v>4786679.1469999999</v>
      </c>
      <c r="D2860" s="95">
        <v>41.372</v>
      </c>
      <c r="E2860" s="91" t="s">
        <v>141</v>
      </c>
    </row>
    <row r="2861" spans="1:8" x14ac:dyDescent="0.25">
      <c r="A2861" s="94">
        <v>46070</v>
      </c>
      <c r="B2861" s="95">
        <v>511641.99800000002</v>
      </c>
      <c r="C2861" s="95">
        <v>4786671.9460000005</v>
      </c>
      <c r="D2861" s="95">
        <v>41.51</v>
      </c>
      <c r="E2861" s="91" t="s">
        <v>142</v>
      </c>
    </row>
    <row r="2862" spans="1:8" x14ac:dyDescent="0.25">
      <c r="A2862" s="94">
        <v>46070</v>
      </c>
      <c r="B2862" s="95">
        <v>511648.77799999999</v>
      </c>
      <c r="C2862" s="95">
        <v>4786668.267</v>
      </c>
      <c r="D2862" s="95">
        <v>41.308</v>
      </c>
      <c r="E2862" s="91" t="s">
        <v>143</v>
      </c>
    </row>
    <row r="2863" spans="1:8" x14ac:dyDescent="0.25">
      <c r="A2863" s="94">
        <v>46071</v>
      </c>
      <c r="B2863" s="95">
        <v>511615.08899999998</v>
      </c>
      <c r="C2863" s="95">
        <v>4786687.9759999998</v>
      </c>
      <c r="D2863" s="95">
        <v>51.027000000000001</v>
      </c>
      <c r="E2863" s="91" t="s">
        <v>96</v>
      </c>
    </row>
    <row r="2864" spans="1:8" x14ac:dyDescent="0.25">
      <c r="A2864" s="94">
        <v>46071</v>
      </c>
      <c r="B2864" s="95">
        <v>511628.875</v>
      </c>
      <c r="C2864" s="95">
        <v>4786680.6399999997</v>
      </c>
      <c r="D2864" s="95">
        <v>51.037999999999997</v>
      </c>
      <c r="E2864" s="91" t="s">
        <v>97</v>
      </c>
    </row>
    <row r="2865" spans="1:5" x14ac:dyDescent="0.25">
      <c r="A2865" s="94">
        <v>46071</v>
      </c>
      <c r="B2865" s="95">
        <v>511642.57500000001</v>
      </c>
      <c r="C2865" s="95">
        <v>4786673.3439999996</v>
      </c>
      <c r="D2865" s="95">
        <v>51.045999999999999</v>
      </c>
      <c r="E2865" s="91" t="s">
        <v>98</v>
      </c>
    </row>
    <row r="2866" spans="1:5" x14ac:dyDescent="0.25">
      <c r="A2866" s="94">
        <v>46071</v>
      </c>
      <c r="B2866" s="95">
        <v>511607.68900000001</v>
      </c>
      <c r="C2866" s="95">
        <v>4786691.4170000004</v>
      </c>
      <c r="D2866" s="95">
        <v>43.942</v>
      </c>
      <c r="E2866" s="91" t="s">
        <v>112</v>
      </c>
    </row>
    <row r="2867" spans="1:5" x14ac:dyDescent="0.25">
      <c r="A2867" s="94">
        <v>46071</v>
      </c>
      <c r="B2867" s="95">
        <v>511629.40700000001</v>
      </c>
      <c r="C2867" s="95">
        <v>4786679.9060000004</v>
      </c>
      <c r="D2867" s="95">
        <v>43.944000000000003</v>
      </c>
      <c r="E2867" s="91" t="s">
        <v>109</v>
      </c>
    </row>
    <row r="2868" spans="1:5" x14ac:dyDescent="0.25">
      <c r="A2868" s="94">
        <v>46071</v>
      </c>
      <c r="B2868" s="95">
        <v>511649.7</v>
      </c>
      <c r="C2868" s="95">
        <v>4786682.1569999997</v>
      </c>
      <c r="D2868" s="95">
        <v>56.186999999999998</v>
      </c>
      <c r="E2868" s="91" t="s">
        <v>89</v>
      </c>
    </row>
    <row r="2869" spans="1:5" x14ac:dyDescent="0.25">
      <c r="A2869" s="94">
        <v>46071</v>
      </c>
      <c r="B2869" s="95">
        <v>511630.75900000002</v>
      </c>
      <c r="C2869" s="95">
        <v>4786689.8569999998</v>
      </c>
      <c r="D2869" s="95">
        <v>55.948</v>
      </c>
      <c r="E2869" s="91" t="s">
        <v>90</v>
      </c>
    </row>
    <row r="2870" spans="1:5" x14ac:dyDescent="0.25">
      <c r="A2870" s="94">
        <v>46071</v>
      </c>
      <c r="B2870" s="95">
        <v>511623.43</v>
      </c>
      <c r="C2870" s="95">
        <v>4786694.074</v>
      </c>
      <c r="D2870" s="95">
        <v>54.78</v>
      </c>
      <c r="E2870" s="91" t="s">
        <v>91</v>
      </c>
    </row>
    <row r="2871" spans="1:5" x14ac:dyDescent="0.25">
      <c r="A2871" s="94">
        <v>46071</v>
      </c>
      <c r="B2871" s="95">
        <v>511613.31</v>
      </c>
      <c r="C2871" s="95">
        <v>4786695.3020000001</v>
      </c>
      <c r="D2871" s="95">
        <v>60.567999999999998</v>
      </c>
      <c r="E2871" s="91" t="s">
        <v>92</v>
      </c>
    </row>
    <row r="2872" spans="1:5" x14ac:dyDescent="0.25">
      <c r="A2872" s="94">
        <v>46071</v>
      </c>
      <c r="B2872" s="95">
        <v>511614.75</v>
      </c>
      <c r="C2872" s="95">
        <v>4786712.557</v>
      </c>
      <c r="D2872" s="95">
        <v>60.820999999999998</v>
      </c>
      <c r="E2872" s="91" t="s">
        <v>93</v>
      </c>
    </row>
    <row r="2873" spans="1:5" x14ac:dyDescent="0.25">
      <c r="A2873" s="94">
        <v>46071</v>
      </c>
      <c r="B2873" s="95">
        <v>511660.663</v>
      </c>
      <c r="C2873" s="95">
        <v>4786683.4670000002</v>
      </c>
      <c r="D2873" s="95">
        <v>55.402999999999999</v>
      </c>
      <c r="E2873" s="91" t="s">
        <v>94</v>
      </c>
    </row>
    <row r="2874" spans="1:5" x14ac:dyDescent="0.25">
      <c r="A2874" s="94">
        <v>46071</v>
      </c>
      <c r="B2874" s="95">
        <v>511670.87099999998</v>
      </c>
      <c r="C2874" s="95">
        <v>4786685.9179999996</v>
      </c>
      <c r="D2874" s="95">
        <v>54.82</v>
      </c>
      <c r="E2874" s="91" t="s">
        <v>95</v>
      </c>
    </row>
    <row r="2875" spans="1:5" x14ac:dyDescent="0.25">
      <c r="A2875" s="94">
        <v>46071</v>
      </c>
      <c r="B2875" s="95">
        <v>511649.78899999999</v>
      </c>
      <c r="C2875" s="95">
        <v>4786669.4840000002</v>
      </c>
      <c r="D2875" s="95">
        <v>51.051000000000002</v>
      </c>
      <c r="E2875" s="91" t="s">
        <v>99</v>
      </c>
    </row>
    <row r="2876" spans="1:5" x14ac:dyDescent="0.25">
      <c r="A2876" s="94">
        <v>46071</v>
      </c>
      <c r="B2876" s="95">
        <v>511607.54300000001</v>
      </c>
      <c r="C2876" s="95">
        <v>4786691.9730000002</v>
      </c>
      <c r="D2876" s="95">
        <v>51.048999999999999</v>
      </c>
      <c r="E2876" s="91" t="s">
        <v>100</v>
      </c>
    </row>
    <row r="2877" spans="1:5" x14ac:dyDescent="0.25">
      <c r="A2877" s="94">
        <v>46071</v>
      </c>
      <c r="B2877" s="95">
        <v>511607.26</v>
      </c>
      <c r="C2877" s="95">
        <v>4786692.1660000002</v>
      </c>
      <c r="D2877" s="95">
        <v>51.05</v>
      </c>
      <c r="E2877" s="91" t="s">
        <v>101</v>
      </c>
    </row>
    <row r="2878" spans="1:5" x14ac:dyDescent="0.25">
      <c r="A2878" s="94">
        <v>46071</v>
      </c>
      <c r="B2878" s="95">
        <v>511601.10800000001</v>
      </c>
      <c r="C2878" s="95">
        <v>4786695.4119999995</v>
      </c>
      <c r="D2878" s="95">
        <v>51.04</v>
      </c>
      <c r="E2878" s="91" t="s">
        <v>102</v>
      </c>
    </row>
    <row r="2879" spans="1:5" x14ac:dyDescent="0.25">
      <c r="A2879" s="94">
        <v>46071</v>
      </c>
      <c r="B2879" s="95">
        <v>511615.24599999998</v>
      </c>
      <c r="C2879" s="95">
        <v>4786687.426</v>
      </c>
      <c r="D2879" s="95">
        <v>48.444000000000003</v>
      </c>
      <c r="E2879" s="91" t="s">
        <v>103</v>
      </c>
    </row>
    <row r="2880" spans="1:5" x14ac:dyDescent="0.25">
      <c r="A2880" s="94">
        <v>46071</v>
      </c>
      <c r="B2880" s="95">
        <v>511615.21899999998</v>
      </c>
      <c r="C2880" s="95">
        <v>4786687.3490000004</v>
      </c>
      <c r="D2880" s="95">
        <v>45.936</v>
      </c>
      <c r="E2880" s="91" t="s">
        <v>104</v>
      </c>
    </row>
    <row r="2881" spans="1:8" x14ac:dyDescent="0.25">
      <c r="A2881" s="94">
        <v>46071</v>
      </c>
      <c r="B2881" s="95">
        <v>511615.16499999998</v>
      </c>
      <c r="C2881" s="95">
        <v>4786687.3789999997</v>
      </c>
      <c r="D2881" s="95">
        <v>43.957000000000001</v>
      </c>
      <c r="E2881" s="91" t="s">
        <v>110</v>
      </c>
    </row>
    <row r="2882" spans="1:8" x14ac:dyDescent="0.25">
      <c r="A2882" s="94">
        <v>46071</v>
      </c>
      <c r="B2882" s="95">
        <v>511629.17800000001</v>
      </c>
      <c r="C2882" s="95">
        <v>4786680.057</v>
      </c>
      <c r="D2882" s="95">
        <v>48.462000000000003</v>
      </c>
      <c r="E2882" s="91" t="s">
        <v>105</v>
      </c>
    </row>
    <row r="2883" spans="1:8" x14ac:dyDescent="0.25">
      <c r="A2883" s="94">
        <v>46071</v>
      </c>
      <c r="B2883" s="95">
        <v>511629.30099999998</v>
      </c>
      <c r="C2883" s="95">
        <v>4786680.0190000003</v>
      </c>
      <c r="D2883" s="95">
        <v>45.944000000000003</v>
      </c>
      <c r="E2883" s="91" t="s">
        <v>106</v>
      </c>
    </row>
    <row r="2884" spans="1:8" x14ac:dyDescent="0.25">
      <c r="A2884" s="94">
        <v>46071</v>
      </c>
      <c r="B2884" s="95">
        <v>511642.277</v>
      </c>
      <c r="C2884" s="95">
        <v>4786673.1169999996</v>
      </c>
      <c r="D2884" s="95">
        <v>48.442</v>
      </c>
      <c r="E2884" s="91" t="s">
        <v>107</v>
      </c>
    </row>
    <row r="2885" spans="1:8" x14ac:dyDescent="0.25">
      <c r="A2885" s="94">
        <v>46071</v>
      </c>
      <c r="B2885" s="95">
        <v>511642.43199999997</v>
      </c>
      <c r="C2885" s="95">
        <v>4786673.0060000001</v>
      </c>
      <c r="D2885" s="95">
        <v>45.938000000000002</v>
      </c>
      <c r="E2885" s="91" t="s">
        <v>108</v>
      </c>
    </row>
    <row r="2886" spans="1:8" x14ac:dyDescent="0.25">
      <c r="A2886" s="94">
        <v>46071</v>
      </c>
      <c r="B2886" s="95">
        <v>511642.46299999999</v>
      </c>
      <c r="C2886" s="95">
        <v>4786672.9029999999</v>
      </c>
      <c r="D2886" s="95">
        <v>43.965000000000003</v>
      </c>
      <c r="E2886" s="91" t="s">
        <v>111</v>
      </c>
    </row>
    <row r="2887" spans="1:8" x14ac:dyDescent="0.25">
      <c r="A2887" s="94">
        <v>46071</v>
      </c>
      <c r="B2887" s="95">
        <v>511649.12099999998</v>
      </c>
      <c r="C2887" s="95">
        <v>4786669.4009999996</v>
      </c>
      <c r="D2887" s="95">
        <v>43.945</v>
      </c>
      <c r="E2887" s="91" t="s">
        <v>113</v>
      </c>
    </row>
    <row r="2888" spans="1:8" x14ac:dyDescent="0.25">
      <c r="A2888" s="94">
        <v>46071</v>
      </c>
      <c r="B2888" s="95">
        <v>511662.30499999999</v>
      </c>
      <c r="C2888" s="95">
        <v>4786606.8779999996</v>
      </c>
      <c r="D2888" s="95">
        <v>46.238</v>
      </c>
      <c r="E2888" s="91" t="s">
        <v>145</v>
      </c>
    </row>
    <row r="2889" spans="1:8" x14ac:dyDescent="0.25">
      <c r="A2889" s="94">
        <v>46071</v>
      </c>
      <c r="B2889" s="95">
        <v>511662.15299999999</v>
      </c>
      <c r="C2889" s="95">
        <v>4786607.057</v>
      </c>
      <c r="D2889" s="95">
        <v>44.668999999999997</v>
      </c>
      <c r="E2889" s="91" t="s">
        <v>146</v>
      </c>
    </row>
    <row r="2890" spans="1:8" x14ac:dyDescent="0.25">
      <c r="A2890" s="94">
        <v>46071</v>
      </c>
      <c r="B2890" s="95">
        <v>511662.05900000001</v>
      </c>
      <c r="C2890" s="95">
        <v>4786607.1409999998</v>
      </c>
      <c r="D2890" s="95">
        <v>43.387999999999998</v>
      </c>
      <c r="E2890" s="91" t="s">
        <v>144</v>
      </c>
      <c r="F2890" s="92"/>
      <c r="G2890" s="92"/>
      <c r="H2890" s="92"/>
    </row>
    <row r="2891" spans="1:8" x14ac:dyDescent="0.25">
      <c r="A2891" s="94">
        <v>46071</v>
      </c>
      <c r="B2891" s="95">
        <v>511673.81400000001</v>
      </c>
      <c r="C2891" s="95">
        <v>4786631.0719999997</v>
      </c>
      <c r="D2891" s="95">
        <v>40.158999999999999</v>
      </c>
      <c r="E2891" s="91" t="s">
        <v>147</v>
      </c>
    </row>
    <row r="2892" spans="1:8" x14ac:dyDescent="0.25">
      <c r="A2892" s="94">
        <v>46071</v>
      </c>
      <c r="B2892" s="95">
        <v>511573.39500000002</v>
      </c>
      <c r="C2892" s="95">
        <v>4786684.3559999997</v>
      </c>
      <c r="D2892" s="95">
        <v>43.466000000000001</v>
      </c>
      <c r="E2892" s="91" t="s">
        <v>148</v>
      </c>
    </row>
    <row r="2893" spans="1:8" x14ac:dyDescent="0.25">
      <c r="A2893" s="94">
        <v>46071</v>
      </c>
      <c r="B2893" s="95">
        <v>511575.48100000003</v>
      </c>
      <c r="C2893" s="95">
        <v>4786688.2290000003</v>
      </c>
      <c r="D2893" s="95">
        <v>43.424999999999997</v>
      </c>
      <c r="E2893" s="91" t="s">
        <v>149</v>
      </c>
    </row>
    <row r="2894" spans="1:8" x14ac:dyDescent="0.25">
      <c r="A2894" s="94">
        <v>46071</v>
      </c>
      <c r="B2894" s="95">
        <v>511577.68099999998</v>
      </c>
      <c r="C2894" s="95">
        <v>4786692.2819999997</v>
      </c>
      <c r="D2894" s="95">
        <v>43.613999999999997</v>
      </c>
      <c r="E2894" s="91" t="s">
        <v>150</v>
      </c>
    </row>
    <row r="2895" spans="1:8" x14ac:dyDescent="0.25">
      <c r="A2895" s="94">
        <v>46071</v>
      </c>
      <c r="B2895" s="95">
        <v>511579.78200000001</v>
      </c>
      <c r="C2895" s="95">
        <v>4786696.199</v>
      </c>
      <c r="D2895" s="95">
        <v>43.686</v>
      </c>
      <c r="E2895" s="91" t="s">
        <v>151</v>
      </c>
    </row>
    <row r="2896" spans="1:8" x14ac:dyDescent="0.25">
      <c r="A2896" s="94">
        <v>46071</v>
      </c>
      <c r="B2896" s="95">
        <v>511607.174</v>
      </c>
      <c r="C2896" s="95">
        <v>4786690.8470000001</v>
      </c>
      <c r="D2896" s="95">
        <v>41.313000000000002</v>
      </c>
      <c r="E2896" s="91" t="s">
        <v>139</v>
      </c>
    </row>
    <row r="2897" spans="1:5" x14ac:dyDescent="0.25">
      <c r="A2897" s="94">
        <v>46071</v>
      </c>
      <c r="B2897" s="95">
        <v>511614.97600000002</v>
      </c>
      <c r="C2897" s="95">
        <v>4786686.6160000004</v>
      </c>
      <c r="D2897" s="95">
        <v>41.44</v>
      </c>
      <c r="E2897" s="91" t="s">
        <v>140</v>
      </c>
    </row>
    <row r="2898" spans="1:5" x14ac:dyDescent="0.25">
      <c r="A2898" s="94">
        <v>46071</v>
      </c>
      <c r="B2898" s="95">
        <v>511628.826</v>
      </c>
      <c r="C2898" s="95">
        <v>4786679.1459999997</v>
      </c>
      <c r="D2898" s="95">
        <v>41.372</v>
      </c>
      <c r="E2898" s="91" t="s">
        <v>141</v>
      </c>
    </row>
    <row r="2899" spans="1:5" x14ac:dyDescent="0.25">
      <c r="A2899" s="94">
        <v>46071</v>
      </c>
      <c r="B2899" s="95">
        <v>511641.99599999998</v>
      </c>
      <c r="C2899" s="95">
        <v>4786671.9460000005</v>
      </c>
      <c r="D2899" s="95">
        <v>41.509</v>
      </c>
      <c r="E2899" s="91" t="s">
        <v>142</v>
      </c>
    </row>
    <row r="2900" spans="1:5" x14ac:dyDescent="0.25">
      <c r="A2900" s="94">
        <v>46071</v>
      </c>
      <c r="B2900" s="95">
        <v>511648.777</v>
      </c>
      <c r="C2900" s="95">
        <v>4786668.2680000002</v>
      </c>
      <c r="D2900" s="95">
        <v>41.307000000000002</v>
      </c>
      <c r="E2900" s="91" t="s">
        <v>143</v>
      </c>
    </row>
    <row r="2901" spans="1:5" x14ac:dyDescent="0.25">
      <c r="A2901" s="94">
        <v>46072</v>
      </c>
      <c r="B2901" s="95">
        <v>511615.09100000001</v>
      </c>
      <c r="C2901" s="95">
        <v>4786687.9780000001</v>
      </c>
      <c r="D2901" s="95">
        <v>51.027000000000001</v>
      </c>
      <c r="E2901" s="91" t="s">
        <v>96</v>
      </c>
    </row>
    <row r="2902" spans="1:5" x14ac:dyDescent="0.25">
      <c r="A2902" s="94">
        <v>46072</v>
      </c>
      <c r="B2902" s="95">
        <v>511628.875</v>
      </c>
      <c r="C2902" s="95">
        <v>4786680.6399999997</v>
      </c>
      <c r="D2902" s="95">
        <v>51.036999999999999</v>
      </c>
      <c r="E2902" s="91" t="s">
        <v>97</v>
      </c>
    </row>
    <row r="2903" spans="1:5" x14ac:dyDescent="0.25">
      <c r="A2903" s="94">
        <v>46072</v>
      </c>
      <c r="B2903" s="95">
        <v>511642.57500000001</v>
      </c>
      <c r="C2903" s="95">
        <v>4786673.3430000003</v>
      </c>
      <c r="D2903" s="95">
        <v>51.045999999999999</v>
      </c>
      <c r="E2903" s="91" t="s">
        <v>98</v>
      </c>
    </row>
    <row r="2904" spans="1:5" x14ac:dyDescent="0.25">
      <c r="A2904" s="94">
        <v>46072</v>
      </c>
      <c r="B2904" s="95">
        <v>511607.69300000003</v>
      </c>
      <c r="C2904" s="95">
        <v>4786691.4139999999</v>
      </c>
      <c r="D2904" s="95">
        <v>43.942</v>
      </c>
      <c r="E2904" s="91" t="s">
        <v>112</v>
      </c>
    </row>
    <row r="2905" spans="1:5" x14ac:dyDescent="0.25">
      <c r="A2905" s="94">
        <v>46072</v>
      </c>
      <c r="B2905" s="95">
        <v>511629.41200000001</v>
      </c>
      <c r="C2905" s="95">
        <v>4786679.9040000001</v>
      </c>
      <c r="D2905" s="95">
        <v>43.942999999999998</v>
      </c>
      <c r="E2905" s="91" t="s">
        <v>109</v>
      </c>
    </row>
    <row r="2906" spans="1:5" x14ac:dyDescent="0.25">
      <c r="A2906" s="94">
        <v>46072</v>
      </c>
      <c r="B2906" s="95">
        <v>511649.69900000002</v>
      </c>
      <c r="C2906" s="95">
        <v>4786682.1560000004</v>
      </c>
      <c r="D2906" s="95">
        <v>56.186</v>
      </c>
      <c r="E2906" s="91" t="s">
        <v>89</v>
      </c>
    </row>
    <row r="2907" spans="1:5" x14ac:dyDescent="0.25">
      <c r="A2907" s="94">
        <v>46072</v>
      </c>
      <c r="B2907" s="95">
        <v>511630.76</v>
      </c>
      <c r="C2907" s="95">
        <v>4786689.8569999998</v>
      </c>
      <c r="D2907" s="95">
        <v>55.947000000000003</v>
      </c>
      <c r="E2907" s="91" t="s">
        <v>90</v>
      </c>
    </row>
    <row r="2908" spans="1:5" x14ac:dyDescent="0.25">
      <c r="A2908" s="94">
        <v>46072</v>
      </c>
      <c r="B2908" s="95">
        <v>511623.43</v>
      </c>
      <c r="C2908" s="95">
        <v>4786694.0729999999</v>
      </c>
      <c r="D2908" s="95">
        <v>54.779000000000003</v>
      </c>
      <c r="E2908" s="91" t="s">
        <v>91</v>
      </c>
    </row>
    <row r="2909" spans="1:5" x14ac:dyDescent="0.25">
      <c r="A2909" s="94">
        <v>46072</v>
      </c>
      <c r="B2909" s="95">
        <v>511613.31099999999</v>
      </c>
      <c r="C2909" s="95">
        <v>4786695.3030000003</v>
      </c>
      <c r="D2909" s="95">
        <v>60.567</v>
      </c>
      <c r="E2909" s="91" t="s">
        <v>92</v>
      </c>
    </row>
    <row r="2910" spans="1:5" x14ac:dyDescent="0.25">
      <c r="A2910" s="94">
        <v>46072</v>
      </c>
      <c r="B2910" s="95">
        <v>511614.75</v>
      </c>
      <c r="C2910" s="95">
        <v>4786712.5559999999</v>
      </c>
      <c r="D2910" s="95">
        <v>60.82</v>
      </c>
      <c r="E2910" s="91" t="s">
        <v>93</v>
      </c>
    </row>
    <row r="2911" spans="1:5" x14ac:dyDescent="0.25">
      <c r="A2911" s="94">
        <v>46072</v>
      </c>
      <c r="B2911" s="95">
        <v>511660.66399999999</v>
      </c>
      <c r="C2911" s="95">
        <v>4786683.4670000002</v>
      </c>
      <c r="D2911" s="95">
        <v>55.402999999999999</v>
      </c>
      <c r="E2911" s="91" t="s">
        <v>94</v>
      </c>
    </row>
    <row r="2912" spans="1:5" x14ac:dyDescent="0.25">
      <c r="A2912" s="94">
        <v>46072</v>
      </c>
      <c r="B2912" s="95">
        <v>511670.87400000001</v>
      </c>
      <c r="C2912" s="95">
        <v>4786685.9179999996</v>
      </c>
      <c r="D2912" s="95">
        <v>54.819000000000003</v>
      </c>
      <c r="E2912" s="91" t="s">
        <v>95</v>
      </c>
    </row>
    <row r="2913" spans="1:8" x14ac:dyDescent="0.25">
      <c r="A2913" s="94">
        <v>46072</v>
      </c>
      <c r="B2913" s="95">
        <v>511649.79</v>
      </c>
      <c r="C2913" s="95">
        <v>4786669.483</v>
      </c>
      <c r="D2913" s="95">
        <v>51.048999999999999</v>
      </c>
      <c r="E2913" s="91" t="s">
        <v>99</v>
      </c>
    </row>
    <row r="2914" spans="1:8" x14ac:dyDescent="0.25">
      <c r="A2914" s="94">
        <v>46072</v>
      </c>
      <c r="B2914" s="95">
        <v>511607.54499999998</v>
      </c>
      <c r="C2914" s="95">
        <v>4786691.9749999996</v>
      </c>
      <c r="D2914" s="95">
        <v>51.048000000000002</v>
      </c>
      <c r="E2914" s="91" t="s">
        <v>100</v>
      </c>
    </row>
    <row r="2915" spans="1:8" x14ac:dyDescent="0.25">
      <c r="A2915" s="94">
        <v>46072</v>
      </c>
      <c r="B2915" s="95">
        <v>511607.26</v>
      </c>
      <c r="C2915" s="95">
        <v>4786692.1670000004</v>
      </c>
      <c r="D2915" s="95">
        <v>51.048999999999999</v>
      </c>
      <c r="E2915" s="91" t="s">
        <v>101</v>
      </c>
    </row>
    <row r="2916" spans="1:8" x14ac:dyDescent="0.25">
      <c r="A2916" s="94">
        <v>46072</v>
      </c>
      <c r="B2916" s="95">
        <v>511601.109</v>
      </c>
      <c r="C2916" s="95">
        <v>4786695.4129999997</v>
      </c>
      <c r="D2916" s="95">
        <v>51.04</v>
      </c>
      <c r="E2916" s="91" t="s">
        <v>102</v>
      </c>
    </row>
    <row r="2917" spans="1:8" x14ac:dyDescent="0.25">
      <c r="A2917" s="94">
        <v>46072</v>
      </c>
      <c r="B2917" s="95">
        <v>511615.24599999998</v>
      </c>
      <c r="C2917" s="95">
        <v>4786687.4249999998</v>
      </c>
      <c r="D2917" s="95">
        <v>48.442999999999998</v>
      </c>
      <c r="E2917" s="91" t="s">
        <v>103</v>
      </c>
    </row>
    <row r="2918" spans="1:8" x14ac:dyDescent="0.25">
      <c r="A2918" s="94">
        <v>46072</v>
      </c>
      <c r="B2918" s="95">
        <v>511615.22</v>
      </c>
      <c r="C2918" s="95">
        <v>4786687.3490000004</v>
      </c>
      <c r="D2918" s="95">
        <v>45.936</v>
      </c>
      <c r="E2918" s="91" t="s">
        <v>104</v>
      </c>
    </row>
    <row r="2919" spans="1:8" x14ac:dyDescent="0.25">
      <c r="A2919" s="94">
        <v>46072</v>
      </c>
      <c r="B2919" s="95">
        <v>511615.16899999999</v>
      </c>
      <c r="C2919" s="95">
        <v>4786687.3779999996</v>
      </c>
      <c r="D2919" s="95">
        <v>43.956000000000003</v>
      </c>
      <c r="E2919" s="91" t="s">
        <v>110</v>
      </c>
    </row>
    <row r="2920" spans="1:8" x14ac:dyDescent="0.25">
      <c r="A2920" s="94">
        <v>46072</v>
      </c>
      <c r="B2920" s="95">
        <v>511629.179</v>
      </c>
      <c r="C2920" s="95">
        <v>4786680.057</v>
      </c>
      <c r="D2920" s="95">
        <v>48.460999999999999</v>
      </c>
      <c r="E2920" s="91" t="s">
        <v>105</v>
      </c>
    </row>
    <row r="2921" spans="1:8" x14ac:dyDescent="0.25">
      <c r="A2921" s="94">
        <v>46072</v>
      </c>
      <c r="B2921" s="95">
        <v>511629.30300000001</v>
      </c>
      <c r="C2921" s="95">
        <v>4786680.0199999996</v>
      </c>
      <c r="D2921" s="95">
        <v>45.944000000000003</v>
      </c>
      <c r="E2921" s="91" t="s">
        <v>106</v>
      </c>
    </row>
    <row r="2922" spans="1:8" x14ac:dyDescent="0.25">
      <c r="A2922" s="94">
        <v>46072</v>
      </c>
      <c r="B2922" s="95">
        <v>511642.27799999999</v>
      </c>
      <c r="C2922" s="95">
        <v>4786673.1169999996</v>
      </c>
      <c r="D2922" s="95">
        <v>48.442</v>
      </c>
      <c r="E2922" s="91" t="s">
        <v>107</v>
      </c>
    </row>
    <row r="2923" spans="1:8" x14ac:dyDescent="0.25">
      <c r="A2923" s="94">
        <v>46072</v>
      </c>
      <c r="B2923" s="95">
        <v>511642.43199999997</v>
      </c>
      <c r="C2923" s="95">
        <v>4786673.0060000001</v>
      </c>
      <c r="D2923" s="95">
        <v>45.936999999999998</v>
      </c>
      <c r="E2923" s="91" t="s">
        <v>108</v>
      </c>
    </row>
    <row r="2924" spans="1:8" x14ac:dyDescent="0.25">
      <c r="A2924" s="94">
        <v>46072</v>
      </c>
      <c r="B2924" s="95">
        <v>511642.467</v>
      </c>
      <c r="C2924" s="95">
        <v>4786672.9000000004</v>
      </c>
      <c r="D2924" s="95">
        <v>43.963999999999999</v>
      </c>
      <c r="E2924" s="91" t="s">
        <v>111</v>
      </c>
    </row>
    <row r="2925" spans="1:8" x14ac:dyDescent="0.25">
      <c r="A2925" s="94">
        <v>46072</v>
      </c>
      <c r="B2925" s="95">
        <v>511649.125</v>
      </c>
      <c r="C2925" s="95">
        <v>4786669.398</v>
      </c>
      <c r="D2925" s="95">
        <v>43.944000000000003</v>
      </c>
      <c r="E2925" s="91" t="s">
        <v>113</v>
      </c>
    </row>
    <row r="2926" spans="1:8" x14ac:dyDescent="0.25">
      <c r="A2926" s="94">
        <v>46072</v>
      </c>
      <c r="B2926" s="95">
        <v>511662.31</v>
      </c>
      <c r="C2926" s="95">
        <v>4786606.8739999998</v>
      </c>
      <c r="D2926" s="95">
        <v>46.237000000000002</v>
      </c>
      <c r="E2926" s="91" t="s">
        <v>145</v>
      </c>
    </row>
    <row r="2927" spans="1:8" x14ac:dyDescent="0.25">
      <c r="A2927" s="94">
        <v>46072</v>
      </c>
      <c r="B2927" s="95">
        <v>511662.15700000001</v>
      </c>
      <c r="C2927" s="95">
        <v>4786607.0559999999</v>
      </c>
      <c r="D2927" s="95">
        <v>44.667000000000002</v>
      </c>
      <c r="E2927" s="91" t="s">
        <v>146</v>
      </c>
    </row>
    <row r="2928" spans="1:8" x14ac:dyDescent="0.25">
      <c r="A2928" s="94">
        <v>46072</v>
      </c>
      <c r="B2928" s="95">
        <v>511662.06699999998</v>
      </c>
      <c r="C2928" s="95">
        <v>4786607.1380000003</v>
      </c>
      <c r="D2928" s="95">
        <v>43.387999999999998</v>
      </c>
      <c r="E2928" s="91" t="s">
        <v>144</v>
      </c>
      <c r="F2928" s="92"/>
      <c r="G2928" s="92"/>
      <c r="H2928" s="92"/>
    </row>
    <row r="2929" spans="1:5" x14ac:dyDescent="0.25">
      <c r="A2929" s="94">
        <v>46072</v>
      </c>
      <c r="B2929" s="95">
        <v>511673.81900000002</v>
      </c>
      <c r="C2929" s="95">
        <v>4786631.0710000005</v>
      </c>
      <c r="D2929" s="95">
        <v>40.158999999999999</v>
      </c>
      <c r="E2929" s="91" t="s">
        <v>147</v>
      </c>
    </row>
    <row r="2930" spans="1:5" x14ac:dyDescent="0.25">
      <c r="A2930" s="94">
        <v>46072</v>
      </c>
      <c r="B2930" s="95">
        <v>511573.39799999999</v>
      </c>
      <c r="C2930" s="95">
        <v>4786684.3550000004</v>
      </c>
      <c r="D2930" s="95">
        <v>43.466000000000001</v>
      </c>
      <c r="E2930" s="91" t="s">
        <v>148</v>
      </c>
    </row>
    <row r="2931" spans="1:5" x14ac:dyDescent="0.25">
      <c r="A2931" s="94">
        <v>46072</v>
      </c>
      <c r="B2931" s="95">
        <v>511575.484</v>
      </c>
      <c r="C2931" s="95">
        <v>4786688.2280000001</v>
      </c>
      <c r="D2931" s="95">
        <v>43.424999999999997</v>
      </c>
      <c r="E2931" s="91" t="s">
        <v>149</v>
      </c>
    </row>
    <row r="2932" spans="1:5" x14ac:dyDescent="0.25">
      <c r="A2932" s="94">
        <v>46072</v>
      </c>
      <c r="B2932" s="95">
        <v>511577.68400000001</v>
      </c>
      <c r="C2932" s="95">
        <v>4786692.2810000004</v>
      </c>
      <c r="D2932" s="95">
        <v>43.613</v>
      </c>
      <c r="E2932" s="91" t="s">
        <v>150</v>
      </c>
    </row>
    <row r="2933" spans="1:5" x14ac:dyDescent="0.25">
      <c r="A2933" s="94">
        <v>46072</v>
      </c>
      <c r="B2933" s="95">
        <v>511579.78499999997</v>
      </c>
      <c r="C2933" s="95">
        <v>4786696.199</v>
      </c>
      <c r="D2933" s="95">
        <v>43.685000000000002</v>
      </c>
      <c r="E2933" s="91" t="s">
        <v>151</v>
      </c>
    </row>
    <row r="2934" spans="1:5" x14ac:dyDescent="0.25">
      <c r="A2934" s="94">
        <v>46072</v>
      </c>
      <c r="B2934" s="95">
        <v>511607.17800000001</v>
      </c>
      <c r="C2934" s="95">
        <v>4786690.8439999996</v>
      </c>
      <c r="D2934" s="95">
        <v>41.313000000000002</v>
      </c>
      <c r="E2934" s="91" t="s">
        <v>139</v>
      </c>
    </row>
    <row r="2935" spans="1:5" x14ac:dyDescent="0.25">
      <c r="A2935" s="94">
        <v>46072</v>
      </c>
      <c r="B2935" s="95">
        <v>511614.98</v>
      </c>
      <c r="C2935" s="95">
        <v>4786686.6140000001</v>
      </c>
      <c r="D2935" s="95">
        <v>41.44</v>
      </c>
      <c r="E2935" s="91" t="s">
        <v>140</v>
      </c>
    </row>
    <row r="2936" spans="1:5" x14ac:dyDescent="0.25">
      <c r="A2936" s="94">
        <v>46072</v>
      </c>
      <c r="B2936" s="95">
        <v>511628.83100000001</v>
      </c>
      <c r="C2936" s="95">
        <v>4786679.1440000003</v>
      </c>
      <c r="D2936" s="95">
        <v>41.372</v>
      </c>
      <c r="E2936" s="91" t="s">
        <v>141</v>
      </c>
    </row>
    <row r="2937" spans="1:5" x14ac:dyDescent="0.25">
      <c r="A2937" s="94">
        <v>46072</v>
      </c>
      <c r="B2937" s="95">
        <v>511641.99900000001</v>
      </c>
      <c r="C2937" s="95">
        <v>4786671.9440000001</v>
      </c>
      <c r="D2937" s="95">
        <v>41.509</v>
      </c>
      <c r="E2937" s="91" t="s">
        <v>142</v>
      </c>
    </row>
    <row r="2938" spans="1:5" x14ac:dyDescent="0.25">
      <c r="A2938" s="94">
        <v>46072</v>
      </c>
      <c r="B2938" s="95">
        <v>511648.78100000002</v>
      </c>
      <c r="C2938" s="95">
        <v>4786668.2649999997</v>
      </c>
      <c r="D2938" s="95">
        <v>41.307000000000002</v>
      </c>
      <c r="E2938" s="91" t="s">
        <v>143</v>
      </c>
    </row>
    <row r="2939" spans="1:5" x14ac:dyDescent="0.25">
      <c r="A2939" s="94">
        <v>46073</v>
      </c>
      <c r="B2939" s="95">
        <v>511615.09</v>
      </c>
      <c r="C2939" s="95">
        <v>4786687.9780000001</v>
      </c>
      <c r="D2939" s="95">
        <v>51.027000000000001</v>
      </c>
      <c r="E2939" s="91" t="s">
        <v>96</v>
      </c>
    </row>
    <row r="2940" spans="1:5" x14ac:dyDescent="0.25">
      <c r="A2940" s="94">
        <v>46073</v>
      </c>
      <c r="B2940" s="95">
        <v>511628.87599999999</v>
      </c>
      <c r="C2940" s="95">
        <v>4786680.6399999997</v>
      </c>
      <c r="D2940" s="95">
        <v>51.037999999999997</v>
      </c>
      <c r="E2940" s="91" t="s">
        <v>97</v>
      </c>
    </row>
    <row r="2941" spans="1:5" x14ac:dyDescent="0.25">
      <c r="A2941" s="94">
        <v>46073</v>
      </c>
      <c r="B2941" s="95">
        <v>511642.576</v>
      </c>
      <c r="C2941" s="95">
        <v>4786673.3430000003</v>
      </c>
      <c r="D2941" s="95">
        <v>51.045999999999999</v>
      </c>
      <c r="E2941" s="91" t="s">
        <v>98</v>
      </c>
    </row>
    <row r="2942" spans="1:5" x14ac:dyDescent="0.25">
      <c r="A2942" s="94">
        <v>46073</v>
      </c>
      <c r="B2942" s="95">
        <v>511607.69699999999</v>
      </c>
      <c r="C2942" s="95">
        <v>4786691.4139999999</v>
      </c>
      <c r="D2942" s="95">
        <v>43.942</v>
      </c>
      <c r="E2942" s="91" t="s">
        <v>112</v>
      </c>
    </row>
    <row r="2943" spans="1:5" x14ac:dyDescent="0.25">
      <c r="A2943" s="94">
        <v>46073</v>
      </c>
      <c r="B2943" s="95">
        <v>511629.413</v>
      </c>
      <c r="C2943" s="95">
        <v>4786679.9019999998</v>
      </c>
      <c r="D2943" s="95">
        <v>43.944000000000003</v>
      </c>
      <c r="E2943" s="91" t="s">
        <v>109</v>
      </c>
    </row>
    <row r="2944" spans="1:5" x14ac:dyDescent="0.25">
      <c r="A2944" s="94">
        <v>46073</v>
      </c>
      <c r="B2944" s="95">
        <v>511649.69900000002</v>
      </c>
      <c r="C2944" s="95">
        <v>4786682.1560000004</v>
      </c>
      <c r="D2944" s="95">
        <v>56.186</v>
      </c>
      <c r="E2944" s="91" t="s">
        <v>89</v>
      </c>
    </row>
    <row r="2945" spans="1:5" x14ac:dyDescent="0.25">
      <c r="A2945" s="94">
        <v>46073</v>
      </c>
      <c r="B2945" s="95">
        <v>511630.75799999997</v>
      </c>
      <c r="C2945" s="95">
        <v>4786689.8569999998</v>
      </c>
      <c r="D2945" s="95">
        <v>55.947000000000003</v>
      </c>
      <c r="E2945" s="91" t="s">
        <v>90</v>
      </c>
    </row>
    <row r="2946" spans="1:5" x14ac:dyDescent="0.25">
      <c r="A2946" s="94">
        <v>46073</v>
      </c>
      <c r="B2946" s="95">
        <v>511623.429</v>
      </c>
      <c r="C2946" s="95">
        <v>4786694.0729999999</v>
      </c>
      <c r="D2946" s="95">
        <v>54.779000000000003</v>
      </c>
      <c r="E2946" s="91" t="s">
        <v>91</v>
      </c>
    </row>
    <row r="2947" spans="1:5" x14ac:dyDescent="0.25">
      <c r="A2947" s="94">
        <v>46073</v>
      </c>
      <c r="B2947" s="95">
        <v>511613.31</v>
      </c>
      <c r="C2947" s="95">
        <v>4786695.3020000001</v>
      </c>
      <c r="D2947" s="95">
        <v>60.567</v>
      </c>
      <c r="E2947" s="91" t="s">
        <v>92</v>
      </c>
    </row>
    <row r="2948" spans="1:5" x14ac:dyDescent="0.25">
      <c r="A2948" s="94">
        <v>46073</v>
      </c>
      <c r="B2948" s="95">
        <v>511614.75</v>
      </c>
      <c r="C2948" s="95">
        <v>4786712.557</v>
      </c>
      <c r="D2948" s="95">
        <v>60.82</v>
      </c>
      <c r="E2948" s="91" t="s">
        <v>93</v>
      </c>
    </row>
    <row r="2949" spans="1:5" x14ac:dyDescent="0.25">
      <c r="A2949" s="94">
        <v>46073</v>
      </c>
      <c r="B2949" s="95">
        <v>511660.66499999998</v>
      </c>
      <c r="C2949" s="95">
        <v>4786683.4670000002</v>
      </c>
      <c r="D2949" s="95">
        <v>55.402999999999999</v>
      </c>
      <c r="E2949" s="91" t="s">
        <v>94</v>
      </c>
    </row>
    <row r="2950" spans="1:5" x14ac:dyDescent="0.25">
      <c r="A2950" s="94">
        <v>46073</v>
      </c>
      <c r="B2950" s="95">
        <v>511670.87400000001</v>
      </c>
      <c r="C2950" s="95">
        <v>4786685.9189999998</v>
      </c>
      <c r="D2950" s="95">
        <v>54.817999999999998</v>
      </c>
      <c r="E2950" s="91" t="s">
        <v>95</v>
      </c>
    </row>
    <row r="2951" spans="1:5" x14ac:dyDescent="0.25">
      <c r="A2951" s="94">
        <v>46073</v>
      </c>
      <c r="B2951" s="95">
        <v>511649.788</v>
      </c>
      <c r="C2951" s="95">
        <v>4786669.483</v>
      </c>
      <c r="D2951" s="95">
        <v>51.048999999999999</v>
      </c>
      <c r="E2951" s="91" t="s">
        <v>99</v>
      </c>
    </row>
    <row r="2952" spans="1:5" x14ac:dyDescent="0.25">
      <c r="A2952" s="94">
        <v>46073</v>
      </c>
      <c r="B2952" s="95">
        <v>511607.54499999998</v>
      </c>
      <c r="C2952" s="95">
        <v>4786691.9740000004</v>
      </c>
      <c r="D2952" s="95">
        <v>51.048000000000002</v>
      </c>
      <c r="E2952" s="91" t="s">
        <v>100</v>
      </c>
    </row>
    <row r="2953" spans="1:5" x14ac:dyDescent="0.25">
      <c r="A2953" s="94">
        <v>46073</v>
      </c>
      <c r="B2953" s="95">
        <v>511607.261</v>
      </c>
      <c r="C2953" s="95">
        <v>4786692.1670000004</v>
      </c>
      <c r="D2953" s="95">
        <v>51.048999999999999</v>
      </c>
      <c r="E2953" s="91" t="s">
        <v>101</v>
      </c>
    </row>
    <row r="2954" spans="1:5" x14ac:dyDescent="0.25">
      <c r="A2954" s="94">
        <v>46073</v>
      </c>
      <c r="B2954" s="95">
        <v>511601.109</v>
      </c>
      <c r="C2954" s="95">
        <v>4786695.4129999997</v>
      </c>
      <c r="D2954" s="95">
        <v>51.04</v>
      </c>
      <c r="E2954" s="91" t="s">
        <v>102</v>
      </c>
    </row>
    <row r="2955" spans="1:5" x14ac:dyDescent="0.25">
      <c r="A2955" s="94">
        <v>46073</v>
      </c>
      <c r="B2955" s="95">
        <v>511615.24599999998</v>
      </c>
      <c r="C2955" s="95">
        <v>4786687.4249999998</v>
      </c>
      <c r="D2955" s="95">
        <v>48.442999999999998</v>
      </c>
      <c r="E2955" s="91" t="s">
        <v>103</v>
      </c>
    </row>
    <row r="2956" spans="1:5" x14ac:dyDescent="0.25">
      <c r="A2956" s="94">
        <v>46073</v>
      </c>
      <c r="B2956" s="95">
        <v>511615.21799999999</v>
      </c>
      <c r="C2956" s="95">
        <v>4786687.3480000002</v>
      </c>
      <c r="D2956" s="95">
        <v>45.936</v>
      </c>
      <c r="E2956" s="91" t="s">
        <v>104</v>
      </c>
    </row>
    <row r="2957" spans="1:5" x14ac:dyDescent="0.25">
      <c r="A2957" s="94">
        <v>46073</v>
      </c>
      <c r="B2957" s="95">
        <v>511615.17099999997</v>
      </c>
      <c r="C2957" s="95">
        <v>4786687.375</v>
      </c>
      <c r="D2957" s="95">
        <v>43.957000000000001</v>
      </c>
      <c r="E2957" s="91" t="s">
        <v>110</v>
      </c>
    </row>
    <row r="2958" spans="1:5" x14ac:dyDescent="0.25">
      <c r="A2958" s="94">
        <v>46073</v>
      </c>
      <c r="B2958" s="95">
        <v>511629.17700000003</v>
      </c>
      <c r="C2958" s="95">
        <v>4786680.057</v>
      </c>
      <c r="D2958" s="95">
        <v>48.460999999999999</v>
      </c>
      <c r="E2958" s="91" t="s">
        <v>105</v>
      </c>
    </row>
    <row r="2959" spans="1:5" x14ac:dyDescent="0.25">
      <c r="A2959" s="94">
        <v>46073</v>
      </c>
      <c r="B2959" s="95">
        <v>511629.30099999998</v>
      </c>
      <c r="C2959" s="95">
        <v>4786680.0190000003</v>
      </c>
      <c r="D2959" s="95">
        <v>45.942999999999998</v>
      </c>
      <c r="E2959" s="91" t="s">
        <v>106</v>
      </c>
    </row>
    <row r="2960" spans="1:5" x14ac:dyDescent="0.25">
      <c r="A2960" s="94">
        <v>46073</v>
      </c>
      <c r="B2960" s="95">
        <v>511642.27899999998</v>
      </c>
      <c r="C2960" s="95">
        <v>4786673.1169999996</v>
      </c>
      <c r="D2960" s="95">
        <v>48.442</v>
      </c>
      <c r="E2960" s="91" t="s">
        <v>107</v>
      </c>
    </row>
    <row r="2961" spans="1:5" x14ac:dyDescent="0.25">
      <c r="A2961" s="94">
        <v>46073</v>
      </c>
      <c r="B2961" s="95">
        <v>511642.43300000002</v>
      </c>
      <c r="C2961" s="95">
        <v>4786673.0060000001</v>
      </c>
      <c r="D2961" s="95">
        <v>45.936999999999998</v>
      </c>
      <c r="E2961" s="91" t="s">
        <v>108</v>
      </c>
    </row>
    <row r="2962" spans="1:5" x14ac:dyDescent="0.25">
      <c r="A2962" s="94">
        <v>46073</v>
      </c>
      <c r="B2962" s="95">
        <v>511642.47</v>
      </c>
      <c r="C2962" s="95">
        <v>4786672.8990000002</v>
      </c>
      <c r="D2962" s="95">
        <v>43.965000000000003</v>
      </c>
      <c r="E2962" s="91" t="s">
        <v>111</v>
      </c>
    </row>
    <row r="2963" spans="1:5" x14ac:dyDescent="0.25">
      <c r="A2963" s="94">
        <v>46073</v>
      </c>
      <c r="B2963" s="95">
        <v>511649.12699999998</v>
      </c>
      <c r="C2963" s="95">
        <v>4786669.3959999997</v>
      </c>
      <c r="D2963" s="95">
        <v>43.945</v>
      </c>
      <c r="E2963" s="91" t="s">
        <v>113</v>
      </c>
    </row>
    <row r="2964" spans="1:5" x14ac:dyDescent="0.25">
      <c r="A2964" s="94">
        <v>46073</v>
      </c>
      <c r="B2964" s="95">
        <v>511662.30800000002</v>
      </c>
      <c r="C2964" s="95">
        <v>4786606.8710000003</v>
      </c>
      <c r="D2964" s="95">
        <v>46.237000000000002</v>
      </c>
      <c r="E2964" s="91" t="s">
        <v>145</v>
      </c>
    </row>
    <row r="2965" spans="1:5" x14ac:dyDescent="0.25">
      <c r="A2965" s="94">
        <v>46073</v>
      </c>
      <c r="B2965" s="95">
        <v>511662.152</v>
      </c>
      <c r="C2965" s="95">
        <v>4786607.0439999998</v>
      </c>
      <c r="D2965" s="95">
        <v>44.68</v>
      </c>
      <c r="E2965" s="91" t="s">
        <v>146</v>
      </c>
    </row>
    <row r="2966" spans="1:5" x14ac:dyDescent="0.25">
      <c r="A2966" s="94">
        <v>46073</v>
      </c>
      <c r="B2966" s="95">
        <v>511662.06699999998</v>
      </c>
      <c r="C2966" s="95">
        <v>4786607.1339999996</v>
      </c>
      <c r="D2966" s="95">
        <v>43.389000000000003</v>
      </c>
      <c r="E2966" s="91" t="s">
        <v>144</v>
      </c>
    </row>
    <row r="2967" spans="1:5" x14ac:dyDescent="0.25">
      <c r="A2967" s="94">
        <v>46073</v>
      </c>
      <c r="B2967" s="95">
        <v>511673.82</v>
      </c>
      <c r="C2967" s="95">
        <v>4786631.0650000004</v>
      </c>
      <c r="D2967" s="95">
        <v>40.158000000000001</v>
      </c>
      <c r="E2967" s="91" t="s">
        <v>147</v>
      </c>
    </row>
    <row r="2968" spans="1:5" x14ac:dyDescent="0.25">
      <c r="A2968" s="94">
        <v>46073</v>
      </c>
      <c r="B2968" s="95">
        <v>511573.40100000001</v>
      </c>
      <c r="C2968" s="95">
        <v>4786684.3559999997</v>
      </c>
      <c r="D2968" s="95">
        <v>43.466000000000001</v>
      </c>
      <c r="E2968" s="91" t="s">
        <v>148</v>
      </c>
    </row>
    <row r="2969" spans="1:5" x14ac:dyDescent="0.25">
      <c r="A2969" s="94">
        <v>46073</v>
      </c>
      <c r="B2969" s="95">
        <v>511575.48700000002</v>
      </c>
      <c r="C2969" s="95">
        <v>4786688.2280000001</v>
      </c>
      <c r="D2969" s="95">
        <v>43.424999999999997</v>
      </c>
      <c r="E2969" s="91" t="s">
        <v>149</v>
      </c>
    </row>
    <row r="2970" spans="1:5" x14ac:dyDescent="0.25">
      <c r="A2970" s="94">
        <v>46073</v>
      </c>
      <c r="B2970" s="95">
        <v>511577.68699999998</v>
      </c>
      <c r="C2970" s="95">
        <v>4786692.2819999997</v>
      </c>
      <c r="D2970" s="95">
        <v>43.613999999999997</v>
      </c>
      <c r="E2970" s="91" t="s">
        <v>150</v>
      </c>
    </row>
    <row r="2971" spans="1:5" x14ac:dyDescent="0.25">
      <c r="A2971" s="94">
        <v>46073</v>
      </c>
      <c r="B2971" s="95">
        <v>511579.78899999999</v>
      </c>
      <c r="C2971" s="95">
        <v>4786696.199</v>
      </c>
      <c r="D2971" s="95">
        <v>43.686</v>
      </c>
      <c r="E2971" s="91" t="s">
        <v>151</v>
      </c>
    </row>
    <row r="2972" spans="1:5" x14ac:dyDescent="0.25">
      <c r="A2972" s="94">
        <v>46073</v>
      </c>
      <c r="B2972" s="95">
        <v>511607.18099999998</v>
      </c>
      <c r="C2972" s="95">
        <v>4786690.8449999997</v>
      </c>
      <c r="D2972" s="95">
        <v>41.313000000000002</v>
      </c>
      <c r="E2972" s="91" t="s">
        <v>139</v>
      </c>
    </row>
    <row r="2973" spans="1:5" x14ac:dyDescent="0.25">
      <c r="A2973" s="94">
        <v>46073</v>
      </c>
      <c r="B2973" s="95">
        <v>511614.98300000001</v>
      </c>
      <c r="C2973" s="95">
        <v>4786686.6129999999</v>
      </c>
      <c r="D2973" s="95">
        <v>41.44</v>
      </c>
      <c r="E2973" s="91" t="s">
        <v>140</v>
      </c>
    </row>
    <row r="2974" spans="1:5" x14ac:dyDescent="0.25">
      <c r="A2974" s="94">
        <v>46073</v>
      </c>
      <c r="B2974" s="95">
        <v>511628.83199999999</v>
      </c>
      <c r="C2974" s="95">
        <v>4786679.142</v>
      </c>
      <c r="D2974" s="95">
        <v>41.372999999999998</v>
      </c>
      <c r="E2974" s="91" t="s">
        <v>141</v>
      </c>
    </row>
    <row r="2975" spans="1:5" x14ac:dyDescent="0.25">
      <c r="A2975" s="94">
        <v>46073</v>
      </c>
      <c r="B2975" s="95">
        <v>511642.00300000003</v>
      </c>
      <c r="C2975" s="95">
        <v>4786671.9419999998</v>
      </c>
      <c r="D2975" s="95">
        <v>41.509</v>
      </c>
      <c r="E2975" s="91" t="s">
        <v>142</v>
      </c>
    </row>
    <row r="2976" spans="1:5" x14ac:dyDescent="0.25">
      <c r="A2976" s="94">
        <v>46073</v>
      </c>
      <c r="B2976" s="95">
        <v>511648.78200000001</v>
      </c>
      <c r="C2976" s="95">
        <v>4786668.2630000003</v>
      </c>
      <c r="D2976" s="95">
        <v>41.307000000000002</v>
      </c>
      <c r="E2976" s="91" t="s">
        <v>143</v>
      </c>
    </row>
    <row r="2977" spans="1:8" x14ac:dyDescent="0.25">
      <c r="A2977" s="94">
        <v>46076</v>
      </c>
      <c r="B2977" s="95">
        <v>511615.09100000001</v>
      </c>
      <c r="C2977" s="95">
        <v>4786687.9780000001</v>
      </c>
      <c r="D2977" s="95">
        <v>51.029000000000003</v>
      </c>
      <c r="E2977" s="91" t="s">
        <v>96</v>
      </c>
      <c r="F2977" s="92"/>
      <c r="G2977" s="92"/>
      <c r="H2977" s="92"/>
    </row>
    <row r="2978" spans="1:8" x14ac:dyDescent="0.25">
      <c r="A2978" s="94">
        <v>46076</v>
      </c>
      <c r="B2978" s="95">
        <v>511628.875</v>
      </c>
      <c r="C2978" s="95">
        <v>4786680.6399999997</v>
      </c>
      <c r="D2978" s="95">
        <v>51.04</v>
      </c>
      <c r="E2978" s="91" t="s">
        <v>97</v>
      </c>
      <c r="F2978" s="92"/>
      <c r="G2978" s="92"/>
      <c r="H2978" s="92"/>
    </row>
    <row r="2979" spans="1:8" x14ac:dyDescent="0.25">
      <c r="A2979" s="94">
        <v>46076</v>
      </c>
      <c r="B2979" s="95">
        <v>511642.57799999998</v>
      </c>
      <c r="C2979" s="95">
        <v>4786673.3430000003</v>
      </c>
      <c r="D2979" s="95">
        <v>51.048999999999999</v>
      </c>
      <c r="E2979" s="91" t="s">
        <v>98</v>
      </c>
      <c r="F2979" s="92"/>
      <c r="G2979" s="92"/>
      <c r="H2979" s="92"/>
    </row>
    <row r="2980" spans="1:8" x14ac:dyDescent="0.25">
      <c r="A2980" s="94">
        <v>46076</v>
      </c>
      <c r="B2980" s="95">
        <v>511607.68400000001</v>
      </c>
      <c r="C2980" s="95">
        <v>4786691.42</v>
      </c>
      <c r="D2980" s="95">
        <v>43.944000000000003</v>
      </c>
      <c r="E2980" s="91" t="s">
        <v>112</v>
      </c>
      <c r="F2980" s="92"/>
      <c r="G2980" s="92"/>
      <c r="H2980" s="92"/>
    </row>
    <row r="2981" spans="1:8" x14ac:dyDescent="0.25">
      <c r="A2981" s="94">
        <v>46076</v>
      </c>
      <c r="B2981" s="95">
        <v>511629.402</v>
      </c>
      <c r="C2981" s="95">
        <v>4786679.909</v>
      </c>
      <c r="D2981" s="95">
        <v>43.945999999999998</v>
      </c>
      <c r="E2981" s="91" t="s">
        <v>109</v>
      </c>
      <c r="F2981" s="92"/>
      <c r="G2981" s="92"/>
      <c r="H2981" s="92"/>
    </row>
    <row r="2982" spans="1:8" x14ac:dyDescent="0.25">
      <c r="A2982" s="94">
        <v>46076</v>
      </c>
      <c r="B2982" s="95">
        <v>511649.69900000002</v>
      </c>
      <c r="C2982" s="95">
        <v>4786682.1550000003</v>
      </c>
      <c r="D2982" s="95">
        <v>56.189</v>
      </c>
      <c r="E2982" s="91" t="s">
        <v>89</v>
      </c>
      <c r="F2982" s="92"/>
      <c r="G2982" s="92"/>
      <c r="H2982" s="92"/>
    </row>
    <row r="2983" spans="1:8" x14ac:dyDescent="0.25">
      <c r="A2983" s="94">
        <v>46076</v>
      </c>
      <c r="B2983" s="95">
        <v>511630.75699999998</v>
      </c>
      <c r="C2983" s="95">
        <v>4786689.8559999997</v>
      </c>
      <c r="D2983" s="95">
        <v>55.95</v>
      </c>
      <c r="E2983" s="91" t="s">
        <v>90</v>
      </c>
      <c r="F2983" s="92"/>
      <c r="G2983" s="92"/>
      <c r="H2983" s="92"/>
    </row>
    <row r="2984" spans="1:8" x14ac:dyDescent="0.25">
      <c r="A2984" s="94">
        <v>46076</v>
      </c>
      <c r="B2984" s="95">
        <v>511623.42800000001</v>
      </c>
      <c r="C2984" s="95">
        <v>4786694.0710000005</v>
      </c>
      <c r="D2984" s="95">
        <v>54.780999999999999</v>
      </c>
      <c r="E2984" s="91" t="s">
        <v>91</v>
      </c>
      <c r="F2984" s="92"/>
      <c r="G2984" s="92"/>
      <c r="H2984" s="92"/>
    </row>
    <row r="2985" spans="1:8" x14ac:dyDescent="0.25">
      <c r="A2985" s="94">
        <v>46076</v>
      </c>
      <c r="B2985" s="95">
        <v>511613.31099999999</v>
      </c>
      <c r="C2985" s="95">
        <v>4786695.3030000003</v>
      </c>
      <c r="D2985" s="95">
        <v>60.57</v>
      </c>
      <c r="E2985" s="91" t="s">
        <v>92</v>
      </c>
      <c r="F2985" s="92"/>
      <c r="G2985" s="92"/>
      <c r="H2985" s="92"/>
    </row>
    <row r="2986" spans="1:8" x14ac:dyDescent="0.25">
      <c r="A2986" s="94">
        <v>46076</v>
      </c>
      <c r="B2986" s="95">
        <v>511614.74900000001</v>
      </c>
      <c r="C2986" s="95">
        <v>4786712.5559999999</v>
      </c>
      <c r="D2986" s="95">
        <v>60.822000000000003</v>
      </c>
      <c r="E2986" s="91" t="s">
        <v>93</v>
      </c>
      <c r="F2986" s="92"/>
      <c r="G2986" s="92"/>
      <c r="H2986" s="92"/>
    </row>
    <row r="2987" spans="1:8" x14ac:dyDescent="0.25">
      <c r="A2987" s="94">
        <v>46076</v>
      </c>
      <c r="B2987" s="95">
        <v>511660.66200000001</v>
      </c>
      <c r="C2987" s="95">
        <v>4786683.4649999999</v>
      </c>
      <c r="D2987" s="95">
        <v>55.405999999999999</v>
      </c>
      <c r="E2987" s="91" t="s">
        <v>94</v>
      </c>
      <c r="F2987" s="92"/>
      <c r="G2987" s="92"/>
      <c r="H2987" s="92"/>
    </row>
    <row r="2988" spans="1:8" x14ac:dyDescent="0.25">
      <c r="A2988" s="94">
        <v>46076</v>
      </c>
      <c r="B2988" s="95">
        <v>511670.87300000002</v>
      </c>
      <c r="C2988" s="95">
        <v>4786685.9179999996</v>
      </c>
      <c r="D2988" s="95">
        <v>54.822000000000003</v>
      </c>
      <c r="E2988" s="91" t="s">
        <v>95</v>
      </c>
      <c r="F2988" s="92"/>
      <c r="G2988" s="92"/>
      <c r="H2988" s="92"/>
    </row>
    <row r="2989" spans="1:8" x14ac:dyDescent="0.25">
      <c r="A2989" s="94">
        <v>46076</v>
      </c>
      <c r="B2989" s="95">
        <v>511649.79</v>
      </c>
      <c r="C2989" s="95">
        <v>4786669.4840000002</v>
      </c>
      <c r="D2989" s="95">
        <v>51.052</v>
      </c>
      <c r="E2989" s="91" t="s">
        <v>99</v>
      </c>
      <c r="F2989" s="92"/>
      <c r="G2989" s="92"/>
      <c r="H2989" s="92"/>
    </row>
    <row r="2990" spans="1:8" x14ac:dyDescent="0.25">
      <c r="A2990" s="94">
        <v>46076</v>
      </c>
      <c r="B2990" s="95">
        <v>511607.54399999999</v>
      </c>
      <c r="C2990" s="95">
        <v>4786691.9740000004</v>
      </c>
      <c r="D2990" s="95">
        <v>51.051000000000002</v>
      </c>
      <c r="E2990" s="91" t="s">
        <v>100</v>
      </c>
      <c r="F2990" s="92"/>
      <c r="G2990" s="92"/>
      <c r="H2990" s="92"/>
    </row>
    <row r="2991" spans="1:8" x14ac:dyDescent="0.25">
      <c r="A2991" s="94">
        <v>46076</v>
      </c>
      <c r="B2991" s="95">
        <v>511607.261</v>
      </c>
      <c r="C2991" s="95">
        <v>4786692.1670000004</v>
      </c>
      <c r="D2991" s="95">
        <v>51.052</v>
      </c>
      <c r="E2991" s="91" t="s">
        <v>101</v>
      </c>
      <c r="F2991" s="92"/>
      <c r="G2991" s="92"/>
      <c r="H2991" s="92"/>
    </row>
    <row r="2992" spans="1:8" x14ac:dyDescent="0.25">
      <c r="A2992" s="94">
        <v>46076</v>
      </c>
      <c r="B2992" s="95">
        <v>511601.109</v>
      </c>
      <c r="C2992" s="95">
        <v>4786695.4129999997</v>
      </c>
      <c r="D2992" s="95">
        <v>51.042000000000002</v>
      </c>
      <c r="E2992" s="91" t="s">
        <v>102</v>
      </c>
      <c r="F2992" s="92"/>
      <c r="G2992" s="92"/>
      <c r="H2992" s="92"/>
    </row>
    <row r="2993" spans="1:8" x14ac:dyDescent="0.25">
      <c r="A2993" s="94">
        <v>46076</v>
      </c>
      <c r="B2993" s="95">
        <v>511615.24699999997</v>
      </c>
      <c r="C2993" s="95">
        <v>4786687.4249999998</v>
      </c>
      <c r="D2993" s="95">
        <v>48.445999999999998</v>
      </c>
      <c r="E2993" s="91" t="s">
        <v>103</v>
      </c>
      <c r="F2993" s="92"/>
      <c r="G2993" s="92"/>
      <c r="H2993" s="92"/>
    </row>
    <row r="2994" spans="1:8" x14ac:dyDescent="0.25">
      <c r="A2994" s="94">
        <v>46076</v>
      </c>
      <c r="B2994" s="95">
        <v>511615.21899999998</v>
      </c>
      <c r="C2994" s="95">
        <v>4786687.3480000002</v>
      </c>
      <c r="D2994" s="95">
        <v>45.938000000000002</v>
      </c>
      <c r="E2994" s="91" t="s">
        <v>104</v>
      </c>
      <c r="F2994" s="92"/>
      <c r="G2994" s="92"/>
      <c r="H2994" s="92"/>
    </row>
    <row r="2995" spans="1:8" x14ac:dyDescent="0.25">
      <c r="A2995" s="94">
        <v>46076</v>
      </c>
      <c r="B2995" s="95">
        <v>511615.15899999999</v>
      </c>
      <c r="C2995" s="95">
        <v>4786687.3820000002</v>
      </c>
      <c r="D2995" s="95">
        <v>43.959000000000003</v>
      </c>
      <c r="E2995" s="91" t="s">
        <v>110</v>
      </c>
      <c r="F2995" s="92"/>
      <c r="G2995" s="92"/>
      <c r="H2995" s="92"/>
    </row>
    <row r="2996" spans="1:8" x14ac:dyDescent="0.25">
      <c r="A2996" s="94">
        <v>46076</v>
      </c>
      <c r="B2996" s="95">
        <v>511629.17700000003</v>
      </c>
      <c r="C2996" s="95">
        <v>4786680.0559999999</v>
      </c>
      <c r="D2996" s="95">
        <v>48.463999999999999</v>
      </c>
      <c r="E2996" s="91" t="s">
        <v>105</v>
      </c>
      <c r="F2996" s="92"/>
      <c r="G2996" s="92"/>
      <c r="H2996" s="92"/>
    </row>
    <row r="2997" spans="1:8" x14ac:dyDescent="0.25">
      <c r="A2997" s="94">
        <v>46076</v>
      </c>
      <c r="B2997" s="95">
        <v>511629.299</v>
      </c>
      <c r="C2997" s="95">
        <v>4786680.0180000002</v>
      </c>
      <c r="D2997" s="95">
        <v>45.945999999999998</v>
      </c>
      <c r="E2997" s="91" t="s">
        <v>106</v>
      </c>
      <c r="F2997" s="92"/>
      <c r="G2997" s="92"/>
      <c r="H2997" s="92"/>
    </row>
    <row r="2998" spans="1:8" x14ac:dyDescent="0.25">
      <c r="A2998" s="94">
        <v>46076</v>
      </c>
      <c r="B2998" s="95">
        <v>511642.277</v>
      </c>
      <c r="C2998" s="95">
        <v>4786673.1150000002</v>
      </c>
      <c r="D2998" s="95">
        <v>48.445</v>
      </c>
      <c r="E2998" s="91" t="s">
        <v>107</v>
      </c>
      <c r="F2998" s="92"/>
      <c r="G2998" s="92"/>
      <c r="H2998" s="92"/>
    </row>
    <row r="2999" spans="1:8" x14ac:dyDescent="0.25">
      <c r="A2999" s="94">
        <v>46076</v>
      </c>
      <c r="B2999" s="95">
        <v>511642.43199999997</v>
      </c>
      <c r="C2999" s="95">
        <v>4786673.0039999997</v>
      </c>
      <c r="D2999" s="95">
        <v>45.941000000000003</v>
      </c>
      <c r="E2999" s="91" t="s">
        <v>108</v>
      </c>
      <c r="F2999" s="92"/>
      <c r="G2999" s="92"/>
      <c r="H2999" s="92"/>
    </row>
    <row r="3000" spans="1:8" x14ac:dyDescent="0.25">
      <c r="A3000" s="94">
        <v>46076</v>
      </c>
      <c r="B3000" s="95">
        <v>511642.45799999998</v>
      </c>
      <c r="C3000" s="95">
        <v>4786672.9069999997</v>
      </c>
      <c r="D3000" s="95">
        <v>43.968000000000004</v>
      </c>
      <c r="E3000" s="91" t="s">
        <v>111</v>
      </c>
      <c r="F3000" s="92"/>
      <c r="G3000" s="92"/>
      <c r="H3000" s="92"/>
    </row>
    <row r="3001" spans="1:8" x14ac:dyDescent="0.25">
      <c r="A3001" s="94">
        <v>46076</v>
      </c>
      <c r="B3001" s="95">
        <v>511649.11599999998</v>
      </c>
      <c r="C3001" s="95">
        <v>4786669.4050000003</v>
      </c>
      <c r="D3001" s="95">
        <v>43.947000000000003</v>
      </c>
      <c r="E3001" s="91" t="s">
        <v>113</v>
      </c>
      <c r="F3001" s="92"/>
      <c r="G3001" s="92"/>
      <c r="H3001" s="92"/>
    </row>
    <row r="3002" spans="1:8" x14ac:dyDescent="0.25">
      <c r="A3002" s="94">
        <v>46076</v>
      </c>
      <c r="B3002" s="95">
        <v>511662.30499999999</v>
      </c>
      <c r="C3002" s="95">
        <v>4786606.8849999998</v>
      </c>
      <c r="D3002" s="95">
        <v>46.241999999999997</v>
      </c>
      <c r="E3002" s="91" t="s">
        <v>145</v>
      </c>
      <c r="F3002" s="92"/>
      <c r="G3002" s="92"/>
      <c r="H3002" s="92"/>
    </row>
    <row r="3003" spans="1:8" x14ac:dyDescent="0.25">
      <c r="A3003" s="94">
        <v>46076</v>
      </c>
      <c r="B3003" s="95">
        <v>511662.14799999999</v>
      </c>
      <c r="C3003" s="95">
        <v>4786607.0559999999</v>
      </c>
      <c r="D3003" s="95">
        <v>44.683</v>
      </c>
      <c r="E3003" s="91" t="s">
        <v>146</v>
      </c>
      <c r="F3003" s="92"/>
      <c r="G3003" s="92"/>
      <c r="H3003" s="92"/>
    </row>
    <row r="3004" spans="1:8" x14ac:dyDescent="0.25">
      <c r="A3004" s="94">
        <v>46076</v>
      </c>
      <c r="B3004" s="95">
        <v>511673.81199999998</v>
      </c>
      <c r="C3004" s="95">
        <v>4786631.0789999999</v>
      </c>
      <c r="D3004" s="95">
        <v>40.161999999999999</v>
      </c>
      <c r="E3004" s="91" t="s">
        <v>147</v>
      </c>
      <c r="F3004" s="92"/>
      <c r="G3004" s="92"/>
      <c r="H3004" s="92"/>
    </row>
    <row r="3005" spans="1:8" x14ac:dyDescent="0.25">
      <c r="A3005" s="94">
        <v>46076</v>
      </c>
      <c r="B3005" s="95">
        <v>511573.38900000002</v>
      </c>
      <c r="C3005" s="95">
        <v>4786684.3569999998</v>
      </c>
      <c r="D3005" s="95">
        <v>43.469000000000001</v>
      </c>
      <c r="E3005" s="91" t="s">
        <v>148</v>
      </c>
      <c r="F3005" s="92"/>
      <c r="G3005" s="92"/>
      <c r="H3005" s="92"/>
    </row>
    <row r="3006" spans="1:8" x14ac:dyDescent="0.25">
      <c r="A3006" s="94">
        <v>46076</v>
      </c>
      <c r="B3006" s="95">
        <v>511575.47499999998</v>
      </c>
      <c r="C3006" s="95">
        <v>4786688.2300000004</v>
      </c>
      <c r="D3006" s="95">
        <v>43.427999999999997</v>
      </c>
      <c r="E3006" s="91" t="s">
        <v>149</v>
      </c>
      <c r="F3006" s="92"/>
      <c r="G3006" s="92"/>
      <c r="H3006" s="92"/>
    </row>
    <row r="3007" spans="1:8" x14ac:dyDescent="0.25">
      <c r="A3007" s="94">
        <v>46076</v>
      </c>
      <c r="B3007" s="95">
        <v>511577.67499999999</v>
      </c>
      <c r="C3007" s="95">
        <v>4786692.2819999997</v>
      </c>
      <c r="D3007" s="95">
        <v>43.616999999999997</v>
      </c>
      <c r="E3007" s="91" t="s">
        <v>150</v>
      </c>
      <c r="F3007" s="92"/>
      <c r="G3007" s="92"/>
      <c r="H3007" s="92"/>
    </row>
    <row r="3008" spans="1:8" x14ac:dyDescent="0.25">
      <c r="A3008" s="94">
        <v>46076</v>
      </c>
      <c r="B3008" s="95">
        <v>511579.77600000001</v>
      </c>
      <c r="C3008" s="95">
        <v>4786696.2</v>
      </c>
      <c r="D3008" s="95">
        <v>43.689</v>
      </c>
      <c r="E3008" s="91" t="s">
        <v>151</v>
      </c>
      <c r="F3008" s="92"/>
      <c r="G3008" s="92"/>
      <c r="H3008" s="92"/>
    </row>
    <row r="3009" spans="1:8" x14ac:dyDescent="0.25">
      <c r="A3009" s="94">
        <v>46076</v>
      </c>
      <c r="B3009" s="95">
        <v>511607.16800000001</v>
      </c>
      <c r="C3009" s="95">
        <v>4786690.8509999998</v>
      </c>
      <c r="D3009" s="95">
        <v>41.314999999999998</v>
      </c>
      <c r="E3009" s="91" t="s">
        <v>139</v>
      </c>
      <c r="F3009" s="92"/>
      <c r="G3009" s="92"/>
      <c r="H3009" s="92"/>
    </row>
    <row r="3010" spans="1:8" x14ac:dyDescent="0.25">
      <c r="A3010" s="94">
        <v>46076</v>
      </c>
      <c r="B3010" s="95">
        <v>511614.97</v>
      </c>
      <c r="C3010" s="95">
        <v>4786686.6179999998</v>
      </c>
      <c r="D3010" s="95">
        <v>41.442999999999998</v>
      </c>
      <c r="E3010" s="91" t="s">
        <v>140</v>
      </c>
      <c r="F3010" s="92"/>
      <c r="G3010" s="92"/>
      <c r="H3010" s="92"/>
    </row>
    <row r="3011" spans="1:8" x14ac:dyDescent="0.25">
      <c r="A3011" s="94">
        <v>46076</v>
      </c>
      <c r="B3011" s="95">
        <v>511628.821</v>
      </c>
      <c r="C3011" s="95">
        <v>4786679.1490000002</v>
      </c>
      <c r="D3011" s="95">
        <v>41.375</v>
      </c>
      <c r="E3011" s="91" t="s">
        <v>141</v>
      </c>
      <c r="F3011" s="92"/>
      <c r="G3011" s="92"/>
      <c r="H3011" s="92"/>
    </row>
    <row r="3012" spans="1:8" x14ac:dyDescent="0.25">
      <c r="A3012" s="94">
        <v>46076</v>
      </c>
      <c r="B3012" s="95">
        <v>511641.99</v>
      </c>
      <c r="C3012" s="95">
        <v>4786671.9510000004</v>
      </c>
      <c r="D3012" s="95">
        <v>41.512</v>
      </c>
      <c r="E3012" s="91" t="s">
        <v>142</v>
      </c>
      <c r="F3012" s="92"/>
      <c r="G3012" s="92"/>
      <c r="H3012" s="92"/>
    </row>
    <row r="3013" spans="1:8" x14ac:dyDescent="0.25">
      <c r="A3013" s="94">
        <v>46076</v>
      </c>
      <c r="B3013" s="95">
        <v>511648.772</v>
      </c>
      <c r="C3013" s="95">
        <v>4786668.273</v>
      </c>
      <c r="D3013" s="95">
        <v>41.31</v>
      </c>
      <c r="E3013" s="91" t="s">
        <v>143</v>
      </c>
      <c r="F3013" s="92"/>
      <c r="G3013" s="92"/>
      <c r="H3013" s="92"/>
    </row>
    <row r="3014" spans="1:8" x14ac:dyDescent="0.25">
      <c r="A3014" s="94">
        <v>46077</v>
      </c>
      <c r="B3014" s="95">
        <v>511615.09</v>
      </c>
      <c r="C3014" s="95">
        <v>4786687.977</v>
      </c>
      <c r="D3014" s="95">
        <v>51.03</v>
      </c>
      <c r="E3014" s="91" t="s">
        <v>96</v>
      </c>
      <c r="F3014" s="92"/>
      <c r="G3014" s="92"/>
      <c r="H3014" s="92"/>
    </row>
    <row r="3015" spans="1:8" x14ac:dyDescent="0.25">
      <c r="A3015" s="94">
        <v>46077</v>
      </c>
      <c r="B3015" s="95">
        <v>511628.87599999999</v>
      </c>
      <c r="C3015" s="95">
        <v>4786680.6399999997</v>
      </c>
      <c r="D3015" s="95">
        <v>51.040999999999997</v>
      </c>
      <c r="E3015" s="91" t="s">
        <v>97</v>
      </c>
      <c r="F3015" s="92"/>
      <c r="G3015" s="92"/>
      <c r="H3015" s="92"/>
    </row>
    <row r="3016" spans="1:8" x14ac:dyDescent="0.25">
      <c r="A3016" s="94">
        <v>46077</v>
      </c>
      <c r="B3016" s="95">
        <v>511642.576</v>
      </c>
      <c r="C3016" s="95">
        <v>4786673.3430000003</v>
      </c>
      <c r="D3016" s="95">
        <v>51.051000000000002</v>
      </c>
      <c r="E3016" s="91" t="s">
        <v>98</v>
      </c>
      <c r="F3016" s="92"/>
      <c r="G3016" s="92"/>
      <c r="H3016" s="92"/>
    </row>
    <row r="3017" spans="1:8" x14ac:dyDescent="0.25">
      <c r="A3017" s="94">
        <v>46077</v>
      </c>
      <c r="B3017" s="95">
        <v>511607.69</v>
      </c>
      <c r="C3017" s="95">
        <v>4786691.4139999999</v>
      </c>
      <c r="D3017" s="95">
        <v>43.944000000000003</v>
      </c>
      <c r="E3017" s="91" t="s">
        <v>112</v>
      </c>
      <c r="F3017" s="92"/>
      <c r="G3017" s="92"/>
      <c r="H3017" s="92"/>
    </row>
    <row r="3018" spans="1:8" x14ac:dyDescent="0.25">
      <c r="A3018" s="94">
        <v>46077</v>
      </c>
      <c r="B3018" s="95">
        <v>511629.408</v>
      </c>
      <c r="C3018" s="95">
        <v>4786679.9040000001</v>
      </c>
      <c r="D3018" s="95">
        <v>43.945999999999998</v>
      </c>
      <c r="E3018" s="91" t="s">
        <v>109</v>
      </c>
      <c r="F3018" s="92"/>
      <c r="G3018" s="92"/>
      <c r="H3018" s="92"/>
    </row>
    <row r="3019" spans="1:8" x14ac:dyDescent="0.25">
      <c r="A3019" s="94">
        <v>46077</v>
      </c>
      <c r="B3019" s="95">
        <v>511649.7</v>
      </c>
      <c r="C3019" s="95">
        <v>4786682.1560000004</v>
      </c>
      <c r="D3019" s="95">
        <v>56.19</v>
      </c>
      <c r="E3019" s="91" t="s">
        <v>89</v>
      </c>
      <c r="F3019" s="92"/>
      <c r="G3019" s="92"/>
      <c r="H3019" s="92"/>
    </row>
    <row r="3020" spans="1:8" x14ac:dyDescent="0.25">
      <c r="A3020" s="94">
        <v>46077</v>
      </c>
      <c r="B3020" s="95">
        <v>511630.76</v>
      </c>
      <c r="C3020" s="95">
        <v>4786689.858</v>
      </c>
      <c r="D3020" s="95">
        <v>55.951000000000001</v>
      </c>
      <c r="E3020" s="91" t="s">
        <v>90</v>
      </c>
      <c r="F3020" s="92"/>
      <c r="G3020" s="92"/>
      <c r="H3020" s="92"/>
    </row>
    <row r="3021" spans="1:8" x14ac:dyDescent="0.25">
      <c r="A3021" s="94">
        <v>46077</v>
      </c>
      <c r="B3021" s="95">
        <v>511623.429</v>
      </c>
      <c r="C3021" s="95">
        <v>4786694.0719999997</v>
      </c>
      <c r="D3021" s="95">
        <v>54.781999999999996</v>
      </c>
      <c r="E3021" s="91" t="s">
        <v>91</v>
      </c>
      <c r="F3021" s="92"/>
      <c r="G3021" s="92"/>
      <c r="H3021" s="92"/>
    </row>
    <row r="3022" spans="1:8" x14ac:dyDescent="0.25">
      <c r="A3022" s="94">
        <v>46077</v>
      </c>
      <c r="B3022" s="95">
        <v>511613.31099999999</v>
      </c>
      <c r="C3022" s="95">
        <v>4786695.3020000001</v>
      </c>
      <c r="D3022" s="95">
        <v>60.570999999999998</v>
      </c>
      <c r="E3022" s="91" t="s">
        <v>92</v>
      </c>
      <c r="F3022" s="92"/>
      <c r="G3022" s="92"/>
      <c r="H3022" s="92"/>
    </row>
    <row r="3023" spans="1:8" x14ac:dyDescent="0.25">
      <c r="A3023" s="94">
        <v>46077</v>
      </c>
      <c r="B3023" s="95">
        <v>511614.74900000001</v>
      </c>
      <c r="C3023" s="95">
        <v>4786712.5549999997</v>
      </c>
      <c r="D3023" s="95">
        <v>60.823999999999998</v>
      </c>
      <c r="E3023" s="91" t="s">
        <v>93</v>
      </c>
      <c r="F3023" s="92"/>
      <c r="G3023" s="92"/>
      <c r="H3023" s="92"/>
    </row>
    <row r="3024" spans="1:8" x14ac:dyDescent="0.25">
      <c r="A3024" s="94">
        <v>46077</v>
      </c>
      <c r="B3024" s="95">
        <v>511660.663</v>
      </c>
      <c r="C3024" s="95">
        <v>4786683.466</v>
      </c>
      <c r="D3024" s="95">
        <v>55.408000000000001</v>
      </c>
      <c r="E3024" s="91" t="s">
        <v>94</v>
      </c>
      <c r="F3024" s="92"/>
      <c r="G3024" s="92"/>
      <c r="H3024" s="92"/>
    </row>
    <row r="3025" spans="1:8" x14ac:dyDescent="0.25">
      <c r="A3025" s="94">
        <v>46077</v>
      </c>
      <c r="B3025" s="95">
        <v>511670.87400000001</v>
      </c>
      <c r="C3025" s="95">
        <v>4786685.9179999996</v>
      </c>
      <c r="D3025" s="95">
        <v>54.823999999999998</v>
      </c>
      <c r="E3025" s="91" t="s">
        <v>95</v>
      </c>
      <c r="F3025" s="92"/>
      <c r="G3025" s="92"/>
      <c r="H3025" s="92"/>
    </row>
    <row r="3026" spans="1:8" x14ac:dyDescent="0.25">
      <c r="A3026" s="94">
        <v>46077</v>
      </c>
      <c r="B3026" s="95">
        <v>511649.79</v>
      </c>
      <c r="C3026" s="95">
        <v>4786669.4840000002</v>
      </c>
      <c r="D3026" s="95">
        <v>51.054000000000002</v>
      </c>
      <c r="E3026" s="91" t="s">
        <v>99</v>
      </c>
      <c r="F3026" s="92"/>
      <c r="G3026" s="92"/>
      <c r="H3026" s="92"/>
    </row>
    <row r="3027" spans="1:8" x14ac:dyDescent="0.25">
      <c r="A3027" s="94">
        <v>46077</v>
      </c>
      <c r="B3027" s="95">
        <v>511607.54499999998</v>
      </c>
      <c r="C3027" s="95">
        <v>4786691.9749999996</v>
      </c>
      <c r="D3027" s="95">
        <v>51.051000000000002</v>
      </c>
      <c r="E3027" s="91" t="s">
        <v>100</v>
      </c>
      <c r="F3027" s="92"/>
      <c r="G3027" s="92"/>
      <c r="H3027" s="92"/>
    </row>
    <row r="3028" spans="1:8" x14ac:dyDescent="0.25">
      <c r="A3028" s="94">
        <v>46077</v>
      </c>
      <c r="B3028" s="95">
        <v>511607.261</v>
      </c>
      <c r="C3028" s="95">
        <v>4786692.1679999996</v>
      </c>
      <c r="D3028" s="95">
        <v>51.052999999999997</v>
      </c>
      <c r="E3028" s="91" t="s">
        <v>101</v>
      </c>
      <c r="F3028" s="92"/>
      <c r="G3028" s="92"/>
      <c r="H3028" s="92"/>
    </row>
    <row r="3029" spans="1:8" x14ac:dyDescent="0.25">
      <c r="A3029" s="94">
        <v>46077</v>
      </c>
      <c r="B3029" s="95">
        <v>511601.10800000001</v>
      </c>
      <c r="C3029" s="95">
        <v>4786695.4129999997</v>
      </c>
      <c r="D3029" s="95">
        <v>51.042999999999999</v>
      </c>
      <c r="E3029" s="91" t="s">
        <v>102</v>
      </c>
      <c r="F3029" s="92"/>
      <c r="G3029" s="92"/>
      <c r="H3029" s="92"/>
    </row>
    <row r="3030" spans="1:8" x14ac:dyDescent="0.25">
      <c r="A3030" s="94">
        <v>46077</v>
      </c>
      <c r="B3030" s="95">
        <v>511615.245</v>
      </c>
      <c r="C3030" s="95">
        <v>4786687.4239999996</v>
      </c>
      <c r="D3030" s="95">
        <v>48.445999999999998</v>
      </c>
      <c r="E3030" s="91" t="s">
        <v>103</v>
      </c>
      <c r="F3030" s="92"/>
      <c r="G3030" s="92"/>
      <c r="H3030" s="92"/>
    </row>
    <row r="3031" spans="1:8" x14ac:dyDescent="0.25">
      <c r="A3031" s="94">
        <v>46077</v>
      </c>
      <c r="B3031" s="95">
        <v>511615.21799999999</v>
      </c>
      <c r="C3031" s="95">
        <v>4786687.3480000002</v>
      </c>
      <c r="D3031" s="95">
        <v>45.939</v>
      </c>
      <c r="E3031" s="91" t="s">
        <v>104</v>
      </c>
      <c r="F3031" s="92"/>
      <c r="G3031" s="92"/>
      <c r="H3031" s="92"/>
    </row>
    <row r="3032" spans="1:8" x14ac:dyDescent="0.25">
      <c r="A3032" s="94">
        <v>46077</v>
      </c>
      <c r="B3032" s="95">
        <v>511615.16600000003</v>
      </c>
      <c r="C3032" s="95">
        <v>4786687.3779999996</v>
      </c>
      <c r="D3032" s="95">
        <v>43.957999999999998</v>
      </c>
      <c r="E3032" s="91" t="s">
        <v>110</v>
      </c>
      <c r="F3032" s="92"/>
      <c r="G3032" s="92"/>
      <c r="H3032" s="92"/>
    </row>
    <row r="3033" spans="1:8" x14ac:dyDescent="0.25">
      <c r="A3033" s="94">
        <v>46077</v>
      </c>
      <c r="B3033" s="95">
        <v>511629.17700000003</v>
      </c>
      <c r="C3033" s="95">
        <v>4786680.0559999999</v>
      </c>
      <c r="D3033" s="95">
        <v>48.465000000000003</v>
      </c>
      <c r="E3033" s="91" t="s">
        <v>105</v>
      </c>
      <c r="F3033" s="92"/>
      <c r="G3033" s="92"/>
      <c r="H3033" s="92"/>
    </row>
    <row r="3034" spans="1:8" x14ac:dyDescent="0.25">
      <c r="A3034" s="94">
        <v>46077</v>
      </c>
      <c r="B3034" s="95">
        <v>511629.30099999998</v>
      </c>
      <c r="C3034" s="95">
        <v>4786680.0180000002</v>
      </c>
      <c r="D3034" s="95">
        <v>45.947000000000003</v>
      </c>
      <c r="E3034" s="91" t="s">
        <v>106</v>
      </c>
      <c r="F3034" s="92"/>
      <c r="G3034" s="92"/>
      <c r="H3034" s="92"/>
    </row>
    <row r="3035" spans="1:8" x14ac:dyDescent="0.25">
      <c r="A3035" s="94">
        <v>46077</v>
      </c>
      <c r="B3035" s="95">
        <v>511642.27799999999</v>
      </c>
      <c r="C3035" s="95">
        <v>4786673.1160000004</v>
      </c>
      <c r="D3035" s="95">
        <v>48.445999999999998</v>
      </c>
      <c r="E3035" s="91" t="s">
        <v>107</v>
      </c>
      <c r="F3035" s="92"/>
      <c r="G3035" s="92"/>
      <c r="H3035" s="92"/>
    </row>
    <row r="3036" spans="1:8" x14ac:dyDescent="0.25">
      <c r="A3036" s="94">
        <v>46077</v>
      </c>
      <c r="B3036" s="95">
        <v>511642.43199999997</v>
      </c>
      <c r="C3036" s="95">
        <v>4786673.0049999999</v>
      </c>
      <c r="D3036" s="95">
        <v>45.941000000000003</v>
      </c>
      <c r="E3036" s="91" t="s">
        <v>108</v>
      </c>
      <c r="F3036" s="92"/>
      <c r="G3036" s="92"/>
      <c r="H3036" s="92"/>
    </row>
    <row r="3037" spans="1:8" x14ac:dyDescent="0.25">
      <c r="A3037" s="94">
        <v>46077</v>
      </c>
      <c r="B3037" s="95">
        <v>511642.46299999999</v>
      </c>
      <c r="C3037" s="95">
        <v>4786672.9000000004</v>
      </c>
      <c r="D3037" s="95">
        <v>43.966999999999999</v>
      </c>
      <c r="E3037" s="91" t="s">
        <v>111</v>
      </c>
      <c r="F3037" s="92"/>
      <c r="G3037" s="92"/>
      <c r="H3037" s="92"/>
    </row>
    <row r="3038" spans="1:8" x14ac:dyDescent="0.25">
      <c r="A3038" s="94">
        <v>46077</v>
      </c>
      <c r="B3038" s="95">
        <v>511649.12199999997</v>
      </c>
      <c r="C3038" s="95">
        <v>4786669.3990000002</v>
      </c>
      <c r="D3038" s="95">
        <v>43.947000000000003</v>
      </c>
      <c r="E3038" s="91" t="s">
        <v>113</v>
      </c>
      <c r="F3038" s="92"/>
      <c r="G3038" s="92"/>
      <c r="H3038" s="92"/>
    </row>
    <row r="3039" spans="1:8" x14ac:dyDescent="0.25">
      <c r="A3039" s="94">
        <v>46077</v>
      </c>
      <c r="B3039" s="95">
        <v>511662.30599999998</v>
      </c>
      <c r="C3039" s="95">
        <v>4786606.875</v>
      </c>
      <c r="D3039" s="95">
        <v>46.241</v>
      </c>
      <c r="E3039" s="91" t="s">
        <v>145</v>
      </c>
      <c r="F3039" s="92"/>
      <c r="G3039" s="92"/>
      <c r="H3039" s="92"/>
    </row>
    <row r="3040" spans="1:8" x14ac:dyDescent="0.25">
      <c r="A3040" s="94">
        <v>46077</v>
      </c>
      <c r="B3040" s="95">
        <v>511662.147</v>
      </c>
      <c r="C3040" s="95">
        <v>4786607.05</v>
      </c>
      <c r="D3040" s="95">
        <v>44.683999999999997</v>
      </c>
      <c r="E3040" s="91" t="s">
        <v>146</v>
      </c>
      <c r="F3040" s="92"/>
      <c r="G3040" s="92"/>
      <c r="H3040" s="92"/>
    </row>
    <row r="3041" spans="1:8" x14ac:dyDescent="0.25">
      <c r="A3041" s="94">
        <v>46077</v>
      </c>
      <c r="B3041" s="95">
        <v>511662.06</v>
      </c>
      <c r="C3041" s="95">
        <v>4786607.1409999998</v>
      </c>
      <c r="D3041" s="95">
        <v>43.389000000000003</v>
      </c>
      <c r="E3041" s="91" t="s">
        <v>144</v>
      </c>
      <c r="F3041" s="92"/>
      <c r="G3041" s="92"/>
      <c r="H3041" s="92"/>
    </row>
    <row r="3042" spans="1:8" x14ac:dyDescent="0.25">
      <c r="A3042" s="94">
        <v>46077</v>
      </c>
      <c r="B3042" s="95">
        <v>511673.815</v>
      </c>
      <c r="C3042" s="95">
        <v>4786631.0690000001</v>
      </c>
      <c r="D3042" s="95">
        <v>40.161000000000001</v>
      </c>
      <c r="E3042" s="91" t="s">
        <v>147</v>
      </c>
      <c r="F3042" s="92"/>
      <c r="G3042" s="92"/>
      <c r="H3042" s="92"/>
    </row>
    <row r="3043" spans="1:8" x14ac:dyDescent="0.25">
      <c r="A3043" s="94">
        <v>46077</v>
      </c>
      <c r="B3043" s="95">
        <v>511573.397</v>
      </c>
      <c r="C3043" s="95">
        <v>4786684.3559999997</v>
      </c>
      <c r="D3043" s="95">
        <v>43.469000000000001</v>
      </c>
      <c r="E3043" s="91" t="s">
        <v>148</v>
      </c>
      <c r="F3043" s="92"/>
      <c r="G3043" s="92"/>
      <c r="H3043" s="92"/>
    </row>
    <row r="3044" spans="1:8" x14ac:dyDescent="0.25">
      <c r="A3044" s="94">
        <v>46077</v>
      </c>
      <c r="B3044" s="95">
        <v>511575.48200000002</v>
      </c>
      <c r="C3044" s="95">
        <v>4786688.2290000003</v>
      </c>
      <c r="D3044" s="95">
        <v>43.427</v>
      </c>
      <c r="E3044" s="91" t="s">
        <v>149</v>
      </c>
      <c r="F3044" s="92"/>
      <c r="G3044" s="92"/>
      <c r="H3044" s="92"/>
    </row>
    <row r="3045" spans="1:8" x14ac:dyDescent="0.25">
      <c r="A3045" s="94">
        <v>46077</v>
      </c>
      <c r="B3045" s="95">
        <v>511577.68300000002</v>
      </c>
      <c r="C3045" s="95">
        <v>4786692.2819999997</v>
      </c>
      <c r="D3045" s="95">
        <v>43.616</v>
      </c>
      <c r="E3045" s="91" t="s">
        <v>150</v>
      </c>
      <c r="F3045" s="92"/>
      <c r="G3045" s="92"/>
      <c r="H3045" s="92"/>
    </row>
    <row r="3046" spans="1:8" x14ac:dyDescent="0.25">
      <c r="A3046" s="94">
        <v>46077</v>
      </c>
      <c r="B3046" s="95">
        <v>511579.78399999999</v>
      </c>
      <c r="C3046" s="95">
        <v>4786696.2</v>
      </c>
      <c r="D3046" s="95">
        <v>43.688000000000002</v>
      </c>
      <c r="E3046" s="91" t="s">
        <v>151</v>
      </c>
      <c r="F3046" s="92"/>
      <c r="G3046" s="92"/>
      <c r="H3046" s="92"/>
    </row>
    <row r="3047" spans="1:8" x14ac:dyDescent="0.25">
      <c r="A3047" s="94">
        <v>46077</v>
      </c>
      <c r="B3047" s="95">
        <v>511607.17499999999</v>
      </c>
      <c r="C3047" s="95">
        <v>4786690.8459999999</v>
      </c>
      <c r="D3047" s="95">
        <v>41.314999999999998</v>
      </c>
      <c r="E3047" s="91" t="s">
        <v>139</v>
      </c>
      <c r="F3047" s="92"/>
      <c r="G3047" s="92"/>
      <c r="H3047" s="92"/>
    </row>
    <row r="3048" spans="1:8" x14ac:dyDescent="0.25">
      <c r="A3048" s="94">
        <v>46077</v>
      </c>
      <c r="B3048" s="95">
        <v>511614.97700000001</v>
      </c>
      <c r="C3048" s="95">
        <v>4786686.6129999999</v>
      </c>
      <c r="D3048" s="95">
        <v>41.442</v>
      </c>
      <c r="E3048" s="91" t="s">
        <v>140</v>
      </c>
      <c r="F3048" s="92"/>
      <c r="G3048" s="92"/>
      <c r="H3048" s="92"/>
    </row>
    <row r="3049" spans="1:8" x14ac:dyDescent="0.25">
      <c r="A3049" s="94">
        <v>46077</v>
      </c>
      <c r="B3049" s="95">
        <v>511628.826</v>
      </c>
      <c r="C3049" s="95">
        <v>4786679.1430000002</v>
      </c>
      <c r="D3049" s="95">
        <v>41.375</v>
      </c>
      <c r="E3049" s="91" t="s">
        <v>141</v>
      </c>
      <c r="F3049" s="92"/>
      <c r="G3049" s="92"/>
      <c r="H3049" s="92"/>
    </row>
    <row r="3050" spans="1:8" x14ac:dyDescent="0.25">
      <c r="A3050" s="94">
        <v>46077</v>
      </c>
      <c r="B3050" s="95">
        <v>511641.99599999998</v>
      </c>
      <c r="C3050" s="95">
        <v>4786671.9440000001</v>
      </c>
      <c r="D3050" s="95">
        <v>41.512</v>
      </c>
      <c r="E3050" s="91" t="s">
        <v>142</v>
      </c>
      <c r="F3050" s="92"/>
      <c r="G3050" s="92"/>
      <c r="H3050" s="92"/>
    </row>
    <row r="3051" spans="1:8" x14ac:dyDescent="0.25">
      <c r="A3051" s="94">
        <v>46077</v>
      </c>
      <c r="B3051" s="95">
        <v>511648.77799999999</v>
      </c>
      <c r="C3051" s="95">
        <v>4786668.2649999997</v>
      </c>
      <c r="D3051" s="95">
        <v>41.31</v>
      </c>
      <c r="E3051" s="91" t="s">
        <v>143</v>
      </c>
      <c r="F3051" s="92"/>
      <c r="G3051" s="92"/>
      <c r="H3051" s="92"/>
    </row>
    <row r="3052" spans="1:8" x14ac:dyDescent="0.25">
      <c r="A3052" s="94">
        <v>46078</v>
      </c>
      <c r="B3052" s="95">
        <v>511615.08899999998</v>
      </c>
      <c r="C3052" s="95">
        <v>4786687.9759999998</v>
      </c>
      <c r="D3052" s="95">
        <v>51.03</v>
      </c>
      <c r="E3052" s="91" t="s">
        <v>96</v>
      </c>
      <c r="F3052" s="92"/>
      <c r="G3052" s="92"/>
      <c r="H3052" s="92"/>
    </row>
    <row r="3053" spans="1:8" x14ac:dyDescent="0.25">
      <c r="A3053" s="94">
        <v>46078</v>
      </c>
      <c r="B3053" s="95">
        <v>511628.875</v>
      </c>
      <c r="C3053" s="95">
        <v>4786680.6390000004</v>
      </c>
      <c r="D3053" s="95">
        <v>51.042000000000002</v>
      </c>
      <c r="E3053" s="91" t="s">
        <v>97</v>
      </c>
      <c r="F3053" s="92"/>
      <c r="G3053" s="92"/>
      <c r="H3053" s="92"/>
    </row>
    <row r="3054" spans="1:8" x14ac:dyDescent="0.25">
      <c r="A3054" s="94">
        <v>46078</v>
      </c>
      <c r="B3054" s="95">
        <v>511642.576</v>
      </c>
      <c r="C3054" s="95">
        <v>4786673.3430000003</v>
      </c>
      <c r="D3054" s="95">
        <v>51.05</v>
      </c>
      <c r="E3054" s="91" t="s">
        <v>98</v>
      </c>
      <c r="F3054" s="92"/>
      <c r="G3054" s="92"/>
      <c r="H3054" s="92"/>
    </row>
    <row r="3055" spans="1:8" x14ac:dyDescent="0.25">
      <c r="A3055" s="94">
        <v>46078</v>
      </c>
      <c r="B3055" s="95">
        <v>511607.68900000001</v>
      </c>
      <c r="C3055" s="95">
        <v>4786691.415</v>
      </c>
      <c r="D3055" s="95">
        <v>43.944000000000003</v>
      </c>
      <c r="E3055" s="91" t="s">
        <v>112</v>
      </c>
      <c r="F3055" s="92"/>
      <c r="G3055" s="92"/>
      <c r="H3055" s="92"/>
    </row>
    <row r="3056" spans="1:8" x14ac:dyDescent="0.25">
      <c r="A3056" s="94">
        <v>46078</v>
      </c>
      <c r="B3056" s="95">
        <v>511629.40700000001</v>
      </c>
      <c r="C3056" s="95">
        <v>4786679.9040000001</v>
      </c>
      <c r="D3056" s="95">
        <v>43.947000000000003</v>
      </c>
      <c r="E3056" s="91" t="s">
        <v>109</v>
      </c>
      <c r="F3056" s="92"/>
      <c r="G3056" s="92"/>
      <c r="H3056" s="92"/>
    </row>
    <row r="3057" spans="1:8" x14ac:dyDescent="0.25">
      <c r="A3057" s="94">
        <v>46078</v>
      </c>
      <c r="B3057" s="95">
        <v>511649.69900000002</v>
      </c>
      <c r="C3057" s="95">
        <v>4786682.1540000001</v>
      </c>
      <c r="D3057" s="95">
        <v>56.19</v>
      </c>
      <c r="E3057" s="91" t="s">
        <v>89</v>
      </c>
      <c r="F3057" s="92"/>
      <c r="G3057" s="92"/>
      <c r="H3057" s="92"/>
    </row>
    <row r="3058" spans="1:8" x14ac:dyDescent="0.25">
      <c r="A3058" s="94">
        <v>46078</v>
      </c>
      <c r="B3058" s="95">
        <v>511630.75699999998</v>
      </c>
      <c r="C3058" s="95">
        <v>4786689.8559999997</v>
      </c>
      <c r="D3058" s="95">
        <v>55.951999999999998</v>
      </c>
      <c r="E3058" s="91" t="s">
        <v>90</v>
      </c>
      <c r="F3058" s="92"/>
      <c r="G3058" s="92"/>
      <c r="H3058" s="92"/>
    </row>
    <row r="3059" spans="1:8" x14ac:dyDescent="0.25">
      <c r="A3059" s="94">
        <v>46078</v>
      </c>
      <c r="B3059" s="95">
        <v>511623.429</v>
      </c>
      <c r="C3059" s="95">
        <v>4786694.0710000005</v>
      </c>
      <c r="D3059" s="95">
        <v>54.783000000000001</v>
      </c>
      <c r="E3059" s="91" t="s">
        <v>91</v>
      </c>
      <c r="F3059" s="92"/>
      <c r="G3059" s="92"/>
      <c r="H3059" s="92"/>
    </row>
    <row r="3060" spans="1:8" x14ac:dyDescent="0.25">
      <c r="A3060" s="94">
        <v>46078</v>
      </c>
      <c r="B3060" s="95">
        <v>511613.31099999999</v>
      </c>
      <c r="C3060" s="95">
        <v>4786695.3020000001</v>
      </c>
      <c r="D3060" s="95">
        <v>60.570999999999998</v>
      </c>
      <c r="E3060" s="91" t="s">
        <v>92</v>
      </c>
      <c r="F3060" s="92"/>
      <c r="G3060" s="92"/>
      <c r="H3060" s="92"/>
    </row>
    <row r="3061" spans="1:8" x14ac:dyDescent="0.25">
      <c r="A3061" s="94">
        <v>46078</v>
      </c>
      <c r="B3061" s="95">
        <v>511614.74900000001</v>
      </c>
      <c r="C3061" s="95">
        <v>4786712.5539999995</v>
      </c>
      <c r="D3061" s="95">
        <v>60.823999999999998</v>
      </c>
      <c r="E3061" s="91" t="s">
        <v>93</v>
      </c>
      <c r="F3061" s="92"/>
      <c r="G3061" s="92"/>
      <c r="H3061" s="92"/>
    </row>
    <row r="3062" spans="1:8" x14ac:dyDescent="0.25">
      <c r="A3062" s="94">
        <v>46078</v>
      </c>
      <c r="B3062" s="95">
        <v>511660.66200000001</v>
      </c>
      <c r="C3062" s="95">
        <v>4786683.4649999999</v>
      </c>
      <c r="D3062" s="95">
        <v>55.408000000000001</v>
      </c>
      <c r="E3062" s="91" t="s">
        <v>94</v>
      </c>
      <c r="F3062" s="92"/>
      <c r="G3062" s="92"/>
      <c r="H3062" s="92"/>
    </row>
    <row r="3063" spans="1:8" x14ac:dyDescent="0.25">
      <c r="A3063" s="94">
        <v>46078</v>
      </c>
      <c r="B3063" s="95">
        <v>511670.87300000002</v>
      </c>
      <c r="C3063" s="95">
        <v>4786685.9170000004</v>
      </c>
      <c r="D3063" s="95">
        <v>54.823999999999998</v>
      </c>
      <c r="E3063" s="91" t="s">
        <v>95</v>
      </c>
      <c r="F3063" s="92"/>
      <c r="G3063" s="92"/>
      <c r="H3063" s="92"/>
    </row>
    <row r="3064" spans="1:8" x14ac:dyDescent="0.25">
      <c r="A3064" s="94">
        <v>46078</v>
      </c>
      <c r="B3064" s="95">
        <v>511649.79200000002</v>
      </c>
      <c r="C3064" s="95">
        <v>4786669.483</v>
      </c>
      <c r="D3064" s="95">
        <v>51.055</v>
      </c>
      <c r="E3064" s="91" t="s">
        <v>99</v>
      </c>
      <c r="F3064" s="92"/>
      <c r="G3064" s="92"/>
      <c r="H3064" s="92"/>
    </row>
    <row r="3065" spans="1:8" x14ac:dyDescent="0.25">
      <c r="A3065" s="94">
        <v>46078</v>
      </c>
      <c r="B3065" s="95">
        <v>511607.54499999998</v>
      </c>
      <c r="C3065" s="95">
        <v>4786691.9740000004</v>
      </c>
      <c r="D3065" s="95">
        <v>51.052</v>
      </c>
      <c r="E3065" s="91" t="s">
        <v>100</v>
      </c>
      <c r="F3065" s="92"/>
      <c r="G3065" s="92"/>
      <c r="H3065" s="92"/>
    </row>
    <row r="3066" spans="1:8" x14ac:dyDescent="0.25">
      <c r="A3066" s="94">
        <v>46078</v>
      </c>
      <c r="B3066" s="95">
        <v>511607.261</v>
      </c>
      <c r="C3066" s="95">
        <v>4786692.1670000004</v>
      </c>
      <c r="D3066" s="95">
        <v>51.052999999999997</v>
      </c>
      <c r="E3066" s="91" t="s">
        <v>101</v>
      </c>
      <c r="F3066" s="92"/>
      <c r="G3066" s="92"/>
      <c r="H3066" s="92"/>
    </row>
    <row r="3067" spans="1:8" x14ac:dyDescent="0.25">
      <c r="A3067" s="94">
        <v>46078</v>
      </c>
      <c r="B3067" s="95">
        <v>511601.11</v>
      </c>
      <c r="C3067" s="95">
        <v>4786695.4139999999</v>
      </c>
      <c r="D3067" s="95">
        <v>51.043999999999997</v>
      </c>
      <c r="E3067" s="91" t="s">
        <v>102</v>
      </c>
      <c r="F3067" s="92"/>
      <c r="G3067" s="92"/>
      <c r="H3067" s="92"/>
    </row>
    <row r="3068" spans="1:8" x14ac:dyDescent="0.25">
      <c r="A3068" s="94">
        <v>46078</v>
      </c>
      <c r="B3068" s="95">
        <v>511615.24699999997</v>
      </c>
      <c r="C3068" s="95">
        <v>4786687.4249999998</v>
      </c>
      <c r="D3068" s="95">
        <v>48.447000000000003</v>
      </c>
      <c r="E3068" s="91" t="s">
        <v>103</v>
      </c>
      <c r="F3068" s="92"/>
      <c r="G3068" s="92"/>
      <c r="H3068" s="92"/>
    </row>
    <row r="3069" spans="1:8" x14ac:dyDescent="0.25">
      <c r="A3069" s="94">
        <v>46078</v>
      </c>
      <c r="B3069" s="95">
        <v>511615.21799999999</v>
      </c>
      <c r="C3069" s="95">
        <v>4786687.3480000002</v>
      </c>
      <c r="D3069" s="95">
        <v>45.939</v>
      </c>
      <c r="E3069" s="91" t="s">
        <v>104</v>
      </c>
      <c r="F3069" s="92"/>
      <c r="G3069" s="92"/>
      <c r="H3069" s="92"/>
    </row>
    <row r="3070" spans="1:8" x14ac:dyDescent="0.25">
      <c r="A3070" s="94">
        <v>46078</v>
      </c>
      <c r="B3070" s="95">
        <v>511615.16499999998</v>
      </c>
      <c r="C3070" s="95">
        <v>4786687.3770000003</v>
      </c>
      <c r="D3070" s="95">
        <v>43.959000000000003</v>
      </c>
      <c r="E3070" s="91" t="s">
        <v>110</v>
      </c>
      <c r="F3070" s="92"/>
      <c r="G3070" s="92"/>
      <c r="H3070" s="92"/>
    </row>
    <row r="3071" spans="1:8" x14ac:dyDescent="0.25">
      <c r="A3071" s="94">
        <v>46078</v>
      </c>
      <c r="B3071" s="95">
        <v>511629.17800000001</v>
      </c>
      <c r="C3071" s="95">
        <v>4786680.0559999999</v>
      </c>
      <c r="D3071" s="95">
        <v>48.465000000000003</v>
      </c>
      <c r="E3071" s="91" t="s">
        <v>105</v>
      </c>
      <c r="F3071" s="92"/>
      <c r="G3071" s="92"/>
      <c r="H3071" s="92"/>
    </row>
    <row r="3072" spans="1:8" x14ac:dyDescent="0.25">
      <c r="A3072" s="94">
        <v>46078</v>
      </c>
      <c r="B3072" s="95">
        <v>511629.30099999998</v>
      </c>
      <c r="C3072" s="95">
        <v>4786680.0180000002</v>
      </c>
      <c r="D3072" s="95">
        <v>45.947000000000003</v>
      </c>
      <c r="E3072" s="91" t="s">
        <v>106</v>
      </c>
      <c r="F3072" s="92"/>
      <c r="G3072" s="92"/>
      <c r="H3072" s="92"/>
    </row>
    <row r="3073" spans="1:8" x14ac:dyDescent="0.25">
      <c r="A3073" s="94">
        <v>46078</v>
      </c>
      <c r="B3073" s="95">
        <v>511642.27899999998</v>
      </c>
      <c r="C3073" s="95">
        <v>4786673.1160000004</v>
      </c>
      <c r="D3073" s="95">
        <v>48.447000000000003</v>
      </c>
      <c r="E3073" s="91" t="s">
        <v>107</v>
      </c>
      <c r="F3073" s="92"/>
      <c r="G3073" s="92"/>
      <c r="H3073" s="92"/>
    </row>
    <row r="3074" spans="1:8" x14ac:dyDescent="0.25">
      <c r="A3074" s="94">
        <v>46078</v>
      </c>
      <c r="B3074" s="95">
        <v>511642.43199999997</v>
      </c>
      <c r="C3074" s="95">
        <v>4786673.0049999999</v>
      </c>
      <c r="D3074" s="95">
        <v>45.941000000000003</v>
      </c>
      <c r="E3074" s="91" t="s">
        <v>108</v>
      </c>
      <c r="F3074" s="92"/>
      <c r="G3074" s="92"/>
      <c r="H3074" s="92"/>
    </row>
    <row r="3075" spans="1:8" x14ac:dyDescent="0.25">
      <c r="A3075" s="94">
        <v>46078</v>
      </c>
      <c r="B3075" s="95">
        <v>511642.46299999999</v>
      </c>
      <c r="C3075" s="95">
        <v>4786672.9009999996</v>
      </c>
      <c r="D3075" s="95">
        <v>43.968000000000004</v>
      </c>
      <c r="E3075" s="91" t="s">
        <v>111</v>
      </c>
      <c r="F3075" s="92"/>
      <c r="G3075" s="92"/>
      <c r="H3075" s="92"/>
    </row>
    <row r="3076" spans="1:8" x14ac:dyDescent="0.25">
      <c r="A3076" s="94">
        <v>46078</v>
      </c>
      <c r="B3076" s="95">
        <v>511649.12199999997</v>
      </c>
      <c r="C3076" s="95">
        <v>4786669.3990000002</v>
      </c>
      <c r="D3076" s="95">
        <v>43.948</v>
      </c>
      <c r="E3076" s="91" t="s">
        <v>113</v>
      </c>
      <c r="F3076" s="92"/>
      <c r="G3076" s="92"/>
      <c r="H3076" s="92"/>
    </row>
    <row r="3077" spans="1:8" x14ac:dyDescent="0.25">
      <c r="A3077" s="94">
        <v>46078</v>
      </c>
      <c r="B3077" s="95">
        <v>511662.30699999997</v>
      </c>
      <c r="C3077" s="95">
        <v>4786606.8770000003</v>
      </c>
      <c r="D3077" s="95">
        <v>46.241999999999997</v>
      </c>
      <c r="E3077" s="91" t="s">
        <v>145</v>
      </c>
      <c r="F3077" s="92"/>
      <c r="G3077" s="92"/>
      <c r="H3077" s="92"/>
    </row>
    <row r="3078" spans="1:8" x14ac:dyDescent="0.25">
      <c r="A3078" s="94">
        <v>46078</v>
      </c>
      <c r="B3078" s="95">
        <v>511662.14899999998</v>
      </c>
      <c r="C3078" s="95">
        <v>4786607.051</v>
      </c>
      <c r="D3078" s="95">
        <v>44.683</v>
      </c>
      <c r="E3078" s="91" t="s">
        <v>146</v>
      </c>
      <c r="F3078" s="92"/>
      <c r="G3078" s="92"/>
      <c r="H3078" s="92"/>
    </row>
    <row r="3079" spans="1:8" x14ac:dyDescent="0.25">
      <c r="A3079" s="94">
        <v>46078</v>
      </c>
      <c r="B3079" s="95">
        <v>511662.06300000002</v>
      </c>
      <c r="C3079" s="95">
        <v>4786607.142</v>
      </c>
      <c r="D3079" s="95">
        <v>43.39</v>
      </c>
      <c r="E3079" s="91" t="s">
        <v>144</v>
      </c>
      <c r="F3079" s="92"/>
      <c r="G3079" s="92"/>
      <c r="H3079" s="92"/>
    </row>
    <row r="3080" spans="1:8" x14ac:dyDescent="0.25">
      <c r="A3080" s="94">
        <v>46078</v>
      </c>
      <c r="B3080" s="95">
        <v>511673.81400000001</v>
      </c>
      <c r="C3080" s="95">
        <v>4786631.0710000005</v>
      </c>
      <c r="D3080" s="95">
        <v>40.162999999999997</v>
      </c>
      <c r="E3080" s="91" t="s">
        <v>147</v>
      </c>
      <c r="F3080" s="92"/>
      <c r="G3080" s="92"/>
      <c r="H3080" s="92"/>
    </row>
    <row r="3081" spans="1:8" x14ac:dyDescent="0.25">
      <c r="A3081" s="94">
        <v>46078</v>
      </c>
      <c r="B3081" s="95">
        <v>511573.39600000001</v>
      </c>
      <c r="C3081" s="95">
        <v>4786684.3530000001</v>
      </c>
      <c r="D3081" s="95">
        <v>43.469000000000001</v>
      </c>
      <c r="E3081" s="91" t="s">
        <v>148</v>
      </c>
      <c r="F3081" s="92"/>
      <c r="G3081" s="92"/>
      <c r="H3081" s="92"/>
    </row>
    <row r="3082" spans="1:8" x14ac:dyDescent="0.25">
      <c r="A3082" s="94">
        <v>46078</v>
      </c>
      <c r="B3082" s="95">
        <v>511575.48100000003</v>
      </c>
      <c r="C3082" s="95">
        <v>4786688.227</v>
      </c>
      <c r="D3082" s="95">
        <v>43.427999999999997</v>
      </c>
      <c r="E3082" s="91" t="s">
        <v>149</v>
      </c>
      <c r="F3082" s="92"/>
      <c r="G3082" s="92"/>
      <c r="H3082" s="92"/>
    </row>
    <row r="3083" spans="1:8" x14ac:dyDescent="0.25">
      <c r="A3083" s="94">
        <v>46078</v>
      </c>
      <c r="B3083" s="95">
        <v>511577.68199999997</v>
      </c>
      <c r="C3083" s="95">
        <v>4786692.2790000001</v>
      </c>
      <c r="D3083" s="95">
        <v>43.616999999999997</v>
      </c>
      <c r="E3083" s="91" t="s">
        <v>150</v>
      </c>
      <c r="F3083" s="92"/>
      <c r="G3083" s="92"/>
      <c r="H3083" s="92"/>
    </row>
    <row r="3084" spans="1:8" x14ac:dyDescent="0.25">
      <c r="A3084" s="94">
        <v>46078</v>
      </c>
      <c r="B3084" s="95">
        <v>511579.783</v>
      </c>
      <c r="C3084" s="95">
        <v>4786696.1969999997</v>
      </c>
      <c r="D3084" s="95">
        <v>43.689</v>
      </c>
      <c r="E3084" s="91" t="s">
        <v>151</v>
      </c>
      <c r="F3084" s="92"/>
      <c r="G3084" s="92"/>
      <c r="H3084" s="92"/>
    </row>
    <row r="3085" spans="1:8" x14ac:dyDescent="0.25">
      <c r="A3085" s="94">
        <v>46078</v>
      </c>
      <c r="B3085" s="95">
        <v>511607.174</v>
      </c>
      <c r="C3085" s="95">
        <v>4786690.8459999999</v>
      </c>
      <c r="D3085" s="95">
        <v>41.314999999999998</v>
      </c>
      <c r="E3085" s="91" t="s">
        <v>139</v>
      </c>
      <c r="F3085" s="92"/>
      <c r="G3085" s="92"/>
      <c r="H3085" s="92"/>
    </row>
    <row r="3086" spans="1:8" x14ac:dyDescent="0.25">
      <c r="A3086" s="94">
        <v>46078</v>
      </c>
      <c r="B3086" s="95">
        <v>511614.97600000002</v>
      </c>
      <c r="C3086" s="95">
        <v>4786686.6129999999</v>
      </c>
      <c r="D3086" s="95">
        <v>41.442999999999998</v>
      </c>
      <c r="E3086" s="91" t="s">
        <v>140</v>
      </c>
      <c r="F3086" s="92"/>
      <c r="G3086" s="92"/>
      <c r="H3086" s="92"/>
    </row>
    <row r="3087" spans="1:8" x14ac:dyDescent="0.25">
      <c r="A3087" s="94">
        <v>46078</v>
      </c>
      <c r="B3087" s="95">
        <v>511628.826</v>
      </c>
      <c r="C3087" s="95">
        <v>4786679.1430000002</v>
      </c>
      <c r="D3087" s="95">
        <v>41.375999999999998</v>
      </c>
      <c r="E3087" s="91" t="s">
        <v>141</v>
      </c>
      <c r="F3087" s="92"/>
      <c r="G3087" s="92"/>
      <c r="H3087" s="92"/>
    </row>
    <row r="3088" spans="1:8" x14ac:dyDescent="0.25">
      <c r="A3088" s="94">
        <v>46078</v>
      </c>
      <c r="B3088" s="95">
        <v>511641.995</v>
      </c>
      <c r="C3088" s="95">
        <v>4786671.9450000003</v>
      </c>
      <c r="D3088" s="95">
        <v>41.512999999999998</v>
      </c>
      <c r="E3088" s="91" t="s">
        <v>142</v>
      </c>
      <c r="F3088" s="92"/>
      <c r="G3088" s="92"/>
      <c r="H3088" s="92"/>
    </row>
    <row r="3089" spans="1:5" x14ac:dyDescent="0.25">
      <c r="A3089" s="94">
        <v>46078</v>
      </c>
      <c r="B3089" s="95">
        <v>511648.777</v>
      </c>
      <c r="C3089" s="95">
        <v>4786668.2659999998</v>
      </c>
      <c r="D3089" s="95">
        <v>41.31</v>
      </c>
      <c r="E3089" s="91" t="s">
        <v>143</v>
      </c>
    </row>
    <row r="3090" spans="1:5" x14ac:dyDescent="0.25">
      <c r="A3090" s="94">
        <v>46079</v>
      </c>
      <c r="B3090" s="95">
        <v>511615.08899999998</v>
      </c>
      <c r="C3090" s="95">
        <v>4786687.9759999998</v>
      </c>
      <c r="D3090" s="95">
        <v>51.027000000000001</v>
      </c>
      <c r="E3090" s="91" t="s">
        <v>96</v>
      </c>
    </row>
    <row r="3091" spans="1:5" x14ac:dyDescent="0.25">
      <c r="A3091" s="94">
        <v>46079</v>
      </c>
      <c r="B3091" s="95">
        <v>511628.87400000001</v>
      </c>
      <c r="C3091" s="95">
        <v>4786680.6390000004</v>
      </c>
      <c r="D3091" s="95">
        <v>51.037999999999997</v>
      </c>
      <c r="E3091" s="91" t="s">
        <v>97</v>
      </c>
    </row>
    <row r="3092" spans="1:5" x14ac:dyDescent="0.25">
      <c r="A3092" s="94">
        <v>46079</v>
      </c>
      <c r="B3092" s="95">
        <v>511642.576</v>
      </c>
      <c r="C3092" s="95">
        <v>4786673.3430000003</v>
      </c>
      <c r="D3092" s="95">
        <v>51.046999999999997</v>
      </c>
      <c r="E3092" s="91" t="s">
        <v>98</v>
      </c>
    </row>
    <row r="3093" spans="1:5" x14ac:dyDescent="0.25">
      <c r="A3093" s="94">
        <v>46079</v>
      </c>
      <c r="B3093" s="95">
        <v>511607.69</v>
      </c>
      <c r="C3093" s="95">
        <v>4786691.4160000002</v>
      </c>
      <c r="D3093" s="95">
        <v>43.942</v>
      </c>
      <c r="E3093" s="91" t="s">
        <v>112</v>
      </c>
    </row>
    <row r="3094" spans="1:5" x14ac:dyDescent="0.25">
      <c r="A3094" s="94">
        <v>46079</v>
      </c>
      <c r="B3094" s="95">
        <v>511629.408</v>
      </c>
      <c r="C3094" s="95">
        <v>4786679.9050000003</v>
      </c>
      <c r="D3094" s="95">
        <v>43.944000000000003</v>
      </c>
      <c r="E3094" s="91" t="s">
        <v>109</v>
      </c>
    </row>
    <row r="3095" spans="1:5" x14ac:dyDescent="0.25">
      <c r="A3095" s="94">
        <v>46079</v>
      </c>
      <c r="B3095" s="95">
        <v>511649.69900000002</v>
      </c>
      <c r="C3095" s="95">
        <v>4786682.1550000003</v>
      </c>
      <c r="D3095" s="95">
        <v>56.186</v>
      </c>
      <c r="E3095" s="91" t="s">
        <v>89</v>
      </c>
    </row>
    <row r="3096" spans="1:5" x14ac:dyDescent="0.25">
      <c r="A3096" s="94">
        <v>46079</v>
      </c>
      <c r="B3096" s="95">
        <v>511630.76</v>
      </c>
      <c r="C3096" s="95">
        <v>4786689.8569999998</v>
      </c>
      <c r="D3096" s="95">
        <v>55.948</v>
      </c>
      <c r="E3096" s="91" t="s">
        <v>90</v>
      </c>
    </row>
    <row r="3097" spans="1:5" x14ac:dyDescent="0.25">
      <c r="A3097" s="94">
        <v>46079</v>
      </c>
      <c r="B3097" s="95">
        <v>511623.43</v>
      </c>
      <c r="C3097" s="95">
        <v>4786694.0719999997</v>
      </c>
      <c r="D3097" s="95">
        <v>54.78</v>
      </c>
      <c r="E3097" s="91" t="s">
        <v>91</v>
      </c>
    </row>
    <row r="3098" spans="1:5" x14ac:dyDescent="0.25">
      <c r="A3098" s="94">
        <v>46079</v>
      </c>
      <c r="B3098" s="95">
        <v>511613.31</v>
      </c>
      <c r="C3098" s="95">
        <v>4786695.3020000001</v>
      </c>
      <c r="D3098" s="95">
        <v>60.567999999999998</v>
      </c>
      <c r="E3098" s="91" t="s">
        <v>92</v>
      </c>
    </row>
    <row r="3099" spans="1:5" x14ac:dyDescent="0.25">
      <c r="A3099" s="94">
        <v>46079</v>
      </c>
      <c r="B3099" s="95">
        <v>511614.74900000001</v>
      </c>
      <c r="C3099" s="95">
        <v>4786712.5549999997</v>
      </c>
      <c r="D3099" s="95">
        <v>60.820999999999998</v>
      </c>
      <c r="E3099" s="91" t="s">
        <v>93</v>
      </c>
    </row>
    <row r="3100" spans="1:5" x14ac:dyDescent="0.25">
      <c r="A3100" s="94">
        <v>46079</v>
      </c>
      <c r="B3100" s="95">
        <v>511660.66399999999</v>
      </c>
      <c r="C3100" s="95">
        <v>4786683.466</v>
      </c>
      <c r="D3100" s="95">
        <v>55.404000000000003</v>
      </c>
      <c r="E3100" s="91" t="s">
        <v>94</v>
      </c>
    </row>
    <row r="3101" spans="1:5" x14ac:dyDescent="0.25">
      <c r="A3101" s="94">
        <v>46079</v>
      </c>
      <c r="B3101" s="95">
        <v>511670.87300000002</v>
      </c>
      <c r="C3101" s="95">
        <v>4786685.9179999996</v>
      </c>
      <c r="D3101" s="95">
        <v>54.819000000000003</v>
      </c>
      <c r="E3101" s="91" t="s">
        <v>95</v>
      </c>
    </row>
    <row r="3102" spans="1:5" x14ac:dyDescent="0.25">
      <c r="A3102" s="94">
        <v>46079</v>
      </c>
      <c r="B3102" s="95">
        <v>511649.78899999999</v>
      </c>
      <c r="C3102" s="95">
        <v>4786669.483</v>
      </c>
      <c r="D3102" s="95">
        <v>51.05</v>
      </c>
      <c r="E3102" s="91" t="s">
        <v>99</v>
      </c>
    </row>
    <row r="3103" spans="1:5" x14ac:dyDescent="0.25">
      <c r="A3103" s="94">
        <v>46079</v>
      </c>
      <c r="B3103" s="95">
        <v>511607.54499999998</v>
      </c>
      <c r="C3103" s="95">
        <v>4786691.9740000004</v>
      </c>
      <c r="D3103" s="95">
        <v>51.048999999999999</v>
      </c>
      <c r="E3103" s="91" t="s">
        <v>100</v>
      </c>
    </row>
    <row r="3104" spans="1:5" x14ac:dyDescent="0.25">
      <c r="A3104" s="94">
        <v>46079</v>
      </c>
      <c r="B3104" s="95">
        <v>511607.26</v>
      </c>
      <c r="C3104" s="95">
        <v>4786692.1670000004</v>
      </c>
      <c r="D3104" s="95">
        <v>51.05</v>
      </c>
      <c r="E3104" s="91" t="s">
        <v>101</v>
      </c>
    </row>
    <row r="3105" spans="1:5" x14ac:dyDescent="0.25">
      <c r="A3105" s="94">
        <v>46079</v>
      </c>
      <c r="B3105" s="95">
        <v>511601.10800000001</v>
      </c>
      <c r="C3105" s="95">
        <v>4786695.4119999995</v>
      </c>
      <c r="D3105" s="95">
        <v>51.04</v>
      </c>
      <c r="E3105" s="91" t="s">
        <v>102</v>
      </c>
    </row>
    <row r="3106" spans="1:5" x14ac:dyDescent="0.25">
      <c r="A3106" s="94">
        <v>46079</v>
      </c>
      <c r="B3106" s="95">
        <v>511615.24599999998</v>
      </c>
      <c r="C3106" s="95">
        <v>4786687.4249999998</v>
      </c>
      <c r="D3106" s="95">
        <v>48.442999999999998</v>
      </c>
      <c r="E3106" s="91" t="s">
        <v>103</v>
      </c>
    </row>
    <row r="3107" spans="1:5" x14ac:dyDescent="0.25">
      <c r="A3107" s="94">
        <v>46079</v>
      </c>
      <c r="B3107" s="95">
        <v>511615.21799999999</v>
      </c>
      <c r="C3107" s="95">
        <v>4786687.3480000002</v>
      </c>
      <c r="D3107" s="95">
        <v>45.936</v>
      </c>
      <c r="E3107" s="91" t="s">
        <v>104</v>
      </c>
    </row>
    <row r="3108" spans="1:5" x14ac:dyDescent="0.25">
      <c r="A3108" s="94">
        <v>46079</v>
      </c>
      <c r="B3108" s="95">
        <v>511615.16600000003</v>
      </c>
      <c r="C3108" s="95">
        <v>4786687.3789999997</v>
      </c>
      <c r="D3108" s="95">
        <v>43.957000000000001</v>
      </c>
      <c r="E3108" s="91" t="s">
        <v>110</v>
      </c>
    </row>
    <row r="3109" spans="1:5" x14ac:dyDescent="0.25">
      <c r="A3109" s="94">
        <v>46079</v>
      </c>
      <c r="B3109" s="95">
        <v>511629.18</v>
      </c>
      <c r="C3109" s="95">
        <v>4786680.0559999999</v>
      </c>
      <c r="D3109" s="95">
        <v>48.460999999999999</v>
      </c>
      <c r="E3109" s="91" t="s">
        <v>105</v>
      </c>
    </row>
    <row r="3110" spans="1:5" x14ac:dyDescent="0.25">
      <c r="A3110" s="94">
        <v>46079</v>
      </c>
      <c r="B3110" s="95">
        <v>511629.30099999998</v>
      </c>
      <c r="C3110" s="95">
        <v>4786680.0180000002</v>
      </c>
      <c r="D3110" s="95">
        <v>45.942999999999998</v>
      </c>
      <c r="E3110" s="91" t="s">
        <v>106</v>
      </c>
    </row>
    <row r="3111" spans="1:5" x14ac:dyDescent="0.25">
      <c r="A3111" s="94">
        <v>46079</v>
      </c>
      <c r="B3111" s="95">
        <v>511642.277</v>
      </c>
      <c r="C3111" s="95">
        <v>4786673.1160000004</v>
      </c>
      <c r="D3111" s="95">
        <v>48.442</v>
      </c>
      <c r="E3111" s="91" t="s">
        <v>107</v>
      </c>
    </row>
    <row r="3112" spans="1:5" x14ac:dyDescent="0.25">
      <c r="A3112" s="94">
        <v>46079</v>
      </c>
      <c r="B3112" s="95">
        <v>511642.43300000002</v>
      </c>
      <c r="C3112" s="95">
        <v>4786673.0049999999</v>
      </c>
      <c r="D3112" s="95">
        <v>45.938000000000002</v>
      </c>
      <c r="E3112" s="91" t="s">
        <v>108</v>
      </c>
    </row>
    <row r="3113" spans="1:5" x14ac:dyDescent="0.25">
      <c r="A3113" s="94">
        <v>46079</v>
      </c>
      <c r="B3113" s="95">
        <v>511642.46399999998</v>
      </c>
      <c r="C3113" s="95">
        <v>4786672.9009999996</v>
      </c>
      <c r="D3113" s="95">
        <v>43.965000000000003</v>
      </c>
      <c r="E3113" s="91" t="s">
        <v>111</v>
      </c>
    </row>
    <row r="3114" spans="1:5" x14ac:dyDescent="0.25">
      <c r="A3114" s="94">
        <v>46079</v>
      </c>
      <c r="B3114" s="95">
        <v>511649.12199999997</v>
      </c>
      <c r="C3114" s="95">
        <v>4786669.3990000002</v>
      </c>
      <c r="D3114" s="95">
        <v>43.945</v>
      </c>
      <c r="E3114" s="91" t="s">
        <v>113</v>
      </c>
    </row>
    <row r="3115" spans="1:5" x14ac:dyDescent="0.25">
      <c r="A3115" s="94">
        <v>46079</v>
      </c>
      <c r="B3115" s="95">
        <v>511662.30599999998</v>
      </c>
      <c r="C3115" s="95">
        <v>4786606.8760000002</v>
      </c>
      <c r="D3115" s="95">
        <v>46.238999999999997</v>
      </c>
      <c r="E3115" s="91" t="s">
        <v>145</v>
      </c>
    </row>
    <row r="3116" spans="1:5" x14ac:dyDescent="0.25">
      <c r="A3116" s="94">
        <v>46079</v>
      </c>
      <c r="B3116" s="95">
        <v>511662.14899999998</v>
      </c>
      <c r="C3116" s="95">
        <v>4786607.0489999996</v>
      </c>
      <c r="D3116" s="95">
        <v>44.680999999999997</v>
      </c>
      <c r="E3116" s="91" t="s">
        <v>146</v>
      </c>
    </row>
    <row r="3117" spans="1:5" x14ac:dyDescent="0.25">
      <c r="A3117" s="94">
        <v>46079</v>
      </c>
      <c r="B3117" s="95">
        <v>511662.06199999998</v>
      </c>
      <c r="C3117" s="95">
        <v>4786607.142</v>
      </c>
      <c r="D3117" s="95">
        <v>43.39</v>
      </c>
      <c r="E3117" s="91" t="s">
        <v>144</v>
      </c>
    </row>
    <row r="3118" spans="1:5" x14ac:dyDescent="0.25">
      <c r="A3118" s="94">
        <v>46079</v>
      </c>
      <c r="B3118" s="95">
        <v>511673.815</v>
      </c>
      <c r="C3118" s="95">
        <v>4786631.07</v>
      </c>
      <c r="D3118" s="95">
        <v>40.158999999999999</v>
      </c>
      <c r="E3118" s="91" t="s">
        <v>147</v>
      </c>
    </row>
    <row r="3119" spans="1:5" x14ac:dyDescent="0.25">
      <c r="A3119" s="94">
        <v>46079</v>
      </c>
      <c r="B3119" s="95">
        <v>511573.397</v>
      </c>
      <c r="C3119" s="95">
        <v>4786684.3550000004</v>
      </c>
      <c r="D3119" s="95">
        <v>43.466999999999999</v>
      </c>
      <c r="E3119" s="91" t="s">
        <v>148</v>
      </c>
    </row>
    <row r="3120" spans="1:5" x14ac:dyDescent="0.25">
      <c r="A3120" s="94">
        <v>46079</v>
      </c>
      <c r="B3120" s="95">
        <v>511575.48200000002</v>
      </c>
      <c r="C3120" s="95">
        <v>4786688.2290000003</v>
      </c>
      <c r="D3120" s="95">
        <v>43.426000000000002</v>
      </c>
      <c r="E3120" s="91" t="s">
        <v>149</v>
      </c>
    </row>
    <row r="3121" spans="1:5" x14ac:dyDescent="0.25">
      <c r="A3121" s="94">
        <v>46079</v>
      </c>
      <c r="B3121" s="95">
        <v>511577.68199999997</v>
      </c>
      <c r="C3121" s="95">
        <v>4786692.2819999997</v>
      </c>
      <c r="D3121" s="95">
        <v>43.615000000000002</v>
      </c>
      <c r="E3121" s="91" t="s">
        <v>150</v>
      </c>
    </row>
    <row r="3122" spans="1:5" x14ac:dyDescent="0.25">
      <c r="A3122" s="94">
        <v>46079</v>
      </c>
      <c r="B3122" s="95">
        <v>511579.78399999999</v>
      </c>
      <c r="C3122" s="95">
        <v>4786696.1979999999</v>
      </c>
      <c r="D3122" s="95">
        <v>43.686999999999998</v>
      </c>
      <c r="E3122" s="91" t="s">
        <v>151</v>
      </c>
    </row>
    <row r="3123" spans="1:5" x14ac:dyDescent="0.25">
      <c r="A3123" s="94">
        <v>46079</v>
      </c>
      <c r="B3123" s="95">
        <v>511607.17499999999</v>
      </c>
      <c r="C3123" s="95">
        <v>4786690.8480000002</v>
      </c>
      <c r="D3123" s="95">
        <v>41.313000000000002</v>
      </c>
      <c r="E3123" s="91" t="s">
        <v>139</v>
      </c>
    </row>
    <row r="3124" spans="1:5" x14ac:dyDescent="0.25">
      <c r="A3124" s="94">
        <v>46079</v>
      </c>
      <c r="B3124" s="95">
        <v>511614.97600000002</v>
      </c>
      <c r="C3124" s="95">
        <v>4786686.6129999999</v>
      </c>
      <c r="D3124" s="95">
        <v>41.441000000000003</v>
      </c>
      <c r="E3124" s="91" t="s">
        <v>140</v>
      </c>
    </row>
    <row r="3125" spans="1:5" x14ac:dyDescent="0.25">
      <c r="A3125" s="94">
        <v>46079</v>
      </c>
      <c r="B3125" s="95">
        <v>511628.82699999999</v>
      </c>
      <c r="C3125" s="95">
        <v>4786679.1440000003</v>
      </c>
      <c r="D3125" s="95">
        <v>41.372999999999998</v>
      </c>
      <c r="E3125" s="91" t="s">
        <v>141</v>
      </c>
    </row>
    <row r="3126" spans="1:5" x14ac:dyDescent="0.25">
      <c r="A3126" s="94">
        <v>46079</v>
      </c>
      <c r="B3126" s="95">
        <v>511641.99599999998</v>
      </c>
      <c r="C3126" s="95">
        <v>4786671.9440000001</v>
      </c>
      <c r="D3126" s="95">
        <v>41.51</v>
      </c>
      <c r="E3126" s="91" t="s">
        <v>142</v>
      </c>
    </row>
    <row r="3127" spans="1:5" x14ac:dyDescent="0.25">
      <c r="A3127" s="94">
        <v>46079</v>
      </c>
      <c r="B3127" s="95">
        <v>511648.777</v>
      </c>
      <c r="C3127" s="95">
        <v>4786668.2659999998</v>
      </c>
      <c r="D3127" s="95">
        <v>41.308</v>
      </c>
      <c r="E3127" s="91" t="s">
        <v>143</v>
      </c>
    </row>
    <row r="3128" spans="1:5" x14ac:dyDescent="0.25">
      <c r="A3128" s="94">
        <v>46080</v>
      </c>
      <c r="B3128" s="95">
        <v>511615.08899999998</v>
      </c>
      <c r="C3128" s="95">
        <v>4786687.9759999998</v>
      </c>
      <c r="D3128" s="95">
        <v>51.027999999999999</v>
      </c>
      <c r="E3128" s="91" t="s">
        <v>96</v>
      </c>
    </row>
    <row r="3129" spans="1:5" x14ac:dyDescent="0.25">
      <c r="A3129" s="94">
        <v>46080</v>
      </c>
      <c r="B3129" s="95">
        <v>511628.875</v>
      </c>
      <c r="C3129" s="95">
        <v>4786680.6399999997</v>
      </c>
      <c r="D3129" s="95">
        <v>51.039000000000001</v>
      </c>
      <c r="E3129" s="91" t="s">
        <v>97</v>
      </c>
    </row>
    <row r="3130" spans="1:5" x14ac:dyDescent="0.25">
      <c r="A3130" s="94">
        <v>46080</v>
      </c>
      <c r="B3130" s="95">
        <v>511642.576</v>
      </c>
      <c r="C3130" s="95">
        <v>4786673.3430000003</v>
      </c>
      <c r="D3130" s="95">
        <v>51.048000000000002</v>
      </c>
      <c r="E3130" s="91" t="s">
        <v>98</v>
      </c>
    </row>
    <row r="3131" spans="1:5" x14ac:dyDescent="0.25">
      <c r="A3131" s="94">
        <v>46080</v>
      </c>
      <c r="B3131" s="95">
        <v>511607.69</v>
      </c>
      <c r="C3131" s="95">
        <v>4786691.4170000004</v>
      </c>
      <c r="D3131" s="95">
        <v>43.942999999999998</v>
      </c>
      <c r="E3131" s="91" t="s">
        <v>112</v>
      </c>
    </row>
    <row r="3132" spans="1:5" x14ac:dyDescent="0.25">
      <c r="A3132" s="94">
        <v>46080</v>
      </c>
      <c r="B3132" s="95">
        <v>511629.40700000001</v>
      </c>
      <c r="C3132" s="95">
        <v>4786679.9060000004</v>
      </c>
      <c r="D3132" s="95">
        <v>43.945</v>
      </c>
      <c r="E3132" s="91" t="s">
        <v>109</v>
      </c>
    </row>
    <row r="3133" spans="1:5" x14ac:dyDescent="0.25">
      <c r="A3133" s="94">
        <v>46080</v>
      </c>
      <c r="B3133" s="95">
        <v>511649.69799999997</v>
      </c>
      <c r="C3133" s="95">
        <v>4786682.1550000003</v>
      </c>
      <c r="D3133" s="95">
        <v>56.188000000000002</v>
      </c>
      <c r="E3133" s="91" t="s">
        <v>89</v>
      </c>
    </row>
    <row r="3134" spans="1:5" x14ac:dyDescent="0.25">
      <c r="A3134" s="94">
        <v>46080</v>
      </c>
      <c r="B3134" s="95">
        <v>511630.75799999997</v>
      </c>
      <c r="C3134" s="95">
        <v>4786689.8559999997</v>
      </c>
      <c r="D3134" s="95">
        <v>55.948999999999998</v>
      </c>
      <c r="E3134" s="91" t="s">
        <v>90</v>
      </c>
    </row>
    <row r="3135" spans="1:5" x14ac:dyDescent="0.25">
      <c r="A3135" s="94">
        <v>46080</v>
      </c>
      <c r="B3135" s="95">
        <v>511623.429</v>
      </c>
      <c r="C3135" s="95">
        <v>4786694.0710000005</v>
      </c>
      <c r="D3135" s="95">
        <v>54.78</v>
      </c>
      <c r="E3135" s="91" t="s">
        <v>91</v>
      </c>
    </row>
    <row r="3136" spans="1:5" x14ac:dyDescent="0.25">
      <c r="A3136" s="94">
        <v>46080</v>
      </c>
      <c r="B3136" s="95">
        <v>511613.30900000001</v>
      </c>
      <c r="C3136" s="95">
        <v>4786695.301</v>
      </c>
      <c r="D3136" s="95">
        <v>60.569000000000003</v>
      </c>
      <c r="E3136" s="91" t="s">
        <v>92</v>
      </c>
    </row>
    <row r="3137" spans="1:5" x14ac:dyDescent="0.25">
      <c r="A3137" s="94">
        <v>46080</v>
      </c>
      <c r="B3137" s="95">
        <v>511614.74900000001</v>
      </c>
      <c r="C3137" s="95">
        <v>4786712.5549999997</v>
      </c>
      <c r="D3137" s="95">
        <v>60.820999999999998</v>
      </c>
      <c r="E3137" s="91" t="s">
        <v>93</v>
      </c>
    </row>
    <row r="3138" spans="1:5" x14ac:dyDescent="0.25">
      <c r="A3138" s="94">
        <v>46080</v>
      </c>
      <c r="B3138" s="95">
        <v>511660.66200000001</v>
      </c>
      <c r="C3138" s="95">
        <v>4786683.4649999999</v>
      </c>
      <c r="D3138" s="95">
        <v>55.405000000000001</v>
      </c>
      <c r="E3138" s="91" t="s">
        <v>94</v>
      </c>
    </row>
    <row r="3139" spans="1:5" x14ac:dyDescent="0.25">
      <c r="A3139" s="94">
        <v>46080</v>
      </c>
      <c r="B3139" s="95">
        <v>511670.87300000002</v>
      </c>
      <c r="C3139" s="95">
        <v>4786685.9179999996</v>
      </c>
      <c r="D3139" s="95">
        <v>54.820999999999998</v>
      </c>
      <c r="E3139" s="91" t="s">
        <v>95</v>
      </c>
    </row>
    <row r="3140" spans="1:5" x14ac:dyDescent="0.25">
      <c r="A3140" s="94">
        <v>46080</v>
      </c>
      <c r="B3140" s="95">
        <v>511649.788</v>
      </c>
      <c r="C3140" s="95">
        <v>4786669.483</v>
      </c>
      <c r="D3140" s="95">
        <v>51.052</v>
      </c>
      <c r="E3140" s="91" t="s">
        <v>99</v>
      </c>
    </row>
    <row r="3141" spans="1:5" x14ac:dyDescent="0.25">
      <c r="A3141" s="94">
        <v>46080</v>
      </c>
      <c r="B3141" s="95">
        <v>511607.54399999999</v>
      </c>
      <c r="C3141" s="95">
        <v>4786691.9740000004</v>
      </c>
      <c r="D3141" s="95">
        <v>51.05</v>
      </c>
      <c r="E3141" s="91" t="s">
        <v>100</v>
      </c>
    </row>
    <row r="3142" spans="1:5" x14ac:dyDescent="0.25">
      <c r="A3142" s="94">
        <v>46080</v>
      </c>
      <c r="B3142" s="95">
        <v>511607.26</v>
      </c>
      <c r="C3142" s="95">
        <v>4786692.1660000002</v>
      </c>
      <c r="D3142" s="95">
        <v>51.051000000000002</v>
      </c>
      <c r="E3142" s="91" t="s">
        <v>101</v>
      </c>
    </row>
    <row r="3143" spans="1:5" x14ac:dyDescent="0.25">
      <c r="A3143" s="94">
        <v>46080</v>
      </c>
      <c r="B3143" s="95">
        <v>511601.10800000001</v>
      </c>
      <c r="C3143" s="95">
        <v>4786695.4110000003</v>
      </c>
      <c r="D3143" s="95">
        <v>51.042000000000002</v>
      </c>
      <c r="E3143" s="91" t="s">
        <v>102</v>
      </c>
    </row>
    <row r="3144" spans="1:5" x14ac:dyDescent="0.25">
      <c r="A3144" s="94">
        <v>46080</v>
      </c>
      <c r="B3144" s="95">
        <v>511615.24599999998</v>
      </c>
      <c r="C3144" s="95">
        <v>4786687.4249999998</v>
      </c>
      <c r="D3144" s="95">
        <v>48.445</v>
      </c>
      <c r="E3144" s="91" t="s">
        <v>103</v>
      </c>
    </row>
    <row r="3145" spans="1:5" x14ac:dyDescent="0.25">
      <c r="A3145" s="94">
        <v>46080</v>
      </c>
      <c r="B3145" s="95">
        <v>511615.21799999999</v>
      </c>
      <c r="C3145" s="95">
        <v>4786687.3480000002</v>
      </c>
      <c r="D3145" s="95">
        <v>45.938000000000002</v>
      </c>
      <c r="E3145" s="91" t="s">
        <v>104</v>
      </c>
    </row>
    <row r="3146" spans="1:5" x14ac:dyDescent="0.25">
      <c r="A3146" s="94">
        <v>46080</v>
      </c>
      <c r="B3146" s="95">
        <v>511615.16499999998</v>
      </c>
      <c r="C3146" s="95">
        <v>4786687.3789999997</v>
      </c>
      <c r="D3146" s="95">
        <v>43.957000000000001</v>
      </c>
      <c r="E3146" s="91" t="s">
        <v>110</v>
      </c>
    </row>
    <row r="3147" spans="1:5" x14ac:dyDescent="0.25">
      <c r="A3147" s="94">
        <v>46080</v>
      </c>
      <c r="B3147" s="95">
        <v>511629.17700000003</v>
      </c>
      <c r="C3147" s="95">
        <v>4786680.0559999999</v>
      </c>
      <c r="D3147" s="95">
        <v>48.463000000000001</v>
      </c>
      <c r="E3147" s="91" t="s">
        <v>105</v>
      </c>
    </row>
    <row r="3148" spans="1:5" x14ac:dyDescent="0.25">
      <c r="A3148" s="94">
        <v>46080</v>
      </c>
      <c r="B3148" s="95">
        <v>511629.30099999998</v>
      </c>
      <c r="C3148" s="95">
        <v>4786680.0190000003</v>
      </c>
      <c r="D3148" s="95">
        <v>45.945999999999998</v>
      </c>
      <c r="E3148" s="91" t="s">
        <v>106</v>
      </c>
    </row>
    <row r="3149" spans="1:5" x14ac:dyDescent="0.25">
      <c r="A3149" s="94">
        <v>46080</v>
      </c>
      <c r="B3149" s="95">
        <v>511642.27799999999</v>
      </c>
      <c r="C3149" s="95">
        <v>4786673.1160000004</v>
      </c>
      <c r="D3149" s="95">
        <v>48.444000000000003</v>
      </c>
      <c r="E3149" s="91" t="s">
        <v>107</v>
      </c>
    </row>
    <row r="3150" spans="1:5" x14ac:dyDescent="0.25">
      <c r="A3150" s="94">
        <v>46080</v>
      </c>
      <c r="B3150" s="95">
        <v>511642.43199999997</v>
      </c>
      <c r="C3150" s="95">
        <v>4786673.0049999999</v>
      </c>
      <c r="D3150" s="95">
        <v>45.94</v>
      </c>
      <c r="E3150" s="91" t="s">
        <v>108</v>
      </c>
    </row>
    <row r="3151" spans="1:5" x14ac:dyDescent="0.25">
      <c r="A3151" s="94">
        <v>46080</v>
      </c>
      <c r="B3151" s="95">
        <v>511642.46299999999</v>
      </c>
      <c r="C3151" s="95">
        <v>4786672.9019999998</v>
      </c>
      <c r="D3151" s="95">
        <v>43.966000000000001</v>
      </c>
      <c r="E3151" s="91" t="s">
        <v>111</v>
      </c>
    </row>
    <row r="3152" spans="1:5" x14ac:dyDescent="0.25">
      <c r="A3152" s="94">
        <v>46080</v>
      </c>
      <c r="B3152" s="95">
        <v>511649.12099999998</v>
      </c>
      <c r="C3152" s="95">
        <v>4786669.4000000004</v>
      </c>
      <c r="D3152" s="95">
        <v>43.945999999999998</v>
      </c>
      <c r="E3152" s="91" t="s">
        <v>113</v>
      </c>
    </row>
    <row r="3153" spans="1:5" x14ac:dyDescent="0.25">
      <c r="A3153" s="94">
        <v>46080</v>
      </c>
      <c r="B3153" s="95">
        <v>511662.30599999998</v>
      </c>
      <c r="C3153" s="95">
        <v>4786606.8779999996</v>
      </c>
      <c r="D3153" s="95">
        <v>46.238999999999997</v>
      </c>
      <c r="E3153" s="91" t="s">
        <v>145</v>
      </c>
    </row>
    <row r="3154" spans="1:5" x14ac:dyDescent="0.25">
      <c r="A3154" s="94">
        <v>46080</v>
      </c>
      <c r="B3154" s="95">
        <v>511662.14899999998</v>
      </c>
      <c r="C3154" s="95">
        <v>4786607.051</v>
      </c>
      <c r="D3154" s="95">
        <v>44.682000000000002</v>
      </c>
      <c r="E3154" s="91" t="s">
        <v>146</v>
      </c>
    </row>
    <row r="3155" spans="1:5" x14ac:dyDescent="0.25">
      <c r="A3155" s="94">
        <v>46080</v>
      </c>
      <c r="B3155" s="95">
        <v>511662.06</v>
      </c>
      <c r="C3155" s="95">
        <v>4786607.1440000003</v>
      </c>
      <c r="D3155" s="95">
        <v>43.390999999999998</v>
      </c>
      <c r="E3155" s="91" t="s">
        <v>144</v>
      </c>
    </row>
    <row r="3156" spans="1:5" x14ac:dyDescent="0.25">
      <c r="A3156" s="94">
        <v>46080</v>
      </c>
      <c r="B3156" s="95">
        <v>511673.81599999999</v>
      </c>
      <c r="C3156" s="95">
        <v>4786631.0760000004</v>
      </c>
      <c r="D3156" s="95">
        <v>40.159999999999997</v>
      </c>
      <c r="E3156" s="91" t="s">
        <v>147</v>
      </c>
    </row>
    <row r="3157" spans="1:5" x14ac:dyDescent="0.25">
      <c r="A3157" s="94">
        <v>46080</v>
      </c>
      <c r="B3157" s="95">
        <v>511573.39600000001</v>
      </c>
      <c r="C3157" s="95">
        <v>4786684.3559999997</v>
      </c>
      <c r="D3157" s="95">
        <v>43.466999999999999</v>
      </c>
      <c r="E3157" s="91" t="s">
        <v>148</v>
      </c>
    </row>
    <row r="3158" spans="1:5" x14ac:dyDescent="0.25">
      <c r="A3158" s="94">
        <v>46080</v>
      </c>
      <c r="B3158" s="95">
        <v>511575.48200000002</v>
      </c>
      <c r="C3158" s="95">
        <v>4786688.2280000001</v>
      </c>
      <c r="D3158" s="95">
        <v>43.426000000000002</v>
      </c>
      <c r="E3158" s="91" t="s">
        <v>149</v>
      </c>
    </row>
    <row r="3159" spans="1:5" x14ac:dyDescent="0.25">
      <c r="A3159" s="94">
        <v>46080</v>
      </c>
      <c r="B3159" s="95">
        <v>511577.68099999998</v>
      </c>
      <c r="C3159" s="95">
        <v>4786692.2819999997</v>
      </c>
      <c r="D3159" s="95">
        <v>43.615000000000002</v>
      </c>
      <c r="E3159" s="91" t="s">
        <v>150</v>
      </c>
    </row>
    <row r="3160" spans="1:5" x14ac:dyDescent="0.25">
      <c r="A3160" s="94">
        <v>46080</v>
      </c>
      <c r="B3160" s="95">
        <v>511579.783</v>
      </c>
      <c r="C3160" s="95">
        <v>4786696.199</v>
      </c>
      <c r="D3160" s="95">
        <v>43.686999999999998</v>
      </c>
      <c r="E3160" s="91" t="s">
        <v>151</v>
      </c>
    </row>
    <row r="3161" spans="1:5" x14ac:dyDescent="0.25">
      <c r="A3161" s="94">
        <v>46080</v>
      </c>
      <c r="B3161" s="95">
        <v>511607.174</v>
      </c>
      <c r="C3161" s="95">
        <v>4786690.8470000001</v>
      </c>
      <c r="D3161" s="95">
        <v>41.314</v>
      </c>
      <c r="E3161" s="91" t="s">
        <v>139</v>
      </c>
    </row>
    <row r="3162" spans="1:5" x14ac:dyDescent="0.25">
      <c r="A3162" s="94">
        <v>46080</v>
      </c>
      <c r="B3162" s="95">
        <v>511614.97600000002</v>
      </c>
      <c r="C3162" s="95">
        <v>4786686.6150000002</v>
      </c>
      <c r="D3162" s="95">
        <v>41.441000000000003</v>
      </c>
      <c r="E3162" s="91" t="s">
        <v>140</v>
      </c>
    </row>
    <row r="3163" spans="1:5" x14ac:dyDescent="0.25">
      <c r="A3163" s="94">
        <v>46080</v>
      </c>
      <c r="B3163" s="95">
        <v>511628.826</v>
      </c>
      <c r="C3163" s="95">
        <v>4786679.1449999996</v>
      </c>
      <c r="D3163" s="95">
        <v>41.372999999999998</v>
      </c>
      <c r="E3163" s="91" t="s">
        <v>141</v>
      </c>
    </row>
    <row r="3164" spans="1:5" x14ac:dyDescent="0.25">
      <c r="A3164" s="94">
        <v>46080</v>
      </c>
      <c r="B3164" s="95">
        <v>511641.99599999998</v>
      </c>
      <c r="C3164" s="95">
        <v>4786671.9460000005</v>
      </c>
      <c r="D3164" s="95">
        <v>41.51</v>
      </c>
      <c r="E3164" s="91" t="s">
        <v>142</v>
      </c>
    </row>
    <row r="3165" spans="1:5" x14ac:dyDescent="0.25">
      <c r="A3165" s="94">
        <v>46080</v>
      </c>
      <c r="B3165" s="95">
        <v>511648.77600000001</v>
      </c>
      <c r="C3165" s="95">
        <v>4786668.2680000002</v>
      </c>
      <c r="D3165" s="95">
        <v>41.308</v>
      </c>
      <c r="E3165" s="91" t="s">
        <v>143</v>
      </c>
    </row>
    <row r="3166" spans="1:5" x14ac:dyDescent="0.25">
      <c r="A3166" s="94">
        <v>46083</v>
      </c>
      <c r="B3166" s="95">
        <v>511615.08500000002</v>
      </c>
      <c r="C3166" s="95">
        <v>4786687.9730000002</v>
      </c>
      <c r="D3166" s="95">
        <v>51.027999999999999</v>
      </c>
      <c r="E3166" s="91" t="s">
        <v>96</v>
      </c>
    </row>
    <row r="3167" spans="1:5" x14ac:dyDescent="0.25">
      <c r="A3167" s="94">
        <v>46083</v>
      </c>
      <c r="B3167" s="95">
        <v>511628.87099999998</v>
      </c>
      <c r="C3167" s="95">
        <v>4786680.6380000003</v>
      </c>
      <c r="D3167" s="95">
        <v>51.039000000000001</v>
      </c>
      <c r="E3167" s="91" t="s">
        <v>97</v>
      </c>
    </row>
    <row r="3168" spans="1:5" x14ac:dyDescent="0.25">
      <c r="A3168" s="94">
        <v>46083</v>
      </c>
      <c r="B3168" s="95">
        <v>511642.57199999999</v>
      </c>
      <c r="C3168" s="95">
        <v>4786673.3420000002</v>
      </c>
      <c r="D3168" s="95">
        <v>51.048000000000002</v>
      </c>
      <c r="E3168" s="91" t="s">
        <v>98</v>
      </c>
    </row>
    <row r="3169" spans="1:5" x14ac:dyDescent="0.25">
      <c r="A3169" s="94">
        <v>46083</v>
      </c>
      <c r="B3169" s="95">
        <v>511607.69</v>
      </c>
      <c r="C3169" s="95">
        <v>4786691.4179999996</v>
      </c>
      <c r="D3169" s="95">
        <v>43.942</v>
      </c>
      <c r="E3169" s="91" t="s">
        <v>112</v>
      </c>
    </row>
    <row r="3170" spans="1:5" x14ac:dyDescent="0.25">
      <c r="A3170" s="94">
        <v>46083</v>
      </c>
      <c r="B3170" s="95">
        <v>511629.40600000002</v>
      </c>
      <c r="C3170" s="95">
        <v>4786679.9050000003</v>
      </c>
      <c r="D3170" s="95">
        <v>43.945</v>
      </c>
      <c r="E3170" s="91" t="s">
        <v>109</v>
      </c>
    </row>
    <row r="3171" spans="1:5" x14ac:dyDescent="0.25">
      <c r="A3171" s="94">
        <v>46083</v>
      </c>
      <c r="B3171" s="95">
        <v>511649.696</v>
      </c>
      <c r="C3171" s="95">
        <v>4786682.1529999999</v>
      </c>
      <c r="D3171" s="95">
        <v>56.186999999999998</v>
      </c>
      <c r="E3171" s="91" t="s">
        <v>89</v>
      </c>
    </row>
    <row r="3172" spans="1:5" x14ac:dyDescent="0.25">
      <c r="A3172" s="94">
        <v>46083</v>
      </c>
      <c r="B3172" s="95">
        <v>511630.755</v>
      </c>
      <c r="C3172" s="95">
        <v>4786689.8540000003</v>
      </c>
      <c r="D3172" s="95">
        <v>55.948</v>
      </c>
      <c r="E3172" s="91" t="s">
        <v>90</v>
      </c>
    </row>
    <row r="3173" spans="1:5" x14ac:dyDescent="0.25">
      <c r="A3173" s="94">
        <v>46083</v>
      </c>
      <c r="B3173" s="95">
        <v>511623.42599999998</v>
      </c>
      <c r="C3173" s="95">
        <v>4786694.0690000001</v>
      </c>
      <c r="D3173" s="95">
        <v>54.78</v>
      </c>
      <c r="E3173" s="91" t="s">
        <v>91</v>
      </c>
    </row>
    <row r="3174" spans="1:5" x14ac:dyDescent="0.25">
      <c r="A3174" s="94">
        <v>46083</v>
      </c>
      <c r="B3174" s="95">
        <v>511613.30800000002</v>
      </c>
      <c r="C3174" s="95">
        <v>4786695.2989999996</v>
      </c>
      <c r="D3174" s="95">
        <v>60.567999999999998</v>
      </c>
      <c r="E3174" s="91" t="s">
        <v>92</v>
      </c>
    </row>
    <row r="3175" spans="1:5" x14ac:dyDescent="0.25">
      <c r="A3175" s="94">
        <v>46083</v>
      </c>
      <c r="B3175" s="95">
        <v>511614.74800000002</v>
      </c>
      <c r="C3175" s="95">
        <v>4786712.5530000003</v>
      </c>
      <c r="D3175" s="95">
        <v>60.820999999999998</v>
      </c>
      <c r="E3175" s="91" t="s">
        <v>93</v>
      </c>
    </row>
    <row r="3176" spans="1:5" x14ac:dyDescent="0.25">
      <c r="A3176" s="94">
        <v>46083</v>
      </c>
      <c r="B3176" s="95">
        <v>511660.66</v>
      </c>
      <c r="C3176" s="95">
        <v>4786683.4639999997</v>
      </c>
      <c r="D3176" s="95">
        <v>55.404000000000003</v>
      </c>
      <c r="E3176" s="91" t="s">
        <v>94</v>
      </c>
    </row>
    <row r="3177" spans="1:5" x14ac:dyDescent="0.25">
      <c r="A3177" s="94">
        <v>46083</v>
      </c>
      <c r="B3177" s="95">
        <v>511670.86800000002</v>
      </c>
      <c r="C3177" s="95">
        <v>4786685.915</v>
      </c>
      <c r="D3177" s="95">
        <v>54.82</v>
      </c>
      <c r="E3177" s="91" t="s">
        <v>95</v>
      </c>
    </row>
    <row r="3178" spans="1:5" x14ac:dyDescent="0.25">
      <c r="A3178" s="94">
        <v>46083</v>
      </c>
      <c r="B3178" s="95">
        <v>511649.78499999997</v>
      </c>
      <c r="C3178" s="95">
        <v>4786669.4819999998</v>
      </c>
      <c r="D3178" s="95">
        <v>51.051000000000002</v>
      </c>
      <c r="E3178" s="91" t="s">
        <v>99</v>
      </c>
    </row>
    <row r="3179" spans="1:5" x14ac:dyDescent="0.25">
      <c r="A3179" s="94">
        <v>46083</v>
      </c>
      <c r="B3179" s="95">
        <v>511607.54</v>
      </c>
      <c r="C3179" s="95">
        <v>4786691.97</v>
      </c>
      <c r="D3179" s="95">
        <v>51.05</v>
      </c>
      <c r="E3179" s="91" t="s">
        <v>100</v>
      </c>
    </row>
    <row r="3180" spans="1:5" x14ac:dyDescent="0.25">
      <c r="A3180" s="94">
        <v>46083</v>
      </c>
      <c r="B3180" s="95">
        <v>511607.25699999998</v>
      </c>
      <c r="C3180" s="95">
        <v>4786692.1629999997</v>
      </c>
      <c r="D3180" s="95">
        <v>51.05</v>
      </c>
      <c r="E3180" s="91" t="s">
        <v>101</v>
      </c>
    </row>
    <row r="3181" spans="1:5" x14ac:dyDescent="0.25">
      <c r="A3181" s="94">
        <v>46083</v>
      </c>
      <c r="B3181" s="95">
        <v>511601.10499999998</v>
      </c>
      <c r="C3181" s="95">
        <v>4786695.4079999998</v>
      </c>
      <c r="D3181" s="95">
        <v>51.040999999999997</v>
      </c>
      <c r="E3181" s="91" t="s">
        <v>102</v>
      </c>
    </row>
    <row r="3182" spans="1:5" x14ac:dyDescent="0.25">
      <c r="A3182" s="94">
        <v>46083</v>
      </c>
      <c r="B3182" s="95">
        <v>511615.24200000003</v>
      </c>
      <c r="C3182" s="95">
        <v>4786687.4220000003</v>
      </c>
      <c r="D3182" s="95">
        <v>48.444000000000003</v>
      </c>
      <c r="E3182" s="91" t="s">
        <v>103</v>
      </c>
    </row>
    <row r="3183" spans="1:5" x14ac:dyDescent="0.25">
      <c r="A3183" s="94">
        <v>46083</v>
      </c>
      <c r="B3183" s="95">
        <v>511615.21500000003</v>
      </c>
      <c r="C3183" s="95">
        <v>4786687.3449999997</v>
      </c>
      <c r="D3183" s="95">
        <v>45.936999999999998</v>
      </c>
      <c r="E3183" s="91" t="s">
        <v>104</v>
      </c>
    </row>
    <row r="3184" spans="1:5" x14ac:dyDescent="0.25">
      <c r="A3184" s="94">
        <v>46083</v>
      </c>
      <c r="B3184" s="95">
        <v>511615.16499999998</v>
      </c>
      <c r="C3184" s="95">
        <v>4786687.3789999997</v>
      </c>
      <c r="D3184" s="95">
        <v>43.957000000000001</v>
      </c>
      <c r="E3184" s="91" t="s">
        <v>110</v>
      </c>
    </row>
    <row r="3185" spans="1:5" x14ac:dyDescent="0.25">
      <c r="A3185" s="94">
        <v>46083</v>
      </c>
      <c r="B3185" s="95">
        <v>511629.17300000001</v>
      </c>
      <c r="C3185" s="95">
        <v>4786680.0539999995</v>
      </c>
      <c r="D3185" s="95">
        <v>48.463000000000001</v>
      </c>
      <c r="E3185" s="91" t="s">
        <v>105</v>
      </c>
    </row>
    <row r="3186" spans="1:5" x14ac:dyDescent="0.25">
      <c r="A3186" s="94">
        <v>46083</v>
      </c>
      <c r="B3186" s="95">
        <v>511629.29700000002</v>
      </c>
      <c r="C3186" s="95">
        <v>4786680.017</v>
      </c>
      <c r="D3186" s="95">
        <v>45.945</v>
      </c>
      <c r="E3186" s="91" t="s">
        <v>106</v>
      </c>
    </row>
    <row r="3187" spans="1:5" x14ac:dyDescent="0.25">
      <c r="A3187" s="94">
        <v>46083</v>
      </c>
      <c r="B3187" s="95">
        <v>511642.272</v>
      </c>
      <c r="C3187" s="95">
        <v>4786673.1140000001</v>
      </c>
      <c r="D3187" s="95">
        <v>48.444000000000003</v>
      </c>
      <c r="E3187" s="91" t="s">
        <v>107</v>
      </c>
    </row>
    <row r="3188" spans="1:5" x14ac:dyDescent="0.25">
      <c r="A3188" s="94">
        <v>46083</v>
      </c>
      <c r="B3188" s="95">
        <v>511642.429</v>
      </c>
      <c r="C3188" s="95">
        <v>4786673.0039999997</v>
      </c>
      <c r="D3188" s="95">
        <v>45.939</v>
      </c>
      <c r="E3188" s="91" t="s">
        <v>108</v>
      </c>
    </row>
    <row r="3189" spans="1:5" x14ac:dyDescent="0.25">
      <c r="A3189" s="94">
        <v>46083</v>
      </c>
      <c r="B3189" s="95">
        <v>511642.46399999998</v>
      </c>
      <c r="C3189" s="95">
        <v>4786672.9029999999</v>
      </c>
      <c r="D3189" s="95">
        <v>43.965000000000003</v>
      </c>
      <c r="E3189" s="91" t="s">
        <v>111</v>
      </c>
    </row>
    <row r="3190" spans="1:5" x14ac:dyDescent="0.25">
      <c r="A3190" s="94">
        <v>46083</v>
      </c>
      <c r="B3190" s="95">
        <v>511649.12199999997</v>
      </c>
      <c r="C3190" s="95">
        <v>4786669.4009999996</v>
      </c>
      <c r="D3190" s="95">
        <v>43.945</v>
      </c>
      <c r="E3190" s="91" t="s">
        <v>113</v>
      </c>
    </row>
    <row r="3191" spans="1:5" x14ac:dyDescent="0.25">
      <c r="A3191" s="94">
        <v>46083</v>
      </c>
      <c r="B3191" s="95">
        <v>511662.30699999997</v>
      </c>
      <c r="C3191" s="95">
        <v>4786606.8770000003</v>
      </c>
      <c r="D3191" s="95">
        <v>46.238</v>
      </c>
      <c r="E3191" s="91" t="s">
        <v>145</v>
      </c>
    </row>
    <row r="3192" spans="1:5" x14ac:dyDescent="0.25">
      <c r="A3192" s="94">
        <v>46083</v>
      </c>
      <c r="B3192" s="95">
        <v>511662.15</v>
      </c>
      <c r="C3192" s="95">
        <v>4786607.05</v>
      </c>
      <c r="D3192" s="95">
        <v>44.680999999999997</v>
      </c>
      <c r="E3192" s="91" t="s">
        <v>146</v>
      </c>
    </row>
    <row r="3193" spans="1:5" x14ac:dyDescent="0.25">
      <c r="A3193" s="94">
        <v>46083</v>
      </c>
      <c r="B3193" s="95">
        <v>511662.06300000002</v>
      </c>
      <c r="C3193" s="95">
        <v>4786607.142</v>
      </c>
      <c r="D3193" s="95">
        <v>43.39</v>
      </c>
      <c r="E3193" s="91" t="s">
        <v>144</v>
      </c>
    </row>
    <row r="3194" spans="1:5" x14ac:dyDescent="0.25">
      <c r="A3194" s="94">
        <v>46083</v>
      </c>
      <c r="B3194" s="95">
        <v>511673.81699999998</v>
      </c>
      <c r="C3194" s="95">
        <v>4786631.0719999997</v>
      </c>
      <c r="D3194" s="95">
        <v>40.158999999999999</v>
      </c>
      <c r="E3194" s="91" t="s">
        <v>147</v>
      </c>
    </row>
    <row r="3195" spans="1:5" x14ac:dyDescent="0.25">
      <c r="A3195" s="94">
        <v>46083</v>
      </c>
      <c r="B3195" s="95">
        <v>511573.39500000002</v>
      </c>
      <c r="C3195" s="95">
        <v>4786684.358</v>
      </c>
      <c r="D3195" s="95">
        <v>43.466000000000001</v>
      </c>
      <c r="E3195" s="91" t="s">
        <v>148</v>
      </c>
    </row>
    <row r="3196" spans="1:5" x14ac:dyDescent="0.25">
      <c r="A3196" s="94">
        <v>46083</v>
      </c>
      <c r="B3196" s="95">
        <v>511575.48100000003</v>
      </c>
      <c r="C3196" s="95">
        <v>4786688.2309999997</v>
      </c>
      <c r="D3196" s="95">
        <v>43.424999999999997</v>
      </c>
      <c r="E3196" s="91" t="s">
        <v>149</v>
      </c>
    </row>
    <row r="3197" spans="1:5" x14ac:dyDescent="0.25">
      <c r="A3197" s="94">
        <v>46083</v>
      </c>
      <c r="B3197" s="95">
        <v>511577.68099999998</v>
      </c>
      <c r="C3197" s="95">
        <v>4786692.284</v>
      </c>
      <c r="D3197" s="95">
        <v>43.613999999999997</v>
      </c>
      <c r="E3197" s="91" t="s">
        <v>150</v>
      </c>
    </row>
    <row r="3198" spans="1:5" x14ac:dyDescent="0.25">
      <c r="A3198" s="94">
        <v>46083</v>
      </c>
      <c r="B3198" s="95">
        <v>511579.78200000001</v>
      </c>
      <c r="C3198" s="95">
        <v>4786696.2010000004</v>
      </c>
      <c r="D3198" s="95">
        <v>43.686</v>
      </c>
      <c r="E3198" s="91" t="s">
        <v>151</v>
      </c>
    </row>
    <row r="3199" spans="1:5" x14ac:dyDescent="0.25">
      <c r="A3199" s="94">
        <v>46083</v>
      </c>
      <c r="B3199" s="95">
        <v>511607.17499999999</v>
      </c>
      <c r="C3199" s="95">
        <v>4786690.8480000002</v>
      </c>
      <c r="D3199" s="95">
        <v>41.313000000000002</v>
      </c>
      <c r="E3199" s="91" t="s">
        <v>139</v>
      </c>
    </row>
    <row r="3200" spans="1:5" x14ac:dyDescent="0.25">
      <c r="A3200" s="94">
        <v>46083</v>
      </c>
      <c r="B3200" s="95">
        <v>511614.97600000002</v>
      </c>
      <c r="C3200" s="95">
        <v>4786686.6140000001</v>
      </c>
      <c r="D3200" s="95">
        <v>41.441000000000003</v>
      </c>
      <c r="E3200" s="91" t="s">
        <v>140</v>
      </c>
    </row>
    <row r="3201" spans="1:8" x14ac:dyDescent="0.25">
      <c r="A3201" s="94">
        <v>46083</v>
      </c>
      <c r="B3201" s="95">
        <v>511628.82699999999</v>
      </c>
      <c r="C3201" s="95">
        <v>4786679.1449999996</v>
      </c>
      <c r="D3201" s="95">
        <v>41.372999999999998</v>
      </c>
      <c r="E3201" s="91" t="s">
        <v>141</v>
      </c>
    </row>
    <row r="3202" spans="1:8" x14ac:dyDescent="0.25">
      <c r="A3202" s="94">
        <v>46083</v>
      </c>
      <c r="B3202" s="95">
        <v>511641.99699999997</v>
      </c>
      <c r="C3202" s="95">
        <v>4786671.9469999997</v>
      </c>
      <c r="D3202" s="95">
        <v>41.509</v>
      </c>
      <c r="E3202" s="91" t="s">
        <v>142</v>
      </c>
    </row>
    <row r="3203" spans="1:8" x14ac:dyDescent="0.25">
      <c r="A3203" s="94">
        <v>46083</v>
      </c>
      <c r="B3203" s="95">
        <v>511648.777</v>
      </c>
      <c r="C3203" s="95">
        <v>4786668.2680000002</v>
      </c>
      <c r="D3203" s="95">
        <v>41.308</v>
      </c>
      <c r="E3203" s="91" t="s">
        <v>143</v>
      </c>
      <c r="F3203" s="92"/>
      <c r="G3203" s="92"/>
      <c r="H3203" s="92"/>
    </row>
    <row r="3204" spans="1:8" x14ac:dyDescent="0.25">
      <c r="A3204" s="94">
        <v>46084</v>
      </c>
      <c r="B3204" s="95">
        <v>511615.09</v>
      </c>
      <c r="C3204" s="95">
        <v>4786687.977</v>
      </c>
      <c r="D3204" s="95">
        <v>51.027999999999999</v>
      </c>
      <c r="E3204" s="91" t="s">
        <v>96</v>
      </c>
      <c r="F3204" s="92"/>
      <c r="G3204" s="92"/>
      <c r="H3204" s="92"/>
    </row>
    <row r="3205" spans="1:8" x14ac:dyDescent="0.25">
      <c r="A3205" s="94">
        <v>46084</v>
      </c>
      <c r="B3205" s="95">
        <v>511628.87400000001</v>
      </c>
      <c r="C3205" s="95">
        <v>4786680.6399999997</v>
      </c>
      <c r="D3205" s="95">
        <v>51.039000000000001</v>
      </c>
      <c r="E3205" s="91" t="s">
        <v>97</v>
      </c>
      <c r="F3205" s="92"/>
      <c r="G3205" s="92"/>
      <c r="H3205" s="92"/>
    </row>
    <row r="3206" spans="1:8" x14ac:dyDescent="0.25">
      <c r="A3206" s="94">
        <v>46084</v>
      </c>
      <c r="B3206" s="95">
        <v>511642.576</v>
      </c>
      <c r="C3206" s="95">
        <v>4786673.3430000003</v>
      </c>
      <c r="D3206" s="95">
        <v>51.048000000000002</v>
      </c>
      <c r="E3206" s="91" t="s">
        <v>98</v>
      </c>
      <c r="F3206" s="92"/>
      <c r="G3206" s="92"/>
      <c r="H3206" s="92"/>
    </row>
    <row r="3207" spans="1:8" x14ac:dyDescent="0.25">
      <c r="A3207" s="94">
        <v>46084</v>
      </c>
      <c r="B3207" s="95">
        <v>511607.69300000003</v>
      </c>
      <c r="C3207" s="95">
        <v>4786691.415</v>
      </c>
      <c r="D3207" s="95">
        <v>43.942</v>
      </c>
      <c r="E3207" s="91" t="s">
        <v>112</v>
      </c>
      <c r="F3207" s="92"/>
      <c r="G3207" s="92"/>
      <c r="H3207" s="92"/>
    </row>
    <row r="3208" spans="1:8" x14ac:dyDescent="0.25">
      <c r="A3208" s="94">
        <v>46084</v>
      </c>
      <c r="B3208" s="95">
        <v>511629.41</v>
      </c>
      <c r="C3208" s="95">
        <v>4786679.9029999999</v>
      </c>
      <c r="D3208" s="95">
        <v>43.944000000000003</v>
      </c>
      <c r="E3208" s="91" t="s">
        <v>109</v>
      </c>
      <c r="F3208" s="92"/>
      <c r="G3208" s="92"/>
      <c r="H3208" s="92"/>
    </row>
    <row r="3209" spans="1:8" x14ac:dyDescent="0.25">
      <c r="A3209" s="94">
        <v>46084</v>
      </c>
      <c r="B3209" s="95">
        <v>511649.7</v>
      </c>
      <c r="C3209" s="95">
        <v>4786682.1550000003</v>
      </c>
      <c r="D3209" s="95">
        <v>56.188000000000002</v>
      </c>
      <c r="E3209" s="91" t="s">
        <v>89</v>
      </c>
      <c r="F3209" s="92"/>
      <c r="G3209" s="92"/>
      <c r="H3209" s="92"/>
    </row>
    <row r="3210" spans="1:8" x14ac:dyDescent="0.25">
      <c r="A3210" s="94">
        <v>46084</v>
      </c>
      <c r="B3210" s="95">
        <v>511630.75699999998</v>
      </c>
      <c r="C3210" s="95">
        <v>4786689.8559999997</v>
      </c>
      <c r="D3210" s="95">
        <v>55.948</v>
      </c>
      <c r="E3210" s="91" t="s">
        <v>90</v>
      </c>
      <c r="F3210" s="92"/>
      <c r="G3210" s="92"/>
      <c r="H3210" s="92"/>
    </row>
    <row r="3211" spans="1:8" x14ac:dyDescent="0.25">
      <c r="A3211" s="94">
        <v>46084</v>
      </c>
      <c r="B3211" s="95">
        <v>511623.429</v>
      </c>
      <c r="C3211" s="95">
        <v>4786694.0719999997</v>
      </c>
      <c r="D3211" s="95">
        <v>54.78</v>
      </c>
      <c r="E3211" s="91" t="s">
        <v>91</v>
      </c>
      <c r="F3211" s="92"/>
      <c r="G3211" s="92"/>
      <c r="H3211" s="92"/>
    </row>
    <row r="3212" spans="1:8" x14ac:dyDescent="0.25">
      <c r="A3212" s="94">
        <v>46084</v>
      </c>
      <c r="B3212" s="95">
        <v>511613.30900000001</v>
      </c>
      <c r="C3212" s="95">
        <v>4786695.3</v>
      </c>
      <c r="D3212" s="95">
        <v>60.567999999999998</v>
      </c>
      <c r="E3212" s="91" t="s">
        <v>92</v>
      </c>
      <c r="F3212" s="92"/>
      <c r="G3212" s="92"/>
      <c r="H3212" s="92"/>
    </row>
    <row r="3213" spans="1:8" x14ac:dyDescent="0.25">
      <c r="A3213" s="94">
        <v>46084</v>
      </c>
      <c r="B3213" s="95">
        <v>511614.75</v>
      </c>
      <c r="C3213" s="95">
        <v>4786712.5559999999</v>
      </c>
      <c r="D3213" s="95">
        <v>60.820999999999998</v>
      </c>
      <c r="E3213" s="91" t="s">
        <v>93</v>
      </c>
      <c r="F3213" s="92"/>
      <c r="G3213" s="92"/>
      <c r="H3213" s="92"/>
    </row>
    <row r="3214" spans="1:8" x14ac:dyDescent="0.25">
      <c r="A3214" s="94">
        <v>46084</v>
      </c>
      <c r="B3214" s="95">
        <v>511660.663</v>
      </c>
      <c r="C3214" s="95">
        <v>4786683.466</v>
      </c>
      <c r="D3214" s="95">
        <v>55.405000000000001</v>
      </c>
      <c r="E3214" s="91" t="s">
        <v>94</v>
      </c>
      <c r="F3214" s="92"/>
      <c r="G3214" s="92"/>
      <c r="H3214" s="92"/>
    </row>
    <row r="3215" spans="1:8" x14ac:dyDescent="0.25">
      <c r="A3215" s="94">
        <v>46084</v>
      </c>
      <c r="B3215" s="95">
        <v>511670.87199999997</v>
      </c>
      <c r="C3215" s="95">
        <v>4786685.9170000004</v>
      </c>
      <c r="D3215" s="95">
        <v>54.82</v>
      </c>
      <c r="E3215" s="91" t="s">
        <v>95</v>
      </c>
      <c r="F3215" s="92"/>
      <c r="G3215" s="92"/>
      <c r="H3215" s="92"/>
    </row>
    <row r="3216" spans="1:8" x14ac:dyDescent="0.25">
      <c r="A3216" s="94">
        <v>46084</v>
      </c>
      <c r="B3216" s="95">
        <v>511649.788</v>
      </c>
      <c r="C3216" s="95">
        <v>4786669.483</v>
      </c>
      <c r="D3216" s="95">
        <v>51.051000000000002</v>
      </c>
      <c r="E3216" s="91" t="s">
        <v>99</v>
      </c>
      <c r="F3216" s="92"/>
      <c r="G3216" s="92"/>
      <c r="H3216" s="92"/>
    </row>
    <row r="3217" spans="1:8" x14ac:dyDescent="0.25">
      <c r="A3217" s="94">
        <v>46084</v>
      </c>
      <c r="B3217" s="95">
        <v>511607.54399999999</v>
      </c>
      <c r="C3217" s="95">
        <v>4786691.9740000004</v>
      </c>
      <c r="D3217" s="95">
        <v>51.05</v>
      </c>
      <c r="E3217" s="91" t="s">
        <v>100</v>
      </c>
      <c r="F3217" s="92"/>
      <c r="G3217" s="92"/>
      <c r="H3217" s="92"/>
    </row>
    <row r="3218" spans="1:8" x14ac:dyDescent="0.25">
      <c r="A3218" s="94">
        <v>46084</v>
      </c>
      <c r="B3218" s="95">
        <v>511607.26</v>
      </c>
      <c r="C3218" s="95">
        <v>4786692.1660000002</v>
      </c>
      <c r="D3218" s="95">
        <v>51.051000000000002</v>
      </c>
      <c r="E3218" s="91" t="s">
        <v>101</v>
      </c>
      <c r="F3218" s="92"/>
      <c r="G3218" s="92"/>
      <c r="H3218" s="92"/>
    </row>
    <row r="3219" spans="1:8" x14ac:dyDescent="0.25">
      <c r="A3219" s="94">
        <v>46084</v>
      </c>
      <c r="B3219" s="95">
        <v>511601.10800000001</v>
      </c>
      <c r="C3219" s="95">
        <v>4786695.4119999995</v>
      </c>
      <c r="D3219" s="95">
        <v>51.040999999999997</v>
      </c>
      <c r="E3219" s="91" t="s">
        <v>102</v>
      </c>
      <c r="F3219" s="92"/>
      <c r="G3219" s="92"/>
      <c r="H3219" s="92"/>
    </row>
    <row r="3220" spans="1:8" x14ac:dyDescent="0.25">
      <c r="A3220" s="94">
        <v>46084</v>
      </c>
      <c r="B3220" s="95">
        <v>511615.245</v>
      </c>
      <c r="C3220" s="95">
        <v>4786687.4249999998</v>
      </c>
      <c r="D3220" s="95">
        <v>48.444000000000003</v>
      </c>
      <c r="E3220" s="91" t="s">
        <v>103</v>
      </c>
      <c r="F3220" s="92"/>
      <c r="G3220" s="92"/>
      <c r="H3220" s="92"/>
    </row>
    <row r="3221" spans="1:8" x14ac:dyDescent="0.25">
      <c r="A3221" s="94">
        <v>46084</v>
      </c>
      <c r="B3221" s="95">
        <v>511615.217</v>
      </c>
      <c r="C3221" s="95">
        <v>4786687.3470000001</v>
      </c>
      <c r="D3221" s="95">
        <v>45.936999999999998</v>
      </c>
      <c r="E3221" s="91" t="s">
        <v>104</v>
      </c>
      <c r="F3221" s="92"/>
      <c r="G3221" s="92"/>
      <c r="H3221" s="92"/>
    </row>
    <row r="3222" spans="1:8" x14ac:dyDescent="0.25">
      <c r="A3222" s="94">
        <v>46084</v>
      </c>
      <c r="B3222" s="95">
        <v>511615.16800000001</v>
      </c>
      <c r="C3222" s="95">
        <v>4786687.3760000002</v>
      </c>
      <c r="D3222" s="95">
        <v>43.957000000000001</v>
      </c>
      <c r="E3222" s="91" t="s">
        <v>110</v>
      </c>
      <c r="F3222" s="92"/>
      <c r="G3222" s="92"/>
      <c r="H3222" s="92"/>
    </row>
    <row r="3223" spans="1:8" x14ac:dyDescent="0.25">
      <c r="A3223" s="94">
        <v>46084</v>
      </c>
      <c r="B3223" s="95">
        <v>511629.17700000003</v>
      </c>
      <c r="C3223" s="95">
        <v>4786680.0559999999</v>
      </c>
      <c r="D3223" s="95">
        <v>48.463000000000001</v>
      </c>
      <c r="E3223" s="91" t="s">
        <v>105</v>
      </c>
      <c r="F3223" s="92"/>
      <c r="G3223" s="92"/>
      <c r="H3223" s="92"/>
    </row>
    <row r="3224" spans="1:8" x14ac:dyDescent="0.25">
      <c r="A3224" s="94">
        <v>46084</v>
      </c>
      <c r="B3224" s="95">
        <v>511629.3</v>
      </c>
      <c r="C3224" s="95">
        <v>4786680.0180000002</v>
      </c>
      <c r="D3224" s="95">
        <v>45.945</v>
      </c>
      <c r="E3224" s="91" t="s">
        <v>106</v>
      </c>
      <c r="F3224" s="92"/>
      <c r="G3224" s="92"/>
      <c r="H3224" s="92"/>
    </row>
    <row r="3225" spans="1:8" x14ac:dyDescent="0.25">
      <c r="A3225" s="94">
        <v>46084</v>
      </c>
      <c r="B3225" s="95">
        <v>511642.277</v>
      </c>
      <c r="C3225" s="95">
        <v>4786673.1160000004</v>
      </c>
      <c r="D3225" s="95">
        <v>48.444000000000003</v>
      </c>
      <c r="E3225" s="91" t="s">
        <v>107</v>
      </c>
      <c r="F3225" s="92"/>
      <c r="G3225" s="92"/>
      <c r="H3225" s="92"/>
    </row>
    <row r="3226" spans="1:8" x14ac:dyDescent="0.25">
      <c r="A3226" s="94">
        <v>46084</v>
      </c>
      <c r="B3226" s="95">
        <v>511642.43099999998</v>
      </c>
      <c r="C3226" s="95">
        <v>4786673.0049999999</v>
      </c>
      <c r="D3226" s="95">
        <v>45.939</v>
      </c>
      <c r="E3226" s="91" t="s">
        <v>108</v>
      </c>
      <c r="F3226" s="92"/>
      <c r="G3226" s="92"/>
      <c r="H3226" s="92"/>
    </row>
    <row r="3227" spans="1:8" x14ac:dyDescent="0.25">
      <c r="A3227" s="94">
        <v>46084</v>
      </c>
      <c r="B3227" s="95">
        <v>511642.46500000003</v>
      </c>
      <c r="C3227" s="95">
        <v>4786672.898</v>
      </c>
      <c r="D3227" s="95">
        <v>43.966000000000001</v>
      </c>
      <c r="E3227" s="91" t="s">
        <v>111</v>
      </c>
      <c r="F3227" s="92"/>
      <c r="G3227" s="92"/>
      <c r="H3227" s="92"/>
    </row>
    <row r="3228" spans="1:8" x14ac:dyDescent="0.25">
      <c r="A3228" s="94">
        <v>46084</v>
      </c>
      <c r="B3228" s="95">
        <v>511649.12400000001</v>
      </c>
      <c r="C3228" s="95">
        <v>4786669.3959999997</v>
      </c>
      <c r="D3228" s="95">
        <v>43.945</v>
      </c>
      <c r="E3228" s="91" t="s">
        <v>113</v>
      </c>
      <c r="F3228" s="92"/>
      <c r="G3228" s="92"/>
      <c r="H3228" s="92"/>
    </row>
    <row r="3229" spans="1:8" x14ac:dyDescent="0.25">
      <c r="A3229" s="94">
        <v>46084</v>
      </c>
      <c r="B3229" s="95">
        <v>511662.30499999999</v>
      </c>
      <c r="C3229" s="95">
        <v>4786606.8739999998</v>
      </c>
      <c r="D3229" s="95">
        <v>46.238999999999997</v>
      </c>
      <c r="E3229" s="91" t="s">
        <v>145</v>
      </c>
      <c r="F3229" s="92"/>
      <c r="G3229" s="92"/>
      <c r="H3229" s="92"/>
    </row>
    <row r="3230" spans="1:8" x14ac:dyDescent="0.25">
      <c r="A3230" s="94">
        <v>46084</v>
      </c>
      <c r="B3230" s="95">
        <v>511662.14799999999</v>
      </c>
      <c r="C3230" s="95">
        <v>4786607.0480000004</v>
      </c>
      <c r="D3230" s="95">
        <v>44.68</v>
      </c>
      <c r="E3230" s="91" t="s">
        <v>146</v>
      </c>
      <c r="F3230" s="92"/>
      <c r="G3230" s="92"/>
      <c r="H3230" s="92"/>
    </row>
    <row r="3231" spans="1:8" x14ac:dyDescent="0.25">
      <c r="A3231" s="94">
        <v>46084</v>
      </c>
      <c r="B3231" s="95">
        <v>511662.06199999998</v>
      </c>
      <c r="C3231" s="95">
        <v>4786607.1390000004</v>
      </c>
      <c r="D3231" s="95">
        <v>43.39</v>
      </c>
      <c r="E3231" s="91" t="s">
        <v>144</v>
      </c>
      <c r="F3231" s="92"/>
      <c r="G3231" s="92"/>
      <c r="H3231" s="92"/>
    </row>
    <row r="3232" spans="1:8" x14ac:dyDescent="0.25">
      <c r="A3232" s="94">
        <v>46084</v>
      </c>
      <c r="B3232" s="95">
        <v>511673.815</v>
      </c>
      <c r="C3232" s="95">
        <v>4786631.068</v>
      </c>
      <c r="D3232" s="95">
        <v>40.159999999999997</v>
      </c>
      <c r="E3232" s="91" t="s">
        <v>147</v>
      </c>
      <c r="F3232" s="92"/>
      <c r="G3232" s="92"/>
      <c r="H3232" s="92"/>
    </row>
    <row r="3233" spans="1:8" x14ac:dyDescent="0.25">
      <c r="A3233" s="94">
        <v>46084</v>
      </c>
      <c r="B3233" s="95">
        <v>511573.39899999998</v>
      </c>
      <c r="C3233" s="95">
        <v>4786684.3550000004</v>
      </c>
      <c r="D3233" s="95">
        <v>43.466999999999999</v>
      </c>
      <c r="E3233" s="91" t="s">
        <v>148</v>
      </c>
      <c r="F3233" s="92"/>
      <c r="G3233" s="92"/>
      <c r="H3233" s="92"/>
    </row>
    <row r="3234" spans="1:8" x14ac:dyDescent="0.25">
      <c r="A3234" s="94">
        <v>46084</v>
      </c>
      <c r="B3234" s="95">
        <v>511575.48499999999</v>
      </c>
      <c r="C3234" s="95">
        <v>4786688.2280000001</v>
      </c>
      <c r="D3234" s="95">
        <v>43.426000000000002</v>
      </c>
      <c r="E3234" s="91" t="s">
        <v>149</v>
      </c>
      <c r="F3234" s="92"/>
      <c r="G3234" s="92"/>
      <c r="H3234" s="92"/>
    </row>
    <row r="3235" spans="1:8" x14ac:dyDescent="0.25">
      <c r="A3235" s="94">
        <v>46084</v>
      </c>
      <c r="B3235" s="95">
        <v>511577.685</v>
      </c>
      <c r="C3235" s="95">
        <v>4786692.28</v>
      </c>
      <c r="D3235" s="95">
        <v>43.615000000000002</v>
      </c>
      <c r="E3235" s="91" t="s">
        <v>150</v>
      </c>
      <c r="F3235" s="92"/>
      <c r="G3235" s="92"/>
      <c r="H3235" s="92"/>
    </row>
    <row r="3236" spans="1:8" x14ac:dyDescent="0.25">
      <c r="A3236" s="94">
        <v>46084</v>
      </c>
      <c r="B3236" s="95">
        <v>511579.78700000001</v>
      </c>
      <c r="C3236" s="95">
        <v>4786696.1969999997</v>
      </c>
      <c r="D3236" s="95">
        <v>43.686999999999998</v>
      </c>
      <c r="E3236" s="91" t="s">
        <v>151</v>
      </c>
      <c r="F3236" s="92"/>
      <c r="G3236" s="92"/>
      <c r="H3236" s="92"/>
    </row>
    <row r="3237" spans="1:8" x14ac:dyDescent="0.25">
      <c r="A3237" s="94">
        <v>46084</v>
      </c>
      <c r="B3237" s="95">
        <v>511607.17700000003</v>
      </c>
      <c r="C3237" s="95">
        <v>4786690.8430000003</v>
      </c>
      <c r="D3237" s="95">
        <v>41.314</v>
      </c>
      <c r="E3237" s="91" t="s">
        <v>139</v>
      </c>
      <c r="F3237" s="92"/>
      <c r="G3237" s="92"/>
      <c r="H3237" s="92"/>
    </row>
    <row r="3238" spans="1:8" x14ac:dyDescent="0.25">
      <c r="A3238" s="94">
        <v>46084</v>
      </c>
      <c r="B3238" s="95">
        <v>511614.97899999999</v>
      </c>
      <c r="C3238" s="95">
        <v>4786686.6109999996</v>
      </c>
      <c r="D3238" s="95">
        <v>41.441000000000003</v>
      </c>
      <c r="E3238" s="91" t="s">
        <v>140</v>
      </c>
      <c r="F3238" s="92"/>
      <c r="G3238" s="92"/>
      <c r="H3238" s="92"/>
    </row>
    <row r="3239" spans="1:8" x14ac:dyDescent="0.25">
      <c r="A3239" s="94">
        <v>46084</v>
      </c>
      <c r="B3239" s="95">
        <v>511628.82900000003</v>
      </c>
      <c r="C3239" s="95">
        <v>4786679.1409999998</v>
      </c>
      <c r="D3239" s="95">
        <v>41.372999999999998</v>
      </c>
      <c r="E3239" s="91" t="s">
        <v>141</v>
      </c>
      <c r="F3239" s="92"/>
      <c r="G3239" s="92"/>
      <c r="H3239" s="92"/>
    </row>
    <row r="3240" spans="1:8" x14ac:dyDescent="0.25">
      <c r="A3240" s="94">
        <v>46084</v>
      </c>
      <c r="B3240" s="95">
        <v>511641.99800000002</v>
      </c>
      <c r="C3240" s="95">
        <v>4786671.9419999998</v>
      </c>
      <c r="D3240" s="95">
        <v>41.51</v>
      </c>
      <c r="E3240" s="91" t="s">
        <v>142</v>
      </c>
      <c r="F3240" s="92"/>
      <c r="G3240" s="92"/>
      <c r="H3240" s="92"/>
    </row>
    <row r="3241" spans="1:8" x14ac:dyDescent="0.25">
      <c r="A3241" s="94">
        <v>46084</v>
      </c>
      <c r="B3241" s="95">
        <v>511648.77799999999</v>
      </c>
      <c r="C3241" s="95">
        <v>4786668.2630000003</v>
      </c>
      <c r="D3241" s="95">
        <v>41.308</v>
      </c>
      <c r="E3241" s="91" t="s">
        <v>143</v>
      </c>
    </row>
    <row r="3242" spans="1:8" x14ac:dyDescent="0.25">
      <c r="A3242" s="94">
        <v>46085</v>
      </c>
      <c r="B3242" s="95">
        <v>511615.09</v>
      </c>
      <c r="C3242" s="95">
        <v>4786687.977</v>
      </c>
      <c r="D3242" s="95">
        <v>51.027999999999999</v>
      </c>
      <c r="E3242" s="91" t="s">
        <v>96</v>
      </c>
    </row>
    <row r="3243" spans="1:8" x14ac:dyDescent="0.25">
      <c r="A3243" s="94">
        <v>46085</v>
      </c>
      <c r="B3243" s="95">
        <v>511628.87599999999</v>
      </c>
      <c r="C3243" s="95">
        <v>4786680.6399999997</v>
      </c>
      <c r="D3243" s="95">
        <v>51.039000000000001</v>
      </c>
      <c r="E3243" s="91" t="s">
        <v>97</v>
      </c>
    </row>
    <row r="3244" spans="1:8" x14ac:dyDescent="0.25">
      <c r="A3244" s="94">
        <v>46085</v>
      </c>
      <c r="B3244" s="95">
        <v>511642.576</v>
      </c>
      <c r="C3244" s="95">
        <v>4786673.3430000003</v>
      </c>
      <c r="D3244" s="95">
        <v>51.048000000000002</v>
      </c>
      <c r="E3244" s="91" t="s">
        <v>98</v>
      </c>
    </row>
    <row r="3245" spans="1:8" x14ac:dyDescent="0.25">
      <c r="A3245" s="94">
        <v>46085</v>
      </c>
      <c r="B3245" s="95">
        <v>511607.69400000002</v>
      </c>
      <c r="C3245" s="95">
        <v>4786691.415</v>
      </c>
      <c r="D3245" s="95">
        <v>43.942</v>
      </c>
      <c r="E3245" s="91" t="s">
        <v>112</v>
      </c>
    </row>
    <row r="3246" spans="1:8" x14ac:dyDescent="0.25">
      <c r="A3246" s="94">
        <v>46085</v>
      </c>
      <c r="B3246" s="95">
        <v>511629.41100000002</v>
      </c>
      <c r="C3246" s="95">
        <v>4786679.9029999999</v>
      </c>
      <c r="D3246" s="95">
        <v>43.945</v>
      </c>
      <c r="E3246" s="91" t="s">
        <v>109</v>
      </c>
    </row>
    <row r="3247" spans="1:8" x14ac:dyDescent="0.25">
      <c r="A3247" s="94">
        <v>46085</v>
      </c>
      <c r="B3247" s="95">
        <v>511649.701</v>
      </c>
      <c r="C3247" s="95">
        <v>4786682.1560000004</v>
      </c>
      <c r="D3247" s="95">
        <v>56.188000000000002</v>
      </c>
      <c r="E3247" s="91" t="s">
        <v>89</v>
      </c>
    </row>
    <row r="3248" spans="1:8" x14ac:dyDescent="0.25">
      <c r="A3248" s="94">
        <v>46085</v>
      </c>
      <c r="B3248" s="95">
        <v>511630.75799999997</v>
      </c>
      <c r="C3248" s="95">
        <v>4786689.8559999997</v>
      </c>
      <c r="D3248" s="95">
        <v>55.948999999999998</v>
      </c>
      <c r="E3248" s="91" t="s">
        <v>90</v>
      </c>
    </row>
    <row r="3249" spans="1:5" x14ac:dyDescent="0.25">
      <c r="A3249" s="94">
        <v>46085</v>
      </c>
      <c r="B3249" s="95">
        <v>511623.43</v>
      </c>
      <c r="C3249" s="95">
        <v>4786694.0719999997</v>
      </c>
      <c r="D3249" s="95">
        <v>54.78</v>
      </c>
      <c r="E3249" s="91" t="s">
        <v>91</v>
      </c>
    </row>
    <row r="3250" spans="1:5" x14ac:dyDescent="0.25">
      <c r="A3250" s="94">
        <v>46085</v>
      </c>
      <c r="B3250" s="95">
        <v>511613.31099999999</v>
      </c>
      <c r="C3250" s="95">
        <v>4786695.3020000001</v>
      </c>
      <c r="D3250" s="95">
        <v>60.569000000000003</v>
      </c>
      <c r="E3250" s="91" t="s">
        <v>92</v>
      </c>
    </row>
    <row r="3251" spans="1:5" x14ac:dyDescent="0.25">
      <c r="A3251" s="94">
        <v>46085</v>
      </c>
      <c r="B3251" s="95">
        <v>511614.75</v>
      </c>
      <c r="C3251" s="95">
        <v>4786712.5559999999</v>
      </c>
      <c r="D3251" s="95">
        <v>60.820999999999998</v>
      </c>
      <c r="E3251" s="91" t="s">
        <v>93</v>
      </c>
    </row>
    <row r="3252" spans="1:5" x14ac:dyDescent="0.25">
      <c r="A3252" s="94">
        <v>46085</v>
      </c>
      <c r="B3252" s="95">
        <v>511660.66399999999</v>
      </c>
      <c r="C3252" s="95">
        <v>4786683.466</v>
      </c>
      <c r="D3252" s="95">
        <v>55.404000000000003</v>
      </c>
      <c r="E3252" s="91" t="s">
        <v>94</v>
      </c>
    </row>
    <row r="3253" spans="1:5" x14ac:dyDescent="0.25">
      <c r="A3253" s="94">
        <v>46085</v>
      </c>
      <c r="B3253" s="95">
        <v>511670.87400000001</v>
      </c>
      <c r="C3253" s="95">
        <v>4786685.9179999996</v>
      </c>
      <c r="D3253" s="95">
        <v>54.82</v>
      </c>
      <c r="E3253" s="91" t="s">
        <v>95</v>
      </c>
    </row>
    <row r="3254" spans="1:5" x14ac:dyDescent="0.25">
      <c r="A3254" s="94">
        <v>46085</v>
      </c>
      <c r="B3254" s="95">
        <v>511649.79</v>
      </c>
      <c r="C3254" s="95">
        <v>4786669.483</v>
      </c>
      <c r="D3254" s="95">
        <v>51.051000000000002</v>
      </c>
      <c r="E3254" s="91" t="s">
        <v>99</v>
      </c>
    </row>
    <row r="3255" spans="1:5" x14ac:dyDescent="0.25">
      <c r="A3255" s="94">
        <v>46085</v>
      </c>
      <c r="B3255" s="95">
        <v>511607.54499999998</v>
      </c>
      <c r="C3255" s="95">
        <v>4786691.9740000004</v>
      </c>
      <c r="D3255" s="95">
        <v>51.05</v>
      </c>
      <c r="E3255" s="91" t="s">
        <v>100</v>
      </c>
    </row>
    <row r="3256" spans="1:5" x14ac:dyDescent="0.25">
      <c r="A3256" s="94">
        <v>46085</v>
      </c>
      <c r="B3256" s="95">
        <v>511607.261</v>
      </c>
      <c r="C3256" s="95">
        <v>4786692.1679999996</v>
      </c>
      <c r="D3256" s="95">
        <v>51.051000000000002</v>
      </c>
      <c r="E3256" s="91" t="s">
        <v>101</v>
      </c>
    </row>
    <row r="3257" spans="1:5" x14ac:dyDescent="0.25">
      <c r="A3257" s="94">
        <v>46085</v>
      </c>
      <c r="B3257" s="95">
        <v>511601.10800000001</v>
      </c>
      <c r="C3257" s="95">
        <v>4786695.4119999995</v>
      </c>
      <c r="D3257" s="95">
        <v>51.040999999999997</v>
      </c>
      <c r="E3257" s="91" t="s">
        <v>102</v>
      </c>
    </row>
    <row r="3258" spans="1:5" x14ac:dyDescent="0.25">
      <c r="A3258" s="94">
        <v>46085</v>
      </c>
      <c r="B3258" s="95">
        <v>511615.24599999998</v>
      </c>
      <c r="C3258" s="95">
        <v>4786687.4249999998</v>
      </c>
      <c r="D3258" s="95">
        <v>48.444000000000003</v>
      </c>
      <c r="E3258" s="91" t="s">
        <v>103</v>
      </c>
    </row>
    <row r="3259" spans="1:5" x14ac:dyDescent="0.25">
      <c r="A3259" s="94">
        <v>46085</v>
      </c>
      <c r="B3259" s="95">
        <v>511615.21899999998</v>
      </c>
      <c r="C3259" s="95">
        <v>4786687.3480000002</v>
      </c>
      <c r="D3259" s="95">
        <v>45.936999999999998</v>
      </c>
      <c r="E3259" s="91" t="s">
        <v>104</v>
      </c>
    </row>
    <row r="3260" spans="1:5" x14ac:dyDescent="0.25">
      <c r="A3260" s="94">
        <v>46085</v>
      </c>
      <c r="B3260" s="95">
        <v>511615.16899999999</v>
      </c>
      <c r="C3260" s="95">
        <v>4786687.3770000003</v>
      </c>
      <c r="D3260" s="95">
        <v>43.957000000000001</v>
      </c>
      <c r="E3260" s="91" t="s">
        <v>110</v>
      </c>
    </row>
    <row r="3261" spans="1:5" x14ac:dyDescent="0.25">
      <c r="A3261" s="94">
        <v>46085</v>
      </c>
      <c r="B3261" s="95">
        <v>511629.17800000001</v>
      </c>
      <c r="C3261" s="95">
        <v>4786680.0559999999</v>
      </c>
      <c r="D3261" s="95">
        <v>48.462000000000003</v>
      </c>
      <c r="E3261" s="91" t="s">
        <v>105</v>
      </c>
    </row>
    <row r="3262" spans="1:5" x14ac:dyDescent="0.25">
      <c r="A3262" s="94">
        <v>46085</v>
      </c>
      <c r="B3262" s="95">
        <v>511629.30099999998</v>
      </c>
      <c r="C3262" s="95">
        <v>4786680.0180000002</v>
      </c>
      <c r="D3262" s="95">
        <v>45.945</v>
      </c>
      <c r="E3262" s="91" t="s">
        <v>106</v>
      </c>
    </row>
    <row r="3263" spans="1:5" x14ac:dyDescent="0.25">
      <c r="A3263" s="94">
        <v>46085</v>
      </c>
      <c r="B3263" s="95">
        <v>511642.27799999999</v>
      </c>
      <c r="C3263" s="95">
        <v>4786673.1160000004</v>
      </c>
      <c r="D3263" s="95">
        <v>48.442999999999998</v>
      </c>
      <c r="E3263" s="91" t="s">
        <v>107</v>
      </c>
    </row>
    <row r="3264" spans="1:5" x14ac:dyDescent="0.25">
      <c r="A3264" s="94">
        <v>46085</v>
      </c>
      <c r="B3264" s="95">
        <v>511642.43300000002</v>
      </c>
      <c r="C3264" s="95">
        <v>4786673.0049999999</v>
      </c>
      <c r="D3264" s="95">
        <v>45.939</v>
      </c>
      <c r="E3264" s="91" t="s">
        <v>108</v>
      </c>
    </row>
    <row r="3265" spans="1:5" x14ac:dyDescent="0.25">
      <c r="A3265" s="94">
        <v>46085</v>
      </c>
      <c r="B3265" s="95">
        <v>511642.467</v>
      </c>
      <c r="C3265" s="95">
        <v>4786672.8990000002</v>
      </c>
      <c r="D3265" s="95">
        <v>43.966000000000001</v>
      </c>
      <c r="E3265" s="91" t="s">
        <v>111</v>
      </c>
    </row>
    <row r="3266" spans="1:5" x14ac:dyDescent="0.25">
      <c r="A3266" s="94">
        <v>46085</v>
      </c>
      <c r="B3266" s="95">
        <v>511649.12400000001</v>
      </c>
      <c r="C3266" s="95">
        <v>4786669.3959999997</v>
      </c>
      <c r="D3266" s="95">
        <v>43.945999999999998</v>
      </c>
      <c r="E3266" s="91" t="s">
        <v>113</v>
      </c>
    </row>
    <row r="3267" spans="1:5" x14ac:dyDescent="0.25">
      <c r="A3267" s="94">
        <v>46085</v>
      </c>
      <c r="B3267" s="95">
        <v>511662.30699999997</v>
      </c>
      <c r="C3267" s="95">
        <v>4786606.8729999997</v>
      </c>
      <c r="D3267" s="95">
        <v>46.238999999999997</v>
      </c>
      <c r="E3267" s="91" t="s">
        <v>145</v>
      </c>
    </row>
    <row r="3268" spans="1:5" x14ac:dyDescent="0.25">
      <c r="A3268" s="94">
        <v>46085</v>
      </c>
      <c r="B3268" s="95">
        <v>511662.15100000001</v>
      </c>
      <c r="C3268" s="95">
        <v>4786607.0460000001</v>
      </c>
      <c r="D3268" s="95">
        <v>44.682000000000002</v>
      </c>
      <c r="E3268" s="91" t="s">
        <v>146</v>
      </c>
    </row>
    <row r="3269" spans="1:5" x14ac:dyDescent="0.25">
      <c r="A3269" s="94">
        <v>46085</v>
      </c>
      <c r="B3269" s="95">
        <v>511662.06400000001</v>
      </c>
      <c r="C3269" s="95">
        <v>4786607.1380000003</v>
      </c>
      <c r="D3269" s="95">
        <v>43.39</v>
      </c>
      <c r="E3269" s="91" t="s">
        <v>144</v>
      </c>
    </row>
    <row r="3270" spans="1:5" x14ac:dyDescent="0.25">
      <c r="A3270" s="94">
        <v>46085</v>
      </c>
      <c r="B3270" s="95">
        <v>511673.81699999998</v>
      </c>
      <c r="C3270" s="95">
        <v>4786631.0669999998</v>
      </c>
      <c r="D3270" s="95">
        <v>40.159999999999997</v>
      </c>
      <c r="E3270" s="91" t="s">
        <v>147</v>
      </c>
    </row>
    <row r="3271" spans="1:5" x14ac:dyDescent="0.25">
      <c r="A3271" s="94">
        <v>46085</v>
      </c>
      <c r="B3271" s="95">
        <v>511573.39899999998</v>
      </c>
      <c r="C3271" s="95">
        <v>4786684.3550000004</v>
      </c>
      <c r="D3271" s="95">
        <v>43.466999999999999</v>
      </c>
      <c r="E3271" s="91" t="s">
        <v>148</v>
      </c>
    </row>
    <row r="3272" spans="1:5" x14ac:dyDescent="0.25">
      <c r="A3272" s="94">
        <v>46085</v>
      </c>
      <c r="B3272" s="95">
        <v>511575.48499999999</v>
      </c>
      <c r="C3272" s="95">
        <v>4786688.2290000003</v>
      </c>
      <c r="D3272" s="95">
        <v>43.426000000000002</v>
      </c>
      <c r="E3272" s="91" t="s">
        <v>149</v>
      </c>
    </row>
    <row r="3273" spans="1:5" x14ac:dyDescent="0.25">
      <c r="A3273" s="94">
        <v>46085</v>
      </c>
      <c r="B3273" s="95">
        <v>511577.68400000001</v>
      </c>
      <c r="C3273" s="95">
        <v>4786692.2829999998</v>
      </c>
      <c r="D3273" s="95">
        <v>43.613999999999997</v>
      </c>
      <c r="E3273" s="91" t="s">
        <v>150</v>
      </c>
    </row>
    <row r="3274" spans="1:5" x14ac:dyDescent="0.25">
      <c r="A3274" s="94">
        <v>46085</v>
      </c>
      <c r="B3274" s="95">
        <v>511579.78700000001</v>
      </c>
      <c r="C3274" s="95">
        <v>4786696.1979999999</v>
      </c>
      <c r="D3274" s="95">
        <v>43.686999999999998</v>
      </c>
      <c r="E3274" s="91" t="s">
        <v>151</v>
      </c>
    </row>
    <row r="3275" spans="1:5" x14ac:dyDescent="0.25">
      <c r="A3275" s="94">
        <v>46085</v>
      </c>
      <c r="B3275" s="95">
        <v>511607.17800000001</v>
      </c>
      <c r="C3275" s="95">
        <v>4786690.8449999997</v>
      </c>
      <c r="D3275" s="95">
        <v>41.313000000000002</v>
      </c>
      <c r="E3275" s="91" t="s">
        <v>139</v>
      </c>
    </row>
    <row r="3276" spans="1:5" x14ac:dyDescent="0.25">
      <c r="A3276" s="94">
        <v>46085</v>
      </c>
      <c r="B3276" s="95">
        <v>511614.98</v>
      </c>
      <c r="C3276" s="95">
        <v>4786686.6119999997</v>
      </c>
      <c r="D3276" s="95">
        <v>41.441000000000003</v>
      </c>
      <c r="E3276" s="91" t="s">
        <v>140</v>
      </c>
    </row>
    <row r="3277" spans="1:5" x14ac:dyDescent="0.25">
      <c r="A3277" s="94">
        <v>46085</v>
      </c>
      <c r="B3277" s="95">
        <v>511628.83</v>
      </c>
      <c r="C3277" s="95">
        <v>4786679.142</v>
      </c>
      <c r="D3277" s="95">
        <v>41.372999999999998</v>
      </c>
      <c r="E3277" s="91" t="s">
        <v>141</v>
      </c>
    </row>
    <row r="3278" spans="1:5" x14ac:dyDescent="0.25">
      <c r="A3278" s="94">
        <v>46085</v>
      </c>
      <c r="B3278" s="95">
        <v>511642</v>
      </c>
      <c r="C3278" s="95">
        <v>4786671.943</v>
      </c>
      <c r="D3278" s="95">
        <v>41.51</v>
      </c>
      <c r="E3278" s="91" t="s">
        <v>142</v>
      </c>
    </row>
    <row r="3279" spans="1:5" x14ac:dyDescent="0.25">
      <c r="A3279" s="94">
        <v>46085</v>
      </c>
      <c r="B3279" s="95">
        <v>511648.78</v>
      </c>
      <c r="C3279" s="95">
        <v>4786668.2630000003</v>
      </c>
      <c r="D3279" s="95">
        <v>41.308</v>
      </c>
      <c r="E3279" s="91" t="s">
        <v>143</v>
      </c>
    </row>
    <row r="3280" spans="1:5" x14ac:dyDescent="0.25">
      <c r="A3280" s="94">
        <v>46086</v>
      </c>
      <c r="B3280" s="95">
        <v>511615.08899999998</v>
      </c>
      <c r="C3280" s="95">
        <v>4786687.9749999996</v>
      </c>
      <c r="D3280" s="95">
        <v>51.029000000000003</v>
      </c>
      <c r="E3280" s="91" t="s">
        <v>96</v>
      </c>
    </row>
    <row r="3281" spans="1:5" x14ac:dyDescent="0.25">
      <c r="A3281" s="94">
        <v>46086</v>
      </c>
      <c r="B3281" s="95">
        <v>511628.875</v>
      </c>
      <c r="C3281" s="95">
        <v>4786680.6390000004</v>
      </c>
      <c r="D3281" s="95">
        <v>51.04</v>
      </c>
      <c r="E3281" s="91" t="s">
        <v>97</v>
      </c>
    </row>
    <row r="3282" spans="1:5" x14ac:dyDescent="0.25">
      <c r="A3282" s="94">
        <v>46086</v>
      </c>
      <c r="B3282" s="95">
        <v>511642.57699999999</v>
      </c>
      <c r="C3282" s="95">
        <v>4786673.3420000002</v>
      </c>
      <c r="D3282" s="95">
        <v>51.048999999999999</v>
      </c>
      <c r="E3282" s="91" t="s">
        <v>98</v>
      </c>
    </row>
    <row r="3283" spans="1:5" x14ac:dyDescent="0.25">
      <c r="A3283" s="94">
        <v>46086</v>
      </c>
      <c r="B3283" s="95">
        <v>511607.69300000003</v>
      </c>
      <c r="C3283" s="95">
        <v>4786691.4139999999</v>
      </c>
      <c r="D3283" s="95">
        <v>43.942</v>
      </c>
      <c r="E3283" s="91" t="s">
        <v>112</v>
      </c>
    </row>
    <row r="3284" spans="1:5" x14ac:dyDescent="0.25">
      <c r="A3284" s="94">
        <v>46086</v>
      </c>
      <c r="B3284" s="95">
        <v>511629.41</v>
      </c>
      <c r="C3284" s="95">
        <v>4786679.9019999998</v>
      </c>
      <c r="D3284" s="95">
        <v>43.944000000000003</v>
      </c>
      <c r="E3284" s="91" t="s">
        <v>109</v>
      </c>
    </row>
    <row r="3285" spans="1:5" x14ac:dyDescent="0.25">
      <c r="A3285" s="94">
        <v>46086</v>
      </c>
      <c r="B3285" s="95">
        <v>511649.69900000002</v>
      </c>
      <c r="C3285" s="95">
        <v>4786682.1540000001</v>
      </c>
      <c r="D3285" s="95">
        <v>56.189</v>
      </c>
      <c r="E3285" s="91" t="s">
        <v>89</v>
      </c>
    </row>
    <row r="3286" spans="1:5" x14ac:dyDescent="0.25">
      <c r="A3286" s="94">
        <v>46086</v>
      </c>
      <c r="B3286" s="95">
        <v>511630.75799999997</v>
      </c>
      <c r="C3286" s="95">
        <v>4786689.8550000004</v>
      </c>
      <c r="D3286" s="95">
        <v>55.948999999999998</v>
      </c>
      <c r="E3286" s="91" t="s">
        <v>90</v>
      </c>
    </row>
    <row r="3287" spans="1:5" x14ac:dyDescent="0.25">
      <c r="A3287" s="94">
        <v>46086</v>
      </c>
      <c r="B3287" s="95">
        <v>511623.429</v>
      </c>
      <c r="C3287" s="95">
        <v>4786694.0710000005</v>
      </c>
      <c r="D3287" s="95">
        <v>54.780999999999999</v>
      </c>
      <c r="E3287" s="91" t="s">
        <v>91</v>
      </c>
    </row>
    <row r="3288" spans="1:5" x14ac:dyDescent="0.25">
      <c r="A3288" s="94">
        <v>46086</v>
      </c>
      <c r="B3288" s="95">
        <v>511613.31</v>
      </c>
      <c r="C3288" s="95">
        <v>4786695.301</v>
      </c>
      <c r="D3288" s="95">
        <v>60.569000000000003</v>
      </c>
      <c r="E3288" s="91" t="s">
        <v>92</v>
      </c>
    </row>
    <row r="3289" spans="1:5" x14ac:dyDescent="0.25">
      <c r="A3289" s="94">
        <v>46086</v>
      </c>
      <c r="B3289" s="95">
        <v>511614.75</v>
      </c>
      <c r="C3289" s="95">
        <v>4786712.5549999997</v>
      </c>
      <c r="D3289" s="95">
        <v>60.822000000000003</v>
      </c>
      <c r="E3289" s="91" t="s">
        <v>93</v>
      </c>
    </row>
    <row r="3290" spans="1:5" x14ac:dyDescent="0.25">
      <c r="A3290" s="94">
        <v>46086</v>
      </c>
      <c r="B3290" s="95">
        <v>511660.66200000001</v>
      </c>
      <c r="C3290" s="95">
        <v>4786683.4639999997</v>
      </c>
      <c r="D3290" s="95">
        <v>55.405000000000001</v>
      </c>
      <c r="E3290" s="91" t="s">
        <v>94</v>
      </c>
    </row>
    <row r="3291" spans="1:5" x14ac:dyDescent="0.25">
      <c r="A3291" s="94">
        <v>46086</v>
      </c>
      <c r="B3291" s="95">
        <v>511670.87199999997</v>
      </c>
      <c r="C3291" s="95">
        <v>4786685.9160000002</v>
      </c>
      <c r="D3291" s="95">
        <v>54.820999999999998</v>
      </c>
      <c r="E3291" s="91" t="s">
        <v>95</v>
      </c>
    </row>
    <row r="3292" spans="1:5" x14ac:dyDescent="0.25">
      <c r="A3292" s="94">
        <v>46086</v>
      </c>
      <c r="B3292" s="95">
        <v>511649.78899999999</v>
      </c>
      <c r="C3292" s="95">
        <v>4786669.4819999998</v>
      </c>
      <c r="D3292" s="95">
        <v>51.052</v>
      </c>
      <c r="E3292" s="91" t="s">
        <v>99</v>
      </c>
    </row>
    <row r="3293" spans="1:5" x14ac:dyDescent="0.25">
      <c r="A3293" s="94">
        <v>46086</v>
      </c>
      <c r="B3293" s="95">
        <v>511607.54399999999</v>
      </c>
      <c r="C3293" s="95">
        <v>4786691.9740000004</v>
      </c>
      <c r="D3293" s="95">
        <v>51.051000000000002</v>
      </c>
      <c r="E3293" s="91" t="s">
        <v>100</v>
      </c>
    </row>
    <row r="3294" spans="1:5" x14ac:dyDescent="0.25">
      <c r="A3294" s="94">
        <v>46086</v>
      </c>
      <c r="B3294" s="95">
        <v>511607.26</v>
      </c>
      <c r="C3294" s="95">
        <v>4786692.1660000002</v>
      </c>
      <c r="D3294" s="95">
        <v>51.052</v>
      </c>
      <c r="E3294" s="91" t="s">
        <v>101</v>
      </c>
    </row>
    <row r="3295" spans="1:5" x14ac:dyDescent="0.25">
      <c r="A3295" s="94">
        <v>46086</v>
      </c>
      <c r="B3295" s="95">
        <v>511601.109</v>
      </c>
      <c r="C3295" s="95">
        <v>4786695.4119999995</v>
      </c>
      <c r="D3295" s="95">
        <v>51.042000000000002</v>
      </c>
      <c r="E3295" s="91" t="s">
        <v>102</v>
      </c>
    </row>
    <row r="3296" spans="1:5" x14ac:dyDescent="0.25">
      <c r="A3296" s="94">
        <v>46086</v>
      </c>
      <c r="B3296" s="95">
        <v>511615.24599999998</v>
      </c>
      <c r="C3296" s="95">
        <v>4786687.4239999996</v>
      </c>
      <c r="D3296" s="95">
        <v>48.445</v>
      </c>
      <c r="E3296" s="91" t="s">
        <v>103</v>
      </c>
    </row>
    <row r="3297" spans="1:5" x14ac:dyDescent="0.25">
      <c r="A3297" s="94">
        <v>46086</v>
      </c>
      <c r="B3297" s="95">
        <v>511615.21899999998</v>
      </c>
      <c r="C3297" s="95">
        <v>4786687.3480000002</v>
      </c>
      <c r="D3297" s="95">
        <v>45.938000000000002</v>
      </c>
      <c r="E3297" s="91" t="s">
        <v>104</v>
      </c>
    </row>
    <row r="3298" spans="1:5" x14ac:dyDescent="0.25">
      <c r="A3298" s="94">
        <v>46086</v>
      </c>
      <c r="B3298" s="95">
        <v>511615.16800000001</v>
      </c>
      <c r="C3298" s="95">
        <v>4786687.3760000002</v>
      </c>
      <c r="D3298" s="95">
        <v>43.957000000000001</v>
      </c>
      <c r="E3298" s="91" t="s">
        <v>110</v>
      </c>
    </row>
    <row r="3299" spans="1:5" x14ac:dyDescent="0.25">
      <c r="A3299" s="94">
        <v>46086</v>
      </c>
      <c r="B3299" s="95">
        <v>511629.17800000001</v>
      </c>
      <c r="C3299" s="95">
        <v>4786680.0559999999</v>
      </c>
      <c r="D3299" s="95">
        <v>48.463000000000001</v>
      </c>
      <c r="E3299" s="91" t="s">
        <v>105</v>
      </c>
    </row>
    <row r="3300" spans="1:5" x14ac:dyDescent="0.25">
      <c r="A3300" s="94">
        <v>46086</v>
      </c>
      <c r="B3300" s="95">
        <v>511629.30099999998</v>
      </c>
      <c r="C3300" s="95">
        <v>4786680.0180000002</v>
      </c>
      <c r="D3300" s="95">
        <v>45.945999999999998</v>
      </c>
      <c r="E3300" s="91" t="s">
        <v>106</v>
      </c>
    </row>
    <row r="3301" spans="1:5" x14ac:dyDescent="0.25">
      <c r="A3301" s="94">
        <v>46086</v>
      </c>
      <c r="B3301" s="95">
        <v>511642.27799999999</v>
      </c>
      <c r="C3301" s="95">
        <v>4786673.1150000002</v>
      </c>
      <c r="D3301" s="95">
        <v>48.445</v>
      </c>
      <c r="E3301" s="91" t="s">
        <v>107</v>
      </c>
    </row>
    <row r="3302" spans="1:5" x14ac:dyDescent="0.25">
      <c r="A3302" s="94">
        <v>46086</v>
      </c>
      <c r="B3302" s="95">
        <v>511642.43199999997</v>
      </c>
      <c r="C3302" s="95">
        <v>4786673.0039999997</v>
      </c>
      <c r="D3302" s="95">
        <v>45.94</v>
      </c>
      <c r="E3302" s="91" t="s">
        <v>108</v>
      </c>
    </row>
    <row r="3303" spans="1:5" x14ac:dyDescent="0.25">
      <c r="A3303" s="94">
        <v>46086</v>
      </c>
      <c r="B3303" s="95">
        <v>511642.46500000003</v>
      </c>
      <c r="C3303" s="95">
        <v>4786672.898</v>
      </c>
      <c r="D3303" s="95">
        <v>43.966000000000001</v>
      </c>
      <c r="E3303" s="91" t="s">
        <v>111</v>
      </c>
    </row>
    <row r="3304" spans="1:5" x14ac:dyDescent="0.25">
      <c r="A3304" s="94">
        <v>46086</v>
      </c>
      <c r="B3304" s="95">
        <v>511649.12300000002</v>
      </c>
      <c r="C3304" s="95">
        <v>4786669.3959999997</v>
      </c>
      <c r="D3304" s="95">
        <v>43.945</v>
      </c>
      <c r="E3304" s="91" t="s">
        <v>113</v>
      </c>
    </row>
    <row r="3305" spans="1:5" x14ac:dyDescent="0.25">
      <c r="A3305" s="94">
        <v>46086</v>
      </c>
      <c r="B3305" s="95">
        <v>511662.30599999998</v>
      </c>
      <c r="C3305" s="95">
        <v>4786606.8739999998</v>
      </c>
      <c r="D3305" s="95">
        <v>46.238999999999997</v>
      </c>
      <c r="E3305" s="91" t="s">
        <v>145</v>
      </c>
    </row>
    <row r="3306" spans="1:5" x14ac:dyDescent="0.25">
      <c r="A3306" s="94">
        <v>46086</v>
      </c>
      <c r="B3306" s="95">
        <v>511662.14899999998</v>
      </c>
      <c r="C3306" s="95">
        <v>4786607.0460000001</v>
      </c>
      <c r="D3306" s="95">
        <v>44.682000000000002</v>
      </c>
      <c r="E3306" s="91" t="s">
        <v>146</v>
      </c>
    </row>
    <row r="3307" spans="1:5" x14ac:dyDescent="0.25">
      <c r="A3307" s="94">
        <v>46086</v>
      </c>
      <c r="B3307" s="95">
        <v>511662.06199999998</v>
      </c>
      <c r="C3307" s="95">
        <v>4786607.1390000004</v>
      </c>
      <c r="D3307" s="95">
        <v>43.39</v>
      </c>
      <c r="E3307" s="91" t="s">
        <v>144</v>
      </c>
    </row>
    <row r="3308" spans="1:5" x14ac:dyDescent="0.25">
      <c r="A3308" s="94">
        <v>46086</v>
      </c>
      <c r="B3308" s="95">
        <v>511673.81599999999</v>
      </c>
      <c r="C3308" s="95">
        <v>4786631.07</v>
      </c>
      <c r="D3308" s="95">
        <v>40.161999999999999</v>
      </c>
      <c r="E3308" s="91" t="s">
        <v>147</v>
      </c>
    </row>
    <row r="3309" spans="1:5" x14ac:dyDescent="0.25">
      <c r="A3309" s="94">
        <v>46086</v>
      </c>
      <c r="B3309" s="95">
        <v>511573.39899999998</v>
      </c>
      <c r="C3309" s="95">
        <v>4786684.3550000004</v>
      </c>
      <c r="D3309" s="95">
        <v>43.466999999999999</v>
      </c>
      <c r="E3309" s="91" t="s">
        <v>148</v>
      </c>
    </row>
    <row r="3310" spans="1:5" x14ac:dyDescent="0.25">
      <c r="A3310" s="94">
        <v>46086</v>
      </c>
      <c r="B3310" s="95">
        <v>511575.48499999999</v>
      </c>
      <c r="C3310" s="95">
        <v>4786688.227</v>
      </c>
      <c r="D3310" s="95">
        <v>43.426000000000002</v>
      </c>
      <c r="E3310" s="91" t="s">
        <v>149</v>
      </c>
    </row>
    <row r="3311" spans="1:5" x14ac:dyDescent="0.25">
      <c r="A3311" s="94">
        <v>46086</v>
      </c>
      <c r="B3311" s="95">
        <v>511577.685</v>
      </c>
      <c r="C3311" s="95">
        <v>4786692.2810000004</v>
      </c>
      <c r="D3311" s="95">
        <v>43.615000000000002</v>
      </c>
      <c r="E3311" s="91" t="s">
        <v>150</v>
      </c>
    </row>
    <row r="3312" spans="1:5" x14ac:dyDescent="0.25">
      <c r="A3312" s="94">
        <v>46086</v>
      </c>
      <c r="B3312" s="95">
        <v>511579.78600000002</v>
      </c>
      <c r="C3312" s="95">
        <v>4786696.1969999997</v>
      </c>
      <c r="D3312" s="95">
        <v>43.686999999999998</v>
      </c>
      <c r="E3312" s="91" t="s">
        <v>151</v>
      </c>
    </row>
    <row r="3313" spans="1:5" x14ac:dyDescent="0.25">
      <c r="A3313" s="94">
        <v>46086</v>
      </c>
      <c r="B3313" s="95">
        <v>511607.17700000003</v>
      </c>
      <c r="C3313" s="95">
        <v>4786690.8439999996</v>
      </c>
      <c r="D3313" s="95">
        <v>41.314</v>
      </c>
      <c r="E3313" s="91" t="s">
        <v>139</v>
      </c>
    </row>
    <row r="3314" spans="1:5" x14ac:dyDescent="0.25">
      <c r="A3314" s="94">
        <v>46086</v>
      </c>
      <c r="B3314" s="95">
        <v>511614.978</v>
      </c>
      <c r="C3314" s="95">
        <v>4786686.6109999996</v>
      </c>
      <c r="D3314" s="95">
        <v>41.441000000000003</v>
      </c>
      <c r="E3314" s="91" t="s">
        <v>140</v>
      </c>
    </row>
    <row r="3315" spans="1:5" x14ac:dyDescent="0.25">
      <c r="A3315" s="94">
        <v>46086</v>
      </c>
      <c r="B3315" s="95">
        <v>511628.82900000003</v>
      </c>
      <c r="C3315" s="95">
        <v>4786679.1409999998</v>
      </c>
      <c r="D3315" s="95">
        <v>41.372999999999998</v>
      </c>
      <c r="E3315" s="91" t="s">
        <v>141</v>
      </c>
    </row>
    <row r="3316" spans="1:5" x14ac:dyDescent="0.25">
      <c r="A3316" s="94">
        <v>46086</v>
      </c>
      <c r="B3316" s="95">
        <v>511641.99800000002</v>
      </c>
      <c r="C3316" s="95">
        <v>4786671.9419999998</v>
      </c>
      <c r="D3316" s="95">
        <v>41.51</v>
      </c>
      <c r="E3316" s="91" t="s">
        <v>142</v>
      </c>
    </row>
    <row r="3317" spans="1:5" x14ac:dyDescent="0.25">
      <c r="A3317" s="94">
        <v>46086</v>
      </c>
      <c r="B3317" s="95">
        <v>511648.77799999999</v>
      </c>
      <c r="C3317" s="95">
        <v>4786668.2630000003</v>
      </c>
      <c r="D3317" s="95">
        <v>41.308</v>
      </c>
      <c r="E3317" s="91" t="s">
        <v>143</v>
      </c>
    </row>
    <row r="3318" spans="1:5" x14ac:dyDescent="0.25">
      <c r="A3318" s="94">
        <v>46087</v>
      </c>
      <c r="B3318" s="95">
        <v>511615.09</v>
      </c>
      <c r="C3318" s="95">
        <v>4786687.977</v>
      </c>
      <c r="D3318" s="95">
        <v>51.027999999999999</v>
      </c>
      <c r="E3318" s="91" t="s">
        <v>96</v>
      </c>
    </row>
    <row r="3319" spans="1:5" x14ac:dyDescent="0.25">
      <c r="A3319" s="94">
        <v>46087</v>
      </c>
      <c r="B3319" s="95">
        <v>511628.875</v>
      </c>
      <c r="C3319" s="95">
        <v>4786680.6399999997</v>
      </c>
      <c r="D3319" s="95">
        <v>51.039000000000001</v>
      </c>
      <c r="E3319" s="91" t="s">
        <v>97</v>
      </c>
    </row>
    <row r="3320" spans="1:5" x14ac:dyDescent="0.25">
      <c r="A3320" s="94">
        <v>46087</v>
      </c>
      <c r="B3320" s="95">
        <v>511642.57500000001</v>
      </c>
      <c r="C3320" s="95">
        <v>4786673.3430000003</v>
      </c>
      <c r="D3320" s="95">
        <v>51.046999999999997</v>
      </c>
      <c r="E3320" s="91" t="s">
        <v>98</v>
      </c>
    </row>
    <row r="3321" spans="1:5" x14ac:dyDescent="0.25">
      <c r="A3321" s="94">
        <v>46087</v>
      </c>
      <c r="B3321" s="95">
        <v>511607.68900000001</v>
      </c>
      <c r="C3321" s="95">
        <v>4786691.4189999998</v>
      </c>
      <c r="D3321" s="95">
        <v>43.941000000000003</v>
      </c>
      <c r="E3321" s="91" t="s">
        <v>112</v>
      </c>
    </row>
    <row r="3322" spans="1:5" x14ac:dyDescent="0.25">
      <c r="A3322" s="94">
        <v>46087</v>
      </c>
      <c r="B3322" s="95">
        <v>511649.69900000002</v>
      </c>
      <c r="C3322" s="95">
        <v>4786682.1550000003</v>
      </c>
      <c r="D3322" s="95">
        <v>56.186999999999998</v>
      </c>
      <c r="E3322" s="91" t="s">
        <v>89</v>
      </c>
    </row>
    <row r="3323" spans="1:5" x14ac:dyDescent="0.25">
      <c r="A3323" s="94">
        <v>46087</v>
      </c>
      <c r="B3323" s="95">
        <v>511630.75900000002</v>
      </c>
      <c r="C3323" s="95">
        <v>4786689.8569999998</v>
      </c>
      <c r="D3323" s="95">
        <v>55.948</v>
      </c>
      <c r="E3323" s="91" t="s">
        <v>90</v>
      </c>
    </row>
    <row r="3324" spans="1:5" x14ac:dyDescent="0.25">
      <c r="A3324" s="94">
        <v>46087</v>
      </c>
      <c r="B3324" s="95">
        <v>511623.429</v>
      </c>
      <c r="C3324" s="95">
        <v>4786694.0719999997</v>
      </c>
      <c r="D3324" s="95">
        <v>54.78</v>
      </c>
      <c r="E3324" s="91" t="s">
        <v>91</v>
      </c>
    </row>
    <row r="3325" spans="1:5" x14ac:dyDescent="0.25">
      <c r="A3325" s="94">
        <v>46087</v>
      </c>
      <c r="B3325" s="95">
        <v>511613.31099999999</v>
      </c>
      <c r="C3325" s="95">
        <v>4786695.3020000001</v>
      </c>
      <c r="D3325" s="95">
        <v>60.567999999999998</v>
      </c>
      <c r="E3325" s="91" t="s">
        <v>92</v>
      </c>
    </row>
    <row r="3326" spans="1:5" x14ac:dyDescent="0.25">
      <c r="A3326" s="94">
        <v>46087</v>
      </c>
      <c r="B3326" s="95">
        <v>511614.75</v>
      </c>
      <c r="C3326" s="95">
        <v>4786712.5559999999</v>
      </c>
      <c r="D3326" s="95">
        <v>60.820999999999998</v>
      </c>
      <c r="E3326" s="91" t="s">
        <v>93</v>
      </c>
    </row>
    <row r="3327" spans="1:5" x14ac:dyDescent="0.25">
      <c r="A3327" s="94">
        <v>46087</v>
      </c>
      <c r="B3327" s="95">
        <v>511660.66399999999</v>
      </c>
      <c r="C3327" s="95">
        <v>4786683.466</v>
      </c>
      <c r="D3327" s="95">
        <v>55.404000000000003</v>
      </c>
      <c r="E3327" s="91" t="s">
        <v>94</v>
      </c>
    </row>
    <row r="3328" spans="1:5" x14ac:dyDescent="0.25">
      <c r="A3328" s="94">
        <v>46087</v>
      </c>
      <c r="B3328" s="95">
        <v>511670.875</v>
      </c>
      <c r="C3328" s="95">
        <v>4786685.9179999996</v>
      </c>
      <c r="D3328" s="95">
        <v>54.819000000000003</v>
      </c>
      <c r="E3328" s="91" t="s">
        <v>95</v>
      </c>
    </row>
    <row r="3329" spans="1:5" x14ac:dyDescent="0.25">
      <c r="A3329" s="94">
        <v>46087</v>
      </c>
      <c r="B3329" s="95">
        <v>511649.79100000003</v>
      </c>
      <c r="C3329" s="95">
        <v>4786669.483</v>
      </c>
      <c r="D3329" s="95">
        <v>51.051000000000002</v>
      </c>
      <c r="E3329" s="91" t="s">
        <v>99</v>
      </c>
    </row>
    <row r="3330" spans="1:5" x14ac:dyDescent="0.25">
      <c r="A3330" s="94">
        <v>46087</v>
      </c>
      <c r="B3330" s="95">
        <v>511607.54499999998</v>
      </c>
      <c r="C3330" s="95">
        <v>4786691.9749999996</v>
      </c>
      <c r="D3330" s="95">
        <v>51.048999999999999</v>
      </c>
      <c r="E3330" s="91" t="s">
        <v>100</v>
      </c>
    </row>
    <row r="3331" spans="1:5" x14ac:dyDescent="0.25">
      <c r="A3331" s="94">
        <v>46087</v>
      </c>
      <c r="B3331" s="95">
        <v>511607.261</v>
      </c>
      <c r="C3331" s="95">
        <v>4786692.1670000004</v>
      </c>
      <c r="D3331" s="95">
        <v>51.05</v>
      </c>
      <c r="E3331" s="91" t="s">
        <v>101</v>
      </c>
    </row>
    <row r="3332" spans="1:5" x14ac:dyDescent="0.25">
      <c r="A3332" s="94">
        <v>46087</v>
      </c>
      <c r="B3332" s="95">
        <v>511615.24599999998</v>
      </c>
      <c r="C3332" s="95">
        <v>4786687.4249999998</v>
      </c>
      <c r="D3332" s="95">
        <v>48.444000000000003</v>
      </c>
      <c r="E3332" s="91" t="s">
        <v>103</v>
      </c>
    </row>
    <row r="3333" spans="1:5" x14ac:dyDescent="0.25">
      <c r="A3333" s="94">
        <v>46087</v>
      </c>
      <c r="B3333" s="95">
        <v>511615.21899999998</v>
      </c>
      <c r="C3333" s="95">
        <v>4786687.3490000004</v>
      </c>
      <c r="D3333" s="95">
        <v>45.936999999999998</v>
      </c>
      <c r="E3333" s="91" t="s">
        <v>104</v>
      </c>
    </row>
    <row r="3334" spans="1:5" x14ac:dyDescent="0.25">
      <c r="A3334" s="94">
        <v>46087</v>
      </c>
      <c r="B3334" s="95">
        <v>511629.18</v>
      </c>
      <c r="C3334" s="95">
        <v>4786680.057</v>
      </c>
      <c r="D3334" s="95">
        <v>48.463000000000001</v>
      </c>
      <c r="E3334" s="91" t="s">
        <v>105</v>
      </c>
    </row>
    <row r="3335" spans="1:5" x14ac:dyDescent="0.25">
      <c r="A3335" s="94">
        <v>46087</v>
      </c>
      <c r="B3335" s="95">
        <v>511629.30200000003</v>
      </c>
      <c r="C3335" s="95">
        <v>4786680.0190000003</v>
      </c>
      <c r="D3335" s="95">
        <v>45.945</v>
      </c>
      <c r="E3335" s="91" t="s">
        <v>106</v>
      </c>
    </row>
    <row r="3336" spans="1:5" x14ac:dyDescent="0.25">
      <c r="A3336" s="94">
        <v>46087</v>
      </c>
      <c r="B3336" s="95">
        <v>511642.27899999998</v>
      </c>
      <c r="C3336" s="95">
        <v>4786673.1160000004</v>
      </c>
      <c r="D3336" s="95">
        <v>48.442999999999998</v>
      </c>
      <c r="E3336" s="91" t="s">
        <v>107</v>
      </c>
    </row>
    <row r="3337" spans="1:5" x14ac:dyDescent="0.25">
      <c r="A3337" s="94">
        <v>46087</v>
      </c>
      <c r="B3337" s="95">
        <v>511662.30900000001</v>
      </c>
      <c r="C3337" s="95">
        <v>4786606.8789999997</v>
      </c>
      <c r="D3337" s="95">
        <v>46.238</v>
      </c>
      <c r="E3337" s="91" t="s">
        <v>145</v>
      </c>
    </row>
    <row r="3338" spans="1:5" x14ac:dyDescent="0.25">
      <c r="A3338" s="94">
        <v>46087</v>
      </c>
      <c r="B3338" s="95">
        <v>511662.15100000001</v>
      </c>
      <c r="C3338" s="95">
        <v>4786607.0530000003</v>
      </c>
      <c r="D3338" s="95">
        <v>44.679000000000002</v>
      </c>
      <c r="E3338" s="91" t="s">
        <v>146</v>
      </c>
    </row>
    <row r="3339" spans="1:5" x14ac:dyDescent="0.25">
      <c r="A3339" s="94">
        <v>46087</v>
      </c>
      <c r="B3339" s="95">
        <v>511673.81699999998</v>
      </c>
      <c r="C3339" s="95">
        <v>4786631.074</v>
      </c>
      <c r="D3339" s="95">
        <v>40.158000000000001</v>
      </c>
      <c r="E3339" s="91" t="s">
        <v>147</v>
      </c>
    </row>
    <row r="3340" spans="1:5" x14ac:dyDescent="0.25">
      <c r="A3340" s="94">
        <v>46087</v>
      </c>
      <c r="B3340" s="95">
        <v>511573.39500000002</v>
      </c>
      <c r="C3340" s="95">
        <v>4786684.3559999997</v>
      </c>
      <c r="D3340" s="95">
        <v>43.466000000000001</v>
      </c>
      <c r="E3340" s="91" t="s">
        <v>148</v>
      </c>
    </row>
    <row r="3341" spans="1:5" x14ac:dyDescent="0.25">
      <c r="A3341" s="94">
        <v>46087</v>
      </c>
      <c r="B3341" s="95">
        <v>511575.48100000003</v>
      </c>
      <c r="C3341" s="95">
        <v>4786688.2290000003</v>
      </c>
      <c r="D3341" s="95">
        <v>43.424999999999997</v>
      </c>
      <c r="E3341" s="91" t="s">
        <v>149</v>
      </c>
    </row>
    <row r="3342" spans="1:5" x14ac:dyDescent="0.25">
      <c r="A3342" s="94">
        <v>46087</v>
      </c>
      <c r="B3342" s="95">
        <v>511577.68</v>
      </c>
      <c r="C3342" s="95">
        <v>4786692.2819999997</v>
      </c>
      <c r="D3342" s="95">
        <v>43.613999999999997</v>
      </c>
      <c r="E3342" s="91" t="s">
        <v>150</v>
      </c>
    </row>
    <row r="3343" spans="1:5" x14ac:dyDescent="0.25">
      <c r="A3343" s="94">
        <v>46087</v>
      </c>
      <c r="B3343" s="95">
        <v>511579.78200000001</v>
      </c>
      <c r="C3343" s="95">
        <v>4786696.199</v>
      </c>
      <c r="D3343" s="95">
        <v>43.686</v>
      </c>
      <c r="E3343" s="91" t="s">
        <v>151</v>
      </c>
    </row>
    <row r="3344" spans="1:5" x14ac:dyDescent="0.25">
      <c r="A3344" s="94">
        <v>46087</v>
      </c>
      <c r="B3344" s="95">
        <v>511607.17499999999</v>
      </c>
      <c r="C3344" s="95">
        <v>4786690.8490000004</v>
      </c>
      <c r="D3344" s="95">
        <v>41.311999999999998</v>
      </c>
      <c r="E3344" s="91" t="s">
        <v>139</v>
      </c>
    </row>
    <row r="3345" spans="1:5" x14ac:dyDescent="0.25">
      <c r="A3345" s="94">
        <v>46087</v>
      </c>
      <c r="B3345" s="95">
        <v>511614.97499999998</v>
      </c>
      <c r="C3345" s="95">
        <v>4786686.6140000001</v>
      </c>
      <c r="D3345" s="95">
        <v>41.441000000000003</v>
      </c>
      <c r="E3345" s="91" t="s">
        <v>140</v>
      </c>
    </row>
    <row r="3346" spans="1:5" x14ac:dyDescent="0.25">
      <c r="A3346" s="94">
        <v>46087</v>
      </c>
      <c r="B3346" s="95">
        <v>511628.82699999999</v>
      </c>
      <c r="C3346" s="95">
        <v>4786679.1459999997</v>
      </c>
      <c r="D3346" s="95">
        <v>41.372999999999998</v>
      </c>
      <c r="E3346" s="91" t="s">
        <v>141</v>
      </c>
    </row>
    <row r="3347" spans="1:5" x14ac:dyDescent="0.25">
      <c r="A3347" s="94">
        <v>46087</v>
      </c>
      <c r="B3347" s="95">
        <v>511641.99699999997</v>
      </c>
      <c r="C3347" s="95">
        <v>4786671.9469999997</v>
      </c>
      <c r="D3347" s="95">
        <v>41.509</v>
      </c>
      <c r="E3347" s="91" t="s">
        <v>142</v>
      </c>
    </row>
    <row r="3348" spans="1:5" x14ac:dyDescent="0.25">
      <c r="A3348" s="94">
        <v>46087</v>
      </c>
      <c r="B3348" s="95">
        <v>511648.777</v>
      </c>
      <c r="C3348" s="95">
        <v>4786668.2680000002</v>
      </c>
      <c r="D3348" s="95">
        <v>41.308</v>
      </c>
      <c r="E3348" s="91" t="s">
        <v>143</v>
      </c>
    </row>
    <row r="3349" spans="1:5" x14ac:dyDescent="0.25">
      <c r="A3349" s="94">
        <v>46090</v>
      </c>
      <c r="B3349" s="95">
        <v>511615.08899999998</v>
      </c>
      <c r="C3349" s="95">
        <v>4786687.9759999998</v>
      </c>
      <c r="D3349" s="95">
        <v>51.029000000000003</v>
      </c>
      <c r="E3349" s="91" t="s">
        <v>96</v>
      </c>
    </row>
    <row r="3350" spans="1:5" x14ac:dyDescent="0.25">
      <c r="A3350" s="94">
        <v>46090</v>
      </c>
      <c r="B3350" s="95">
        <v>511628.875</v>
      </c>
      <c r="C3350" s="95">
        <v>4786680.6390000004</v>
      </c>
      <c r="D3350" s="95">
        <v>51.04</v>
      </c>
      <c r="E3350" s="91" t="s">
        <v>97</v>
      </c>
    </row>
    <row r="3351" spans="1:5" x14ac:dyDescent="0.25">
      <c r="A3351" s="94">
        <v>46090</v>
      </c>
      <c r="B3351" s="95">
        <v>511642.576</v>
      </c>
      <c r="C3351" s="95">
        <v>4786673.3420000002</v>
      </c>
      <c r="D3351" s="95">
        <v>51.048999999999999</v>
      </c>
      <c r="E3351" s="91" t="s">
        <v>98</v>
      </c>
    </row>
    <row r="3352" spans="1:5" x14ac:dyDescent="0.25">
      <c r="A3352" s="94">
        <v>46090</v>
      </c>
      <c r="B3352" s="95">
        <v>511607.69099999999</v>
      </c>
      <c r="C3352" s="95">
        <v>4786691.4129999997</v>
      </c>
      <c r="D3352" s="95">
        <v>43.942999999999998</v>
      </c>
      <c r="E3352" s="91" t="s">
        <v>112</v>
      </c>
    </row>
    <row r="3353" spans="1:5" x14ac:dyDescent="0.25">
      <c r="A3353" s="94">
        <v>46090</v>
      </c>
      <c r="B3353" s="95">
        <v>511629.40899999999</v>
      </c>
      <c r="C3353" s="95">
        <v>4786679.9029999999</v>
      </c>
      <c r="D3353" s="95">
        <v>43.945</v>
      </c>
      <c r="E3353" s="91" t="s">
        <v>109</v>
      </c>
    </row>
    <row r="3354" spans="1:5" x14ac:dyDescent="0.25">
      <c r="A3354" s="94">
        <v>46090</v>
      </c>
      <c r="B3354" s="95">
        <v>511649.69900000002</v>
      </c>
      <c r="C3354" s="95">
        <v>4786682.1550000003</v>
      </c>
      <c r="D3354" s="95">
        <v>56.189</v>
      </c>
      <c r="E3354" s="91" t="s">
        <v>89</v>
      </c>
    </row>
    <row r="3355" spans="1:5" x14ac:dyDescent="0.25">
      <c r="A3355" s="94">
        <v>46090</v>
      </c>
      <c r="B3355" s="95">
        <v>511630.75599999999</v>
      </c>
      <c r="C3355" s="95">
        <v>4786689.8550000004</v>
      </c>
      <c r="D3355" s="95">
        <v>55.95</v>
      </c>
      <c r="E3355" s="91" t="s">
        <v>90</v>
      </c>
    </row>
    <row r="3356" spans="1:5" x14ac:dyDescent="0.25">
      <c r="A3356" s="94">
        <v>46090</v>
      </c>
      <c r="B3356" s="95">
        <v>511623.429</v>
      </c>
      <c r="C3356" s="95">
        <v>4786694.0710000005</v>
      </c>
      <c r="D3356" s="95">
        <v>54.780999999999999</v>
      </c>
      <c r="E3356" s="91" t="s">
        <v>91</v>
      </c>
    </row>
    <row r="3357" spans="1:5" x14ac:dyDescent="0.25">
      <c r="A3357" s="94">
        <v>46090</v>
      </c>
      <c r="B3357" s="95">
        <v>511613.30900000001</v>
      </c>
      <c r="C3357" s="95">
        <v>4786695.3</v>
      </c>
      <c r="D3357" s="95">
        <v>60.569000000000003</v>
      </c>
      <c r="E3357" s="91" t="s">
        <v>92</v>
      </c>
    </row>
    <row r="3358" spans="1:5" x14ac:dyDescent="0.25">
      <c r="A3358" s="94">
        <v>46090</v>
      </c>
      <c r="B3358" s="95">
        <v>511614.75099999999</v>
      </c>
      <c r="C3358" s="95">
        <v>4786712.5559999999</v>
      </c>
      <c r="D3358" s="95">
        <v>60.823</v>
      </c>
      <c r="E3358" s="91" t="s">
        <v>93</v>
      </c>
    </row>
    <row r="3359" spans="1:5" x14ac:dyDescent="0.25">
      <c r="A3359" s="94">
        <v>46090</v>
      </c>
      <c r="B3359" s="95">
        <v>511660.663</v>
      </c>
      <c r="C3359" s="95">
        <v>4786683.4649999999</v>
      </c>
      <c r="D3359" s="95">
        <v>55.406999999999996</v>
      </c>
      <c r="E3359" s="91" t="s">
        <v>94</v>
      </c>
    </row>
    <row r="3360" spans="1:5" x14ac:dyDescent="0.25">
      <c r="A3360" s="94">
        <v>46090</v>
      </c>
      <c r="B3360" s="95">
        <v>511670.87300000002</v>
      </c>
      <c r="C3360" s="95">
        <v>4786685.9170000004</v>
      </c>
      <c r="D3360" s="95">
        <v>54.822000000000003</v>
      </c>
      <c r="E3360" s="91" t="s">
        <v>95</v>
      </c>
    </row>
    <row r="3361" spans="1:5" x14ac:dyDescent="0.25">
      <c r="A3361" s="94">
        <v>46090</v>
      </c>
      <c r="B3361" s="95">
        <v>511649.788</v>
      </c>
      <c r="C3361" s="95">
        <v>4786669.483</v>
      </c>
      <c r="D3361" s="95">
        <v>51.052</v>
      </c>
      <c r="E3361" s="91" t="s">
        <v>99</v>
      </c>
    </row>
    <row r="3362" spans="1:5" x14ac:dyDescent="0.25">
      <c r="A3362" s="94">
        <v>46090</v>
      </c>
      <c r="B3362" s="95">
        <v>511607.26</v>
      </c>
      <c r="C3362" s="95">
        <v>4786692.1660000002</v>
      </c>
      <c r="D3362" s="95">
        <v>51.051000000000002</v>
      </c>
      <c r="E3362" s="91" t="s">
        <v>101</v>
      </c>
    </row>
    <row r="3363" spans="1:5" x14ac:dyDescent="0.25">
      <c r="A3363" s="94">
        <v>46090</v>
      </c>
      <c r="B3363" s="95">
        <v>511601.11</v>
      </c>
      <c r="C3363" s="95">
        <v>4786695.4119999995</v>
      </c>
      <c r="D3363" s="95">
        <v>51.042000000000002</v>
      </c>
      <c r="E3363" s="91" t="s">
        <v>102</v>
      </c>
    </row>
    <row r="3364" spans="1:5" x14ac:dyDescent="0.25">
      <c r="A3364" s="94">
        <v>46090</v>
      </c>
      <c r="B3364" s="95">
        <v>511615.245</v>
      </c>
      <c r="C3364" s="95">
        <v>4786687.4239999996</v>
      </c>
      <c r="D3364" s="95">
        <v>48.445</v>
      </c>
      <c r="E3364" s="91" t="s">
        <v>103</v>
      </c>
    </row>
    <row r="3365" spans="1:5" x14ac:dyDescent="0.25">
      <c r="A3365" s="94">
        <v>46090</v>
      </c>
      <c r="B3365" s="95">
        <v>511615.21799999999</v>
      </c>
      <c r="C3365" s="95">
        <v>4786687.3470000001</v>
      </c>
      <c r="D3365" s="95">
        <v>45.938000000000002</v>
      </c>
      <c r="E3365" s="91" t="s">
        <v>104</v>
      </c>
    </row>
    <row r="3366" spans="1:5" x14ac:dyDescent="0.25">
      <c r="A3366" s="94">
        <v>46090</v>
      </c>
      <c r="B3366" s="95">
        <v>511615.16700000002</v>
      </c>
      <c r="C3366" s="95">
        <v>4786687.3760000002</v>
      </c>
      <c r="D3366" s="95">
        <v>43.957000000000001</v>
      </c>
      <c r="E3366" s="91" t="s">
        <v>110</v>
      </c>
    </row>
    <row r="3367" spans="1:5" x14ac:dyDescent="0.25">
      <c r="A3367" s="94">
        <v>46090</v>
      </c>
      <c r="B3367" s="95">
        <v>511629.17800000001</v>
      </c>
      <c r="C3367" s="95">
        <v>4786680.0559999999</v>
      </c>
      <c r="D3367" s="95">
        <v>48.463000000000001</v>
      </c>
      <c r="E3367" s="91" t="s">
        <v>105</v>
      </c>
    </row>
    <row r="3368" spans="1:5" x14ac:dyDescent="0.25">
      <c r="A3368" s="94">
        <v>46090</v>
      </c>
      <c r="B3368" s="95">
        <v>511629.3</v>
      </c>
      <c r="C3368" s="95">
        <v>4786680.017</v>
      </c>
      <c r="D3368" s="95">
        <v>45.945999999999998</v>
      </c>
      <c r="E3368" s="91" t="s">
        <v>106</v>
      </c>
    </row>
    <row r="3369" spans="1:5" x14ac:dyDescent="0.25">
      <c r="A3369" s="94">
        <v>46090</v>
      </c>
      <c r="B3369" s="95">
        <v>511642.27799999999</v>
      </c>
      <c r="C3369" s="95">
        <v>4786673.1150000002</v>
      </c>
      <c r="D3369" s="95">
        <v>48.445</v>
      </c>
      <c r="E3369" s="91" t="s">
        <v>107</v>
      </c>
    </row>
    <row r="3370" spans="1:5" x14ac:dyDescent="0.25">
      <c r="A3370" s="94">
        <v>46090</v>
      </c>
      <c r="B3370" s="95">
        <v>511642.43199999997</v>
      </c>
      <c r="C3370" s="95">
        <v>4786673.0039999997</v>
      </c>
      <c r="D3370" s="95">
        <v>45.94</v>
      </c>
      <c r="E3370" s="91" t="s">
        <v>108</v>
      </c>
    </row>
    <row r="3371" spans="1:5" x14ac:dyDescent="0.25">
      <c r="A3371" s="94">
        <v>46090</v>
      </c>
      <c r="B3371" s="95">
        <v>511642.46399999998</v>
      </c>
      <c r="C3371" s="95">
        <v>4786672.8990000002</v>
      </c>
      <c r="D3371" s="95">
        <v>43.966000000000001</v>
      </c>
      <c r="E3371" s="91" t="s">
        <v>111</v>
      </c>
    </row>
    <row r="3372" spans="1:5" x14ac:dyDescent="0.25">
      <c r="A3372" s="94">
        <v>46090</v>
      </c>
      <c r="B3372" s="95">
        <v>511649.12300000002</v>
      </c>
      <c r="C3372" s="95">
        <v>4786669.3969999999</v>
      </c>
      <c r="D3372" s="95">
        <v>43.945</v>
      </c>
      <c r="E3372" s="91" t="s">
        <v>113</v>
      </c>
    </row>
    <row r="3373" spans="1:5" x14ac:dyDescent="0.25">
      <c r="A3373" s="94">
        <v>46090</v>
      </c>
      <c r="B3373" s="95">
        <v>511662.30499999999</v>
      </c>
      <c r="C3373" s="95">
        <v>4786606.8739999998</v>
      </c>
      <c r="D3373" s="95">
        <v>46.238999999999997</v>
      </c>
      <c r="E3373" s="91" t="s">
        <v>145</v>
      </c>
    </row>
    <row r="3374" spans="1:5" x14ac:dyDescent="0.25">
      <c r="A3374" s="94">
        <v>46090</v>
      </c>
      <c r="B3374" s="95">
        <v>511662.14799999999</v>
      </c>
      <c r="C3374" s="95">
        <v>4786607.0470000003</v>
      </c>
      <c r="D3374" s="95">
        <v>44.680999999999997</v>
      </c>
      <c r="E3374" s="91" t="s">
        <v>146</v>
      </c>
    </row>
    <row r="3375" spans="1:5" x14ac:dyDescent="0.25">
      <c r="A3375" s="94">
        <v>46090</v>
      </c>
      <c r="B3375" s="95">
        <v>511662.06199999998</v>
      </c>
      <c r="C3375" s="95">
        <v>4786607.1399999997</v>
      </c>
      <c r="D3375" s="95">
        <v>43.39</v>
      </c>
      <c r="E3375" s="91" t="s">
        <v>144</v>
      </c>
    </row>
    <row r="3376" spans="1:5" x14ac:dyDescent="0.25">
      <c r="A3376" s="94">
        <v>46090</v>
      </c>
      <c r="B3376" s="95">
        <v>511673.81599999999</v>
      </c>
      <c r="C3376" s="95">
        <v>4786631.068</v>
      </c>
      <c r="D3376" s="95">
        <v>40.159999999999997</v>
      </c>
      <c r="E3376" s="91" t="s">
        <v>147</v>
      </c>
    </row>
    <row r="3377" spans="1:5" x14ac:dyDescent="0.25">
      <c r="A3377" s="94">
        <v>46090</v>
      </c>
      <c r="B3377" s="95">
        <v>511573.39799999999</v>
      </c>
      <c r="C3377" s="95">
        <v>4786684.3550000004</v>
      </c>
      <c r="D3377" s="95">
        <v>43.466999999999999</v>
      </c>
      <c r="E3377" s="91" t="s">
        <v>148</v>
      </c>
    </row>
    <row r="3378" spans="1:5" x14ac:dyDescent="0.25">
      <c r="A3378" s="94">
        <v>46090</v>
      </c>
      <c r="B3378" s="95">
        <v>511575.484</v>
      </c>
      <c r="C3378" s="95">
        <v>4786688.227</v>
      </c>
      <c r="D3378" s="95">
        <v>43.426000000000002</v>
      </c>
      <c r="E3378" s="91" t="s">
        <v>149</v>
      </c>
    </row>
    <row r="3379" spans="1:5" x14ac:dyDescent="0.25">
      <c r="A3379" s="94">
        <v>46090</v>
      </c>
      <c r="B3379" s="95">
        <v>511577.68300000002</v>
      </c>
      <c r="C3379" s="95">
        <v>4786692.2810000004</v>
      </c>
      <c r="D3379" s="95">
        <v>43.613999999999997</v>
      </c>
      <c r="E3379" s="91" t="s">
        <v>150</v>
      </c>
    </row>
    <row r="3380" spans="1:5" x14ac:dyDescent="0.25">
      <c r="A3380" s="94">
        <v>46090</v>
      </c>
      <c r="B3380" s="95">
        <v>511579.78600000002</v>
      </c>
      <c r="C3380" s="95">
        <v>4786696.1969999997</v>
      </c>
      <c r="D3380" s="95">
        <v>43.686999999999998</v>
      </c>
      <c r="E3380" s="91" t="s">
        <v>151</v>
      </c>
    </row>
    <row r="3381" spans="1:5" x14ac:dyDescent="0.25">
      <c r="A3381" s="94">
        <v>46090</v>
      </c>
      <c r="B3381" s="95">
        <v>511607.17599999998</v>
      </c>
      <c r="C3381" s="95">
        <v>4786690.8449999997</v>
      </c>
      <c r="D3381" s="95">
        <v>41.314</v>
      </c>
      <c r="E3381" s="91" t="s">
        <v>139</v>
      </c>
    </row>
    <row r="3382" spans="1:5" x14ac:dyDescent="0.25">
      <c r="A3382" s="94">
        <v>46090</v>
      </c>
      <c r="B3382" s="95">
        <v>511614.978</v>
      </c>
      <c r="C3382" s="95">
        <v>4786686.6109999996</v>
      </c>
      <c r="D3382" s="95">
        <v>41.441000000000003</v>
      </c>
      <c r="E3382" s="91" t="s">
        <v>140</v>
      </c>
    </row>
    <row r="3383" spans="1:5" x14ac:dyDescent="0.25">
      <c r="A3383" s="94">
        <v>46090</v>
      </c>
      <c r="B3383" s="95">
        <v>511628.82799999998</v>
      </c>
      <c r="C3383" s="95">
        <v>4786679.142</v>
      </c>
      <c r="D3383" s="95">
        <v>41.374000000000002</v>
      </c>
      <c r="E3383" s="91" t="s">
        <v>141</v>
      </c>
    </row>
    <row r="3384" spans="1:5" x14ac:dyDescent="0.25">
      <c r="A3384" s="94">
        <v>46090</v>
      </c>
      <c r="B3384" s="95">
        <v>511641.99699999997</v>
      </c>
      <c r="C3384" s="95">
        <v>4786671.9419999998</v>
      </c>
      <c r="D3384" s="95">
        <v>41.51</v>
      </c>
      <c r="E3384" s="91" t="s">
        <v>142</v>
      </c>
    </row>
    <row r="3385" spans="1:5" x14ac:dyDescent="0.25">
      <c r="A3385" s="94">
        <v>46090</v>
      </c>
      <c r="B3385" s="95">
        <v>511648.77799999999</v>
      </c>
      <c r="C3385" s="95">
        <v>4786668.2630000003</v>
      </c>
      <c r="D3385" s="95">
        <v>41.308</v>
      </c>
      <c r="E3385" s="91" t="s">
        <v>143</v>
      </c>
    </row>
    <row r="3386" spans="1:5" x14ac:dyDescent="0.25">
      <c r="A3386" s="84">
        <v>46091</v>
      </c>
      <c r="B3386" s="96">
        <v>511615.20799999998</v>
      </c>
      <c r="C3386" s="96">
        <v>4786687.3569999998</v>
      </c>
      <c r="D3386" s="96">
        <v>45.932000000000002</v>
      </c>
      <c r="E3386" s="96" t="s">
        <v>104</v>
      </c>
    </row>
    <row r="3387" spans="1:5" x14ac:dyDescent="0.25">
      <c r="A3387" s="84">
        <v>46091</v>
      </c>
      <c r="B3387" s="96">
        <v>511615.16100000002</v>
      </c>
      <c r="C3387" s="96">
        <v>4786687.3810000001</v>
      </c>
      <c r="D3387" s="96">
        <v>43.957000000000001</v>
      </c>
      <c r="E3387" s="96" t="s">
        <v>110</v>
      </c>
    </row>
    <row r="3388" spans="1:5" x14ac:dyDescent="0.25">
      <c r="A3388" s="84">
        <v>46091</v>
      </c>
      <c r="B3388" s="96">
        <v>511629.16600000003</v>
      </c>
      <c r="C3388" s="96">
        <v>4786680.0659999996</v>
      </c>
      <c r="D3388" s="96">
        <v>48.457999999999998</v>
      </c>
      <c r="E3388" s="96" t="s">
        <v>105</v>
      </c>
    </row>
    <row r="3389" spans="1:5" x14ac:dyDescent="0.25">
      <c r="A3389" s="84">
        <v>46091</v>
      </c>
      <c r="B3389" s="96">
        <v>511629.28899999999</v>
      </c>
      <c r="C3389" s="96">
        <v>4786680.0290000001</v>
      </c>
      <c r="D3389" s="96">
        <v>45.941000000000003</v>
      </c>
      <c r="E3389" s="96" t="s">
        <v>106</v>
      </c>
    </row>
    <row r="3390" spans="1:5" x14ac:dyDescent="0.25">
      <c r="A3390" s="84">
        <v>46091</v>
      </c>
      <c r="B3390" s="96">
        <v>511642.26699999999</v>
      </c>
      <c r="C3390" s="96">
        <v>4786673.1289999997</v>
      </c>
      <c r="D3390" s="96">
        <v>48.439</v>
      </c>
      <c r="E3390" s="96" t="s">
        <v>107</v>
      </c>
    </row>
    <row r="3391" spans="1:5" x14ac:dyDescent="0.25">
      <c r="A3391" s="84">
        <v>46091</v>
      </c>
      <c r="B3391" s="96">
        <v>511642.41899999999</v>
      </c>
      <c r="C3391" s="96">
        <v>4786673.0180000002</v>
      </c>
      <c r="D3391" s="96">
        <v>45.933999999999997</v>
      </c>
      <c r="E3391" s="96" t="s">
        <v>108</v>
      </c>
    </row>
    <row r="3392" spans="1:5" x14ac:dyDescent="0.25">
      <c r="A3392" s="84">
        <v>46091</v>
      </c>
      <c r="B3392" s="96">
        <v>511642.45899999997</v>
      </c>
      <c r="C3392" s="96">
        <v>4786672.9050000003</v>
      </c>
      <c r="D3392" s="96">
        <v>43.966000000000001</v>
      </c>
      <c r="E3392" s="96" t="s">
        <v>111</v>
      </c>
    </row>
    <row r="3393" spans="1:5" x14ac:dyDescent="0.25">
      <c r="A3393" s="84">
        <v>46091</v>
      </c>
      <c r="B3393" s="96">
        <v>511649.11800000002</v>
      </c>
      <c r="C3393" s="96">
        <v>4786669.4029999999</v>
      </c>
      <c r="D3393" s="96">
        <v>43.945999999999998</v>
      </c>
      <c r="E3393" s="96" t="s">
        <v>113</v>
      </c>
    </row>
    <row r="3394" spans="1:5" x14ac:dyDescent="0.25">
      <c r="A3394" s="84">
        <v>46091</v>
      </c>
      <c r="B3394" s="96">
        <v>511673.81300000002</v>
      </c>
      <c r="C3394" s="96">
        <v>4786631.0769999996</v>
      </c>
      <c r="D3394" s="96">
        <v>40.159999999999997</v>
      </c>
      <c r="E3394" s="96" t="s">
        <v>147</v>
      </c>
    </row>
    <row r="3395" spans="1:5" x14ac:dyDescent="0.25">
      <c r="A3395" s="84">
        <v>46091</v>
      </c>
      <c r="B3395" s="96">
        <v>511573.39199999999</v>
      </c>
      <c r="C3395" s="96">
        <v>4786684.3559999997</v>
      </c>
      <c r="D3395" s="96">
        <v>43.466999999999999</v>
      </c>
      <c r="E3395" s="96" t="s">
        <v>148</v>
      </c>
    </row>
    <row r="3396" spans="1:5" x14ac:dyDescent="0.25">
      <c r="A3396" s="84">
        <v>46091</v>
      </c>
      <c r="B3396" s="96">
        <v>511575.47700000001</v>
      </c>
      <c r="C3396" s="96">
        <v>4786688.2300000004</v>
      </c>
      <c r="D3396" s="96">
        <v>43.426000000000002</v>
      </c>
      <c r="E3396" s="96" t="s">
        <v>149</v>
      </c>
    </row>
    <row r="3397" spans="1:5" x14ac:dyDescent="0.25">
      <c r="A3397" s="84">
        <v>46091</v>
      </c>
      <c r="B3397" s="96">
        <v>511577.67700000003</v>
      </c>
      <c r="C3397" s="96">
        <v>4786692.2829999998</v>
      </c>
      <c r="D3397" s="96">
        <v>43.615000000000002</v>
      </c>
      <c r="E3397" s="96" t="s">
        <v>150</v>
      </c>
    </row>
    <row r="3398" spans="1:5" x14ac:dyDescent="0.25">
      <c r="A3398" s="84">
        <v>46091</v>
      </c>
      <c r="B3398" s="96">
        <v>511579.77899999998</v>
      </c>
      <c r="C3398" s="96">
        <v>4786696.199</v>
      </c>
      <c r="D3398" s="96">
        <v>43.686999999999998</v>
      </c>
      <c r="E3398" s="96" t="s">
        <v>151</v>
      </c>
    </row>
    <row r="3399" spans="1:5" x14ac:dyDescent="0.25">
      <c r="A3399" s="84">
        <v>46091</v>
      </c>
      <c r="B3399" s="96">
        <v>511607.17</v>
      </c>
      <c r="C3399" s="96">
        <v>4786690.8480000002</v>
      </c>
      <c r="D3399" s="96">
        <v>41.314</v>
      </c>
      <c r="E3399" s="96" t="s">
        <v>139</v>
      </c>
    </row>
    <row r="3400" spans="1:5" x14ac:dyDescent="0.25">
      <c r="A3400" s="84">
        <v>46091</v>
      </c>
      <c r="B3400" s="96">
        <v>511614.97200000001</v>
      </c>
      <c r="C3400" s="96">
        <v>4786686.6160000004</v>
      </c>
      <c r="D3400" s="96">
        <v>41.442</v>
      </c>
      <c r="E3400" s="96" t="s">
        <v>140</v>
      </c>
    </row>
    <row r="3401" spans="1:5" x14ac:dyDescent="0.25">
      <c r="A3401" s="84">
        <v>46091</v>
      </c>
      <c r="B3401" s="96">
        <v>511628.821</v>
      </c>
      <c r="C3401" s="96">
        <v>4786679.1459999997</v>
      </c>
      <c r="D3401" s="96">
        <v>41.374000000000002</v>
      </c>
      <c r="E3401" s="96" t="s">
        <v>141</v>
      </c>
    </row>
    <row r="3402" spans="1:5" x14ac:dyDescent="0.25">
      <c r="A3402" s="84">
        <v>46091</v>
      </c>
      <c r="B3402" s="96">
        <v>511641.99400000001</v>
      </c>
      <c r="C3402" s="96">
        <v>4786671.949</v>
      </c>
      <c r="D3402" s="96">
        <v>41.51</v>
      </c>
      <c r="E3402" s="96" t="s">
        <v>142</v>
      </c>
    </row>
    <row r="3403" spans="1:5" x14ac:dyDescent="0.25">
      <c r="A3403" s="84">
        <v>46091</v>
      </c>
      <c r="B3403" s="96">
        <v>511648.77299999999</v>
      </c>
      <c r="C3403" s="96">
        <v>4786668.2699999996</v>
      </c>
      <c r="D3403" s="96">
        <v>41.308</v>
      </c>
      <c r="E3403" s="96" t="s">
        <v>143</v>
      </c>
    </row>
    <row r="3404" spans="1:5" x14ac:dyDescent="0.25">
      <c r="A3404" s="84">
        <v>46092</v>
      </c>
      <c r="B3404" s="95">
        <v>511615.20899999997</v>
      </c>
      <c r="C3404" s="95">
        <v>4786687.358</v>
      </c>
      <c r="D3404" s="95">
        <v>45.932000000000002</v>
      </c>
      <c r="E3404" s="91" t="s">
        <v>104</v>
      </c>
    </row>
    <row r="3405" spans="1:5" x14ac:dyDescent="0.25">
      <c r="A3405" s="84">
        <v>46092</v>
      </c>
      <c r="B3405" s="95">
        <v>511615.163</v>
      </c>
      <c r="C3405" s="95">
        <v>4786687.3820000002</v>
      </c>
      <c r="D3405" s="95">
        <v>43.957000000000001</v>
      </c>
      <c r="E3405" s="91" t="s">
        <v>110</v>
      </c>
    </row>
    <row r="3406" spans="1:5" x14ac:dyDescent="0.25">
      <c r="A3406" s="84">
        <v>46092</v>
      </c>
      <c r="B3406" s="95">
        <v>511629.29</v>
      </c>
      <c r="C3406" s="95">
        <v>4786680.0290000001</v>
      </c>
      <c r="D3406" s="95">
        <v>45.94</v>
      </c>
      <c r="E3406" s="91" t="s">
        <v>106</v>
      </c>
    </row>
    <row r="3407" spans="1:5" x14ac:dyDescent="0.25">
      <c r="A3407" s="84">
        <v>46092</v>
      </c>
      <c r="B3407" s="95">
        <v>511642.42200000002</v>
      </c>
      <c r="C3407" s="95">
        <v>4786673.0190000003</v>
      </c>
      <c r="D3407" s="95">
        <v>45.933999999999997</v>
      </c>
      <c r="E3407" s="91" t="s">
        <v>108</v>
      </c>
    </row>
    <row r="3408" spans="1:5" x14ac:dyDescent="0.25">
      <c r="A3408" s="84">
        <v>46092</v>
      </c>
      <c r="B3408" s="95">
        <v>511642.46100000001</v>
      </c>
      <c r="C3408" s="95">
        <v>4786672.9060000004</v>
      </c>
      <c r="D3408" s="95">
        <v>43.966000000000001</v>
      </c>
      <c r="E3408" s="91" t="s">
        <v>111</v>
      </c>
    </row>
    <row r="3409" spans="1:8" x14ac:dyDescent="0.25">
      <c r="A3409" s="84">
        <v>46092</v>
      </c>
      <c r="B3409" s="95">
        <v>511649.11900000001</v>
      </c>
      <c r="C3409" s="95">
        <v>4786669.4040000001</v>
      </c>
      <c r="D3409" s="95">
        <v>43.945</v>
      </c>
      <c r="E3409" s="91" t="s">
        <v>113</v>
      </c>
    </row>
    <row r="3410" spans="1:8" x14ac:dyDescent="0.25">
      <c r="A3410" s="84">
        <v>46092</v>
      </c>
      <c r="B3410" s="95">
        <v>511673.81300000002</v>
      </c>
      <c r="C3410" s="95">
        <v>4786631.0760000004</v>
      </c>
      <c r="D3410" s="95">
        <v>40.159999999999997</v>
      </c>
      <c r="E3410" s="91" t="s">
        <v>147</v>
      </c>
    </row>
    <row r="3411" spans="1:8" x14ac:dyDescent="0.25">
      <c r="A3411" s="84">
        <v>46092</v>
      </c>
      <c r="B3411" s="95">
        <v>511573.39199999999</v>
      </c>
      <c r="C3411" s="95">
        <v>4786684.3590000002</v>
      </c>
      <c r="D3411" s="95">
        <v>43.466999999999999</v>
      </c>
      <c r="E3411" s="91" t="s">
        <v>148</v>
      </c>
    </row>
    <row r="3412" spans="1:8" x14ac:dyDescent="0.25">
      <c r="A3412" s="84">
        <v>46092</v>
      </c>
      <c r="B3412" s="95">
        <v>511575.47899999999</v>
      </c>
      <c r="C3412" s="95">
        <v>4786688.2309999997</v>
      </c>
      <c r="D3412" s="95">
        <v>43.427</v>
      </c>
      <c r="E3412" s="91" t="s">
        <v>149</v>
      </c>
    </row>
    <row r="3413" spans="1:8" x14ac:dyDescent="0.25">
      <c r="A3413" s="84">
        <v>46092</v>
      </c>
      <c r="B3413" s="95">
        <v>511577.67800000001</v>
      </c>
      <c r="C3413" s="95">
        <v>4786692.2850000001</v>
      </c>
      <c r="D3413" s="95">
        <v>43.615000000000002</v>
      </c>
      <c r="E3413" s="91" t="s">
        <v>150</v>
      </c>
    </row>
    <row r="3414" spans="1:8" x14ac:dyDescent="0.25">
      <c r="A3414" s="84">
        <v>46092</v>
      </c>
      <c r="B3414" s="95">
        <v>511579.78</v>
      </c>
      <c r="C3414" s="95">
        <v>4786696.2</v>
      </c>
      <c r="D3414" s="95">
        <v>43.686999999999998</v>
      </c>
      <c r="E3414" s="91" t="s">
        <v>151</v>
      </c>
    </row>
    <row r="3415" spans="1:8" x14ac:dyDescent="0.25">
      <c r="A3415" s="84">
        <v>46092</v>
      </c>
      <c r="B3415" s="95">
        <v>511607.17099999997</v>
      </c>
      <c r="C3415" s="95">
        <v>4786690.8490000004</v>
      </c>
      <c r="D3415" s="95">
        <v>41.314</v>
      </c>
      <c r="E3415" s="91" t="s">
        <v>139</v>
      </c>
    </row>
    <row r="3416" spans="1:8" x14ac:dyDescent="0.25">
      <c r="A3416" s="84">
        <v>46092</v>
      </c>
      <c r="B3416" s="95">
        <v>511614.973</v>
      </c>
      <c r="C3416" s="95">
        <v>4786686.6160000004</v>
      </c>
      <c r="D3416" s="95">
        <v>41.442</v>
      </c>
      <c r="E3416" s="91" t="s">
        <v>140</v>
      </c>
    </row>
    <row r="3417" spans="1:8" x14ac:dyDescent="0.25">
      <c r="A3417" s="84">
        <v>46092</v>
      </c>
      <c r="B3417" s="95">
        <v>511628.82400000002</v>
      </c>
      <c r="C3417" s="95">
        <v>4786679.148</v>
      </c>
      <c r="D3417" s="95">
        <v>41.374000000000002</v>
      </c>
      <c r="E3417" s="91" t="s">
        <v>141</v>
      </c>
    </row>
    <row r="3418" spans="1:8" x14ac:dyDescent="0.25">
      <c r="A3418" s="84">
        <v>46092</v>
      </c>
      <c r="B3418" s="95">
        <v>511641.99300000002</v>
      </c>
      <c r="C3418" s="95">
        <v>4786671.949</v>
      </c>
      <c r="D3418" s="95">
        <v>41.51</v>
      </c>
      <c r="E3418" s="91" t="s">
        <v>142</v>
      </c>
    </row>
    <row r="3419" spans="1:8" x14ac:dyDescent="0.25">
      <c r="A3419" s="84">
        <v>46092</v>
      </c>
      <c r="B3419" s="95">
        <v>511648.77399999998</v>
      </c>
      <c r="C3419" s="95">
        <v>4786668.2699999996</v>
      </c>
      <c r="D3419" s="95">
        <v>41.308</v>
      </c>
      <c r="E3419" s="91" t="s">
        <v>143</v>
      </c>
      <c r="F3419" s="92"/>
      <c r="G3419" s="92"/>
      <c r="H3419" s="92"/>
    </row>
    <row r="3420" spans="1:8" x14ac:dyDescent="0.25">
      <c r="A3420" s="84">
        <v>46093</v>
      </c>
      <c r="B3420" s="95">
        <v>511607.69300000003</v>
      </c>
      <c r="C3420" s="95">
        <v>4786691.4139999999</v>
      </c>
      <c r="D3420" s="95">
        <v>43.942</v>
      </c>
      <c r="E3420" s="91" t="s">
        <v>112</v>
      </c>
      <c r="F3420" s="92"/>
      <c r="G3420" s="92"/>
      <c r="H3420" s="92"/>
    </row>
    <row r="3421" spans="1:8" x14ac:dyDescent="0.25">
      <c r="A3421" s="84">
        <v>46093</v>
      </c>
      <c r="B3421" s="95">
        <v>511629.40899999999</v>
      </c>
      <c r="C3421" s="95">
        <v>4786679.9019999998</v>
      </c>
      <c r="D3421" s="95">
        <v>43.945</v>
      </c>
      <c r="E3421" s="91" t="s">
        <v>109</v>
      </c>
      <c r="F3421" s="92"/>
      <c r="G3421" s="92"/>
      <c r="H3421" s="92"/>
    </row>
    <row r="3422" spans="1:8" x14ac:dyDescent="0.25">
      <c r="A3422" s="84">
        <v>46093</v>
      </c>
      <c r="B3422" s="95">
        <v>511615.21399999998</v>
      </c>
      <c r="C3422" s="95">
        <v>4786687.3530000001</v>
      </c>
      <c r="D3422" s="95">
        <v>45.932000000000002</v>
      </c>
      <c r="E3422" s="91" t="s">
        <v>104</v>
      </c>
      <c r="F3422" s="92"/>
      <c r="G3422" s="92"/>
      <c r="H3422" s="92"/>
    </row>
    <row r="3423" spans="1:8" x14ac:dyDescent="0.25">
      <c r="A3423" s="84">
        <v>46093</v>
      </c>
      <c r="B3423" s="95">
        <v>511615.16800000001</v>
      </c>
      <c r="C3423" s="95">
        <v>4786687.3779999996</v>
      </c>
      <c r="D3423" s="95">
        <v>43.957000000000001</v>
      </c>
      <c r="E3423" s="91" t="s">
        <v>110</v>
      </c>
      <c r="F3423" s="92"/>
      <c r="G3423" s="92"/>
      <c r="H3423" s="92"/>
    </row>
    <row r="3424" spans="1:8" x14ac:dyDescent="0.25">
      <c r="A3424" s="84">
        <v>46093</v>
      </c>
      <c r="B3424" s="95">
        <v>511629.17200000002</v>
      </c>
      <c r="C3424" s="95">
        <v>4786680.0609999998</v>
      </c>
      <c r="D3424" s="95">
        <v>48.457000000000001</v>
      </c>
      <c r="E3424" s="91" t="s">
        <v>105</v>
      </c>
      <c r="F3424" s="92"/>
      <c r="G3424" s="92"/>
      <c r="H3424" s="92"/>
    </row>
    <row r="3425" spans="1:8" x14ac:dyDescent="0.25">
      <c r="A3425" s="84">
        <v>46093</v>
      </c>
      <c r="B3425" s="95">
        <v>511629.29499999998</v>
      </c>
      <c r="C3425" s="95">
        <v>4786680.0240000002</v>
      </c>
      <c r="D3425" s="95">
        <v>45.939</v>
      </c>
      <c r="E3425" s="91" t="s">
        <v>106</v>
      </c>
      <c r="F3425" s="92"/>
      <c r="G3425" s="92"/>
      <c r="H3425" s="92"/>
    </row>
    <row r="3426" spans="1:8" x14ac:dyDescent="0.25">
      <c r="A3426" s="84">
        <v>46093</v>
      </c>
      <c r="B3426" s="95">
        <v>511642.272</v>
      </c>
      <c r="C3426" s="95">
        <v>4786673.1229999997</v>
      </c>
      <c r="D3426" s="95">
        <v>48.438000000000002</v>
      </c>
      <c r="E3426" s="91" t="s">
        <v>107</v>
      </c>
      <c r="F3426" s="92"/>
      <c r="G3426" s="92"/>
      <c r="H3426" s="92"/>
    </row>
    <row r="3427" spans="1:8" x14ac:dyDescent="0.25">
      <c r="A3427" s="84">
        <v>46093</v>
      </c>
      <c r="B3427" s="95">
        <v>511642.42599999998</v>
      </c>
      <c r="C3427" s="95">
        <v>4786673.0130000003</v>
      </c>
      <c r="D3427" s="95">
        <v>45.933</v>
      </c>
      <c r="E3427" s="91" t="s">
        <v>108</v>
      </c>
      <c r="F3427" s="92"/>
      <c r="G3427" s="92"/>
      <c r="H3427" s="92"/>
    </row>
    <row r="3428" spans="1:8" x14ac:dyDescent="0.25">
      <c r="A3428" s="84">
        <v>46093</v>
      </c>
      <c r="B3428" s="95">
        <v>511642.46600000001</v>
      </c>
      <c r="C3428" s="95">
        <v>4786672.9000000004</v>
      </c>
      <c r="D3428" s="95">
        <v>43.965000000000003</v>
      </c>
      <c r="E3428" s="91" t="s">
        <v>111</v>
      </c>
      <c r="F3428" s="92"/>
      <c r="G3428" s="92"/>
      <c r="H3428" s="92"/>
    </row>
    <row r="3429" spans="1:8" x14ac:dyDescent="0.25">
      <c r="A3429" s="84">
        <v>46093</v>
      </c>
      <c r="B3429" s="95">
        <v>511673.81400000001</v>
      </c>
      <c r="C3429" s="95">
        <v>4786631.068</v>
      </c>
      <c r="D3429" s="95">
        <v>40.159999999999997</v>
      </c>
      <c r="E3429" s="91" t="s">
        <v>147</v>
      </c>
      <c r="F3429" s="92"/>
      <c r="G3429" s="92"/>
      <c r="H3429" s="92"/>
    </row>
    <row r="3430" spans="1:8" x14ac:dyDescent="0.25">
      <c r="A3430" s="84">
        <v>46093</v>
      </c>
      <c r="B3430" s="95">
        <v>511573.39899999998</v>
      </c>
      <c r="C3430" s="95">
        <v>4786684.3559999997</v>
      </c>
      <c r="D3430" s="95">
        <v>43.466999999999999</v>
      </c>
      <c r="E3430" s="91" t="s">
        <v>148</v>
      </c>
      <c r="F3430" s="92"/>
      <c r="G3430" s="92"/>
      <c r="H3430" s="92"/>
    </row>
    <row r="3431" spans="1:8" x14ac:dyDescent="0.25">
      <c r="A3431" s="84">
        <v>46093</v>
      </c>
      <c r="B3431" s="95">
        <v>511575.48499999999</v>
      </c>
      <c r="C3431" s="95">
        <v>4786688.2280000001</v>
      </c>
      <c r="D3431" s="95">
        <v>43.426000000000002</v>
      </c>
      <c r="E3431" s="91" t="s">
        <v>149</v>
      </c>
      <c r="F3431" s="92"/>
      <c r="G3431" s="92"/>
      <c r="H3431" s="92"/>
    </row>
    <row r="3432" spans="1:8" x14ac:dyDescent="0.25">
      <c r="A3432" s="84">
        <v>46093</v>
      </c>
      <c r="B3432" s="95">
        <v>511577.685</v>
      </c>
      <c r="C3432" s="95">
        <v>4786692.2810000004</v>
      </c>
      <c r="D3432" s="95">
        <v>43.615000000000002</v>
      </c>
      <c r="E3432" s="91" t="s">
        <v>150</v>
      </c>
      <c r="F3432" s="92"/>
      <c r="G3432" s="92"/>
      <c r="H3432" s="92"/>
    </row>
    <row r="3433" spans="1:8" x14ac:dyDescent="0.25">
      <c r="A3433" s="84">
        <v>46093</v>
      </c>
      <c r="B3433" s="95">
        <v>511579.78700000001</v>
      </c>
      <c r="C3433" s="95">
        <v>4786696.1979999999</v>
      </c>
      <c r="D3433" s="95">
        <v>43.686999999999998</v>
      </c>
      <c r="E3433" s="91" t="s">
        <v>151</v>
      </c>
      <c r="F3433" s="92"/>
      <c r="G3433" s="92"/>
      <c r="H3433" s="92"/>
    </row>
    <row r="3434" spans="1:8" x14ac:dyDescent="0.25">
      <c r="A3434" s="84">
        <v>46093</v>
      </c>
      <c r="B3434" s="95">
        <v>511607.17800000001</v>
      </c>
      <c r="C3434" s="95">
        <v>4786690.8449999997</v>
      </c>
      <c r="D3434" s="95">
        <v>41.314</v>
      </c>
      <c r="E3434" s="91" t="s">
        <v>139</v>
      </c>
      <c r="F3434" s="92"/>
      <c r="G3434" s="92"/>
      <c r="H3434" s="92"/>
    </row>
    <row r="3435" spans="1:8" x14ac:dyDescent="0.25">
      <c r="A3435" s="84">
        <v>46093</v>
      </c>
      <c r="B3435" s="95">
        <v>511614.97899999999</v>
      </c>
      <c r="C3435" s="95">
        <v>4786686.6119999997</v>
      </c>
      <c r="D3435" s="95">
        <v>41.441000000000003</v>
      </c>
      <c r="E3435" s="91" t="s">
        <v>140</v>
      </c>
      <c r="F3435" s="92"/>
      <c r="G3435" s="92"/>
      <c r="H3435" s="92"/>
    </row>
    <row r="3436" spans="1:8" x14ac:dyDescent="0.25">
      <c r="A3436" s="84">
        <v>46093</v>
      </c>
      <c r="B3436" s="95">
        <v>511628.82900000003</v>
      </c>
      <c r="C3436" s="95">
        <v>4786679.1409999998</v>
      </c>
      <c r="D3436" s="95">
        <v>41.374000000000002</v>
      </c>
      <c r="E3436" s="91" t="s">
        <v>141</v>
      </c>
      <c r="F3436" s="92"/>
      <c r="G3436" s="92"/>
      <c r="H3436" s="92"/>
    </row>
    <row r="3437" spans="1:8" x14ac:dyDescent="0.25">
      <c r="A3437" s="84">
        <v>46093</v>
      </c>
      <c r="B3437" s="95">
        <v>511641.99800000002</v>
      </c>
      <c r="C3437" s="95">
        <v>4786671.9409999996</v>
      </c>
      <c r="D3437" s="95">
        <v>41.51</v>
      </c>
      <c r="E3437" s="91" t="s">
        <v>142</v>
      </c>
      <c r="F3437" s="92"/>
      <c r="G3437" s="92"/>
      <c r="H3437" s="92"/>
    </row>
    <row r="3438" spans="1:8" x14ac:dyDescent="0.25">
      <c r="A3438" s="84">
        <v>46093</v>
      </c>
      <c r="B3438" s="95">
        <v>511648.77799999999</v>
      </c>
      <c r="C3438" s="95">
        <v>4786668.2620000001</v>
      </c>
      <c r="D3438" s="95">
        <v>41.308</v>
      </c>
      <c r="E3438" s="91" t="s">
        <v>143</v>
      </c>
    </row>
    <row r="3439" spans="1:8" x14ac:dyDescent="0.25">
      <c r="A3439" s="84">
        <v>46094</v>
      </c>
      <c r="B3439" s="95">
        <v>511615.22100000002</v>
      </c>
      <c r="C3439" s="95">
        <v>4786687.3490000004</v>
      </c>
      <c r="D3439" s="91">
        <v>45.930999999999997</v>
      </c>
      <c r="E3439" s="96" t="s">
        <v>104</v>
      </c>
    </row>
    <row r="3440" spans="1:8" x14ac:dyDescent="0.25">
      <c r="A3440" s="84">
        <v>46094</v>
      </c>
      <c r="B3440" s="95">
        <v>511615.174</v>
      </c>
      <c r="C3440" s="95">
        <v>4786687.3720000004</v>
      </c>
      <c r="D3440" s="91">
        <v>43.957000000000001</v>
      </c>
      <c r="E3440" s="96" t="s">
        <v>110</v>
      </c>
    </row>
    <row r="3441" spans="1:5" x14ac:dyDescent="0.25">
      <c r="A3441" s="84">
        <v>46094</v>
      </c>
      <c r="B3441" s="95">
        <v>511629.17800000001</v>
      </c>
      <c r="C3441" s="95">
        <v>4786680.0559999999</v>
      </c>
      <c r="D3441" s="91">
        <v>48.457000000000001</v>
      </c>
      <c r="E3441" s="96" t="s">
        <v>105</v>
      </c>
    </row>
    <row r="3442" spans="1:5" x14ac:dyDescent="0.25">
      <c r="A3442" s="84">
        <v>46094</v>
      </c>
      <c r="B3442" s="95">
        <v>511629.30099999998</v>
      </c>
      <c r="C3442" s="95">
        <v>4786680.0190000003</v>
      </c>
      <c r="D3442" s="91">
        <v>45.94</v>
      </c>
      <c r="E3442" s="96" t="s">
        <v>106</v>
      </c>
    </row>
    <row r="3443" spans="1:5" x14ac:dyDescent="0.25">
      <c r="A3443" s="84">
        <v>46094</v>
      </c>
      <c r="B3443" s="95">
        <v>511642.43099999998</v>
      </c>
      <c r="C3443" s="95">
        <v>4786673.0060000001</v>
      </c>
      <c r="D3443" s="91">
        <v>45.933999999999997</v>
      </c>
      <c r="E3443" s="96" t="s">
        <v>108</v>
      </c>
    </row>
    <row r="3444" spans="1:5" x14ac:dyDescent="0.25">
      <c r="A3444" s="84">
        <v>46094</v>
      </c>
      <c r="B3444" s="95">
        <v>511642.47200000001</v>
      </c>
      <c r="C3444" s="95">
        <v>4786672.8940000003</v>
      </c>
      <c r="D3444" s="91">
        <v>43.965000000000003</v>
      </c>
      <c r="E3444" s="96" t="s">
        <v>111</v>
      </c>
    </row>
    <row r="3445" spans="1:5" x14ac:dyDescent="0.25">
      <c r="A3445" s="84">
        <v>46094</v>
      </c>
      <c r="B3445" s="95">
        <v>511673.81900000002</v>
      </c>
      <c r="C3445" s="95">
        <v>4786631.0609999998</v>
      </c>
      <c r="D3445" s="91">
        <v>40.159999999999997</v>
      </c>
      <c r="E3445" s="96" t="s">
        <v>147</v>
      </c>
    </row>
    <row r="3446" spans="1:5" x14ac:dyDescent="0.25">
      <c r="A3446" s="84">
        <v>46094</v>
      </c>
      <c r="B3446" s="95">
        <v>511573.40500000003</v>
      </c>
      <c r="C3446" s="95">
        <v>4786684.3540000003</v>
      </c>
      <c r="D3446" s="91">
        <v>43.466999999999999</v>
      </c>
      <c r="E3446" s="96" t="s">
        <v>148</v>
      </c>
    </row>
    <row r="3447" spans="1:5" x14ac:dyDescent="0.25">
      <c r="A3447" s="84">
        <v>46094</v>
      </c>
      <c r="B3447" s="95">
        <v>511575.49099999998</v>
      </c>
      <c r="C3447" s="95">
        <v>4786688.227</v>
      </c>
      <c r="D3447" s="91">
        <v>43.426000000000002</v>
      </c>
      <c r="E3447" s="96" t="s">
        <v>149</v>
      </c>
    </row>
    <row r="3448" spans="1:5" x14ac:dyDescent="0.25">
      <c r="A3448" s="84">
        <v>46094</v>
      </c>
      <c r="B3448" s="95">
        <v>511577.69099999999</v>
      </c>
      <c r="C3448" s="95">
        <v>4786692.2810000004</v>
      </c>
      <c r="D3448" s="91">
        <v>43.615000000000002</v>
      </c>
      <c r="E3448" s="96" t="s">
        <v>150</v>
      </c>
    </row>
    <row r="3449" spans="1:5" x14ac:dyDescent="0.25">
      <c r="A3449" s="84">
        <v>46094</v>
      </c>
      <c r="B3449" s="95">
        <v>511579.79300000001</v>
      </c>
      <c r="C3449" s="95">
        <v>4786696.1960000005</v>
      </c>
      <c r="D3449" s="91">
        <v>43.686999999999998</v>
      </c>
      <c r="E3449" s="96" t="s">
        <v>151</v>
      </c>
    </row>
    <row r="3450" spans="1:5" x14ac:dyDescent="0.25">
      <c r="A3450" s="84">
        <v>46094</v>
      </c>
      <c r="B3450" s="95">
        <v>511607.18400000001</v>
      </c>
      <c r="C3450" s="95">
        <v>4786690.841</v>
      </c>
      <c r="D3450" s="91">
        <v>41.314</v>
      </c>
      <c r="E3450" s="96" t="s">
        <v>139</v>
      </c>
    </row>
    <row r="3451" spans="1:5" x14ac:dyDescent="0.25">
      <c r="A3451" s="84">
        <v>46094</v>
      </c>
      <c r="B3451" s="95">
        <v>511614.984</v>
      </c>
      <c r="C3451" s="95">
        <v>4786686.6069999998</v>
      </c>
      <c r="D3451" s="91">
        <v>41.442</v>
      </c>
      <c r="E3451" s="96" t="s">
        <v>140</v>
      </c>
    </row>
    <row r="3452" spans="1:5" x14ac:dyDescent="0.25">
      <c r="A3452" s="84">
        <v>46094</v>
      </c>
      <c r="B3452" s="95">
        <v>511628.83500000002</v>
      </c>
      <c r="C3452" s="95">
        <v>4786679.1380000003</v>
      </c>
      <c r="D3452" s="91">
        <v>41.372999999999998</v>
      </c>
      <c r="E3452" s="96" t="s">
        <v>141</v>
      </c>
    </row>
    <row r="3453" spans="1:5" x14ac:dyDescent="0.25">
      <c r="A3453" s="84">
        <v>46094</v>
      </c>
      <c r="B3453" s="95">
        <v>511642.00300000003</v>
      </c>
      <c r="C3453" s="95">
        <v>4786671.9359999998</v>
      </c>
      <c r="D3453" s="91">
        <v>41.51</v>
      </c>
      <c r="E3453" s="96" t="s">
        <v>142</v>
      </c>
    </row>
    <row r="3454" spans="1:5" x14ac:dyDescent="0.25">
      <c r="A3454" s="84">
        <v>46094</v>
      </c>
      <c r="B3454" s="95">
        <v>511648.78399999999</v>
      </c>
      <c r="C3454" s="95">
        <v>4786668.2570000002</v>
      </c>
      <c r="D3454" s="91">
        <v>41.308</v>
      </c>
      <c r="E3454" s="96" t="s">
        <v>143</v>
      </c>
    </row>
    <row r="3455" spans="1:5" x14ac:dyDescent="0.25">
      <c r="A3455" s="84">
        <v>46097</v>
      </c>
      <c r="B3455" s="95">
        <v>511615.21500000003</v>
      </c>
      <c r="C3455" s="95">
        <v>4786687.352</v>
      </c>
      <c r="D3455" s="95">
        <v>45.932000000000002</v>
      </c>
      <c r="E3455" s="91" t="s">
        <v>104</v>
      </c>
    </row>
    <row r="3456" spans="1:5" x14ac:dyDescent="0.25">
      <c r="A3456" s="84">
        <v>46097</v>
      </c>
      <c r="B3456" s="95">
        <v>511615.16800000001</v>
      </c>
      <c r="C3456" s="95">
        <v>4786687.3760000002</v>
      </c>
      <c r="D3456" s="95">
        <v>43.957999999999998</v>
      </c>
      <c r="E3456" s="91" t="s">
        <v>110</v>
      </c>
    </row>
    <row r="3457" spans="1:5" x14ac:dyDescent="0.25">
      <c r="A3457" s="84">
        <v>46097</v>
      </c>
      <c r="B3457" s="95">
        <v>511629.174</v>
      </c>
      <c r="C3457" s="95">
        <v>4786680.0609999998</v>
      </c>
      <c r="D3457" s="95">
        <v>48.457999999999998</v>
      </c>
      <c r="E3457" s="91" t="s">
        <v>105</v>
      </c>
    </row>
    <row r="3458" spans="1:5" x14ac:dyDescent="0.25">
      <c r="A3458" s="84">
        <v>46097</v>
      </c>
      <c r="B3458" s="95">
        <v>511629.29700000002</v>
      </c>
      <c r="C3458" s="95">
        <v>4786680.0240000002</v>
      </c>
      <c r="D3458" s="95">
        <v>45.94</v>
      </c>
      <c r="E3458" s="91" t="s">
        <v>106</v>
      </c>
    </row>
    <row r="3459" spans="1:5" x14ac:dyDescent="0.25">
      <c r="A3459" s="84">
        <v>46097</v>
      </c>
      <c r="B3459" s="95">
        <v>511642.27299999999</v>
      </c>
      <c r="C3459" s="95">
        <v>4786673.1229999997</v>
      </c>
      <c r="D3459" s="95">
        <v>48.438000000000002</v>
      </c>
      <c r="E3459" s="91" t="s">
        <v>107</v>
      </c>
    </row>
    <row r="3460" spans="1:5" x14ac:dyDescent="0.25">
      <c r="A3460" s="84">
        <v>46097</v>
      </c>
      <c r="B3460" s="95">
        <v>511642.42700000003</v>
      </c>
      <c r="C3460" s="95">
        <v>4786673.0130000003</v>
      </c>
      <c r="D3460" s="95">
        <v>45.933999999999997</v>
      </c>
      <c r="E3460" s="91" t="s">
        <v>108</v>
      </c>
    </row>
    <row r="3461" spans="1:5" x14ac:dyDescent="0.25">
      <c r="A3461" s="84">
        <v>46097</v>
      </c>
      <c r="B3461" s="95">
        <v>511642.46600000001</v>
      </c>
      <c r="C3461" s="95">
        <v>4786672.9000000004</v>
      </c>
      <c r="D3461" s="95">
        <v>43.965000000000003</v>
      </c>
      <c r="E3461" s="91" t="s">
        <v>111</v>
      </c>
    </row>
    <row r="3462" spans="1:5" x14ac:dyDescent="0.25">
      <c r="A3462" s="84">
        <v>46097</v>
      </c>
      <c r="B3462" s="95">
        <v>511673.81800000003</v>
      </c>
      <c r="C3462" s="95">
        <v>4786631.07</v>
      </c>
      <c r="D3462" s="95">
        <v>40.159999999999997</v>
      </c>
      <c r="E3462" s="91" t="s">
        <v>147</v>
      </c>
    </row>
    <row r="3463" spans="1:5" x14ac:dyDescent="0.25">
      <c r="A3463" s="84">
        <v>46097</v>
      </c>
      <c r="B3463" s="95">
        <v>511573.4</v>
      </c>
      <c r="C3463" s="95">
        <v>4786684.3540000003</v>
      </c>
      <c r="D3463" s="95">
        <v>43.466999999999999</v>
      </c>
      <c r="E3463" s="91" t="s">
        <v>148</v>
      </c>
    </row>
    <row r="3464" spans="1:5" x14ac:dyDescent="0.25">
      <c r="A3464" s="84">
        <v>46097</v>
      </c>
      <c r="B3464" s="95">
        <v>511575.48599999998</v>
      </c>
      <c r="C3464" s="95">
        <v>4786688.227</v>
      </c>
      <c r="D3464" s="95">
        <v>43.426000000000002</v>
      </c>
      <c r="E3464" s="91" t="s">
        <v>149</v>
      </c>
    </row>
    <row r="3465" spans="1:5" x14ac:dyDescent="0.25">
      <c r="A3465" s="84">
        <v>46097</v>
      </c>
      <c r="B3465" s="95">
        <v>511577.68599999999</v>
      </c>
      <c r="C3465" s="95">
        <v>4786692.28</v>
      </c>
      <c r="D3465" s="95">
        <v>43.615000000000002</v>
      </c>
      <c r="E3465" s="91" t="s">
        <v>150</v>
      </c>
    </row>
    <row r="3466" spans="1:5" x14ac:dyDescent="0.25">
      <c r="A3466" s="84">
        <v>46097</v>
      </c>
      <c r="B3466" s="95">
        <v>511579.788</v>
      </c>
      <c r="C3466" s="95">
        <v>4786696.1960000005</v>
      </c>
      <c r="D3466" s="95">
        <v>43.686999999999998</v>
      </c>
      <c r="E3466" s="91" t="s">
        <v>151</v>
      </c>
    </row>
    <row r="3467" spans="1:5" x14ac:dyDescent="0.25">
      <c r="A3467" s="84">
        <v>46097</v>
      </c>
      <c r="B3467" s="95">
        <v>511607.17800000001</v>
      </c>
      <c r="C3467" s="95">
        <v>4786690.8449999997</v>
      </c>
      <c r="D3467" s="95">
        <v>41.314</v>
      </c>
      <c r="E3467" s="91" t="s">
        <v>139</v>
      </c>
    </row>
    <row r="3468" spans="1:5" x14ac:dyDescent="0.25">
      <c r="A3468" s="84">
        <v>46097</v>
      </c>
      <c r="B3468" s="95">
        <v>511614.98</v>
      </c>
      <c r="C3468" s="95">
        <v>4786686.6109999996</v>
      </c>
      <c r="D3468" s="95">
        <v>41.442</v>
      </c>
      <c r="E3468" s="91" t="s">
        <v>140</v>
      </c>
    </row>
    <row r="3469" spans="1:5" x14ac:dyDescent="0.25">
      <c r="A3469" s="84">
        <v>46097</v>
      </c>
      <c r="B3469" s="95">
        <v>511628.82900000003</v>
      </c>
      <c r="C3469" s="95">
        <v>4786679.142</v>
      </c>
      <c r="D3469" s="95">
        <v>41.374000000000002</v>
      </c>
      <c r="E3469" s="91" t="s">
        <v>141</v>
      </c>
    </row>
    <row r="3470" spans="1:5" x14ac:dyDescent="0.25">
      <c r="A3470" s="84">
        <v>46097</v>
      </c>
      <c r="B3470" s="95">
        <v>511641.99900000001</v>
      </c>
      <c r="C3470" s="95">
        <v>4786671.943</v>
      </c>
      <c r="D3470" s="95">
        <v>41.51</v>
      </c>
      <c r="E3470" s="91" t="s">
        <v>142</v>
      </c>
    </row>
    <row r="3471" spans="1:5" x14ac:dyDescent="0.25">
      <c r="A3471" s="84">
        <v>46097</v>
      </c>
      <c r="B3471" s="95">
        <v>511648.77899999998</v>
      </c>
      <c r="C3471" s="95">
        <v>4786668.2640000004</v>
      </c>
      <c r="D3471" s="95">
        <v>41.308</v>
      </c>
      <c r="E3471" s="91" t="s">
        <v>143</v>
      </c>
    </row>
    <row r="3472" spans="1:5" x14ac:dyDescent="0.25">
      <c r="A3472" s="84">
        <v>46098</v>
      </c>
      <c r="B3472" s="95">
        <v>511607.69199999998</v>
      </c>
      <c r="C3472" s="95">
        <v>4786691.4170000004</v>
      </c>
      <c r="D3472" s="95">
        <v>43.942</v>
      </c>
      <c r="E3472" s="91" t="s">
        <v>112</v>
      </c>
    </row>
    <row r="3473" spans="1:5" x14ac:dyDescent="0.25">
      <c r="A3473" s="84">
        <v>46098</v>
      </c>
      <c r="B3473" s="95">
        <v>511629.40899999999</v>
      </c>
      <c r="C3473" s="95">
        <v>4786679.9040000001</v>
      </c>
      <c r="D3473" s="95">
        <v>43.944000000000003</v>
      </c>
      <c r="E3473" s="91" t="s">
        <v>109</v>
      </c>
    </row>
    <row r="3474" spans="1:5" x14ac:dyDescent="0.25">
      <c r="A3474" s="84">
        <v>46098</v>
      </c>
      <c r="B3474" s="95">
        <v>511615.21500000003</v>
      </c>
      <c r="C3474" s="95">
        <v>4786687.3550000004</v>
      </c>
      <c r="D3474" s="95">
        <v>45.930999999999997</v>
      </c>
      <c r="E3474" s="91" t="s">
        <v>104</v>
      </c>
    </row>
    <row r="3475" spans="1:5" x14ac:dyDescent="0.25">
      <c r="A3475" s="84">
        <v>46098</v>
      </c>
      <c r="B3475" s="95">
        <v>511615.16800000001</v>
      </c>
      <c r="C3475" s="95">
        <v>4786687.3779999996</v>
      </c>
      <c r="D3475" s="95">
        <v>43.957000000000001</v>
      </c>
      <c r="E3475" s="91" t="s">
        <v>110</v>
      </c>
    </row>
    <row r="3476" spans="1:5" x14ac:dyDescent="0.25">
      <c r="A3476" s="84">
        <v>46098</v>
      </c>
      <c r="B3476" s="95">
        <v>511629.17300000001</v>
      </c>
      <c r="C3476" s="95">
        <v>4786680.0640000002</v>
      </c>
      <c r="D3476" s="95">
        <v>48.457000000000001</v>
      </c>
      <c r="E3476" s="91" t="s">
        <v>105</v>
      </c>
    </row>
    <row r="3477" spans="1:5" x14ac:dyDescent="0.25">
      <c r="A3477" s="84">
        <v>46098</v>
      </c>
      <c r="B3477" s="95">
        <v>511629.29599999997</v>
      </c>
      <c r="C3477" s="95">
        <v>4786680.0259999996</v>
      </c>
      <c r="D3477" s="95">
        <v>45.939</v>
      </c>
      <c r="E3477" s="91" t="s">
        <v>106</v>
      </c>
    </row>
    <row r="3478" spans="1:5" x14ac:dyDescent="0.25">
      <c r="A3478" s="84">
        <v>46098</v>
      </c>
      <c r="B3478" s="95">
        <v>511642.27100000001</v>
      </c>
      <c r="C3478" s="95">
        <v>4786673.1239999998</v>
      </c>
      <c r="D3478" s="95">
        <v>48.436999999999998</v>
      </c>
      <c r="E3478" s="91" t="s">
        <v>107</v>
      </c>
    </row>
    <row r="3479" spans="1:5" x14ac:dyDescent="0.25">
      <c r="A3479" s="84">
        <v>46098</v>
      </c>
      <c r="B3479" s="95">
        <v>511642.42499999999</v>
      </c>
      <c r="C3479" s="95">
        <v>4786673.0140000004</v>
      </c>
      <c r="D3479" s="95">
        <v>45.933</v>
      </c>
      <c r="E3479" s="91" t="s">
        <v>108</v>
      </c>
    </row>
    <row r="3480" spans="1:5" x14ac:dyDescent="0.25">
      <c r="A3480" s="84">
        <v>46098</v>
      </c>
      <c r="B3480" s="95">
        <v>511642.46600000001</v>
      </c>
      <c r="C3480" s="95">
        <v>4786672.9009999996</v>
      </c>
      <c r="D3480" s="95">
        <v>43.963999999999999</v>
      </c>
      <c r="E3480" s="91" t="s">
        <v>111</v>
      </c>
    </row>
    <row r="3481" spans="1:5" x14ac:dyDescent="0.25">
      <c r="A3481" s="84">
        <v>46098</v>
      </c>
      <c r="B3481" s="95">
        <v>511573.397</v>
      </c>
      <c r="C3481" s="95">
        <v>4786684.3569999998</v>
      </c>
      <c r="D3481" s="95">
        <v>43.466000000000001</v>
      </c>
      <c r="E3481" s="91" t="s">
        <v>148</v>
      </c>
    </row>
    <row r="3482" spans="1:5" x14ac:dyDescent="0.25">
      <c r="A3482" s="84">
        <v>46098</v>
      </c>
      <c r="B3482" s="95">
        <v>511575.48300000001</v>
      </c>
      <c r="C3482" s="95">
        <v>4786688.2300000004</v>
      </c>
      <c r="D3482" s="95">
        <v>43.424999999999997</v>
      </c>
      <c r="E3482" s="91" t="s">
        <v>149</v>
      </c>
    </row>
    <row r="3483" spans="1:5" x14ac:dyDescent="0.25">
      <c r="A3483" s="84">
        <v>46098</v>
      </c>
      <c r="B3483" s="95">
        <v>511577.68300000002</v>
      </c>
      <c r="C3483" s="95">
        <v>4786692.2829999998</v>
      </c>
      <c r="D3483" s="95">
        <v>43.613999999999997</v>
      </c>
      <c r="E3483" s="91" t="s">
        <v>150</v>
      </c>
    </row>
    <row r="3484" spans="1:5" x14ac:dyDescent="0.25">
      <c r="A3484" s="84">
        <v>46098</v>
      </c>
      <c r="B3484" s="95">
        <v>511579.78499999997</v>
      </c>
      <c r="C3484" s="95">
        <v>4786696.2</v>
      </c>
      <c r="D3484" s="95">
        <v>43.686</v>
      </c>
      <c r="E3484" s="91" t="s">
        <v>151</v>
      </c>
    </row>
    <row r="3485" spans="1:5" x14ac:dyDescent="0.25">
      <c r="A3485" s="84">
        <v>46098</v>
      </c>
      <c r="B3485" s="95">
        <v>511607.17599999998</v>
      </c>
      <c r="C3485" s="95">
        <v>4786690.8449999997</v>
      </c>
      <c r="D3485" s="95">
        <v>41.314</v>
      </c>
      <c r="E3485" s="91" t="s">
        <v>139</v>
      </c>
    </row>
    <row r="3486" spans="1:5" x14ac:dyDescent="0.25">
      <c r="A3486" s="84">
        <v>46098</v>
      </c>
      <c r="B3486" s="95">
        <v>511614.97700000001</v>
      </c>
      <c r="C3486" s="95">
        <v>4786686.6129999999</v>
      </c>
      <c r="D3486" s="95">
        <v>41.441000000000003</v>
      </c>
      <c r="E3486" s="91" t="s">
        <v>140</v>
      </c>
    </row>
    <row r="3487" spans="1:5" x14ac:dyDescent="0.25">
      <c r="A3487" s="84">
        <v>46098</v>
      </c>
      <c r="B3487" s="95">
        <v>511628.83</v>
      </c>
      <c r="C3487" s="95">
        <v>4786679.1449999996</v>
      </c>
      <c r="D3487" s="95">
        <v>41.372999999999998</v>
      </c>
      <c r="E3487" s="91" t="s">
        <v>141</v>
      </c>
    </row>
    <row r="3488" spans="1:5" x14ac:dyDescent="0.25">
      <c r="A3488" s="84">
        <v>46098</v>
      </c>
      <c r="B3488" s="95">
        <v>511641.99900000001</v>
      </c>
      <c r="C3488" s="95">
        <v>4786671.9450000003</v>
      </c>
      <c r="D3488" s="95">
        <v>41.509</v>
      </c>
      <c r="E3488" s="91" t="s">
        <v>142</v>
      </c>
    </row>
    <row r="3489" spans="1:5" x14ac:dyDescent="0.25">
      <c r="A3489" s="84">
        <v>46098</v>
      </c>
      <c r="B3489" s="95">
        <v>511648.77899999998</v>
      </c>
      <c r="C3489" s="95">
        <v>4786668.2659999998</v>
      </c>
      <c r="D3489" s="95">
        <v>41.307000000000002</v>
      </c>
      <c r="E3489" s="91" t="s">
        <v>143</v>
      </c>
    </row>
    <row r="3490" spans="1:5" x14ac:dyDescent="0.25">
      <c r="A3490" s="84">
        <v>46099</v>
      </c>
      <c r="B3490" s="95">
        <v>511607.69</v>
      </c>
      <c r="C3490" s="95">
        <v>4786691.4139999999</v>
      </c>
      <c r="D3490" s="95">
        <v>43.942999999999998</v>
      </c>
      <c r="E3490" s="91" t="s">
        <v>112</v>
      </c>
    </row>
    <row r="3491" spans="1:5" x14ac:dyDescent="0.25">
      <c r="A3491" s="84">
        <v>46099</v>
      </c>
      <c r="B3491" s="95">
        <v>511629.40700000001</v>
      </c>
      <c r="C3491" s="95">
        <v>4786679.9029999999</v>
      </c>
      <c r="D3491" s="95">
        <v>43.945</v>
      </c>
      <c r="E3491" s="91" t="s">
        <v>109</v>
      </c>
    </row>
    <row r="3492" spans="1:5" x14ac:dyDescent="0.25">
      <c r="A3492" s="84">
        <v>46099</v>
      </c>
      <c r="B3492" s="95">
        <v>511615.212</v>
      </c>
      <c r="C3492" s="95">
        <v>4786687.352</v>
      </c>
      <c r="D3492" s="95">
        <v>45.932000000000002</v>
      </c>
      <c r="E3492" s="91" t="s">
        <v>104</v>
      </c>
    </row>
    <row r="3493" spans="1:5" x14ac:dyDescent="0.25">
      <c r="A3493" s="84">
        <v>46099</v>
      </c>
      <c r="B3493" s="95">
        <v>511615.16499999998</v>
      </c>
      <c r="C3493" s="95">
        <v>4786687.375</v>
      </c>
      <c r="D3493" s="95">
        <v>43.957999999999998</v>
      </c>
      <c r="E3493" s="91" t="s">
        <v>110</v>
      </c>
    </row>
    <row r="3494" spans="1:5" x14ac:dyDescent="0.25">
      <c r="A3494" s="84">
        <v>46099</v>
      </c>
      <c r="B3494" s="95">
        <v>511629.29300000001</v>
      </c>
      <c r="C3494" s="95">
        <v>4786680.0240000002</v>
      </c>
      <c r="D3494" s="95">
        <v>45.94</v>
      </c>
      <c r="E3494" s="91" t="s">
        <v>106</v>
      </c>
    </row>
    <row r="3495" spans="1:5" x14ac:dyDescent="0.25">
      <c r="A3495" s="84">
        <v>46099</v>
      </c>
      <c r="B3495" s="95">
        <v>511642.27</v>
      </c>
      <c r="C3495" s="95">
        <v>4786673.1229999997</v>
      </c>
      <c r="D3495" s="95">
        <v>48.438000000000002</v>
      </c>
      <c r="E3495" s="91" t="s">
        <v>107</v>
      </c>
    </row>
    <row r="3496" spans="1:5" x14ac:dyDescent="0.25">
      <c r="A3496" s="84">
        <v>46099</v>
      </c>
      <c r="B3496" s="95">
        <v>511642.42499999999</v>
      </c>
      <c r="C3496" s="95">
        <v>4786673.0130000003</v>
      </c>
      <c r="D3496" s="95">
        <v>45.933999999999997</v>
      </c>
      <c r="E3496" s="91" t="s">
        <v>108</v>
      </c>
    </row>
    <row r="3497" spans="1:5" x14ac:dyDescent="0.25">
      <c r="A3497" s="84">
        <v>46099</v>
      </c>
      <c r="B3497" s="95">
        <v>511642.46399999998</v>
      </c>
      <c r="C3497" s="95">
        <v>4786672.9000000004</v>
      </c>
      <c r="D3497" s="95">
        <v>43.965000000000003</v>
      </c>
      <c r="E3497" s="91" t="s">
        <v>111</v>
      </c>
    </row>
    <row r="3498" spans="1:5" x14ac:dyDescent="0.25">
      <c r="A3498" s="84">
        <v>46099</v>
      </c>
      <c r="B3498" s="95">
        <v>511673.81599999999</v>
      </c>
      <c r="C3498" s="95">
        <v>4786631.0719999997</v>
      </c>
      <c r="D3498" s="95">
        <v>40.159999999999997</v>
      </c>
      <c r="E3498" s="91" t="s">
        <v>147</v>
      </c>
    </row>
    <row r="3499" spans="1:5" x14ac:dyDescent="0.25">
      <c r="A3499" s="84">
        <v>46099</v>
      </c>
      <c r="B3499" s="95">
        <v>511573.39799999999</v>
      </c>
      <c r="C3499" s="95">
        <v>4786684.3540000003</v>
      </c>
      <c r="D3499" s="95">
        <v>43.466999999999999</v>
      </c>
      <c r="E3499" s="91" t="s">
        <v>148</v>
      </c>
    </row>
    <row r="3500" spans="1:5" x14ac:dyDescent="0.25">
      <c r="A3500" s="84">
        <v>46099</v>
      </c>
      <c r="B3500" s="95">
        <v>511575.48300000001</v>
      </c>
      <c r="C3500" s="95">
        <v>4786688.227</v>
      </c>
      <c r="D3500" s="95">
        <v>43.426000000000002</v>
      </c>
      <c r="E3500" s="91" t="s">
        <v>149</v>
      </c>
    </row>
    <row r="3501" spans="1:5" x14ac:dyDescent="0.25">
      <c r="A3501" s="84">
        <v>46099</v>
      </c>
      <c r="B3501" s="95">
        <v>511577.68300000002</v>
      </c>
      <c r="C3501" s="95">
        <v>4786692.28</v>
      </c>
      <c r="D3501" s="95">
        <v>43.615000000000002</v>
      </c>
      <c r="E3501" s="91" t="s">
        <v>150</v>
      </c>
    </row>
    <row r="3502" spans="1:5" x14ac:dyDescent="0.25">
      <c r="A3502" s="84">
        <v>46099</v>
      </c>
      <c r="B3502" s="95">
        <v>511579.78399999999</v>
      </c>
      <c r="C3502" s="95">
        <v>4786696.1969999997</v>
      </c>
      <c r="D3502" s="95">
        <v>43.686999999999998</v>
      </c>
      <c r="E3502" s="91" t="s">
        <v>151</v>
      </c>
    </row>
    <row r="3503" spans="1:5" x14ac:dyDescent="0.25">
      <c r="A3503" s="84">
        <v>46099</v>
      </c>
      <c r="B3503" s="95">
        <v>511607.17499999999</v>
      </c>
      <c r="C3503" s="95">
        <v>4786690.8439999996</v>
      </c>
      <c r="D3503" s="95">
        <v>41.314</v>
      </c>
      <c r="E3503" s="91" t="s">
        <v>139</v>
      </c>
    </row>
    <row r="3504" spans="1:5" x14ac:dyDescent="0.25">
      <c r="A3504" s="84">
        <v>46099</v>
      </c>
      <c r="B3504" s="95">
        <v>511614.97700000001</v>
      </c>
      <c r="C3504" s="95">
        <v>4786686.6119999997</v>
      </c>
      <c r="D3504" s="95">
        <v>41.441000000000003</v>
      </c>
      <c r="E3504" s="91" t="s">
        <v>140</v>
      </c>
    </row>
    <row r="3505" spans="1:5" x14ac:dyDescent="0.25">
      <c r="A3505" s="84">
        <v>46099</v>
      </c>
      <c r="B3505" s="95">
        <v>511628.826</v>
      </c>
      <c r="C3505" s="95">
        <v>4786679.1409999998</v>
      </c>
      <c r="D3505" s="95">
        <v>41.374000000000002</v>
      </c>
      <c r="E3505" s="91" t="s">
        <v>141</v>
      </c>
    </row>
    <row r="3506" spans="1:5" x14ac:dyDescent="0.25">
      <c r="A3506" s="84">
        <v>46099</v>
      </c>
      <c r="B3506" s="95">
        <v>511641.99599999998</v>
      </c>
      <c r="C3506" s="95">
        <v>4786671.943</v>
      </c>
      <c r="D3506" s="95">
        <v>41.51</v>
      </c>
      <c r="E3506" s="91" t="s">
        <v>142</v>
      </c>
    </row>
    <row r="3507" spans="1:5" x14ac:dyDescent="0.25">
      <c r="A3507" s="84">
        <v>46099</v>
      </c>
      <c r="B3507" s="95">
        <v>511648.77600000001</v>
      </c>
      <c r="C3507" s="95">
        <v>4786668.2640000004</v>
      </c>
      <c r="D3507" s="95">
        <v>41.308</v>
      </c>
      <c r="E3507" s="91" t="s">
        <v>143</v>
      </c>
    </row>
    <row r="3508" spans="1:5" x14ac:dyDescent="0.25">
      <c r="A3508" s="84">
        <v>46104</v>
      </c>
      <c r="B3508" s="95">
        <v>511615.20699999999</v>
      </c>
      <c r="C3508" s="95">
        <v>4786687.3559999997</v>
      </c>
      <c r="D3508" s="95">
        <v>45.933</v>
      </c>
      <c r="E3508" s="91" t="s">
        <v>104</v>
      </c>
    </row>
    <row r="3509" spans="1:5" x14ac:dyDescent="0.25">
      <c r="A3509" s="84">
        <v>46104</v>
      </c>
      <c r="B3509" s="95">
        <v>511615.16</v>
      </c>
      <c r="C3509" s="95">
        <v>4786687.38</v>
      </c>
      <c r="D3509" s="95">
        <v>43.957999999999998</v>
      </c>
      <c r="E3509" s="91" t="s">
        <v>110</v>
      </c>
    </row>
    <row r="3510" spans="1:5" x14ac:dyDescent="0.25">
      <c r="A3510" s="84">
        <v>46104</v>
      </c>
      <c r="B3510" s="95">
        <v>511629.16499999998</v>
      </c>
      <c r="C3510" s="95">
        <v>4786680.0650000004</v>
      </c>
      <c r="D3510" s="95">
        <v>48.457999999999998</v>
      </c>
      <c r="E3510" s="91" t="s">
        <v>105</v>
      </c>
    </row>
    <row r="3511" spans="1:5" x14ac:dyDescent="0.25">
      <c r="A3511" s="84">
        <v>46104</v>
      </c>
      <c r="B3511" s="95">
        <v>511629.28899999999</v>
      </c>
      <c r="C3511" s="95">
        <v>4786680.0290000001</v>
      </c>
      <c r="D3511" s="95">
        <v>45.941000000000003</v>
      </c>
      <c r="E3511" s="91" t="s">
        <v>106</v>
      </c>
    </row>
    <row r="3512" spans="1:5" x14ac:dyDescent="0.25">
      <c r="A3512" s="84">
        <v>46104</v>
      </c>
      <c r="B3512" s="95">
        <v>511642.26500000001</v>
      </c>
      <c r="C3512" s="95">
        <v>4786673.1279999996</v>
      </c>
      <c r="D3512" s="95">
        <v>48.439</v>
      </c>
      <c r="E3512" s="91" t="s">
        <v>107</v>
      </c>
    </row>
    <row r="3513" spans="1:5" x14ac:dyDescent="0.25">
      <c r="A3513" s="84">
        <v>46104</v>
      </c>
      <c r="B3513" s="95">
        <v>511642.42</v>
      </c>
      <c r="C3513" s="95">
        <v>4786673.017</v>
      </c>
      <c r="D3513" s="95">
        <v>45.933999999999997</v>
      </c>
      <c r="E3513" s="91" t="s">
        <v>108</v>
      </c>
    </row>
    <row r="3514" spans="1:5" x14ac:dyDescent="0.25">
      <c r="A3514" s="84">
        <v>46104</v>
      </c>
      <c r="B3514" s="95">
        <v>511642.45899999997</v>
      </c>
      <c r="C3514" s="95">
        <v>4786672.9040000001</v>
      </c>
      <c r="D3514" s="95">
        <v>43.966000000000001</v>
      </c>
      <c r="E3514" s="91" t="s">
        <v>111</v>
      </c>
    </row>
    <row r="3515" spans="1:5" x14ac:dyDescent="0.25">
      <c r="A3515" s="84">
        <v>46104</v>
      </c>
      <c r="B3515" s="95">
        <v>511673.81400000001</v>
      </c>
      <c r="C3515" s="95">
        <v>4786631.0839999998</v>
      </c>
      <c r="D3515" s="95">
        <v>40.168999999999997</v>
      </c>
      <c r="E3515" s="91" t="s">
        <v>147</v>
      </c>
    </row>
    <row r="3516" spans="1:5" x14ac:dyDescent="0.25">
      <c r="A3516" s="84">
        <v>46104</v>
      </c>
      <c r="B3516" s="95">
        <v>511573.39199999999</v>
      </c>
      <c r="C3516" s="95">
        <v>4786684.3569999998</v>
      </c>
      <c r="D3516" s="95">
        <v>43.468000000000004</v>
      </c>
      <c r="E3516" s="91" t="s">
        <v>148</v>
      </c>
    </row>
    <row r="3517" spans="1:5" x14ac:dyDescent="0.25">
      <c r="A3517" s="84">
        <v>46104</v>
      </c>
      <c r="B3517" s="95">
        <v>511575.478</v>
      </c>
      <c r="C3517" s="95">
        <v>4786688.2290000003</v>
      </c>
      <c r="D3517" s="95">
        <v>43.427</v>
      </c>
      <c r="E3517" s="91" t="s">
        <v>149</v>
      </c>
    </row>
    <row r="3518" spans="1:5" x14ac:dyDescent="0.25">
      <c r="A3518" s="84">
        <v>46104</v>
      </c>
      <c r="B3518" s="95">
        <v>511577.67700000003</v>
      </c>
      <c r="C3518" s="95">
        <v>4786692.284</v>
      </c>
      <c r="D3518" s="95">
        <v>43.616</v>
      </c>
      <c r="E3518" s="91" t="s">
        <v>150</v>
      </c>
    </row>
    <row r="3519" spans="1:5" x14ac:dyDescent="0.25">
      <c r="A3519" s="84">
        <v>46104</v>
      </c>
      <c r="B3519" s="95">
        <v>511579.77899999998</v>
      </c>
      <c r="C3519" s="95">
        <v>4786696.2</v>
      </c>
      <c r="D3519" s="95">
        <v>43.688000000000002</v>
      </c>
      <c r="E3519" s="91" t="s">
        <v>151</v>
      </c>
    </row>
    <row r="3520" spans="1:5" x14ac:dyDescent="0.25">
      <c r="A3520" s="84">
        <v>46104</v>
      </c>
      <c r="B3520" s="95">
        <v>511607.16899999999</v>
      </c>
      <c r="C3520" s="95">
        <v>4786690.8470000001</v>
      </c>
      <c r="D3520" s="95">
        <v>41.314999999999998</v>
      </c>
      <c r="E3520" s="91" t="s">
        <v>139</v>
      </c>
    </row>
    <row r="3521" spans="1:5" x14ac:dyDescent="0.25">
      <c r="A3521" s="84">
        <v>46104</v>
      </c>
      <c r="B3521" s="95">
        <v>511614.97100000002</v>
      </c>
      <c r="C3521" s="95">
        <v>4786686.6150000002</v>
      </c>
      <c r="D3521" s="95">
        <v>41.442</v>
      </c>
      <c r="E3521" s="91" t="s">
        <v>140</v>
      </c>
    </row>
    <row r="3522" spans="1:5" x14ac:dyDescent="0.25">
      <c r="A3522" s="84">
        <v>46104</v>
      </c>
      <c r="B3522" s="95">
        <v>511628.82199999999</v>
      </c>
      <c r="C3522" s="95">
        <v>4786679.1459999997</v>
      </c>
      <c r="D3522" s="95">
        <v>41.375</v>
      </c>
      <c r="E3522" s="91" t="s">
        <v>141</v>
      </c>
    </row>
    <row r="3523" spans="1:5" x14ac:dyDescent="0.25">
      <c r="A3523" s="84">
        <v>46104</v>
      </c>
      <c r="B3523" s="95">
        <v>511641.99099999998</v>
      </c>
      <c r="C3523" s="95">
        <v>4786671.9469999997</v>
      </c>
      <c r="D3523" s="95">
        <v>41.511000000000003</v>
      </c>
      <c r="E3523" s="91" t="s">
        <v>142</v>
      </c>
    </row>
    <row r="3524" spans="1:5" x14ac:dyDescent="0.25">
      <c r="A3524" s="84">
        <v>46104</v>
      </c>
      <c r="B3524" s="95">
        <v>511648.77100000001</v>
      </c>
      <c r="C3524" s="95">
        <v>4786668.267</v>
      </c>
      <c r="D3524" s="95">
        <v>41.308999999999997</v>
      </c>
      <c r="E3524" s="91" t="s">
        <v>143</v>
      </c>
    </row>
    <row r="3525" spans="1:5" x14ac:dyDescent="0.25">
      <c r="A3525" s="84">
        <v>46105</v>
      </c>
      <c r="B3525" s="95">
        <v>511615.21299999999</v>
      </c>
      <c r="C3525" s="95">
        <v>4786687.3550000004</v>
      </c>
      <c r="D3525" s="95">
        <v>45.932000000000002</v>
      </c>
      <c r="E3525" s="91" t="s">
        <v>104</v>
      </c>
    </row>
    <row r="3526" spans="1:5" x14ac:dyDescent="0.25">
      <c r="A3526" s="84">
        <v>46105</v>
      </c>
      <c r="B3526" s="95">
        <v>511615.16600000003</v>
      </c>
      <c r="C3526" s="95">
        <v>4786687.3779999996</v>
      </c>
      <c r="D3526" s="95">
        <v>43.957000000000001</v>
      </c>
      <c r="E3526" s="91" t="s">
        <v>110</v>
      </c>
    </row>
    <row r="3527" spans="1:5" x14ac:dyDescent="0.25">
      <c r="A3527" s="84">
        <v>46105</v>
      </c>
      <c r="B3527" s="95">
        <v>511629.17</v>
      </c>
      <c r="C3527" s="95">
        <v>4786680.0630000001</v>
      </c>
      <c r="D3527" s="95">
        <v>48.457999999999998</v>
      </c>
      <c r="E3527" s="91" t="s">
        <v>105</v>
      </c>
    </row>
    <row r="3528" spans="1:5" x14ac:dyDescent="0.25">
      <c r="A3528" s="84">
        <v>46105</v>
      </c>
      <c r="B3528" s="95">
        <v>511629.29300000001</v>
      </c>
      <c r="C3528" s="95">
        <v>4786680.0259999996</v>
      </c>
      <c r="D3528" s="95">
        <v>45.94</v>
      </c>
      <c r="E3528" s="91" t="s">
        <v>106</v>
      </c>
    </row>
    <row r="3529" spans="1:5" x14ac:dyDescent="0.25">
      <c r="A3529" s="84">
        <v>46105</v>
      </c>
      <c r="B3529" s="95">
        <v>511642.424</v>
      </c>
      <c r="C3529" s="95">
        <v>4786673.0149999997</v>
      </c>
      <c r="D3529" s="95">
        <v>45.933999999999997</v>
      </c>
      <c r="E3529" s="91" t="s">
        <v>108</v>
      </c>
    </row>
    <row r="3530" spans="1:5" x14ac:dyDescent="0.25">
      <c r="A3530" s="84">
        <v>46105</v>
      </c>
      <c r="B3530" s="95">
        <v>511642.46600000001</v>
      </c>
      <c r="C3530" s="95">
        <v>4786672.9019999998</v>
      </c>
      <c r="D3530" s="95">
        <v>43.965000000000003</v>
      </c>
      <c r="E3530" s="91" t="s">
        <v>111</v>
      </c>
    </row>
    <row r="3531" spans="1:5" x14ac:dyDescent="0.25">
      <c r="A3531" s="84">
        <v>46105</v>
      </c>
      <c r="B3531" s="95">
        <v>511673.815</v>
      </c>
      <c r="C3531" s="95">
        <v>4786631.0729999999</v>
      </c>
      <c r="D3531" s="95">
        <v>40.159999999999997</v>
      </c>
      <c r="E3531" s="91" t="s">
        <v>147</v>
      </c>
    </row>
    <row r="3532" spans="1:5" x14ac:dyDescent="0.25">
      <c r="A3532" s="84">
        <v>46105</v>
      </c>
      <c r="B3532" s="95">
        <v>511573.39600000001</v>
      </c>
      <c r="C3532" s="95">
        <v>4786684.3569999998</v>
      </c>
      <c r="D3532" s="95">
        <v>43.466999999999999</v>
      </c>
      <c r="E3532" s="91" t="s">
        <v>148</v>
      </c>
    </row>
    <row r="3533" spans="1:5" x14ac:dyDescent="0.25">
      <c r="A3533" s="84">
        <v>46105</v>
      </c>
      <c r="B3533" s="95">
        <v>511575.48300000001</v>
      </c>
      <c r="C3533" s="95">
        <v>4786688.2280000001</v>
      </c>
      <c r="D3533" s="95">
        <v>43.427</v>
      </c>
      <c r="E3533" s="91" t="s">
        <v>149</v>
      </c>
    </row>
    <row r="3534" spans="1:5" x14ac:dyDescent="0.25">
      <c r="A3534" s="84">
        <v>46105</v>
      </c>
      <c r="B3534" s="95">
        <v>511577.68199999997</v>
      </c>
      <c r="C3534" s="95">
        <v>4786692.2829999998</v>
      </c>
      <c r="D3534" s="95">
        <v>43.615000000000002</v>
      </c>
      <c r="E3534" s="91" t="s">
        <v>150</v>
      </c>
    </row>
    <row r="3535" spans="1:5" x14ac:dyDescent="0.25">
      <c r="A3535" s="84">
        <v>46105</v>
      </c>
      <c r="B3535" s="95">
        <v>511579.78499999997</v>
      </c>
      <c r="C3535" s="95">
        <v>4786696.1979999999</v>
      </c>
      <c r="D3535" s="95">
        <v>43.688000000000002</v>
      </c>
      <c r="E3535" s="91" t="s">
        <v>151</v>
      </c>
    </row>
    <row r="3536" spans="1:5" x14ac:dyDescent="0.25">
      <c r="A3536" s="84">
        <v>46105</v>
      </c>
      <c r="B3536" s="95">
        <v>511607.17499999999</v>
      </c>
      <c r="C3536" s="95">
        <v>4786690.8459999999</v>
      </c>
      <c r="D3536" s="95">
        <v>41.314</v>
      </c>
      <c r="E3536" s="91" t="s">
        <v>139</v>
      </c>
    </row>
    <row r="3537" spans="1:5" x14ac:dyDescent="0.25">
      <c r="A3537" s="84">
        <v>46105</v>
      </c>
      <c r="B3537" s="95">
        <v>511628.82699999999</v>
      </c>
      <c r="C3537" s="95">
        <v>4786679.1440000003</v>
      </c>
      <c r="D3537" s="95">
        <v>41.374000000000002</v>
      </c>
      <c r="E3537" s="91" t="s">
        <v>141</v>
      </c>
    </row>
    <row r="3538" spans="1:5" x14ac:dyDescent="0.25">
      <c r="A3538" s="84">
        <v>46105</v>
      </c>
      <c r="B3538" s="95">
        <v>511641.99599999998</v>
      </c>
      <c r="C3538" s="95">
        <v>4786671.9450000003</v>
      </c>
      <c r="D3538" s="95">
        <v>41.51</v>
      </c>
      <c r="E3538" s="91" t="s">
        <v>142</v>
      </c>
    </row>
    <row r="3539" spans="1:5" x14ac:dyDescent="0.25">
      <c r="A3539" s="84">
        <v>46105</v>
      </c>
      <c r="B3539" s="95">
        <v>511648.77600000001</v>
      </c>
      <c r="C3539" s="95">
        <v>4786668.2649999997</v>
      </c>
      <c r="D3539" s="95">
        <v>41.308</v>
      </c>
      <c r="E3539" s="91" t="s">
        <v>143</v>
      </c>
    </row>
    <row r="3540" spans="1:5" x14ac:dyDescent="0.25">
      <c r="A3540" s="84">
        <v>46106</v>
      </c>
      <c r="B3540" s="95">
        <v>511615.21399999998</v>
      </c>
      <c r="C3540" s="95">
        <v>4786687.3509999998</v>
      </c>
      <c r="D3540" s="95">
        <v>45.933</v>
      </c>
      <c r="E3540" s="91" t="s">
        <v>104</v>
      </c>
    </row>
    <row r="3541" spans="1:5" x14ac:dyDescent="0.25">
      <c r="A3541" s="84">
        <v>46106</v>
      </c>
      <c r="B3541" s="95">
        <v>511615.16700000002</v>
      </c>
      <c r="C3541" s="95">
        <v>4786687.375</v>
      </c>
      <c r="D3541" s="95">
        <v>43.957999999999998</v>
      </c>
      <c r="E3541" s="91" t="s">
        <v>110</v>
      </c>
    </row>
    <row r="3542" spans="1:5" x14ac:dyDescent="0.25">
      <c r="A3542" s="84">
        <v>46106</v>
      </c>
      <c r="B3542" s="95">
        <v>511629.17300000001</v>
      </c>
      <c r="C3542" s="95">
        <v>4786680.0599999996</v>
      </c>
      <c r="D3542" s="95">
        <v>48.457999999999998</v>
      </c>
      <c r="E3542" s="91" t="s">
        <v>105</v>
      </c>
    </row>
    <row r="3543" spans="1:5" x14ac:dyDescent="0.25">
      <c r="A3543" s="84">
        <v>46106</v>
      </c>
      <c r="B3543" s="95">
        <v>511629.29499999998</v>
      </c>
      <c r="C3543" s="95">
        <v>4786680.023</v>
      </c>
      <c r="D3543" s="95">
        <v>45.94</v>
      </c>
      <c r="E3543" s="91" t="s">
        <v>106</v>
      </c>
    </row>
    <row r="3544" spans="1:5" x14ac:dyDescent="0.25">
      <c r="A3544" s="84">
        <v>46106</v>
      </c>
      <c r="B3544" s="95">
        <v>511642.424</v>
      </c>
      <c r="C3544" s="95">
        <v>4786673.01</v>
      </c>
      <c r="D3544" s="95">
        <v>45.933999999999997</v>
      </c>
      <c r="E3544" s="91" t="s">
        <v>108</v>
      </c>
    </row>
    <row r="3545" spans="1:5" x14ac:dyDescent="0.25">
      <c r="A3545" s="84">
        <v>46106</v>
      </c>
      <c r="B3545" s="95">
        <v>511642.46600000001</v>
      </c>
      <c r="C3545" s="95">
        <v>4786672.8990000002</v>
      </c>
      <c r="D3545" s="95">
        <v>43.966999999999999</v>
      </c>
      <c r="E3545" s="91" t="s">
        <v>111</v>
      </c>
    </row>
    <row r="3546" spans="1:5" x14ac:dyDescent="0.25">
      <c r="A3546" s="84">
        <v>46106</v>
      </c>
      <c r="B3546" s="95">
        <v>511673.81699999998</v>
      </c>
      <c r="C3546" s="95">
        <v>4786631.068</v>
      </c>
      <c r="D3546" s="95">
        <v>40.159999999999997</v>
      </c>
      <c r="E3546" s="91" t="s">
        <v>147</v>
      </c>
    </row>
    <row r="3547" spans="1:5" x14ac:dyDescent="0.25">
      <c r="A3547" s="84">
        <v>46106</v>
      </c>
      <c r="B3547" s="95">
        <v>511573.39899999998</v>
      </c>
      <c r="C3547" s="95">
        <v>4786684.3550000004</v>
      </c>
      <c r="D3547" s="95">
        <v>43.466999999999999</v>
      </c>
      <c r="E3547" s="91" t="s">
        <v>148</v>
      </c>
    </row>
    <row r="3548" spans="1:5" x14ac:dyDescent="0.25">
      <c r="A3548" s="84">
        <v>46106</v>
      </c>
      <c r="B3548" s="95">
        <v>511575.48499999999</v>
      </c>
      <c r="C3548" s="95">
        <v>4786688.2259999998</v>
      </c>
      <c r="D3548" s="95">
        <v>43.426000000000002</v>
      </c>
      <c r="E3548" s="91" t="s">
        <v>149</v>
      </c>
    </row>
    <row r="3549" spans="1:5" x14ac:dyDescent="0.25">
      <c r="A3549" s="84">
        <v>46106</v>
      </c>
      <c r="B3549" s="95">
        <v>511577.685</v>
      </c>
      <c r="C3549" s="95">
        <v>4786692.28</v>
      </c>
      <c r="D3549" s="95">
        <v>43.615000000000002</v>
      </c>
      <c r="E3549" s="91" t="s">
        <v>150</v>
      </c>
    </row>
    <row r="3550" spans="1:5" x14ac:dyDescent="0.25">
      <c r="A3550" s="84">
        <v>46106</v>
      </c>
      <c r="B3550" s="95">
        <v>511579.78600000002</v>
      </c>
      <c r="C3550" s="95">
        <v>4786696.1969999997</v>
      </c>
      <c r="D3550" s="95">
        <v>43.686999999999998</v>
      </c>
      <c r="E3550" s="91" t="s">
        <v>151</v>
      </c>
    </row>
    <row r="3551" spans="1:5" x14ac:dyDescent="0.25">
      <c r="A3551" s="84">
        <v>46106</v>
      </c>
      <c r="B3551" s="95">
        <v>511607.17700000003</v>
      </c>
      <c r="C3551" s="95">
        <v>4786690.8449999997</v>
      </c>
      <c r="D3551" s="95">
        <v>41.314</v>
      </c>
      <c r="E3551" s="91" t="s">
        <v>139</v>
      </c>
    </row>
    <row r="3552" spans="1:5" x14ac:dyDescent="0.25">
      <c r="A3552" s="84">
        <v>46106</v>
      </c>
      <c r="B3552" s="95">
        <v>511614.97899999999</v>
      </c>
      <c r="C3552" s="95">
        <v>4786686.6100000003</v>
      </c>
      <c r="D3552" s="95">
        <v>41.442</v>
      </c>
      <c r="E3552" s="91" t="s">
        <v>140</v>
      </c>
    </row>
    <row r="3553" spans="1:5" x14ac:dyDescent="0.25">
      <c r="A3553" s="84">
        <v>46106</v>
      </c>
      <c r="B3553" s="95">
        <v>511628.82900000003</v>
      </c>
      <c r="C3553" s="95">
        <v>4786679.1409999998</v>
      </c>
      <c r="D3553" s="95">
        <v>41.374000000000002</v>
      </c>
      <c r="E3553" s="91" t="s">
        <v>141</v>
      </c>
    </row>
    <row r="3554" spans="1:5" x14ac:dyDescent="0.25">
      <c r="A3554" s="84">
        <v>46106</v>
      </c>
      <c r="B3554" s="95">
        <v>511641.99800000002</v>
      </c>
      <c r="C3554" s="95">
        <v>4786671.9409999996</v>
      </c>
      <c r="D3554" s="95">
        <v>41.51</v>
      </c>
      <c r="E3554" s="91" t="s">
        <v>142</v>
      </c>
    </row>
    <row r="3555" spans="1:5" x14ac:dyDescent="0.25">
      <c r="A3555" s="84">
        <v>46106</v>
      </c>
      <c r="B3555" s="95">
        <v>511648.777</v>
      </c>
      <c r="C3555" s="95">
        <v>4786668.2620000001</v>
      </c>
      <c r="D3555" s="95">
        <v>41.308</v>
      </c>
      <c r="E3555" s="91" t="s">
        <v>143</v>
      </c>
    </row>
    <row r="3556" spans="1:5" x14ac:dyDescent="0.25">
      <c r="A3556" s="84">
        <v>46107</v>
      </c>
      <c r="B3556" s="96">
        <v>511615.20799999998</v>
      </c>
      <c r="C3556" s="96">
        <v>4786687.3569999998</v>
      </c>
      <c r="D3556" s="96">
        <v>45.93</v>
      </c>
      <c r="E3556" s="96" t="s">
        <v>104</v>
      </c>
    </row>
    <row r="3557" spans="1:5" x14ac:dyDescent="0.25">
      <c r="A3557" s="84">
        <v>46107</v>
      </c>
      <c r="B3557" s="96">
        <v>511615.16100000002</v>
      </c>
      <c r="C3557" s="96">
        <v>4786687.3810000001</v>
      </c>
      <c r="D3557" s="96">
        <v>43.956000000000003</v>
      </c>
      <c r="E3557" s="96" t="s">
        <v>110</v>
      </c>
    </row>
    <row r="3558" spans="1:5" x14ac:dyDescent="0.25">
      <c r="A3558" s="84">
        <v>46107</v>
      </c>
      <c r="B3558" s="96">
        <v>511629.29</v>
      </c>
      <c r="C3558" s="96">
        <v>4786680.0290000001</v>
      </c>
      <c r="D3558" s="96">
        <v>45.939</v>
      </c>
      <c r="E3558" s="96" t="s">
        <v>106</v>
      </c>
    </row>
    <row r="3559" spans="1:5" x14ac:dyDescent="0.25">
      <c r="A3559" s="84">
        <v>46107</v>
      </c>
      <c r="B3559" s="96">
        <v>511642.42</v>
      </c>
      <c r="C3559" s="96">
        <v>4786673.0180000002</v>
      </c>
      <c r="D3559" s="96">
        <v>45.933</v>
      </c>
      <c r="E3559" s="96" t="s">
        <v>108</v>
      </c>
    </row>
    <row r="3560" spans="1:5" x14ac:dyDescent="0.25">
      <c r="A3560" s="84">
        <v>46107</v>
      </c>
      <c r="B3560" s="96">
        <v>511642.46</v>
      </c>
      <c r="C3560" s="96">
        <v>4786672.9050000003</v>
      </c>
      <c r="D3560" s="96">
        <v>43.963999999999999</v>
      </c>
      <c r="E3560" s="96" t="s">
        <v>111</v>
      </c>
    </row>
    <row r="3561" spans="1:5" x14ac:dyDescent="0.25">
      <c r="A3561" s="84">
        <v>46107</v>
      </c>
      <c r="B3561" s="96">
        <v>511673.81699999998</v>
      </c>
      <c r="C3561" s="96">
        <v>4786631.085</v>
      </c>
      <c r="D3561" s="96">
        <v>40.167000000000002</v>
      </c>
      <c r="E3561" s="96" t="s">
        <v>147</v>
      </c>
    </row>
    <row r="3562" spans="1:5" x14ac:dyDescent="0.25">
      <c r="A3562" s="84">
        <v>46107</v>
      </c>
      <c r="B3562" s="96">
        <v>511573.39199999999</v>
      </c>
      <c r="C3562" s="96">
        <v>4786684.358</v>
      </c>
      <c r="D3562" s="96">
        <v>43.466000000000001</v>
      </c>
      <c r="E3562" s="96" t="s">
        <v>148</v>
      </c>
    </row>
    <row r="3563" spans="1:5" x14ac:dyDescent="0.25">
      <c r="A3563" s="84">
        <v>46107</v>
      </c>
      <c r="B3563" s="96">
        <v>511575.47700000001</v>
      </c>
      <c r="C3563" s="96">
        <v>4786688.2319999998</v>
      </c>
      <c r="D3563" s="96">
        <v>43.424999999999997</v>
      </c>
      <c r="E3563" s="96" t="s">
        <v>149</v>
      </c>
    </row>
    <row r="3564" spans="1:5" x14ac:dyDescent="0.25">
      <c r="A3564" s="84">
        <v>46107</v>
      </c>
      <c r="B3564" s="96">
        <v>511577.67800000001</v>
      </c>
      <c r="C3564" s="96">
        <v>4786692.284</v>
      </c>
      <c r="D3564" s="96">
        <v>43.613999999999997</v>
      </c>
      <c r="E3564" s="96" t="s">
        <v>150</v>
      </c>
    </row>
    <row r="3565" spans="1:5" x14ac:dyDescent="0.25">
      <c r="A3565" s="84">
        <v>46107</v>
      </c>
      <c r="B3565" s="96">
        <v>511579.77899999998</v>
      </c>
      <c r="C3565" s="96">
        <v>4786696.2010000004</v>
      </c>
      <c r="D3565" s="96">
        <v>43.686</v>
      </c>
      <c r="E3565" s="96" t="s">
        <v>151</v>
      </c>
    </row>
    <row r="3566" spans="1:5" x14ac:dyDescent="0.25">
      <c r="A3566" s="84">
        <v>46107</v>
      </c>
      <c r="B3566" s="96">
        <v>511607.17</v>
      </c>
      <c r="C3566" s="96">
        <v>4786690.8480000002</v>
      </c>
      <c r="D3566" s="96">
        <v>41.313000000000002</v>
      </c>
      <c r="E3566" s="96" t="s">
        <v>139</v>
      </c>
    </row>
    <row r="3567" spans="1:5" x14ac:dyDescent="0.25">
      <c r="A3567" s="84">
        <v>46107</v>
      </c>
      <c r="B3567" s="96">
        <v>511614.97100000002</v>
      </c>
      <c r="C3567" s="96">
        <v>4786686.6140000001</v>
      </c>
      <c r="D3567" s="96">
        <v>41.439</v>
      </c>
      <c r="E3567" s="96" t="s">
        <v>140</v>
      </c>
    </row>
    <row r="3568" spans="1:5" x14ac:dyDescent="0.25">
      <c r="A3568" s="84">
        <v>46107</v>
      </c>
      <c r="B3568" s="96">
        <v>511628.82299999997</v>
      </c>
      <c r="C3568" s="96">
        <v>4786679.1449999996</v>
      </c>
      <c r="D3568" s="96">
        <v>41.372</v>
      </c>
      <c r="E3568" s="96" t="s">
        <v>141</v>
      </c>
    </row>
    <row r="3569" spans="1:8" x14ac:dyDescent="0.25">
      <c r="A3569" s="84">
        <v>46107</v>
      </c>
      <c r="B3569" s="96">
        <v>511648.77299999999</v>
      </c>
      <c r="C3569" s="96">
        <v>4786668.2690000003</v>
      </c>
      <c r="D3569" s="96">
        <v>41.305999999999997</v>
      </c>
      <c r="E3569" s="96" t="s">
        <v>143</v>
      </c>
      <c r="F3569" s="92"/>
      <c r="G3569" s="92"/>
      <c r="H3569" s="92"/>
    </row>
    <row r="3570" spans="1:8" x14ac:dyDescent="0.25">
      <c r="A3570" s="84">
        <v>46108</v>
      </c>
      <c r="B3570" s="95">
        <v>511615.21100000001</v>
      </c>
      <c r="C3570" s="95">
        <v>4786687.352</v>
      </c>
      <c r="D3570" s="95">
        <v>45.930999999999997</v>
      </c>
      <c r="E3570" s="91" t="s">
        <v>104</v>
      </c>
      <c r="F3570" s="92"/>
      <c r="G3570" s="92"/>
      <c r="H3570" s="92"/>
    </row>
    <row r="3571" spans="1:8" x14ac:dyDescent="0.25">
      <c r="A3571" s="84">
        <v>46108</v>
      </c>
      <c r="B3571" s="95">
        <v>511615.16399999999</v>
      </c>
      <c r="C3571" s="95">
        <v>4786687.3760000002</v>
      </c>
      <c r="D3571" s="95">
        <v>43.957000000000001</v>
      </c>
      <c r="E3571" s="91" t="s">
        <v>110</v>
      </c>
      <c r="F3571" s="92"/>
      <c r="G3571" s="92"/>
      <c r="H3571" s="92"/>
    </row>
    <row r="3572" spans="1:8" x14ac:dyDescent="0.25">
      <c r="A3572" s="84">
        <v>46108</v>
      </c>
      <c r="B3572" s="95">
        <v>511629.29399999999</v>
      </c>
      <c r="C3572" s="95">
        <v>4786680.0259999996</v>
      </c>
      <c r="D3572" s="95">
        <v>45.939</v>
      </c>
      <c r="E3572" s="91" t="s">
        <v>106</v>
      </c>
      <c r="F3572" s="92"/>
      <c r="G3572" s="92"/>
      <c r="H3572" s="92"/>
    </row>
    <row r="3573" spans="1:8" x14ac:dyDescent="0.25">
      <c r="A3573" s="84">
        <v>46108</v>
      </c>
      <c r="B3573" s="95">
        <v>511642.424</v>
      </c>
      <c r="C3573" s="95">
        <v>4786673.0140000004</v>
      </c>
      <c r="D3573" s="95">
        <v>45.933</v>
      </c>
      <c r="E3573" s="91" t="s">
        <v>108</v>
      </c>
      <c r="F3573" s="92"/>
      <c r="G3573" s="92"/>
      <c r="H3573" s="92"/>
    </row>
    <row r="3574" spans="1:8" x14ac:dyDescent="0.25">
      <c r="A3574" s="84">
        <v>46108</v>
      </c>
      <c r="B3574" s="95">
        <v>511642.46299999999</v>
      </c>
      <c r="C3574" s="95">
        <v>4786672.9009999996</v>
      </c>
      <c r="D3574" s="95">
        <v>43.965000000000003</v>
      </c>
      <c r="E3574" s="91" t="s">
        <v>111</v>
      </c>
      <c r="F3574" s="92"/>
      <c r="G3574" s="92"/>
      <c r="H3574" s="92"/>
    </row>
    <row r="3575" spans="1:8" x14ac:dyDescent="0.25">
      <c r="A3575" s="84">
        <v>46108</v>
      </c>
      <c r="B3575" s="95">
        <v>511673.81599999999</v>
      </c>
      <c r="C3575" s="95">
        <v>4786631.0729999999</v>
      </c>
      <c r="D3575" s="95">
        <v>40.159999999999997</v>
      </c>
      <c r="E3575" s="91" t="s">
        <v>147</v>
      </c>
      <c r="F3575" s="92"/>
      <c r="G3575" s="92"/>
      <c r="H3575" s="92"/>
    </row>
    <row r="3576" spans="1:8" x14ac:dyDescent="0.25">
      <c r="A3576" s="84">
        <v>46108</v>
      </c>
      <c r="B3576" s="95">
        <v>511573.39500000002</v>
      </c>
      <c r="C3576" s="95">
        <v>4786684.3559999997</v>
      </c>
      <c r="D3576" s="95">
        <v>43.466999999999999</v>
      </c>
      <c r="E3576" s="91" t="s">
        <v>148</v>
      </c>
      <c r="F3576" s="92"/>
      <c r="G3576" s="92"/>
      <c r="H3576" s="92"/>
    </row>
    <row r="3577" spans="1:8" x14ac:dyDescent="0.25">
      <c r="A3577" s="84">
        <v>46108</v>
      </c>
      <c r="B3577" s="95">
        <v>511575.48200000002</v>
      </c>
      <c r="C3577" s="95">
        <v>4786688.227</v>
      </c>
      <c r="D3577" s="95">
        <v>43.427</v>
      </c>
      <c r="E3577" s="91" t="s">
        <v>149</v>
      </c>
      <c r="F3577" s="92"/>
      <c r="G3577" s="92"/>
      <c r="H3577" s="92"/>
    </row>
    <row r="3578" spans="1:8" x14ac:dyDescent="0.25">
      <c r="A3578" s="84">
        <v>46108</v>
      </c>
      <c r="B3578" s="95">
        <v>511577.68199999997</v>
      </c>
      <c r="C3578" s="95">
        <v>4786692.2819999997</v>
      </c>
      <c r="D3578" s="95">
        <v>43.615000000000002</v>
      </c>
      <c r="E3578" s="91" t="s">
        <v>150</v>
      </c>
      <c r="F3578" s="92"/>
      <c r="G3578" s="92"/>
      <c r="H3578" s="92"/>
    </row>
    <row r="3579" spans="1:8" x14ac:dyDescent="0.25">
      <c r="A3579" s="84">
        <v>46108</v>
      </c>
      <c r="B3579" s="95">
        <v>511579.783</v>
      </c>
      <c r="C3579" s="95">
        <v>4786696.1979999999</v>
      </c>
      <c r="D3579" s="95">
        <v>43.686999999999998</v>
      </c>
      <c r="E3579" s="91" t="s">
        <v>151</v>
      </c>
      <c r="F3579" s="92"/>
      <c r="G3579" s="92"/>
      <c r="H3579" s="92"/>
    </row>
    <row r="3580" spans="1:8" x14ac:dyDescent="0.25">
      <c r="A3580" s="84">
        <v>46108</v>
      </c>
      <c r="B3580" s="95">
        <v>511607.174</v>
      </c>
      <c r="C3580" s="95">
        <v>4786690.8449999997</v>
      </c>
      <c r="D3580" s="95">
        <v>41.314</v>
      </c>
      <c r="E3580" s="91" t="s">
        <v>139</v>
      </c>
      <c r="F3580" s="92"/>
      <c r="G3580" s="92"/>
      <c r="H3580" s="92"/>
    </row>
    <row r="3581" spans="1:8" x14ac:dyDescent="0.25">
      <c r="A3581" s="84">
        <v>46108</v>
      </c>
      <c r="B3581" s="95">
        <v>511614.97499999998</v>
      </c>
      <c r="C3581" s="95">
        <v>4786686.6109999996</v>
      </c>
      <c r="D3581" s="95">
        <v>41.441000000000003</v>
      </c>
      <c r="E3581" s="91" t="s">
        <v>140</v>
      </c>
      <c r="F3581" s="92"/>
      <c r="G3581" s="92"/>
      <c r="H3581" s="92"/>
    </row>
    <row r="3582" spans="1:8" x14ac:dyDescent="0.25">
      <c r="A3582" s="84">
        <v>46108</v>
      </c>
      <c r="B3582" s="95">
        <v>511628.826</v>
      </c>
      <c r="C3582" s="95">
        <v>4786679.142</v>
      </c>
      <c r="D3582" s="95">
        <v>41.374000000000002</v>
      </c>
      <c r="E3582" s="91" t="s">
        <v>141</v>
      </c>
      <c r="F3582" s="92"/>
      <c r="G3582" s="92"/>
      <c r="H3582" s="92"/>
    </row>
    <row r="3583" spans="1:8" x14ac:dyDescent="0.25">
      <c r="A3583" s="84">
        <v>46108</v>
      </c>
      <c r="B3583" s="95">
        <v>511641.99400000001</v>
      </c>
      <c r="C3583" s="95">
        <v>4786671.943</v>
      </c>
      <c r="D3583" s="95">
        <v>41.51</v>
      </c>
      <c r="E3583" s="91" t="s">
        <v>142</v>
      </c>
      <c r="F3583" s="92"/>
      <c r="G3583" s="92"/>
      <c r="H3583" s="92"/>
    </row>
    <row r="3584" spans="1:8" x14ac:dyDescent="0.25">
      <c r="A3584" s="84">
        <v>46108</v>
      </c>
      <c r="B3584" s="95">
        <v>511648.77500000002</v>
      </c>
      <c r="C3584" s="95">
        <v>4786668.2649999997</v>
      </c>
      <c r="D3584" s="95">
        <v>41.308</v>
      </c>
      <c r="E3584" s="91" t="s">
        <v>143</v>
      </c>
    </row>
    <row r="3585" spans="1:5" x14ac:dyDescent="0.25">
      <c r="A3585" s="84">
        <v>46111</v>
      </c>
      <c r="B3585" s="95">
        <v>511615.21600000001</v>
      </c>
      <c r="C3585" s="95">
        <v>4786687.352</v>
      </c>
      <c r="D3585" s="95">
        <v>45.930999999999997</v>
      </c>
      <c r="E3585" s="91" t="s">
        <v>104</v>
      </c>
    </row>
    <row r="3586" spans="1:5" x14ac:dyDescent="0.25">
      <c r="A3586" s="84">
        <v>46111</v>
      </c>
      <c r="B3586" s="95">
        <v>511629.29800000001</v>
      </c>
      <c r="C3586" s="95">
        <v>4786680.023</v>
      </c>
      <c r="D3586" s="95">
        <v>45.939</v>
      </c>
      <c r="E3586" s="91" t="s">
        <v>106</v>
      </c>
    </row>
    <row r="3587" spans="1:5" x14ac:dyDescent="0.25">
      <c r="A3587" s="84">
        <v>46111</v>
      </c>
      <c r="B3587" s="95">
        <v>511642.429</v>
      </c>
      <c r="C3587" s="95">
        <v>4786673.0109999999</v>
      </c>
      <c r="D3587" s="95">
        <v>45.933</v>
      </c>
      <c r="E3587" s="91" t="s">
        <v>108</v>
      </c>
    </row>
    <row r="3588" spans="1:5" x14ac:dyDescent="0.25">
      <c r="A3588" s="84">
        <v>46111</v>
      </c>
      <c r="B3588" s="95">
        <v>511642.467</v>
      </c>
      <c r="C3588" s="95">
        <v>4786672.898</v>
      </c>
      <c r="D3588" s="95">
        <v>43.965000000000003</v>
      </c>
      <c r="E3588" s="91" t="s">
        <v>111</v>
      </c>
    </row>
    <row r="3589" spans="1:5" x14ac:dyDescent="0.25">
      <c r="A3589" s="84">
        <v>46111</v>
      </c>
      <c r="B3589" s="95">
        <v>511673.821</v>
      </c>
      <c r="C3589" s="95">
        <v>4786631.0779999997</v>
      </c>
      <c r="D3589" s="95">
        <v>40.167999999999999</v>
      </c>
      <c r="E3589" s="91" t="s">
        <v>147</v>
      </c>
    </row>
    <row r="3590" spans="1:5" x14ac:dyDescent="0.25">
      <c r="A3590" s="84">
        <v>46111</v>
      </c>
      <c r="B3590" s="95">
        <v>511573.4</v>
      </c>
      <c r="C3590" s="95">
        <v>4786684.3569999998</v>
      </c>
      <c r="D3590" s="95">
        <v>43.466999999999999</v>
      </c>
      <c r="E3590" s="91" t="s">
        <v>148</v>
      </c>
    </row>
    <row r="3591" spans="1:5" x14ac:dyDescent="0.25">
      <c r="A3591" s="84">
        <v>46111</v>
      </c>
      <c r="B3591" s="95">
        <v>511575.48700000002</v>
      </c>
      <c r="C3591" s="95">
        <v>4786688.2280000001</v>
      </c>
      <c r="D3591" s="95">
        <v>43.426000000000002</v>
      </c>
      <c r="E3591" s="91" t="s">
        <v>149</v>
      </c>
    </row>
    <row r="3592" spans="1:5" x14ac:dyDescent="0.25">
      <c r="A3592" s="84">
        <v>46111</v>
      </c>
      <c r="B3592" s="95">
        <v>511577.68599999999</v>
      </c>
      <c r="C3592" s="95">
        <v>4786692.2819999997</v>
      </c>
      <c r="D3592" s="95">
        <v>43.615000000000002</v>
      </c>
      <c r="E3592" s="91" t="s">
        <v>150</v>
      </c>
    </row>
    <row r="3593" spans="1:5" x14ac:dyDescent="0.25">
      <c r="A3593" s="84">
        <v>46111</v>
      </c>
      <c r="B3593" s="95">
        <v>511579.788</v>
      </c>
      <c r="C3593" s="95">
        <v>4786696.199</v>
      </c>
      <c r="D3593" s="95">
        <v>43.686999999999998</v>
      </c>
      <c r="E3593" s="91" t="s">
        <v>151</v>
      </c>
    </row>
    <row r="3594" spans="1:5" x14ac:dyDescent="0.25">
      <c r="A3594" s="84">
        <v>46111</v>
      </c>
      <c r="B3594" s="95">
        <v>511607.17800000001</v>
      </c>
      <c r="C3594" s="95">
        <v>4786690.8420000002</v>
      </c>
      <c r="D3594" s="95">
        <v>41.314</v>
      </c>
      <c r="E3594" s="91" t="s">
        <v>139</v>
      </c>
    </row>
    <row r="3595" spans="1:5" x14ac:dyDescent="0.25">
      <c r="A3595" s="84">
        <v>46111</v>
      </c>
      <c r="B3595" s="95">
        <v>511614.98</v>
      </c>
      <c r="C3595" s="95">
        <v>4786686.6090000002</v>
      </c>
      <c r="D3595" s="95">
        <v>41.441000000000003</v>
      </c>
      <c r="E3595" s="91" t="s">
        <v>140</v>
      </c>
    </row>
    <row r="3596" spans="1:5" x14ac:dyDescent="0.25">
      <c r="A3596" s="84">
        <v>46111</v>
      </c>
      <c r="B3596" s="95">
        <v>511628.83</v>
      </c>
      <c r="C3596" s="95">
        <v>4786679.1399999997</v>
      </c>
      <c r="D3596" s="95">
        <v>41.372999999999998</v>
      </c>
      <c r="E3596" s="91" t="s">
        <v>141</v>
      </c>
    </row>
    <row r="3597" spans="1:5" x14ac:dyDescent="0.25">
      <c r="A3597" s="84">
        <v>46111</v>
      </c>
      <c r="B3597" s="95">
        <v>511641.99900000001</v>
      </c>
      <c r="C3597" s="95">
        <v>4786671.9409999996</v>
      </c>
      <c r="D3597" s="95">
        <v>41.51</v>
      </c>
      <c r="E3597" s="91" t="s">
        <v>142</v>
      </c>
    </row>
    <row r="3598" spans="1:5" x14ac:dyDescent="0.25">
      <c r="A3598" s="84">
        <v>46111</v>
      </c>
      <c r="B3598" s="95">
        <v>511648.78</v>
      </c>
      <c r="C3598" s="95">
        <v>4786668.2609999999</v>
      </c>
      <c r="D3598" s="95">
        <v>41.308</v>
      </c>
      <c r="E3598" s="91" t="s">
        <v>143</v>
      </c>
    </row>
    <row r="3599" spans="1:5" x14ac:dyDescent="0.25">
      <c r="A3599" s="84">
        <v>46112</v>
      </c>
      <c r="B3599" s="96">
        <v>511615.21</v>
      </c>
      <c r="C3599" s="96">
        <v>4786687.352</v>
      </c>
      <c r="D3599" s="96">
        <v>45.93</v>
      </c>
      <c r="E3599" s="96" t="s">
        <v>104</v>
      </c>
    </row>
    <row r="3600" spans="1:5" x14ac:dyDescent="0.25">
      <c r="A3600" s="84">
        <v>46112</v>
      </c>
      <c r="B3600" s="96">
        <v>511615.16200000001</v>
      </c>
      <c r="C3600" s="96">
        <v>4786687.375</v>
      </c>
      <c r="D3600" s="96">
        <v>43.956000000000003</v>
      </c>
      <c r="E3600" s="96" t="s">
        <v>110</v>
      </c>
    </row>
    <row r="3601" spans="1:8" x14ac:dyDescent="0.25">
      <c r="A3601" s="84">
        <v>46112</v>
      </c>
      <c r="B3601" s="96">
        <v>511629.29200000002</v>
      </c>
      <c r="C3601" s="96">
        <v>4786680.0250000004</v>
      </c>
      <c r="D3601" s="96">
        <v>45.938000000000002</v>
      </c>
      <c r="E3601" s="96" t="s">
        <v>106</v>
      </c>
    </row>
    <row r="3602" spans="1:8" x14ac:dyDescent="0.25">
      <c r="A3602" s="84">
        <v>46112</v>
      </c>
      <c r="B3602" s="96">
        <v>511642.42099999997</v>
      </c>
      <c r="C3602" s="96">
        <v>4786673.0130000003</v>
      </c>
      <c r="D3602" s="96">
        <v>45.932000000000002</v>
      </c>
      <c r="E3602" s="96" t="s">
        <v>108</v>
      </c>
    </row>
    <row r="3603" spans="1:8" x14ac:dyDescent="0.25">
      <c r="A3603" s="84">
        <v>46112</v>
      </c>
      <c r="B3603" s="96">
        <v>511642.46100000001</v>
      </c>
      <c r="C3603" s="96">
        <v>4786672.9000000004</v>
      </c>
      <c r="D3603" s="96">
        <v>43.963999999999999</v>
      </c>
      <c r="E3603" s="96" t="s">
        <v>111</v>
      </c>
    </row>
    <row r="3604" spans="1:8" x14ac:dyDescent="0.25">
      <c r="A3604" s="84">
        <v>46112</v>
      </c>
      <c r="B3604" s="96">
        <v>511649.11900000001</v>
      </c>
      <c r="C3604" s="96">
        <v>4786669.398</v>
      </c>
      <c r="D3604" s="96">
        <v>43.944000000000003</v>
      </c>
      <c r="E3604" s="96" t="s">
        <v>113</v>
      </c>
    </row>
    <row r="3605" spans="1:8" x14ac:dyDescent="0.25">
      <c r="A3605" s="84">
        <v>46112</v>
      </c>
      <c r="B3605" s="96">
        <v>511673.81300000002</v>
      </c>
      <c r="C3605" s="96">
        <v>4786631.0719999997</v>
      </c>
      <c r="D3605" s="96">
        <v>40.158999999999999</v>
      </c>
      <c r="E3605" s="96" t="s">
        <v>147</v>
      </c>
    </row>
    <row r="3606" spans="1:8" x14ac:dyDescent="0.25">
      <c r="A3606" s="84">
        <v>46112</v>
      </c>
      <c r="B3606" s="96">
        <v>511573.39500000002</v>
      </c>
      <c r="C3606" s="96">
        <v>4786684.3540000003</v>
      </c>
      <c r="D3606" s="96">
        <v>43.466000000000001</v>
      </c>
      <c r="E3606" s="96" t="s">
        <v>148</v>
      </c>
    </row>
    <row r="3607" spans="1:8" x14ac:dyDescent="0.25">
      <c r="A3607" s="84">
        <v>46112</v>
      </c>
      <c r="B3607" s="96">
        <v>511575.48</v>
      </c>
      <c r="C3607" s="96">
        <v>4786688.2280000001</v>
      </c>
      <c r="D3607" s="96">
        <v>43.424999999999997</v>
      </c>
      <c r="E3607" s="96" t="s">
        <v>149</v>
      </c>
    </row>
    <row r="3608" spans="1:8" x14ac:dyDescent="0.25">
      <c r="A3608" s="84">
        <v>46112</v>
      </c>
      <c r="B3608" s="96">
        <v>511577.68</v>
      </c>
      <c r="C3608" s="96">
        <v>4786692.2819999997</v>
      </c>
      <c r="D3608" s="96">
        <v>43.613999999999997</v>
      </c>
      <c r="E3608" s="96" t="s">
        <v>150</v>
      </c>
    </row>
    <row r="3609" spans="1:8" x14ac:dyDescent="0.25">
      <c r="A3609" s="84">
        <v>46112</v>
      </c>
      <c r="B3609" s="96">
        <v>511579.78200000001</v>
      </c>
      <c r="C3609" s="96">
        <v>4786696.1969999997</v>
      </c>
      <c r="D3609" s="96">
        <v>43.686</v>
      </c>
      <c r="E3609" s="96" t="s">
        <v>151</v>
      </c>
    </row>
    <row r="3610" spans="1:8" x14ac:dyDescent="0.25">
      <c r="A3610" s="84">
        <v>46112</v>
      </c>
      <c r="B3610" s="96">
        <v>511607.17200000002</v>
      </c>
      <c r="C3610" s="96">
        <v>4786690.8430000003</v>
      </c>
      <c r="D3610" s="96">
        <v>41.313000000000002</v>
      </c>
      <c r="E3610" s="96" t="s">
        <v>139</v>
      </c>
    </row>
    <row r="3611" spans="1:8" x14ac:dyDescent="0.25">
      <c r="A3611" s="84">
        <v>46112</v>
      </c>
      <c r="B3611" s="96">
        <v>511614.973</v>
      </c>
      <c r="C3611" s="96">
        <v>4786686.6100000003</v>
      </c>
      <c r="D3611" s="96">
        <v>41.44</v>
      </c>
      <c r="E3611" s="96" t="s">
        <v>140</v>
      </c>
    </row>
    <row r="3612" spans="1:8" x14ac:dyDescent="0.25">
      <c r="A3612" s="84">
        <v>46112</v>
      </c>
      <c r="B3612" s="96">
        <v>511628.82400000002</v>
      </c>
      <c r="C3612" s="96">
        <v>4786679.142</v>
      </c>
      <c r="D3612" s="96">
        <v>41.372</v>
      </c>
      <c r="E3612" s="96" t="s">
        <v>141</v>
      </c>
    </row>
    <row r="3613" spans="1:8" x14ac:dyDescent="0.25">
      <c r="A3613" s="84">
        <v>46112</v>
      </c>
      <c r="B3613" s="96">
        <v>511641.99400000001</v>
      </c>
      <c r="C3613" s="96">
        <v>4786671.943</v>
      </c>
      <c r="D3613" s="96">
        <v>41.509</v>
      </c>
      <c r="E3613" s="96" t="s">
        <v>142</v>
      </c>
    </row>
    <row r="3614" spans="1:8" x14ac:dyDescent="0.25">
      <c r="A3614" s="84">
        <v>46112</v>
      </c>
      <c r="B3614" s="96">
        <v>511648.77500000002</v>
      </c>
      <c r="C3614" s="96">
        <v>4786668.2649999997</v>
      </c>
      <c r="D3614" s="96">
        <v>41.307000000000002</v>
      </c>
      <c r="E3614" s="96" t="s">
        <v>143</v>
      </c>
    </row>
    <row r="3615" spans="1:8" x14ac:dyDescent="0.25">
      <c r="A3615" s="84">
        <v>46125</v>
      </c>
      <c r="B3615" s="95">
        <v>511615.21600000001</v>
      </c>
      <c r="C3615" s="95">
        <v>4786687.3499999996</v>
      </c>
      <c r="D3615" s="95">
        <v>45.930999999999997</v>
      </c>
      <c r="E3615" s="91" t="s">
        <v>104</v>
      </c>
      <c r="F3615" s="92"/>
      <c r="G3615" s="92"/>
      <c r="H3615" s="92"/>
    </row>
    <row r="3616" spans="1:8" x14ac:dyDescent="0.25">
      <c r="A3616" s="84">
        <v>46125</v>
      </c>
      <c r="B3616" s="95">
        <v>511615.16899999999</v>
      </c>
      <c r="C3616" s="95">
        <v>4786687.3739999998</v>
      </c>
      <c r="D3616" s="95">
        <v>43.957000000000001</v>
      </c>
      <c r="E3616" s="91" t="s">
        <v>110</v>
      </c>
      <c r="F3616" s="92"/>
      <c r="G3616" s="92"/>
      <c r="H3616" s="92"/>
    </row>
    <row r="3617" spans="1:8" x14ac:dyDescent="0.25">
      <c r="A3617" s="84">
        <v>46125</v>
      </c>
      <c r="B3617" s="95">
        <v>511629.29800000001</v>
      </c>
      <c r="C3617" s="95">
        <v>4786680.0219999999</v>
      </c>
      <c r="D3617" s="95">
        <v>45.939</v>
      </c>
      <c r="E3617" s="91" t="s">
        <v>106</v>
      </c>
      <c r="F3617" s="92"/>
      <c r="G3617" s="92"/>
      <c r="H3617" s="92"/>
    </row>
    <row r="3618" spans="1:8" x14ac:dyDescent="0.25">
      <c r="A3618" s="84">
        <v>46125</v>
      </c>
      <c r="B3618" s="95">
        <v>511642.429</v>
      </c>
      <c r="C3618" s="95">
        <v>4786673.01</v>
      </c>
      <c r="D3618" s="95">
        <v>45.932000000000002</v>
      </c>
      <c r="E3618" s="91" t="s">
        <v>108</v>
      </c>
      <c r="F3618" s="92"/>
      <c r="G3618" s="92"/>
      <c r="H3618" s="92"/>
    </row>
    <row r="3619" spans="1:8" x14ac:dyDescent="0.25">
      <c r="A3619" s="84">
        <v>46125</v>
      </c>
      <c r="B3619" s="95">
        <v>511642.46799999999</v>
      </c>
      <c r="C3619" s="95">
        <v>4786672.8969999999</v>
      </c>
      <c r="D3619" s="95">
        <v>43.963999999999999</v>
      </c>
      <c r="E3619" s="91" t="s">
        <v>111</v>
      </c>
      <c r="F3619" s="92"/>
      <c r="G3619" s="92"/>
      <c r="H3619" s="92"/>
    </row>
    <row r="3620" spans="1:8" x14ac:dyDescent="0.25">
      <c r="A3620" s="84">
        <v>46125</v>
      </c>
      <c r="B3620" s="95">
        <v>511649.12599999999</v>
      </c>
      <c r="C3620" s="95">
        <v>4786669.3930000002</v>
      </c>
      <c r="D3620" s="95">
        <v>43.944000000000003</v>
      </c>
      <c r="E3620" s="91" t="s">
        <v>113</v>
      </c>
      <c r="F3620" s="92"/>
      <c r="G3620" s="92"/>
      <c r="H3620" s="92"/>
    </row>
    <row r="3621" spans="1:8" x14ac:dyDescent="0.25">
      <c r="A3621" s="84">
        <v>46125</v>
      </c>
      <c r="B3621" s="95">
        <v>511673.81699999998</v>
      </c>
      <c r="C3621" s="95">
        <v>4786631.0669999998</v>
      </c>
      <c r="D3621" s="95">
        <v>40.159999999999997</v>
      </c>
      <c r="E3621" s="91" t="s">
        <v>147</v>
      </c>
      <c r="F3621" s="92"/>
      <c r="G3621" s="92"/>
      <c r="H3621" s="92"/>
    </row>
    <row r="3622" spans="1:8" x14ac:dyDescent="0.25">
      <c r="A3622" s="84">
        <v>46125</v>
      </c>
      <c r="B3622" s="95">
        <v>511573.402</v>
      </c>
      <c r="C3622" s="95">
        <v>4786684.3550000004</v>
      </c>
      <c r="D3622" s="95">
        <v>43.466000000000001</v>
      </c>
      <c r="E3622" s="91" t="s">
        <v>148</v>
      </c>
      <c r="F3622" s="92"/>
      <c r="G3622" s="92"/>
      <c r="H3622" s="92"/>
    </row>
    <row r="3623" spans="1:8" x14ac:dyDescent="0.25">
      <c r="A3623" s="84">
        <v>46125</v>
      </c>
      <c r="B3623" s="95">
        <v>511575.489</v>
      </c>
      <c r="C3623" s="95">
        <v>4786688.2280000001</v>
      </c>
      <c r="D3623" s="95">
        <v>43.426000000000002</v>
      </c>
      <c r="E3623" s="91" t="s">
        <v>149</v>
      </c>
      <c r="F3623" s="92"/>
      <c r="G3623" s="92"/>
      <c r="H3623" s="92"/>
    </row>
    <row r="3624" spans="1:8" x14ac:dyDescent="0.25">
      <c r="A3624" s="84">
        <v>46125</v>
      </c>
      <c r="B3624" s="95">
        <v>511577.68800000002</v>
      </c>
      <c r="C3624" s="95">
        <v>4786692.2810000004</v>
      </c>
      <c r="D3624" s="95">
        <v>43.613999999999997</v>
      </c>
      <c r="E3624" s="91" t="s">
        <v>150</v>
      </c>
      <c r="F3624" s="92"/>
      <c r="G3624" s="92"/>
      <c r="H3624" s="92"/>
    </row>
    <row r="3625" spans="1:8" x14ac:dyDescent="0.25">
      <c r="A3625" s="84">
        <v>46125</v>
      </c>
      <c r="B3625" s="95">
        <v>511579.78899999999</v>
      </c>
      <c r="C3625" s="95">
        <v>4786696.1979999999</v>
      </c>
      <c r="D3625" s="95">
        <v>43.686</v>
      </c>
      <c r="E3625" s="91" t="s">
        <v>151</v>
      </c>
      <c r="F3625" s="92"/>
      <c r="G3625" s="92"/>
      <c r="H3625" s="92"/>
    </row>
    <row r="3626" spans="1:8" x14ac:dyDescent="0.25">
      <c r="A3626" s="84">
        <v>46125</v>
      </c>
      <c r="B3626" s="95">
        <v>511607.17800000001</v>
      </c>
      <c r="C3626" s="95">
        <v>4786690.841</v>
      </c>
      <c r="D3626" s="95">
        <v>41.313000000000002</v>
      </c>
      <c r="E3626" s="91" t="s">
        <v>139</v>
      </c>
      <c r="F3626" s="92"/>
      <c r="G3626" s="92"/>
      <c r="H3626" s="92"/>
    </row>
    <row r="3627" spans="1:8" x14ac:dyDescent="0.25">
      <c r="A3627" s="84">
        <v>46125</v>
      </c>
      <c r="B3627" s="95">
        <v>511614.98</v>
      </c>
      <c r="C3627" s="95">
        <v>4786686.608</v>
      </c>
      <c r="D3627" s="95">
        <v>41.44</v>
      </c>
      <c r="E3627" s="91" t="s">
        <v>140</v>
      </c>
      <c r="F3627" s="92"/>
      <c r="G3627" s="92"/>
      <c r="H3627" s="92"/>
    </row>
    <row r="3628" spans="1:8" x14ac:dyDescent="0.25">
      <c r="A3628" s="84">
        <v>46125</v>
      </c>
      <c r="B3628" s="95">
        <v>511628.83100000001</v>
      </c>
      <c r="C3628" s="95">
        <v>4786679.1390000004</v>
      </c>
      <c r="D3628" s="95">
        <v>41.372999999999998</v>
      </c>
      <c r="E3628" s="91" t="s">
        <v>141</v>
      </c>
      <c r="F3628" s="92"/>
      <c r="G3628" s="92"/>
      <c r="H3628" s="92"/>
    </row>
    <row r="3629" spans="1:8" x14ac:dyDescent="0.25">
      <c r="A3629" s="84">
        <v>46125</v>
      </c>
      <c r="B3629" s="95">
        <v>511642</v>
      </c>
      <c r="C3629" s="95">
        <v>4786671.9390000002</v>
      </c>
      <c r="D3629" s="95">
        <v>41.509</v>
      </c>
      <c r="E3629" s="91" t="s">
        <v>142</v>
      </c>
      <c r="F3629" s="92"/>
      <c r="G3629" s="92"/>
      <c r="H3629" s="92"/>
    </row>
    <row r="3630" spans="1:8" x14ac:dyDescent="0.25">
      <c r="A3630" s="84">
        <v>46125</v>
      </c>
      <c r="B3630" s="95">
        <v>511648.78100000002</v>
      </c>
      <c r="C3630" s="95">
        <v>4786668.26</v>
      </c>
      <c r="D3630" s="95">
        <v>41.307000000000002</v>
      </c>
      <c r="E3630" s="91" t="s">
        <v>143</v>
      </c>
      <c r="F3630" s="92"/>
      <c r="G3630" s="92"/>
      <c r="H3630" s="92"/>
    </row>
    <row r="3631" spans="1:8" x14ac:dyDescent="0.25">
      <c r="A3631" s="84">
        <v>46127</v>
      </c>
      <c r="B3631" s="95">
        <v>511607.68599999999</v>
      </c>
      <c r="C3631" s="95">
        <v>4786691.4160000002</v>
      </c>
      <c r="D3631" s="95">
        <v>43.942</v>
      </c>
      <c r="E3631" s="91" t="s">
        <v>112</v>
      </c>
      <c r="F3631" s="92"/>
      <c r="G3631" s="92"/>
      <c r="H3631" s="92"/>
    </row>
    <row r="3632" spans="1:8" x14ac:dyDescent="0.25">
      <c r="A3632" s="84">
        <v>46127</v>
      </c>
      <c r="B3632" s="95">
        <v>511615.23599999998</v>
      </c>
      <c r="C3632" s="95">
        <v>4786687.432</v>
      </c>
      <c r="D3632" s="95">
        <v>48.438000000000002</v>
      </c>
      <c r="E3632" s="91" t="s">
        <v>103</v>
      </c>
      <c r="F3632" s="92"/>
      <c r="G3632" s="92"/>
      <c r="H3632" s="92"/>
    </row>
    <row r="3633" spans="1:8" x14ac:dyDescent="0.25">
      <c r="A3633" s="84">
        <v>46127</v>
      </c>
      <c r="B3633" s="95">
        <v>511615.20899999997</v>
      </c>
      <c r="C3633" s="95">
        <v>4786687.3550000004</v>
      </c>
      <c r="D3633" s="95">
        <v>45.930999999999997</v>
      </c>
      <c r="E3633" s="91" t="s">
        <v>104</v>
      </c>
      <c r="F3633" s="92"/>
      <c r="G3633" s="92"/>
      <c r="H3633" s="92"/>
    </row>
    <row r="3634" spans="1:8" x14ac:dyDescent="0.25">
      <c r="A3634" s="84">
        <v>46127</v>
      </c>
      <c r="B3634" s="95">
        <v>511615.16100000002</v>
      </c>
      <c r="C3634" s="95">
        <v>4786687.3789999997</v>
      </c>
      <c r="D3634" s="95">
        <v>43.957000000000001</v>
      </c>
      <c r="E3634" s="91" t="s">
        <v>110</v>
      </c>
      <c r="F3634" s="92"/>
      <c r="G3634" s="92"/>
      <c r="H3634" s="92"/>
    </row>
    <row r="3635" spans="1:8" x14ac:dyDescent="0.25">
      <c r="A3635" s="84">
        <v>46127</v>
      </c>
      <c r="B3635" s="95">
        <v>511629.16700000002</v>
      </c>
      <c r="C3635" s="95">
        <v>4786680.0640000002</v>
      </c>
      <c r="D3635" s="95">
        <v>48.457000000000001</v>
      </c>
      <c r="E3635" s="91" t="s">
        <v>105</v>
      </c>
      <c r="F3635" s="92"/>
      <c r="G3635" s="92"/>
      <c r="H3635" s="92"/>
    </row>
    <row r="3636" spans="1:8" x14ac:dyDescent="0.25">
      <c r="A3636" s="84">
        <v>46127</v>
      </c>
      <c r="B3636" s="95">
        <v>511629.29100000003</v>
      </c>
      <c r="C3636" s="95">
        <v>4786680.0279999999</v>
      </c>
      <c r="D3636" s="95">
        <v>45.94</v>
      </c>
      <c r="E3636" s="91" t="s">
        <v>106</v>
      </c>
      <c r="F3636" s="92"/>
      <c r="G3636" s="92"/>
      <c r="H3636" s="92"/>
    </row>
    <row r="3637" spans="1:8" x14ac:dyDescent="0.25">
      <c r="A3637" s="84">
        <v>46127</v>
      </c>
      <c r="B3637" s="95">
        <v>511642.26699999999</v>
      </c>
      <c r="C3637" s="95">
        <v>4786673.1270000003</v>
      </c>
      <c r="D3637" s="95">
        <v>48.438000000000002</v>
      </c>
      <c r="E3637" s="91" t="s">
        <v>107</v>
      </c>
      <c r="F3637" s="92"/>
      <c r="G3637" s="92"/>
      <c r="H3637" s="92"/>
    </row>
    <row r="3638" spans="1:8" x14ac:dyDescent="0.25">
      <c r="A3638" s="84">
        <v>46127</v>
      </c>
      <c r="B3638" s="95">
        <v>511642.42200000002</v>
      </c>
      <c r="C3638" s="95">
        <v>4786673.017</v>
      </c>
      <c r="D3638" s="95">
        <v>45.933</v>
      </c>
      <c r="E3638" s="91" t="s">
        <v>108</v>
      </c>
      <c r="F3638" s="92"/>
      <c r="G3638" s="92"/>
      <c r="H3638" s="92"/>
    </row>
    <row r="3639" spans="1:8" x14ac:dyDescent="0.25">
      <c r="A3639" s="84">
        <v>46127</v>
      </c>
      <c r="B3639" s="95">
        <v>511642.46100000001</v>
      </c>
      <c r="C3639" s="95">
        <v>4786672.9040000001</v>
      </c>
      <c r="D3639" s="95">
        <v>43.965000000000003</v>
      </c>
      <c r="E3639" s="91" t="s">
        <v>111</v>
      </c>
      <c r="F3639" s="92"/>
      <c r="G3639" s="92"/>
      <c r="H3639" s="92"/>
    </row>
    <row r="3640" spans="1:8" x14ac:dyDescent="0.25">
      <c r="A3640" s="84">
        <v>46127</v>
      </c>
      <c r="B3640" s="95">
        <v>511649.11800000002</v>
      </c>
      <c r="C3640" s="95">
        <v>4786669.4009999996</v>
      </c>
      <c r="D3640" s="95">
        <v>43.945</v>
      </c>
      <c r="E3640" s="91" t="s">
        <v>113</v>
      </c>
      <c r="F3640" s="92"/>
      <c r="G3640" s="92"/>
      <c r="H3640" s="92"/>
    </row>
    <row r="3641" spans="1:8" x14ac:dyDescent="0.25">
      <c r="A3641" s="84">
        <v>46127</v>
      </c>
      <c r="B3641" s="95">
        <v>511673.81199999998</v>
      </c>
      <c r="C3641" s="95">
        <v>4786631.0769999996</v>
      </c>
      <c r="D3641" s="95">
        <v>40.159999999999997</v>
      </c>
      <c r="E3641" s="91" t="s">
        <v>147</v>
      </c>
      <c r="F3641" s="92"/>
      <c r="G3641" s="92"/>
      <c r="H3641" s="92"/>
    </row>
    <row r="3642" spans="1:8" x14ac:dyDescent="0.25">
      <c r="A3642" s="84">
        <v>46127</v>
      </c>
      <c r="B3642" s="95">
        <v>511573.39500000002</v>
      </c>
      <c r="C3642" s="95">
        <v>4786684.3569999998</v>
      </c>
      <c r="D3642" s="95">
        <v>43.466999999999999</v>
      </c>
      <c r="E3642" s="91" t="s">
        <v>148</v>
      </c>
      <c r="F3642" s="92"/>
      <c r="G3642" s="92"/>
      <c r="H3642" s="92"/>
    </row>
    <row r="3643" spans="1:8" x14ac:dyDescent="0.25">
      <c r="A3643" s="84">
        <v>46127</v>
      </c>
      <c r="B3643" s="95">
        <v>511575.48100000003</v>
      </c>
      <c r="C3643" s="95">
        <v>4786688.2290000003</v>
      </c>
      <c r="D3643" s="95">
        <v>43.426000000000002</v>
      </c>
      <c r="E3643" s="91" t="s">
        <v>149</v>
      </c>
      <c r="F3643" s="92"/>
      <c r="G3643" s="92"/>
      <c r="H3643" s="92"/>
    </row>
    <row r="3644" spans="1:8" x14ac:dyDescent="0.25">
      <c r="A3644" s="84">
        <v>46127</v>
      </c>
      <c r="B3644" s="95">
        <v>511577.68</v>
      </c>
      <c r="C3644" s="95">
        <v>4786692.2829999998</v>
      </c>
      <c r="D3644" s="95">
        <v>43.615000000000002</v>
      </c>
      <c r="E3644" s="91" t="s">
        <v>150</v>
      </c>
      <c r="F3644" s="92"/>
      <c r="G3644" s="92"/>
      <c r="H3644" s="92"/>
    </row>
    <row r="3645" spans="1:8" x14ac:dyDescent="0.25">
      <c r="A3645" s="84">
        <v>46127</v>
      </c>
      <c r="B3645" s="95">
        <v>511579.78100000002</v>
      </c>
      <c r="C3645" s="95">
        <v>4786696.1979999999</v>
      </c>
      <c r="D3645" s="95">
        <v>43.686</v>
      </c>
      <c r="E3645" s="91" t="s">
        <v>151</v>
      </c>
    </row>
    <row r="3646" spans="1:8" x14ac:dyDescent="0.25">
      <c r="A3646" s="84">
        <v>46127</v>
      </c>
      <c r="B3646" s="95">
        <v>511607.17099999997</v>
      </c>
      <c r="C3646" s="95">
        <v>4786690.8449999997</v>
      </c>
      <c r="D3646" s="95">
        <v>41.314</v>
      </c>
      <c r="E3646" s="91" t="s">
        <v>139</v>
      </c>
    </row>
    <row r="3647" spans="1:8" x14ac:dyDescent="0.25">
      <c r="A3647" s="84">
        <v>46127</v>
      </c>
      <c r="B3647" s="95">
        <v>511614.973</v>
      </c>
      <c r="C3647" s="95">
        <v>4786686.6129999999</v>
      </c>
      <c r="D3647" s="95">
        <v>41.441000000000003</v>
      </c>
      <c r="E3647" s="91" t="s">
        <v>140</v>
      </c>
    </row>
    <row r="3648" spans="1:8" x14ac:dyDescent="0.25">
      <c r="A3648" s="84">
        <v>46127</v>
      </c>
      <c r="B3648" s="95">
        <v>511628.82299999997</v>
      </c>
      <c r="C3648" s="95">
        <v>4786679.1440000003</v>
      </c>
      <c r="D3648" s="95">
        <v>41.372999999999998</v>
      </c>
      <c r="E3648" s="91" t="s">
        <v>141</v>
      </c>
    </row>
    <row r="3649" spans="1:5" x14ac:dyDescent="0.25">
      <c r="A3649" s="84">
        <v>46127</v>
      </c>
      <c r="B3649" s="95">
        <v>511648.77299999999</v>
      </c>
      <c r="C3649" s="95">
        <v>4786668.267</v>
      </c>
      <c r="D3649" s="95">
        <v>41.308</v>
      </c>
      <c r="E3649" s="91" t="s">
        <v>143</v>
      </c>
    </row>
    <row r="3650" spans="1:5" x14ac:dyDescent="0.25">
      <c r="A3650" s="84">
        <v>46128</v>
      </c>
      <c r="B3650" s="96">
        <v>511615.23</v>
      </c>
      <c r="C3650" s="96">
        <v>4786687.4330000002</v>
      </c>
      <c r="D3650" s="96">
        <v>48.44</v>
      </c>
      <c r="E3650" s="96" t="s">
        <v>103</v>
      </c>
    </row>
    <row r="3651" spans="1:5" x14ac:dyDescent="0.25">
      <c r="A3651" s="84">
        <v>46128</v>
      </c>
      <c r="B3651" s="96">
        <v>511615.20299999998</v>
      </c>
      <c r="C3651" s="96">
        <v>4786687.3559999997</v>
      </c>
      <c r="D3651" s="96">
        <v>45.933</v>
      </c>
      <c r="E3651" s="96" t="s">
        <v>104</v>
      </c>
    </row>
    <row r="3652" spans="1:5" x14ac:dyDescent="0.25">
      <c r="A3652" s="84">
        <v>46128</v>
      </c>
      <c r="B3652" s="96">
        <v>511615.15600000002</v>
      </c>
      <c r="C3652" s="96">
        <v>4786687.38</v>
      </c>
      <c r="D3652" s="96">
        <v>43.957999999999998</v>
      </c>
      <c r="E3652" s="96" t="s">
        <v>110</v>
      </c>
    </row>
    <row r="3653" spans="1:5" x14ac:dyDescent="0.25">
      <c r="A3653" s="84">
        <v>46128</v>
      </c>
      <c r="B3653" s="96">
        <v>511629.16200000001</v>
      </c>
      <c r="C3653" s="96">
        <v>4786680.0669999998</v>
      </c>
      <c r="D3653" s="96">
        <v>48.457999999999998</v>
      </c>
      <c r="E3653" s="96" t="s">
        <v>105</v>
      </c>
    </row>
    <row r="3654" spans="1:5" x14ac:dyDescent="0.25">
      <c r="A3654" s="84">
        <v>46128</v>
      </c>
      <c r="B3654" s="96">
        <v>511629.28499999997</v>
      </c>
      <c r="C3654" s="96">
        <v>4786680.0290000001</v>
      </c>
      <c r="D3654" s="96">
        <v>45.941000000000003</v>
      </c>
      <c r="E3654" s="96" t="s">
        <v>106</v>
      </c>
    </row>
    <row r="3655" spans="1:5" x14ac:dyDescent="0.25">
      <c r="A3655" s="84">
        <v>46128</v>
      </c>
      <c r="B3655" s="96">
        <v>511642.261</v>
      </c>
      <c r="C3655" s="96">
        <v>4786673.1289999997</v>
      </c>
      <c r="D3655" s="96">
        <v>48.439</v>
      </c>
      <c r="E3655" s="96" t="s">
        <v>107</v>
      </c>
    </row>
    <row r="3656" spans="1:5" x14ac:dyDescent="0.25">
      <c r="A3656" s="84">
        <v>46128</v>
      </c>
      <c r="B3656" s="96">
        <v>511642.41600000003</v>
      </c>
      <c r="C3656" s="96">
        <v>4786673.0190000003</v>
      </c>
      <c r="D3656" s="96">
        <v>45.933999999999997</v>
      </c>
      <c r="E3656" s="96" t="s">
        <v>108</v>
      </c>
    </row>
    <row r="3657" spans="1:5" x14ac:dyDescent="0.25">
      <c r="A3657" s="84">
        <v>46128</v>
      </c>
      <c r="B3657" s="96">
        <v>511642.45600000001</v>
      </c>
      <c r="C3657" s="96">
        <v>4786672.9050000003</v>
      </c>
      <c r="D3657" s="96">
        <v>43.966999999999999</v>
      </c>
      <c r="E3657" s="96" t="s">
        <v>111</v>
      </c>
    </row>
    <row r="3658" spans="1:5" x14ac:dyDescent="0.25">
      <c r="A3658" s="84">
        <v>46128</v>
      </c>
      <c r="B3658" s="96">
        <v>511649.114</v>
      </c>
      <c r="C3658" s="96">
        <v>4786669.4040000001</v>
      </c>
      <c r="D3658" s="96">
        <v>43.945999999999998</v>
      </c>
      <c r="E3658" s="96" t="s">
        <v>113</v>
      </c>
    </row>
    <row r="3659" spans="1:5" x14ac:dyDescent="0.25">
      <c r="A3659" s="84">
        <v>46128</v>
      </c>
      <c r="B3659" s="96">
        <v>511673.80800000002</v>
      </c>
      <c r="C3659" s="96">
        <v>4786631.0810000002</v>
      </c>
      <c r="D3659" s="96">
        <v>40.162999999999997</v>
      </c>
      <c r="E3659" s="96" t="s">
        <v>147</v>
      </c>
    </row>
    <row r="3660" spans="1:5" x14ac:dyDescent="0.25">
      <c r="A3660" s="84">
        <v>46128</v>
      </c>
      <c r="B3660" s="96">
        <v>511573.38900000002</v>
      </c>
      <c r="C3660" s="96">
        <v>4786684.3559999997</v>
      </c>
      <c r="D3660" s="96">
        <v>43.468000000000004</v>
      </c>
      <c r="E3660" s="96" t="s">
        <v>148</v>
      </c>
    </row>
    <row r="3661" spans="1:5" x14ac:dyDescent="0.25">
      <c r="A3661" s="84">
        <v>46128</v>
      </c>
      <c r="B3661" s="96">
        <v>511575.47499999998</v>
      </c>
      <c r="C3661" s="96">
        <v>4786688.2280000001</v>
      </c>
      <c r="D3661" s="96">
        <v>43.427999999999997</v>
      </c>
      <c r="E3661" s="96" t="s">
        <v>149</v>
      </c>
    </row>
    <row r="3662" spans="1:5" x14ac:dyDescent="0.25">
      <c r="A3662" s="84">
        <v>46128</v>
      </c>
      <c r="B3662" s="96">
        <v>511577.674</v>
      </c>
      <c r="C3662" s="96">
        <v>4786692.2829999998</v>
      </c>
      <c r="D3662" s="96">
        <v>43.616</v>
      </c>
      <c r="E3662" s="96" t="s">
        <v>150</v>
      </c>
    </row>
    <row r="3663" spans="1:5" x14ac:dyDescent="0.25">
      <c r="A3663" s="84">
        <v>46128</v>
      </c>
      <c r="B3663" s="96">
        <v>511579.77600000001</v>
      </c>
      <c r="C3663" s="96">
        <v>4786696.199</v>
      </c>
      <c r="D3663" s="96">
        <v>43.688000000000002</v>
      </c>
      <c r="E3663" s="96" t="s">
        <v>151</v>
      </c>
    </row>
    <row r="3664" spans="1:5" x14ac:dyDescent="0.25">
      <c r="A3664" s="84">
        <v>46128</v>
      </c>
      <c r="B3664" s="96">
        <v>511607.16499999998</v>
      </c>
      <c r="C3664" s="96">
        <v>4786690.8470000001</v>
      </c>
      <c r="D3664" s="96">
        <v>41.314999999999998</v>
      </c>
      <c r="E3664" s="96" t="s">
        <v>139</v>
      </c>
    </row>
    <row r="3665" spans="1:5" x14ac:dyDescent="0.25">
      <c r="A3665" s="84">
        <v>46128</v>
      </c>
      <c r="B3665" s="96">
        <v>511614.967</v>
      </c>
      <c r="C3665" s="96">
        <v>4786686.6140000001</v>
      </c>
      <c r="D3665" s="96">
        <v>41.442999999999998</v>
      </c>
      <c r="E3665" s="96" t="s">
        <v>140</v>
      </c>
    </row>
    <row r="3666" spans="1:5" x14ac:dyDescent="0.25">
      <c r="A3666" s="84">
        <v>46128</v>
      </c>
      <c r="B3666" s="96">
        <v>511628.81800000003</v>
      </c>
      <c r="C3666" s="96">
        <v>4786679.1459999997</v>
      </c>
      <c r="D3666" s="96">
        <v>41.375</v>
      </c>
      <c r="E3666" s="96" t="s">
        <v>141</v>
      </c>
    </row>
    <row r="3667" spans="1:5" x14ac:dyDescent="0.25">
      <c r="A3667" s="84">
        <v>46128</v>
      </c>
      <c r="B3667" s="96">
        <v>511641.98700000002</v>
      </c>
      <c r="C3667" s="96">
        <v>4786671.9479999999</v>
      </c>
      <c r="D3667" s="96">
        <v>41.511000000000003</v>
      </c>
      <c r="E3667" s="96" t="s">
        <v>142</v>
      </c>
    </row>
    <row r="3668" spans="1:5" x14ac:dyDescent="0.25">
      <c r="A3668" s="84">
        <v>46128</v>
      </c>
      <c r="B3668" s="96">
        <v>511641.98800000001</v>
      </c>
      <c r="C3668" s="96">
        <v>4786671.9479999999</v>
      </c>
      <c r="D3668" s="96">
        <v>41.512</v>
      </c>
      <c r="E3668" s="96" t="s">
        <v>142</v>
      </c>
    </row>
    <row r="3669" spans="1:5" x14ac:dyDescent="0.25">
      <c r="A3669" s="84">
        <v>46128</v>
      </c>
      <c r="B3669" s="96">
        <v>511648.76899999997</v>
      </c>
      <c r="C3669" s="96">
        <v>4786668.2699999996</v>
      </c>
      <c r="D3669" s="96">
        <v>41.31</v>
      </c>
      <c r="E3669" s="96" t="s">
        <v>143</v>
      </c>
    </row>
    <row r="3670" spans="1:5" x14ac:dyDescent="0.25">
      <c r="A3670" s="94">
        <v>46129</v>
      </c>
      <c r="B3670" s="95">
        <v>511615.23800000001</v>
      </c>
      <c r="C3670" s="95">
        <v>4786687.4280000003</v>
      </c>
      <c r="D3670" s="95">
        <v>48.441000000000003</v>
      </c>
      <c r="E3670" s="91" t="s">
        <v>103</v>
      </c>
    </row>
    <row r="3671" spans="1:5" x14ac:dyDescent="0.25">
      <c r="A3671" s="94">
        <v>46129</v>
      </c>
      <c r="B3671" s="95">
        <v>511615.21</v>
      </c>
      <c r="C3671" s="95">
        <v>4786687.3509999998</v>
      </c>
      <c r="D3671" s="95">
        <v>45.933999999999997</v>
      </c>
      <c r="E3671" s="91" t="s">
        <v>104</v>
      </c>
    </row>
    <row r="3672" spans="1:5" x14ac:dyDescent="0.25">
      <c r="A3672" s="94">
        <v>46129</v>
      </c>
      <c r="B3672" s="95">
        <v>511615.163</v>
      </c>
      <c r="C3672" s="95">
        <v>4786687.375</v>
      </c>
      <c r="D3672" s="95">
        <v>43.96</v>
      </c>
      <c r="E3672" s="91" t="s">
        <v>110</v>
      </c>
    </row>
    <row r="3673" spans="1:5" x14ac:dyDescent="0.25">
      <c r="A3673" s="94">
        <v>46129</v>
      </c>
      <c r="B3673" s="95">
        <v>511629.17</v>
      </c>
      <c r="C3673" s="95">
        <v>4786680.0619999999</v>
      </c>
      <c r="D3673" s="95">
        <v>48.46</v>
      </c>
      <c r="E3673" s="91" t="s">
        <v>105</v>
      </c>
    </row>
    <row r="3674" spans="1:5" x14ac:dyDescent="0.25">
      <c r="A3674" s="94">
        <v>46129</v>
      </c>
      <c r="B3674" s="95">
        <v>511629.29200000002</v>
      </c>
      <c r="C3674" s="95">
        <v>4786680.023</v>
      </c>
      <c r="D3674" s="95">
        <v>45.942</v>
      </c>
      <c r="E3674" s="91" t="s">
        <v>106</v>
      </c>
    </row>
    <row r="3675" spans="1:5" x14ac:dyDescent="0.25">
      <c r="A3675" s="94">
        <v>46129</v>
      </c>
      <c r="B3675" s="95">
        <v>511642.26799999998</v>
      </c>
      <c r="C3675" s="95">
        <v>4786673.1220000004</v>
      </c>
      <c r="D3675" s="95">
        <v>48.441000000000003</v>
      </c>
      <c r="E3675" s="91" t="s">
        <v>107</v>
      </c>
    </row>
    <row r="3676" spans="1:5" x14ac:dyDescent="0.25">
      <c r="A3676" s="94">
        <v>46129</v>
      </c>
      <c r="B3676" s="95">
        <v>511642.42300000001</v>
      </c>
      <c r="C3676" s="95">
        <v>4786673.0120000001</v>
      </c>
      <c r="D3676" s="95">
        <v>45.936999999999998</v>
      </c>
      <c r="E3676" s="91" t="s">
        <v>108</v>
      </c>
    </row>
    <row r="3677" spans="1:5" x14ac:dyDescent="0.25">
      <c r="A3677" s="94">
        <v>46129</v>
      </c>
      <c r="B3677" s="95">
        <v>511642.46299999999</v>
      </c>
      <c r="C3677" s="95">
        <v>4786672.8990000002</v>
      </c>
      <c r="D3677" s="95">
        <v>43.968000000000004</v>
      </c>
      <c r="E3677" s="91" t="s">
        <v>111</v>
      </c>
    </row>
    <row r="3678" spans="1:5" x14ac:dyDescent="0.25">
      <c r="A3678" s="94">
        <v>46129</v>
      </c>
      <c r="B3678" s="95">
        <v>511649.11900000001</v>
      </c>
      <c r="C3678" s="95">
        <v>4786669.3959999997</v>
      </c>
      <c r="D3678" s="95">
        <v>43.947000000000003</v>
      </c>
      <c r="E3678" s="91" t="s">
        <v>113</v>
      </c>
    </row>
    <row r="3679" spans="1:5" x14ac:dyDescent="0.25">
      <c r="A3679" s="94">
        <v>46129</v>
      </c>
      <c r="B3679" s="95">
        <v>511607.17300000001</v>
      </c>
      <c r="C3679" s="95">
        <v>4786690.8430000003</v>
      </c>
      <c r="D3679" s="95">
        <v>41.316000000000003</v>
      </c>
      <c r="E3679" s="91" t="s">
        <v>139</v>
      </c>
    </row>
    <row r="3680" spans="1:5" x14ac:dyDescent="0.25">
      <c r="A3680" s="94">
        <v>46129</v>
      </c>
      <c r="B3680" s="95">
        <v>511614.97399999999</v>
      </c>
      <c r="C3680" s="95">
        <v>4786686.608</v>
      </c>
      <c r="D3680" s="95">
        <v>41.442999999999998</v>
      </c>
      <c r="E3680" s="91" t="s">
        <v>140</v>
      </c>
    </row>
    <row r="3681" spans="1:5" x14ac:dyDescent="0.25">
      <c r="A3681" s="94">
        <v>46129</v>
      </c>
      <c r="B3681" s="95">
        <v>511628.82500000001</v>
      </c>
      <c r="C3681" s="95">
        <v>4786679.1399999997</v>
      </c>
      <c r="D3681" s="95">
        <v>41.375</v>
      </c>
      <c r="E3681" s="91" t="s">
        <v>141</v>
      </c>
    </row>
    <row r="3682" spans="1:5" x14ac:dyDescent="0.25">
      <c r="A3682" s="94">
        <v>46129</v>
      </c>
      <c r="B3682" s="95">
        <v>511641.99400000001</v>
      </c>
      <c r="C3682" s="95">
        <v>4786671.9419999998</v>
      </c>
      <c r="D3682" s="95">
        <v>41.512999999999998</v>
      </c>
      <c r="E3682" s="91" t="s">
        <v>142</v>
      </c>
    </row>
    <row r="3683" spans="1:5" x14ac:dyDescent="0.25">
      <c r="A3683" s="94">
        <v>46129</v>
      </c>
      <c r="B3683" s="95">
        <v>511648.77399999998</v>
      </c>
      <c r="C3683" s="95">
        <v>4786668.2620000001</v>
      </c>
      <c r="D3683" s="95">
        <v>41.311</v>
      </c>
      <c r="E3683" s="91" t="s">
        <v>143</v>
      </c>
    </row>
    <row r="3684" spans="1:5" x14ac:dyDescent="0.25">
      <c r="A3684" s="94">
        <v>46129</v>
      </c>
      <c r="B3684" s="95">
        <v>511573.39500000002</v>
      </c>
      <c r="C3684" s="95">
        <v>4786684.3540000003</v>
      </c>
      <c r="D3684" s="95">
        <v>43.469000000000001</v>
      </c>
      <c r="E3684" s="91" t="s">
        <v>148</v>
      </c>
    </row>
    <row r="3685" spans="1:5" x14ac:dyDescent="0.25">
      <c r="A3685" s="94">
        <v>46129</v>
      </c>
      <c r="B3685" s="95">
        <v>511575.48300000001</v>
      </c>
      <c r="C3685" s="95">
        <v>4786688.2259999998</v>
      </c>
      <c r="D3685" s="95">
        <v>43.429000000000002</v>
      </c>
      <c r="E3685" s="91" t="s">
        <v>149</v>
      </c>
    </row>
    <row r="3686" spans="1:5" x14ac:dyDescent="0.25">
      <c r="A3686" s="94">
        <v>46129</v>
      </c>
      <c r="B3686" s="95">
        <v>511577.68099999998</v>
      </c>
      <c r="C3686" s="95">
        <v>4786692.2810000004</v>
      </c>
      <c r="D3686" s="95">
        <v>43.616999999999997</v>
      </c>
      <c r="E3686" s="91" t="s">
        <v>150</v>
      </c>
    </row>
    <row r="3687" spans="1:5" x14ac:dyDescent="0.25">
      <c r="A3687" s="94">
        <v>46129</v>
      </c>
      <c r="B3687" s="95">
        <v>511579.783</v>
      </c>
      <c r="C3687" s="95">
        <v>4786696.1969999997</v>
      </c>
      <c r="D3687" s="95">
        <v>43.69</v>
      </c>
      <c r="E3687" s="91" t="s">
        <v>151</v>
      </c>
    </row>
    <row r="3688" spans="1:5" x14ac:dyDescent="0.25">
      <c r="A3688" s="94">
        <v>46129</v>
      </c>
      <c r="B3688" s="95">
        <v>511673.81400000001</v>
      </c>
      <c r="C3688" s="95">
        <v>4786631.0729999999</v>
      </c>
      <c r="D3688" s="95">
        <v>40.164000000000001</v>
      </c>
      <c r="E3688" s="91" t="s">
        <v>147</v>
      </c>
    </row>
    <row r="3689" spans="1:5" x14ac:dyDescent="0.25">
      <c r="A3689" s="94">
        <v>46132</v>
      </c>
      <c r="B3689" s="95">
        <v>511615.23300000001</v>
      </c>
      <c r="C3689" s="95">
        <v>4786687.4280000003</v>
      </c>
      <c r="D3689" s="95">
        <v>48.44</v>
      </c>
      <c r="E3689" s="91" t="s">
        <v>103</v>
      </c>
    </row>
    <row r="3690" spans="1:5" x14ac:dyDescent="0.25">
      <c r="A3690" s="94">
        <v>46132</v>
      </c>
      <c r="B3690" s="95">
        <v>511615.20600000001</v>
      </c>
      <c r="C3690" s="95">
        <v>4786687.3530000001</v>
      </c>
      <c r="D3690" s="95">
        <v>45.933999999999997</v>
      </c>
      <c r="E3690" s="91" t="s">
        <v>104</v>
      </c>
    </row>
    <row r="3691" spans="1:5" x14ac:dyDescent="0.25">
      <c r="A3691" s="94">
        <v>46132</v>
      </c>
      <c r="B3691" s="95">
        <v>511615.16</v>
      </c>
      <c r="C3691" s="95">
        <v>4786687.3770000003</v>
      </c>
      <c r="D3691" s="95">
        <v>43.959000000000003</v>
      </c>
      <c r="E3691" s="91" t="s">
        <v>110</v>
      </c>
    </row>
    <row r="3692" spans="1:5" x14ac:dyDescent="0.25">
      <c r="A3692" s="94">
        <v>46132</v>
      </c>
      <c r="B3692" s="95">
        <v>511629.16399999999</v>
      </c>
      <c r="C3692" s="95">
        <v>4786680.0619999999</v>
      </c>
      <c r="D3692" s="95">
        <v>48.459000000000003</v>
      </c>
      <c r="E3692" s="91" t="s">
        <v>105</v>
      </c>
    </row>
    <row r="3693" spans="1:5" x14ac:dyDescent="0.25">
      <c r="A3693" s="94">
        <v>46132</v>
      </c>
      <c r="B3693" s="95">
        <v>511629.288</v>
      </c>
      <c r="C3693" s="95">
        <v>4786680.0250000004</v>
      </c>
      <c r="D3693" s="95">
        <v>45.942</v>
      </c>
      <c r="E3693" s="91" t="s">
        <v>106</v>
      </c>
    </row>
    <row r="3694" spans="1:5" x14ac:dyDescent="0.25">
      <c r="A3694" s="94">
        <v>46132</v>
      </c>
      <c r="B3694" s="95">
        <v>511642.26299999998</v>
      </c>
      <c r="C3694" s="95">
        <v>4786673.125</v>
      </c>
      <c r="D3694" s="95">
        <v>48.44</v>
      </c>
      <c r="E3694" s="91" t="s">
        <v>107</v>
      </c>
    </row>
    <row r="3695" spans="1:5" x14ac:dyDescent="0.25">
      <c r="A3695" s="94">
        <v>46132</v>
      </c>
      <c r="B3695" s="95">
        <v>511642.41899999999</v>
      </c>
      <c r="C3695" s="95">
        <v>4786673.0140000004</v>
      </c>
      <c r="D3695" s="95">
        <v>45.936</v>
      </c>
      <c r="E3695" s="91" t="s">
        <v>108</v>
      </c>
    </row>
    <row r="3696" spans="1:5" x14ac:dyDescent="0.25">
      <c r="A3696" s="94">
        <v>46132</v>
      </c>
      <c r="B3696" s="95">
        <v>511642.45899999997</v>
      </c>
      <c r="C3696" s="95">
        <v>4786672.9019999998</v>
      </c>
      <c r="D3696" s="95">
        <v>43.966999999999999</v>
      </c>
      <c r="E3696" s="91" t="s">
        <v>111</v>
      </c>
    </row>
    <row r="3697" spans="1:5" x14ac:dyDescent="0.25">
      <c r="A3697" s="94">
        <v>46132</v>
      </c>
      <c r="B3697" s="95">
        <v>511649.11599999998</v>
      </c>
      <c r="C3697" s="95">
        <v>4786669.3990000002</v>
      </c>
      <c r="D3697" s="95">
        <v>43.945999999999998</v>
      </c>
      <c r="E3697" s="91" t="s">
        <v>113</v>
      </c>
    </row>
    <row r="3698" spans="1:5" x14ac:dyDescent="0.25">
      <c r="A3698" s="94">
        <v>46132</v>
      </c>
      <c r="B3698" s="95">
        <v>511673.81099999999</v>
      </c>
      <c r="C3698" s="95">
        <v>4786631.0760000004</v>
      </c>
      <c r="D3698" s="95">
        <v>40.164000000000001</v>
      </c>
      <c r="E3698" s="91" t="s">
        <v>147</v>
      </c>
    </row>
    <row r="3699" spans="1:5" x14ac:dyDescent="0.25">
      <c r="A3699" s="94">
        <v>46132</v>
      </c>
      <c r="B3699" s="95">
        <v>511573.39299999998</v>
      </c>
      <c r="C3699" s="95">
        <v>4786684.3540000003</v>
      </c>
      <c r="D3699" s="95">
        <v>43.469000000000001</v>
      </c>
      <c r="E3699" s="91" t="s">
        <v>148</v>
      </c>
    </row>
    <row r="3700" spans="1:5" x14ac:dyDescent="0.25">
      <c r="A3700" s="94">
        <v>46132</v>
      </c>
      <c r="B3700" s="95">
        <v>511575.47899999999</v>
      </c>
      <c r="C3700" s="95">
        <v>4786688.227</v>
      </c>
      <c r="D3700" s="95">
        <v>43.429000000000002</v>
      </c>
      <c r="E3700" s="91" t="s">
        <v>149</v>
      </c>
    </row>
    <row r="3701" spans="1:5" x14ac:dyDescent="0.25">
      <c r="A3701" s="94">
        <v>46132</v>
      </c>
      <c r="B3701" s="95">
        <v>511577.679</v>
      </c>
      <c r="C3701" s="95">
        <v>4786692.28</v>
      </c>
      <c r="D3701" s="95">
        <v>43.616999999999997</v>
      </c>
      <c r="E3701" s="91" t="s">
        <v>150</v>
      </c>
    </row>
    <row r="3702" spans="1:5" x14ac:dyDescent="0.25">
      <c r="A3702" s="94">
        <v>46132</v>
      </c>
      <c r="B3702" s="95">
        <v>511579.77899999998</v>
      </c>
      <c r="C3702" s="95">
        <v>4786696.1969999997</v>
      </c>
      <c r="D3702" s="95">
        <v>43.689</v>
      </c>
      <c r="E3702" s="91" t="s">
        <v>151</v>
      </c>
    </row>
    <row r="3703" spans="1:5" x14ac:dyDescent="0.25">
      <c r="A3703" s="94">
        <v>46132</v>
      </c>
      <c r="B3703" s="95">
        <v>511607.16800000001</v>
      </c>
      <c r="C3703" s="95">
        <v>4786690.8430000003</v>
      </c>
      <c r="D3703" s="95">
        <v>41.316000000000003</v>
      </c>
      <c r="E3703" s="91" t="s">
        <v>139</v>
      </c>
    </row>
    <row r="3704" spans="1:5" x14ac:dyDescent="0.25">
      <c r="A3704" s="94">
        <v>46132</v>
      </c>
      <c r="B3704" s="95">
        <v>511614.97</v>
      </c>
      <c r="C3704" s="95">
        <v>4786686.6100000003</v>
      </c>
      <c r="D3704" s="95">
        <v>41.442999999999998</v>
      </c>
      <c r="E3704" s="91" t="s">
        <v>140</v>
      </c>
    </row>
    <row r="3705" spans="1:5" x14ac:dyDescent="0.25">
      <c r="A3705" s="94">
        <v>46132</v>
      </c>
      <c r="B3705" s="95">
        <v>511628.821</v>
      </c>
      <c r="C3705" s="95">
        <v>4786679.142</v>
      </c>
      <c r="D3705" s="95">
        <v>41.375999999999998</v>
      </c>
      <c r="E3705" s="91" t="s">
        <v>141</v>
      </c>
    </row>
    <row r="3706" spans="1:5" x14ac:dyDescent="0.25">
      <c r="A3706" s="94">
        <v>46132</v>
      </c>
      <c r="B3706" s="95">
        <v>511641.99</v>
      </c>
      <c r="C3706" s="95">
        <v>4786671.9440000001</v>
      </c>
      <c r="D3706" s="95">
        <v>41.512999999999998</v>
      </c>
      <c r="E3706" s="91" t="s">
        <v>142</v>
      </c>
    </row>
    <row r="3707" spans="1:5" x14ac:dyDescent="0.25">
      <c r="A3707" s="94">
        <v>46132</v>
      </c>
      <c r="B3707" s="95">
        <v>511648.77100000001</v>
      </c>
      <c r="C3707" s="95">
        <v>4786668.2659999998</v>
      </c>
      <c r="D3707" s="95">
        <v>41.311</v>
      </c>
      <c r="E3707" s="91" t="s">
        <v>143</v>
      </c>
    </row>
    <row r="3708" spans="1:5" x14ac:dyDescent="0.25">
      <c r="A3708" s="94">
        <v>46133</v>
      </c>
      <c r="B3708" s="95">
        <v>511615.23499999999</v>
      </c>
      <c r="C3708" s="95">
        <v>4786687.4270000001</v>
      </c>
      <c r="D3708" s="95">
        <v>48.44</v>
      </c>
      <c r="E3708" s="91" t="s">
        <v>103</v>
      </c>
    </row>
    <row r="3709" spans="1:5" x14ac:dyDescent="0.25">
      <c r="A3709" s="94">
        <v>46133</v>
      </c>
      <c r="B3709" s="95">
        <v>511615.20699999999</v>
      </c>
      <c r="C3709" s="95">
        <v>4786687.3509999998</v>
      </c>
      <c r="D3709" s="95">
        <v>45.933</v>
      </c>
      <c r="E3709" s="91" t="s">
        <v>104</v>
      </c>
    </row>
    <row r="3710" spans="1:5" x14ac:dyDescent="0.25">
      <c r="A3710" s="94">
        <v>46133</v>
      </c>
      <c r="B3710" s="95">
        <v>511615.16100000002</v>
      </c>
      <c r="C3710" s="95">
        <v>4786687.375</v>
      </c>
      <c r="D3710" s="95">
        <v>43.957999999999998</v>
      </c>
      <c r="E3710" s="91" t="s">
        <v>110</v>
      </c>
    </row>
    <row r="3711" spans="1:5" x14ac:dyDescent="0.25">
      <c r="A3711" s="94">
        <v>46133</v>
      </c>
      <c r="B3711" s="95">
        <v>511629.16600000003</v>
      </c>
      <c r="C3711" s="95">
        <v>4786680.0599999996</v>
      </c>
      <c r="D3711" s="95">
        <v>48.459000000000003</v>
      </c>
      <c r="E3711" s="91" t="s">
        <v>105</v>
      </c>
    </row>
    <row r="3712" spans="1:5" x14ac:dyDescent="0.25">
      <c r="A3712" s="94">
        <v>46133</v>
      </c>
      <c r="B3712" s="95">
        <v>511629.29</v>
      </c>
      <c r="C3712" s="95">
        <v>4786680.023</v>
      </c>
      <c r="D3712" s="95">
        <v>45.941000000000003</v>
      </c>
      <c r="E3712" s="91" t="s">
        <v>106</v>
      </c>
    </row>
    <row r="3713" spans="1:5" x14ac:dyDescent="0.25">
      <c r="A3713" s="94">
        <v>46133</v>
      </c>
      <c r="B3713" s="95">
        <v>511642.26699999999</v>
      </c>
      <c r="C3713" s="95">
        <v>4786673.1229999997</v>
      </c>
      <c r="D3713" s="95">
        <v>48.44</v>
      </c>
      <c r="E3713" s="91" t="s">
        <v>107</v>
      </c>
    </row>
    <row r="3714" spans="1:5" x14ac:dyDescent="0.25">
      <c r="A3714" s="94">
        <v>46133</v>
      </c>
      <c r="B3714" s="95">
        <v>511642.42</v>
      </c>
      <c r="C3714" s="95">
        <v>4786673.0120000001</v>
      </c>
      <c r="D3714" s="95">
        <v>45.935000000000002</v>
      </c>
      <c r="E3714" s="91" t="s">
        <v>108</v>
      </c>
    </row>
    <row r="3715" spans="1:5" x14ac:dyDescent="0.25">
      <c r="A3715" s="94">
        <v>46133</v>
      </c>
      <c r="B3715" s="95">
        <v>511642.46</v>
      </c>
      <c r="C3715" s="95">
        <v>4786672.9000000004</v>
      </c>
      <c r="D3715" s="95">
        <v>43.968000000000004</v>
      </c>
      <c r="E3715" s="91" t="s">
        <v>111</v>
      </c>
    </row>
    <row r="3716" spans="1:5" x14ac:dyDescent="0.25">
      <c r="A3716" s="94">
        <v>46133</v>
      </c>
      <c r="B3716" s="95">
        <v>511649.11800000002</v>
      </c>
      <c r="C3716" s="95">
        <v>4786669.3959999997</v>
      </c>
      <c r="D3716" s="95">
        <v>43.947000000000003</v>
      </c>
      <c r="E3716" s="91" t="s">
        <v>113</v>
      </c>
    </row>
    <row r="3717" spans="1:5" x14ac:dyDescent="0.25">
      <c r="A3717" s="94">
        <v>46133</v>
      </c>
      <c r="B3717" s="95">
        <v>511607.17</v>
      </c>
      <c r="C3717" s="95">
        <v>4786690.8420000002</v>
      </c>
      <c r="D3717" s="95">
        <v>41.314999999999998</v>
      </c>
      <c r="E3717" s="91" t="s">
        <v>139</v>
      </c>
    </row>
    <row r="3718" spans="1:5" x14ac:dyDescent="0.25">
      <c r="A3718" s="94">
        <v>46133</v>
      </c>
      <c r="B3718" s="95">
        <v>511614.97200000001</v>
      </c>
      <c r="C3718" s="95">
        <v>4786686.6090000002</v>
      </c>
      <c r="D3718" s="95">
        <v>41.442999999999998</v>
      </c>
      <c r="E3718" s="91" t="s">
        <v>140</v>
      </c>
    </row>
    <row r="3719" spans="1:5" x14ac:dyDescent="0.25">
      <c r="A3719" s="94">
        <v>46133</v>
      </c>
      <c r="B3719" s="95">
        <v>511628.82199999999</v>
      </c>
      <c r="C3719" s="95">
        <v>4786679.1390000004</v>
      </c>
      <c r="D3719" s="95">
        <v>41.375999999999998</v>
      </c>
      <c r="E3719" s="91" t="s">
        <v>141</v>
      </c>
    </row>
    <row r="3720" spans="1:5" x14ac:dyDescent="0.25">
      <c r="A3720" s="94">
        <v>46133</v>
      </c>
      <c r="B3720" s="95">
        <v>511641.99200000003</v>
      </c>
      <c r="C3720" s="95">
        <v>4786671.9419999998</v>
      </c>
      <c r="D3720" s="95">
        <v>41.512999999999998</v>
      </c>
      <c r="E3720" s="91" t="s">
        <v>142</v>
      </c>
    </row>
    <row r="3721" spans="1:5" x14ac:dyDescent="0.25">
      <c r="A3721" s="94">
        <v>46133</v>
      </c>
      <c r="B3721" s="95">
        <v>511648.772</v>
      </c>
      <c r="C3721" s="95">
        <v>4786668.2620000001</v>
      </c>
      <c r="D3721" s="95">
        <v>41.31</v>
      </c>
      <c r="E3721" s="91" t="s">
        <v>143</v>
      </c>
    </row>
    <row r="3722" spans="1:5" x14ac:dyDescent="0.25">
      <c r="A3722" s="94">
        <v>46133</v>
      </c>
      <c r="B3722" s="95">
        <v>511573.39399999997</v>
      </c>
      <c r="C3722" s="95">
        <v>4786684.3540000003</v>
      </c>
      <c r="D3722" s="95">
        <v>43.469000000000001</v>
      </c>
      <c r="E3722" s="91" t="s">
        <v>148</v>
      </c>
    </row>
    <row r="3723" spans="1:5" x14ac:dyDescent="0.25">
      <c r="A3723" s="94">
        <v>46133</v>
      </c>
      <c r="B3723" s="95">
        <v>511575.48100000003</v>
      </c>
      <c r="C3723" s="95">
        <v>4786688.2259999998</v>
      </c>
      <c r="D3723" s="95">
        <v>43.427999999999997</v>
      </c>
      <c r="E3723" s="91" t="s">
        <v>149</v>
      </c>
    </row>
    <row r="3724" spans="1:5" x14ac:dyDescent="0.25">
      <c r="A3724" s="94">
        <v>46133</v>
      </c>
      <c r="B3724" s="95">
        <v>511577.68</v>
      </c>
      <c r="C3724" s="95">
        <v>4786692.28</v>
      </c>
      <c r="D3724" s="95">
        <v>43.616999999999997</v>
      </c>
      <c r="E3724" s="91" t="s">
        <v>150</v>
      </c>
    </row>
    <row r="3725" spans="1:5" x14ac:dyDescent="0.25">
      <c r="A3725" s="94">
        <v>46133</v>
      </c>
      <c r="B3725" s="95">
        <v>511579.78100000002</v>
      </c>
      <c r="C3725" s="95">
        <v>4786696.1960000005</v>
      </c>
      <c r="D3725" s="95">
        <v>43.689</v>
      </c>
      <c r="E3725" s="91" t="s">
        <v>151</v>
      </c>
    </row>
    <row r="3726" spans="1:5" x14ac:dyDescent="0.25">
      <c r="A3726" s="94">
        <v>46133</v>
      </c>
      <c r="B3726" s="95">
        <v>511673.81</v>
      </c>
      <c r="C3726" s="95">
        <v>4786631.074</v>
      </c>
      <c r="D3726" s="95">
        <v>40.164999999999999</v>
      </c>
      <c r="E3726" s="91" t="s">
        <v>147</v>
      </c>
    </row>
    <row r="3727" spans="1:5" x14ac:dyDescent="0.25">
      <c r="A3727" s="94">
        <v>46134</v>
      </c>
      <c r="B3727" s="95">
        <v>511629.402</v>
      </c>
      <c r="C3727" s="95">
        <v>4786679.9069999997</v>
      </c>
      <c r="D3727" s="95">
        <v>43.944000000000003</v>
      </c>
      <c r="E3727" s="91" t="s">
        <v>109</v>
      </c>
    </row>
    <row r="3728" spans="1:5" x14ac:dyDescent="0.25">
      <c r="A3728" s="94">
        <v>46134</v>
      </c>
      <c r="B3728" s="95">
        <v>511615.234</v>
      </c>
      <c r="C3728" s="95">
        <v>4786687.4330000002</v>
      </c>
      <c r="D3728" s="95">
        <v>48.438000000000002</v>
      </c>
      <c r="E3728" s="91" t="s">
        <v>103</v>
      </c>
    </row>
    <row r="3729" spans="1:5" x14ac:dyDescent="0.25">
      <c r="A3729" s="94">
        <v>46134</v>
      </c>
      <c r="B3729" s="95">
        <v>511615.20600000001</v>
      </c>
      <c r="C3729" s="95">
        <v>4786687.3559999997</v>
      </c>
      <c r="D3729" s="95">
        <v>45.930999999999997</v>
      </c>
      <c r="E3729" s="91" t="s">
        <v>104</v>
      </c>
    </row>
    <row r="3730" spans="1:5" x14ac:dyDescent="0.25">
      <c r="A3730" s="94">
        <v>46134</v>
      </c>
      <c r="B3730" s="95">
        <v>511615.158</v>
      </c>
      <c r="C3730" s="95">
        <v>4786687.3789999997</v>
      </c>
      <c r="D3730" s="95">
        <v>43.957000000000001</v>
      </c>
      <c r="E3730" s="91" t="s">
        <v>110</v>
      </c>
    </row>
    <row r="3731" spans="1:5" x14ac:dyDescent="0.25">
      <c r="A3731" s="94">
        <v>46134</v>
      </c>
      <c r="B3731" s="95">
        <v>511629.16499999998</v>
      </c>
      <c r="C3731" s="95">
        <v>4786680.0650000004</v>
      </c>
      <c r="D3731" s="95">
        <v>48.457000000000001</v>
      </c>
      <c r="E3731" s="91" t="s">
        <v>105</v>
      </c>
    </row>
    <row r="3732" spans="1:5" x14ac:dyDescent="0.25">
      <c r="A3732" s="94">
        <v>46134</v>
      </c>
      <c r="B3732" s="95">
        <v>511629.288</v>
      </c>
      <c r="C3732" s="95">
        <v>4786680.0279999999</v>
      </c>
      <c r="D3732" s="95">
        <v>45.939</v>
      </c>
      <c r="E3732" s="91" t="s">
        <v>106</v>
      </c>
    </row>
    <row r="3733" spans="1:5" x14ac:dyDescent="0.25">
      <c r="A3733" s="94">
        <v>46134</v>
      </c>
      <c r="B3733" s="95">
        <v>511642.26500000001</v>
      </c>
      <c r="C3733" s="95">
        <v>4786673.1279999996</v>
      </c>
      <c r="D3733" s="95">
        <v>48.438000000000002</v>
      </c>
      <c r="E3733" s="91" t="s">
        <v>107</v>
      </c>
    </row>
    <row r="3734" spans="1:5" x14ac:dyDescent="0.25">
      <c r="A3734" s="94">
        <v>46134</v>
      </c>
      <c r="B3734" s="95">
        <v>511642.41800000001</v>
      </c>
      <c r="C3734" s="95">
        <v>4786673.017</v>
      </c>
      <c r="D3734" s="95">
        <v>45.933999999999997</v>
      </c>
      <c r="E3734" s="91" t="s">
        <v>108</v>
      </c>
    </row>
    <row r="3735" spans="1:5" x14ac:dyDescent="0.25">
      <c r="A3735" s="94">
        <v>46134</v>
      </c>
      <c r="B3735" s="95">
        <v>511642.45799999998</v>
      </c>
      <c r="C3735" s="95">
        <v>4786672.9040000001</v>
      </c>
      <c r="D3735" s="95">
        <v>43.965000000000003</v>
      </c>
      <c r="E3735" s="91" t="s">
        <v>111</v>
      </c>
    </row>
    <row r="3736" spans="1:5" x14ac:dyDescent="0.25">
      <c r="A3736" s="94">
        <v>46134</v>
      </c>
      <c r="B3736" s="95">
        <v>511649.11599999998</v>
      </c>
      <c r="C3736" s="95">
        <v>4786669.4019999998</v>
      </c>
      <c r="D3736" s="95">
        <v>43.944000000000003</v>
      </c>
      <c r="E3736" s="91" t="s">
        <v>113</v>
      </c>
    </row>
    <row r="3737" spans="1:5" x14ac:dyDescent="0.25">
      <c r="A3737" s="94">
        <v>46134</v>
      </c>
      <c r="B3737" s="95">
        <v>511673.81</v>
      </c>
      <c r="C3737" s="95">
        <v>4786631.0789999999</v>
      </c>
      <c r="D3737" s="95">
        <v>40.161000000000001</v>
      </c>
      <c r="E3737" s="91" t="s">
        <v>147</v>
      </c>
    </row>
    <row r="3738" spans="1:5" x14ac:dyDescent="0.25">
      <c r="A3738" s="94">
        <v>46134</v>
      </c>
      <c r="B3738" s="95">
        <v>511573.391</v>
      </c>
      <c r="C3738" s="95">
        <v>4786684.3569999998</v>
      </c>
      <c r="D3738" s="95">
        <v>43.466999999999999</v>
      </c>
      <c r="E3738" s="91" t="s">
        <v>148</v>
      </c>
    </row>
    <row r="3739" spans="1:5" x14ac:dyDescent="0.25">
      <c r="A3739" s="94">
        <v>46134</v>
      </c>
      <c r="B3739" s="95">
        <v>511575.47700000001</v>
      </c>
      <c r="C3739" s="95">
        <v>4786688.2300000004</v>
      </c>
      <c r="D3739" s="95">
        <v>43.427</v>
      </c>
      <c r="E3739" s="91" t="s">
        <v>149</v>
      </c>
    </row>
    <row r="3740" spans="1:5" x14ac:dyDescent="0.25">
      <c r="A3740" s="94">
        <v>46134</v>
      </c>
      <c r="B3740" s="95">
        <v>511577.67700000003</v>
      </c>
      <c r="C3740" s="95">
        <v>4786692.2829999998</v>
      </c>
      <c r="D3740" s="95">
        <v>43.615000000000002</v>
      </c>
      <c r="E3740" s="91" t="s">
        <v>150</v>
      </c>
    </row>
    <row r="3741" spans="1:5" x14ac:dyDescent="0.25">
      <c r="A3741" s="94">
        <v>46134</v>
      </c>
      <c r="B3741" s="95">
        <v>511579.77799999999</v>
      </c>
      <c r="C3741" s="95">
        <v>4786696.199</v>
      </c>
      <c r="D3741" s="95">
        <v>43.686999999999998</v>
      </c>
      <c r="E3741" s="91" t="s">
        <v>151</v>
      </c>
    </row>
    <row r="3742" spans="1:5" x14ac:dyDescent="0.25">
      <c r="A3742" s="94">
        <v>46134</v>
      </c>
      <c r="B3742" s="95">
        <v>511607.16800000001</v>
      </c>
      <c r="C3742" s="95">
        <v>4786690.8459999999</v>
      </c>
      <c r="D3742" s="95">
        <v>41.314</v>
      </c>
      <c r="E3742" s="91" t="s">
        <v>139</v>
      </c>
    </row>
    <row r="3743" spans="1:5" x14ac:dyDescent="0.25">
      <c r="A3743" s="94">
        <v>46134</v>
      </c>
      <c r="B3743" s="95">
        <v>511614.96899999998</v>
      </c>
      <c r="C3743" s="95">
        <v>4786686.6109999996</v>
      </c>
      <c r="D3743" s="95">
        <v>41.441000000000003</v>
      </c>
      <c r="E3743" s="91" t="s">
        <v>140</v>
      </c>
    </row>
    <row r="3744" spans="1:5" x14ac:dyDescent="0.25">
      <c r="A3744" s="94">
        <v>46134</v>
      </c>
      <c r="B3744" s="95">
        <v>511628.82</v>
      </c>
      <c r="C3744" s="95">
        <v>4786679.1440000003</v>
      </c>
      <c r="D3744" s="95">
        <v>41.372999999999998</v>
      </c>
      <c r="E3744" s="91" t="s">
        <v>141</v>
      </c>
    </row>
    <row r="3745" spans="1:5" x14ac:dyDescent="0.25">
      <c r="A3745" s="94">
        <v>46134</v>
      </c>
      <c r="B3745" s="95">
        <v>511641.99</v>
      </c>
      <c r="C3745" s="95">
        <v>4786671.9469999997</v>
      </c>
      <c r="D3745" s="95">
        <v>41.51</v>
      </c>
      <c r="E3745" s="91" t="s">
        <v>142</v>
      </c>
    </row>
    <row r="3746" spans="1:5" x14ac:dyDescent="0.25">
      <c r="A3746" s="94">
        <v>46134</v>
      </c>
      <c r="B3746" s="95">
        <v>511648.77</v>
      </c>
      <c r="C3746" s="95">
        <v>4786668.2680000002</v>
      </c>
      <c r="D3746" s="95">
        <v>41.308</v>
      </c>
      <c r="E3746" s="91" t="s">
        <v>143</v>
      </c>
    </row>
    <row r="3747" spans="1:5" x14ac:dyDescent="0.25">
      <c r="A3747" s="94">
        <v>46135</v>
      </c>
      <c r="B3747" s="95">
        <v>511607.68800000002</v>
      </c>
      <c r="C3747" s="95">
        <v>4786691.4139999999</v>
      </c>
      <c r="D3747" s="95">
        <v>43.942999999999998</v>
      </c>
      <c r="E3747" s="91" t="s">
        <v>112</v>
      </c>
    </row>
    <row r="3748" spans="1:5" x14ac:dyDescent="0.25">
      <c r="A3748" s="94">
        <v>46135</v>
      </c>
      <c r="B3748" s="95">
        <v>511629.40500000003</v>
      </c>
      <c r="C3748" s="95">
        <v>4786679.9029999999</v>
      </c>
      <c r="D3748" s="95">
        <v>43.945999999999998</v>
      </c>
      <c r="E3748" s="91" t="s">
        <v>109</v>
      </c>
    </row>
    <row r="3749" spans="1:5" x14ac:dyDescent="0.25">
      <c r="A3749" s="94">
        <v>46135</v>
      </c>
      <c r="B3749" s="95">
        <v>511615.23700000002</v>
      </c>
      <c r="C3749" s="95">
        <v>4786687.4289999995</v>
      </c>
      <c r="D3749" s="95">
        <v>48.439</v>
      </c>
      <c r="E3749" s="91" t="s">
        <v>103</v>
      </c>
    </row>
    <row r="3750" spans="1:5" x14ac:dyDescent="0.25">
      <c r="A3750" s="94">
        <v>46135</v>
      </c>
      <c r="B3750" s="95">
        <v>511615.21</v>
      </c>
      <c r="C3750" s="95">
        <v>4786687.3530000001</v>
      </c>
      <c r="D3750" s="95">
        <v>45.932000000000002</v>
      </c>
      <c r="E3750" s="91" t="s">
        <v>104</v>
      </c>
    </row>
    <row r="3751" spans="1:5" x14ac:dyDescent="0.25">
      <c r="A3751" s="94">
        <v>46135</v>
      </c>
      <c r="B3751" s="95">
        <v>511615.16200000001</v>
      </c>
      <c r="C3751" s="95">
        <v>4786687.3760000002</v>
      </c>
      <c r="D3751" s="95">
        <v>43.957999999999998</v>
      </c>
      <c r="E3751" s="91" t="s">
        <v>110</v>
      </c>
    </row>
    <row r="3752" spans="1:5" x14ac:dyDescent="0.25">
      <c r="A3752" s="94">
        <v>46135</v>
      </c>
      <c r="B3752" s="95">
        <v>511629.16899999999</v>
      </c>
      <c r="C3752" s="95">
        <v>4786680.0619999999</v>
      </c>
      <c r="D3752" s="95">
        <v>48.457999999999998</v>
      </c>
      <c r="E3752" s="91" t="s">
        <v>105</v>
      </c>
    </row>
    <row r="3753" spans="1:5" x14ac:dyDescent="0.25">
      <c r="A3753" s="94">
        <v>46135</v>
      </c>
      <c r="B3753" s="95">
        <v>511629.29300000001</v>
      </c>
      <c r="C3753" s="95">
        <v>4786680.0250000004</v>
      </c>
      <c r="D3753" s="95">
        <v>45.94</v>
      </c>
      <c r="E3753" s="91" t="s">
        <v>106</v>
      </c>
    </row>
    <row r="3754" spans="1:5" x14ac:dyDescent="0.25">
      <c r="A3754" s="94">
        <v>46135</v>
      </c>
      <c r="B3754" s="95">
        <v>511642.26799999998</v>
      </c>
      <c r="C3754" s="95">
        <v>4786673.1239999998</v>
      </c>
      <c r="D3754" s="95">
        <v>48.439</v>
      </c>
      <c r="E3754" s="91" t="s">
        <v>107</v>
      </c>
    </row>
    <row r="3755" spans="1:5" x14ac:dyDescent="0.25">
      <c r="A3755" s="94">
        <v>46135</v>
      </c>
      <c r="B3755" s="95">
        <v>511642.42099999997</v>
      </c>
      <c r="C3755" s="95">
        <v>4786673.0120000001</v>
      </c>
      <c r="D3755" s="95">
        <v>45.933999999999997</v>
      </c>
      <c r="E3755" s="91" t="s">
        <v>108</v>
      </c>
    </row>
    <row r="3756" spans="1:5" x14ac:dyDescent="0.25">
      <c r="A3756" s="94">
        <v>46135</v>
      </c>
      <c r="B3756" s="95">
        <v>511642.462</v>
      </c>
      <c r="C3756" s="95">
        <v>4786672.9000000004</v>
      </c>
      <c r="D3756" s="95">
        <v>43.966000000000001</v>
      </c>
      <c r="E3756" s="91" t="s">
        <v>111</v>
      </c>
    </row>
    <row r="3757" spans="1:5" x14ac:dyDescent="0.25">
      <c r="A3757" s="94">
        <v>46135</v>
      </c>
      <c r="B3757" s="95">
        <v>511649.11900000001</v>
      </c>
      <c r="C3757" s="95">
        <v>4786669.3969999999</v>
      </c>
      <c r="D3757" s="95">
        <v>43.945</v>
      </c>
      <c r="E3757" s="91" t="s">
        <v>113</v>
      </c>
    </row>
    <row r="3758" spans="1:5" x14ac:dyDescent="0.25">
      <c r="A3758" s="94">
        <v>46135</v>
      </c>
      <c r="B3758" s="95">
        <v>511673.81300000002</v>
      </c>
      <c r="C3758" s="95">
        <v>4786631.074</v>
      </c>
      <c r="D3758" s="95">
        <v>40.162999999999997</v>
      </c>
      <c r="E3758" s="91" t="s">
        <v>147</v>
      </c>
    </row>
    <row r="3759" spans="1:5" x14ac:dyDescent="0.25">
      <c r="A3759" s="94">
        <v>46135</v>
      </c>
      <c r="B3759" s="95">
        <v>511573.39600000001</v>
      </c>
      <c r="C3759" s="95">
        <v>4786684.3559999997</v>
      </c>
      <c r="D3759" s="95">
        <v>43.468000000000004</v>
      </c>
      <c r="E3759" s="91" t="s">
        <v>148</v>
      </c>
    </row>
    <row r="3760" spans="1:5" x14ac:dyDescent="0.25">
      <c r="A3760" s="94">
        <v>46135</v>
      </c>
      <c r="B3760" s="95">
        <v>511575.48200000002</v>
      </c>
      <c r="C3760" s="95">
        <v>4786688.2280000001</v>
      </c>
      <c r="D3760" s="95">
        <v>43.427999999999997</v>
      </c>
      <c r="E3760" s="91" t="s">
        <v>149</v>
      </c>
    </row>
    <row r="3761" spans="1:5" x14ac:dyDescent="0.25">
      <c r="A3761" s="94">
        <v>46135</v>
      </c>
      <c r="B3761" s="95">
        <v>511577.68199999997</v>
      </c>
      <c r="C3761" s="95">
        <v>4786692.2819999997</v>
      </c>
      <c r="D3761" s="95">
        <v>43.616</v>
      </c>
      <c r="E3761" s="91" t="s">
        <v>150</v>
      </c>
    </row>
    <row r="3762" spans="1:5" x14ac:dyDescent="0.25">
      <c r="A3762" s="94">
        <v>46135</v>
      </c>
      <c r="B3762" s="95">
        <v>511607.17200000002</v>
      </c>
      <c r="C3762" s="95">
        <v>4786690.8430000003</v>
      </c>
      <c r="D3762" s="95">
        <v>41.314999999999998</v>
      </c>
      <c r="E3762" s="91" t="s">
        <v>139</v>
      </c>
    </row>
    <row r="3763" spans="1:5" x14ac:dyDescent="0.25">
      <c r="A3763" s="94">
        <v>46135</v>
      </c>
      <c r="B3763" s="95">
        <v>511614.97399999999</v>
      </c>
      <c r="C3763" s="95">
        <v>4786686.6090000002</v>
      </c>
      <c r="D3763" s="95">
        <v>41.441000000000003</v>
      </c>
      <c r="E3763" s="91" t="s">
        <v>140</v>
      </c>
    </row>
    <row r="3764" spans="1:5" x14ac:dyDescent="0.25">
      <c r="A3764" s="94">
        <v>46135</v>
      </c>
      <c r="B3764" s="95">
        <v>511628.82299999997</v>
      </c>
      <c r="C3764" s="95">
        <v>4786679.1399999997</v>
      </c>
      <c r="D3764" s="95">
        <v>41.375</v>
      </c>
      <c r="E3764" s="91" t="s">
        <v>141</v>
      </c>
    </row>
    <row r="3765" spans="1:5" x14ac:dyDescent="0.25">
      <c r="A3765" s="94">
        <v>46135</v>
      </c>
      <c r="B3765" s="95">
        <v>511641.99400000001</v>
      </c>
      <c r="C3765" s="95">
        <v>4786671.9419999998</v>
      </c>
      <c r="D3765" s="95">
        <v>41.511000000000003</v>
      </c>
      <c r="E3765" s="91" t="s">
        <v>142</v>
      </c>
    </row>
    <row r="3766" spans="1:5" x14ac:dyDescent="0.25">
      <c r="A3766" s="94">
        <v>46135</v>
      </c>
      <c r="B3766" s="95">
        <v>511648.77399999998</v>
      </c>
      <c r="C3766" s="95">
        <v>4786668.2640000004</v>
      </c>
      <c r="D3766" s="95">
        <v>41.308</v>
      </c>
      <c r="E3766" s="91" t="s">
        <v>143</v>
      </c>
    </row>
    <row r="3767" spans="1:5" x14ac:dyDescent="0.25">
      <c r="A3767" s="94">
        <v>46136</v>
      </c>
      <c r="B3767" s="95">
        <v>511629.40600000002</v>
      </c>
      <c r="C3767" s="95">
        <v>4786679.9029999999</v>
      </c>
      <c r="D3767" s="95">
        <v>43.944000000000003</v>
      </c>
      <c r="E3767" s="91" t="s">
        <v>109</v>
      </c>
    </row>
    <row r="3768" spans="1:5" x14ac:dyDescent="0.25">
      <c r="A3768" s="94">
        <v>46136</v>
      </c>
      <c r="B3768" s="95">
        <v>511615.23700000002</v>
      </c>
      <c r="C3768" s="95">
        <v>4786687.4280000003</v>
      </c>
      <c r="D3768" s="95">
        <v>48.439</v>
      </c>
      <c r="E3768" s="91" t="s">
        <v>103</v>
      </c>
    </row>
    <row r="3769" spans="1:5" x14ac:dyDescent="0.25">
      <c r="A3769" s="94">
        <v>46136</v>
      </c>
      <c r="B3769" s="95">
        <v>511615.20899999997</v>
      </c>
      <c r="C3769" s="95">
        <v>4786687.352</v>
      </c>
      <c r="D3769" s="95">
        <v>45.930999999999997</v>
      </c>
      <c r="E3769" s="91" t="s">
        <v>104</v>
      </c>
    </row>
    <row r="3770" spans="1:5" x14ac:dyDescent="0.25">
      <c r="A3770" s="94">
        <v>46136</v>
      </c>
      <c r="B3770" s="95">
        <v>511615.16200000001</v>
      </c>
      <c r="C3770" s="95">
        <v>4786687.375</v>
      </c>
      <c r="D3770" s="95">
        <v>43.957000000000001</v>
      </c>
      <c r="E3770" s="91" t="s">
        <v>110</v>
      </c>
    </row>
    <row r="3771" spans="1:5" x14ac:dyDescent="0.25">
      <c r="A3771" s="94">
        <v>46136</v>
      </c>
      <c r="B3771" s="95">
        <v>511629.16800000001</v>
      </c>
      <c r="C3771" s="95">
        <v>4786680.0609999998</v>
      </c>
      <c r="D3771" s="95">
        <v>48.457000000000001</v>
      </c>
      <c r="E3771" s="91" t="s">
        <v>105</v>
      </c>
    </row>
    <row r="3772" spans="1:5" x14ac:dyDescent="0.25">
      <c r="A3772" s="94">
        <v>46136</v>
      </c>
      <c r="B3772" s="95">
        <v>511629.29100000003</v>
      </c>
      <c r="C3772" s="95">
        <v>4786680.023</v>
      </c>
      <c r="D3772" s="95">
        <v>45.94</v>
      </c>
      <c r="E3772" s="91" t="s">
        <v>106</v>
      </c>
    </row>
    <row r="3773" spans="1:5" x14ac:dyDescent="0.25">
      <c r="A3773" s="94">
        <v>46136</v>
      </c>
      <c r="B3773" s="95">
        <v>511642.26899999997</v>
      </c>
      <c r="C3773" s="95">
        <v>4786673.1229999997</v>
      </c>
      <c r="D3773" s="95">
        <v>48.438000000000002</v>
      </c>
      <c r="E3773" s="91" t="s">
        <v>107</v>
      </c>
    </row>
    <row r="3774" spans="1:5" x14ac:dyDescent="0.25">
      <c r="A3774" s="94">
        <v>46136</v>
      </c>
      <c r="B3774" s="95">
        <v>511642.42300000001</v>
      </c>
      <c r="C3774" s="95">
        <v>4786673.0120000001</v>
      </c>
      <c r="D3774" s="95">
        <v>45.933</v>
      </c>
      <c r="E3774" s="91" t="s">
        <v>108</v>
      </c>
    </row>
    <row r="3775" spans="1:5" x14ac:dyDescent="0.25">
      <c r="A3775" s="94">
        <v>46136</v>
      </c>
      <c r="B3775" s="95">
        <v>511642.46100000001</v>
      </c>
      <c r="C3775" s="95">
        <v>4786672.8990000002</v>
      </c>
      <c r="D3775" s="95">
        <v>43.965000000000003</v>
      </c>
      <c r="E3775" s="91" t="s">
        <v>111</v>
      </c>
    </row>
    <row r="3776" spans="1:5" x14ac:dyDescent="0.25">
      <c r="A3776" s="94">
        <v>46136</v>
      </c>
      <c r="B3776" s="95">
        <v>511649.11900000001</v>
      </c>
      <c r="C3776" s="95">
        <v>4786669.3959999997</v>
      </c>
      <c r="D3776" s="95">
        <v>43.945</v>
      </c>
      <c r="E3776" s="91" t="s">
        <v>113</v>
      </c>
    </row>
    <row r="3777" spans="1:5" x14ac:dyDescent="0.25">
      <c r="A3777" s="94">
        <v>46136</v>
      </c>
      <c r="B3777" s="95">
        <v>511673.81199999998</v>
      </c>
      <c r="C3777" s="95">
        <v>4786631.074</v>
      </c>
      <c r="D3777" s="95">
        <v>40.161000000000001</v>
      </c>
      <c r="E3777" s="91" t="s">
        <v>147</v>
      </c>
    </row>
    <row r="3778" spans="1:5" x14ac:dyDescent="0.25">
      <c r="A3778" s="94">
        <v>46136</v>
      </c>
      <c r="B3778" s="95">
        <v>511573.39600000001</v>
      </c>
      <c r="C3778" s="95">
        <v>4786684.3540000003</v>
      </c>
      <c r="D3778" s="95">
        <v>43.466999999999999</v>
      </c>
      <c r="E3778" s="91" t="s">
        <v>148</v>
      </c>
    </row>
    <row r="3779" spans="1:5" x14ac:dyDescent="0.25">
      <c r="A3779" s="94">
        <v>46136</v>
      </c>
      <c r="B3779" s="95">
        <v>511575.48300000001</v>
      </c>
      <c r="C3779" s="95">
        <v>4786688.227</v>
      </c>
      <c r="D3779" s="95">
        <v>43.426000000000002</v>
      </c>
      <c r="E3779" s="91" t="s">
        <v>149</v>
      </c>
    </row>
    <row r="3780" spans="1:5" x14ac:dyDescent="0.25">
      <c r="A3780" s="94">
        <v>46136</v>
      </c>
      <c r="B3780" s="95">
        <v>511577.68199999997</v>
      </c>
      <c r="C3780" s="95">
        <v>4786692.2819999997</v>
      </c>
      <c r="D3780" s="95">
        <v>43.615000000000002</v>
      </c>
      <c r="E3780" s="91" t="s">
        <v>150</v>
      </c>
    </row>
    <row r="3781" spans="1:5" x14ac:dyDescent="0.25">
      <c r="A3781" s="94">
        <v>46136</v>
      </c>
      <c r="B3781" s="95">
        <v>511579.783</v>
      </c>
      <c r="C3781" s="95">
        <v>4786696.1969999997</v>
      </c>
      <c r="D3781" s="95">
        <v>43.686999999999998</v>
      </c>
      <c r="E3781" s="91" t="s">
        <v>151</v>
      </c>
    </row>
    <row r="3782" spans="1:5" x14ac:dyDescent="0.25">
      <c r="A3782" s="94">
        <v>46136</v>
      </c>
      <c r="B3782" s="95">
        <v>511607.17200000002</v>
      </c>
      <c r="C3782" s="95">
        <v>4786690.8420000002</v>
      </c>
      <c r="D3782" s="95">
        <v>41.314</v>
      </c>
      <c r="E3782" s="91" t="s">
        <v>139</v>
      </c>
    </row>
    <row r="3783" spans="1:5" x14ac:dyDescent="0.25">
      <c r="A3783" s="94">
        <v>46136</v>
      </c>
      <c r="B3783" s="95">
        <v>511614.97399999999</v>
      </c>
      <c r="C3783" s="95">
        <v>4786686.6090000002</v>
      </c>
      <c r="D3783" s="95">
        <v>41.441000000000003</v>
      </c>
      <c r="E3783" s="91" t="s">
        <v>140</v>
      </c>
    </row>
    <row r="3784" spans="1:5" x14ac:dyDescent="0.25">
      <c r="A3784" s="94">
        <v>46136</v>
      </c>
      <c r="B3784" s="95">
        <v>511628.82400000002</v>
      </c>
      <c r="C3784" s="95">
        <v>4786679.1399999997</v>
      </c>
      <c r="D3784" s="95">
        <v>41.372999999999998</v>
      </c>
      <c r="E3784" s="91" t="s">
        <v>141</v>
      </c>
    </row>
    <row r="3785" spans="1:5" x14ac:dyDescent="0.25">
      <c r="A3785" s="94">
        <v>46136</v>
      </c>
      <c r="B3785" s="95">
        <v>511641.99300000002</v>
      </c>
      <c r="C3785" s="95">
        <v>4786671.9419999998</v>
      </c>
      <c r="D3785" s="95">
        <v>41.51</v>
      </c>
      <c r="E3785" s="91" t="s">
        <v>142</v>
      </c>
    </row>
    <row r="3786" spans="1:5" x14ac:dyDescent="0.25">
      <c r="A3786" s="102">
        <v>46136</v>
      </c>
      <c r="B3786" s="103">
        <v>511648.77399999998</v>
      </c>
      <c r="C3786" s="103">
        <v>4786668.2620000001</v>
      </c>
      <c r="D3786" s="103">
        <v>41.308</v>
      </c>
      <c r="E3786" s="104" t="s">
        <v>143</v>
      </c>
    </row>
    <row r="3787" spans="1:5" x14ac:dyDescent="0.25">
      <c r="A3787" s="102">
        <v>46136</v>
      </c>
      <c r="B3787" s="103">
        <v>511606.84899999999</v>
      </c>
      <c r="C3787" s="103">
        <v>4786690.29</v>
      </c>
      <c r="D3787" s="103">
        <v>38.319000000000003</v>
      </c>
      <c r="E3787" s="104" t="s">
        <v>158</v>
      </c>
    </row>
    <row r="3788" spans="1:5" x14ac:dyDescent="0.25">
      <c r="A3788" s="102">
        <v>46136</v>
      </c>
      <c r="B3788" s="103">
        <v>511614.47200000001</v>
      </c>
      <c r="C3788" s="103">
        <v>4786685.9460000005</v>
      </c>
      <c r="D3788" s="103">
        <v>38.356000000000002</v>
      </c>
      <c r="E3788" s="104" t="s">
        <v>159</v>
      </c>
    </row>
    <row r="3789" spans="1:5" x14ac:dyDescent="0.25">
      <c r="A3789" s="102">
        <v>46136</v>
      </c>
      <c r="B3789" s="103">
        <v>511628.52899999998</v>
      </c>
      <c r="C3789" s="103">
        <v>4786678.9249999998</v>
      </c>
      <c r="D3789" s="103">
        <v>38.331000000000003</v>
      </c>
      <c r="E3789" s="104" t="s">
        <v>160</v>
      </c>
    </row>
    <row r="3790" spans="1:5" x14ac:dyDescent="0.25">
      <c r="A3790" s="102">
        <v>46136</v>
      </c>
      <c r="B3790" s="103">
        <v>511641.75300000003</v>
      </c>
      <c r="C3790" s="103">
        <v>4786671.5669999998</v>
      </c>
      <c r="D3790" s="103">
        <v>38.457000000000001</v>
      </c>
      <c r="E3790" s="104" t="s">
        <v>161</v>
      </c>
    </row>
    <row r="3791" spans="1:5" x14ac:dyDescent="0.25">
      <c r="A3791" s="102">
        <v>46136</v>
      </c>
      <c r="B3791" s="103">
        <v>511648.49599999998</v>
      </c>
      <c r="C3791" s="103">
        <v>4786667.9869999997</v>
      </c>
      <c r="D3791" s="103">
        <v>38.491999999999997</v>
      </c>
      <c r="E3791" s="104" t="s">
        <v>162</v>
      </c>
    </row>
    <row r="3792" spans="1:5" x14ac:dyDescent="0.25">
      <c r="A3792" s="102">
        <v>46139</v>
      </c>
      <c r="B3792" s="103">
        <v>511629.40399999998</v>
      </c>
      <c r="C3792" s="103">
        <v>4786679.9029999999</v>
      </c>
      <c r="D3792" s="103">
        <v>43.944000000000003</v>
      </c>
      <c r="E3792" s="104" t="s">
        <v>109</v>
      </c>
    </row>
    <row r="3793" spans="1:5" x14ac:dyDescent="0.25">
      <c r="A3793" s="102">
        <v>46139</v>
      </c>
      <c r="B3793" s="95">
        <v>511615.23599999998</v>
      </c>
      <c r="C3793" s="95">
        <v>4786687.43</v>
      </c>
      <c r="D3793" s="95">
        <v>48.438000000000002</v>
      </c>
      <c r="E3793" s="91" t="s">
        <v>103</v>
      </c>
    </row>
    <row r="3794" spans="1:5" x14ac:dyDescent="0.25">
      <c r="A3794" s="102">
        <v>46139</v>
      </c>
      <c r="B3794" s="95">
        <v>511615.20899999997</v>
      </c>
      <c r="C3794" s="95">
        <v>4786687.3540000003</v>
      </c>
      <c r="D3794" s="95">
        <v>45.930999999999997</v>
      </c>
      <c r="E3794" s="91" t="s">
        <v>104</v>
      </c>
    </row>
    <row r="3795" spans="1:5" x14ac:dyDescent="0.25">
      <c r="A3795" s="102">
        <v>46139</v>
      </c>
      <c r="B3795" s="95">
        <v>511615.16200000001</v>
      </c>
      <c r="C3795" s="95">
        <v>4786687.3770000003</v>
      </c>
      <c r="D3795" s="95">
        <v>43.957000000000001</v>
      </c>
      <c r="E3795" s="91" t="s">
        <v>110</v>
      </c>
    </row>
    <row r="3796" spans="1:5" x14ac:dyDescent="0.25">
      <c r="A3796" s="102">
        <v>46139</v>
      </c>
      <c r="B3796" s="95">
        <v>511629.16700000002</v>
      </c>
      <c r="C3796" s="95">
        <v>4786680.0619999999</v>
      </c>
      <c r="D3796" s="95">
        <v>48.457000000000001</v>
      </c>
      <c r="E3796" s="91" t="s">
        <v>105</v>
      </c>
    </row>
    <row r="3797" spans="1:5" x14ac:dyDescent="0.25">
      <c r="A3797" s="102">
        <v>46139</v>
      </c>
      <c r="B3797" s="95">
        <v>511629.29</v>
      </c>
      <c r="C3797" s="95">
        <v>4786680.0240000002</v>
      </c>
      <c r="D3797" s="95">
        <v>45.939</v>
      </c>
      <c r="E3797" s="91" t="s">
        <v>106</v>
      </c>
    </row>
    <row r="3798" spans="1:5" x14ac:dyDescent="0.25">
      <c r="A3798" s="102">
        <v>46139</v>
      </c>
      <c r="B3798" s="95">
        <v>511642.26699999999</v>
      </c>
      <c r="C3798" s="95">
        <v>4786673.1239999998</v>
      </c>
      <c r="D3798" s="95">
        <v>48.438000000000002</v>
      </c>
      <c r="E3798" s="91" t="s">
        <v>107</v>
      </c>
    </row>
    <row r="3799" spans="1:5" x14ac:dyDescent="0.25">
      <c r="A3799" s="102">
        <v>46139</v>
      </c>
      <c r="B3799" s="95">
        <v>511642.42200000002</v>
      </c>
      <c r="C3799" s="95">
        <v>4786673.0140000004</v>
      </c>
      <c r="D3799" s="95">
        <v>45.933</v>
      </c>
      <c r="E3799" s="91" t="s">
        <v>108</v>
      </c>
    </row>
    <row r="3800" spans="1:5" x14ac:dyDescent="0.25">
      <c r="A3800" s="102">
        <v>46139</v>
      </c>
      <c r="B3800" s="95">
        <v>511642.46100000001</v>
      </c>
      <c r="C3800" s="95">
        <v>4786672.9009999996</v>
      </c>
      <c r="D3800" s="95">
        <v>43.965000000000003</v>
      </c>
      <c r="E3800" s="91" t="s">
        <v>111</v>
      </c>
    </row>
    <row r="3801" spans="1:5" x14ac:dyDescent="0.25">
      <c r="A3801" s="102">
        <v>46139</v>
      </c>
      <c r="B3801" s="95">
        <v>511649.11800000002</v>
      </c>
      <c r="C3801" s="95">
        <v>4786669.3969999999</v>
      </c>
      <c r="D3801" s="95">
        <v>43.944000000000003</v>
      </c>
      <c r="E3801" s="91" t="s">
        <v>113</v>
      </c>
    </row>
    <row r="3802" spans="1:5" x14ac:dyDescent="0.25">
      <c r="A3802" s="102">
        <v>46139</v>
      </c>
      <c r="B3802" s="95">
        <v>511673.81199999998</v>
      </c>
      <c r="C3802" s="95">
        <v>4786631.0760000004</v>
      </c>
      <c r="D3802" s="95">
        <v>40.159999999999997</v>
      </c>
      <c r="E3802" s="91" t="s">
        <v>147</v>
      </c>
    </row>
    <row r="3803" spans="1:5" x14ac:dyDescent="0.25">
      <c r="A3803" s="102">
        <v>46139</v>
      </c>
      <c r="B3803" s="95">
        <v>511573.39500000002</v>
      </c>
      <c r="C3803" s="95">
        <v>4786684.3550000004</v>
      </c>
      <c r="D3803" s="95">
        <v>43.466000000000001</v>
      </c>
      <c r="E3803" s="91" t="s">
        <v>148</v>
      </c>
    </row>
    <row r="3804" spans="1:5" x14ac:dyDescent="0.25">
      <c r="A3804" s="102">
        <v>46139</v>
      </c>
      <c r="B3804" s="95">
        <v>511575.48200000002</v>
      </c>
      <c r="C3804" s="95">
        <v>4786688.227</v>
      </c>
      <c r="D3804" s="95">
        <v>43.426000000000002</v>
      </c>
      <c r="E3804" s="91" t="s">
        <v>149</v>
      </c>
    </row>
    <row r="3805" spans="1:5" x14ac:dyDescent="0.25">
      <c r="A3805" s="102">
        <v>46139</v>
      </c>
      <c r="B3805" s="95">
        <v>511577.68099999998</v>
      </c>
      <c r="C3805" s="95">
        <v>4786692.2810000004</v>
      </c>
      <c r="D3805" s="95">
        <v>43.613999999999997</v>
      </c>
      <c r="E3805" s="91" t="s">
        <v>150</v>
      </c>
    </row>
    <row r="3806" spans="1:5" x14ac:dyDescent="0.25">
      <c r="A3806" s="102">
        <v>46139</v>
      </c>
      <c r="B3806" s="95">
        <v>511579.78200000001</v>
      </c>
      <c r="C3806" s="95">
        <v>4786696.1979999999</v>
      </c>
      <c r="D3806" s="95">
        <v>43.686</v>
      </c>
      <c r="E3806" s="91" t="s">
        <v>151</v>
      </c>
    </row>
    <row r="3807" spans="1:5" x14ac:dyDescent="0.25">
      <c r="A3807" s="102">
        <v>46139</v>
      </c>
      <c r="B3807" s="95">
        <v>511607.17099999997</v>
      </c>
      <c r="C3807" s="95">
        <v>4786690.8430000003</v>
      </c>
      <c r="D3807" s="95">
        <v>41.314</v>
      </c>
      <c r="E3807" s="91" t="s">
        <v>139</v>
      </c>
    </row>
    <row r="3808" spans="1:5" x14ac:dyDescent="0.25">
      <c r="A3808" s="102">
        <v>46139</v>
      </c>
      <c r="B3808" s="95">
        <v>511614.973</v>
      </c>
      <c r="C3808" s="95">
        <v>4786686.6100000003</v>
      </c>
      <c r="D3808" s="95">
        <v>41.441000000000003</v>
      </c>
      <c r="E3808" s="91" t="s">
        <v>140</v>
      </c>
    </row>
    <row r="3809" spans="1:5" x14ac:dyDescent="0.25">
      <c r="A3809" s="102">
        <v>46139</v>
      </c>
      <c r="B3809" s="95">
        <v>511628.82199999999</v>
      </c>
      <c r="C3809" s="95">
        <v>4786679.1409999998</v>
      </c>
      <c r="D3809" s="95">
        <v>41.374000000000002</v>
      </c>
      <c r="E3809" s="91" t="s">
        <v>141</v>
      </c>
    </row>
    <row r="3810" spans="1:5" x14ac:dyDescent="0.25">
      <c r="A3810" s="102">
        <v>46139</v>
      </c>
      <c r="B3810" s="95">
        <v>511641.99200000003</v>
      </c>
      <c r="C3810" s="95">
        <v>4786671.943</v>
      </c>
      <c r="D3810" s="95">
        <v>41.51</v>
      </c>
      <c r="E3810" s="91" t="s">
        <v>142</v>
      </c>
    </row>
    <row r="3811" spans="1:5" x14ac:dyDescent="0.25">
      <c r="A3811" s="102">
        <v>46139</v>
      </c>
      <c r="B3811" s="95">
        <v>511648.772</v>
      </c>
      <c r="C3811" s="95">
        <v>4786668.2640000004</v>
      </c>
      <c r="D3811" s="95">
        <v>41.307000000000002</v>
      </c>
      <c r="E3811" s="91" t="s">
        <v>143</v>
      </c>
    </row>
    <row r="3812" spans="1:5" x14ac:dyDescent="0.25">
      <c r="A3812" s="102">
        <v>46139</v>
      </c>
      <c r="B3812" s="95">
        <v>511606.848</v>
      </c>
      <c r="C3812" s="95">
        <v>4786690.2910000002</v>
      </c>
      <c r="D3812" s="95">
        <v>38.319000000000003</v>
      </c>
      <c r="E3812" s="91" t="s">
        <v>158</v>
      </c>
    </row>
    <row r="3813" spans="1:5" x14ac:dyDescent="0.25">
      <c r="A3813" s="102">
        <v>46139</v>
      </c>
      <c r="B3813" s="95">
        <v>511614.47100000002</v>
      </c>
      <c r="C3813" s="95">
        <v>4786685.9469999997</v>
      </c>
      <c r="D3813" s="95">
        <v>38.356000000000002</v>
      </c>
      <c r="E3813" s="91" t="s">
        <v>159</v>
      </c>
    </row>
    <row r="3814" spans="1:5" x14ac:dyDescent="0.25">
      <c r="A3814" s="102">
        <v>46139</v>
      </c>
      <c r="B3814" s="95">
        <v>511628.52799999999</v>
      </c>
      <c r="C3814" s="95">
        <v>4786678.9249999998</v>
      </c>
      <c r="D3814" s="95">
        <v>38.331000000000003</v>
      </c>
      <c r="E3814" s="91" t="s">
        <v>160</v>
      </c>
    </row>
    <row r="3815" spans="1:5" x14ac:dyDescent="0.25">
      <c r="A3815" s="102">
        <v>46139</v>
      </c>
      <c r="B3815" s="95">
        <v>511641.75400000002</v>
      </c>
      <c r="C3815" s="95">
        <v>4786671.5690000001</v>
      </c>
      <c r="D3815" s="95">
        <v>38.456000000000003</v>
      </c>
      <c r="E3815" s="91" t="s">
        <v>161</v>
      </c>
    </row>
    <row r="3816" spans="1:5" x14ac:dyDescent="0.25">
      <c r="A3816" s="102">
        <v>46139</v>
      </c>
      <c r="B3816" s="95">
        <v>511648.495</v>
      </c>
      <c r="C3816" s="95">
        <v>4786667.9890000001</v>
      </c>
      <c r="D3816" s="95">
        <v>38.491999999999997</v>
      </c>
      <c r="E3816" s="91" t="s">
        <v>162</v>
      </c>
    </row>
    <row r="3817" spans="1:5" x14ac:dyDescent="0.25">
      <c r="A3817" s="102">
        <v>46140</v>
      </c>
      <c r="B3817" s="95">
        <v>511629.402</v>
      </c>
      <c r="C3817" s="95">
        <v>4786679.9040000001</v>
      </c>
      <c r="D3817" s="95">
        <v>43.945</v>
      </c>
      <c r="E3817" s="91" t="s">
        <v>109</v>
      </c>
    </row>
    <row r="3818" spans="1:5" x14ac:dyDescent="0.25">
      <c r="A3818" s="102">
        <v>46140</v>
      </c>
      <c r="B3818" s="95">
        <v>511615.234</v>
      </c>
      <c r="C3818" s="95">
        <v>4786687.43</v>
      </c>
      <c r="D3818" s="95">
        <v>48.439</v>
      </c>
      <c r="E3818" s="91" t="s">
        <v>103</v>
      </c>
    </row>
    <row r="3819" spans="1:5" x14ac:dyDescent="0.25">
      <c r="A3819" s="102">
        <v>46140</v>
      </c>
      <c r="B3819" s="95">
        <v>511615.20699999999</v>
      </c>
      <c r="C3819" s="95">
        <v>4786687.3540000003</v>
      </c>
      <c r="D3819" s="95">
        <v>45.932000000000002</v>
      </c>
      <c r="E3819" s="91" t="s">
        <v>104</v>
      </c>
    </row>
    <row r="3820" spans="1:5" x14ac:dyDescent="0.25">
      <c r="A3820" s="102">
        <v>46140</v>
      </c>
      <c r="B3820" s="95">
        <v>511615.16</v>
      </c>
      <c r="C3820" s="95">
        <v>4786687.3770000003</v>
      </c>
      <c r="D3820" s="95">
        <v>43.957000000000001</v>
      </c>
      <c r="E3820" s="91" t="s">
        <v>110</v>
      </c>
    </row>
    <row r="3821" spans="1:5" x14ac:dyDescent="0.25">
      <c r="A3821" s="102">
        <v>46140</v>
      </c>
      <c r="B3821" s="95">
        <v>511629.16600000003</v>
      </c>
      <c r="C3821" s="95">
        <v>4786680.0630000001</v>
      </c>
      <c r="D3821" s="95">
        <v>48.457000000000001</v>
      </c>
      <c r="E3821" s="91" t="s">
        <v>105</v>
      </c>
    </row>
    <row r="3822" spans="1:5" x14ac:dyDescent="0.25">
      <c r="A3822" s="102">
        <v>46140</v>
      </c>
      <c r="B3822" s="95">
        <v>511629.29</v>
      </c>
      <c r="C3822" s="95">
        <v>4786680.0259999996</v>
      </c>
      <c r="D3822" s="95">
        <v>45.94</v>
      </c>
      <c r="E3822" s="91" t="s">
        <v>106</v>
      </c>
    </row>
    <row r="3823" spans="1:5" x14ac:dyDescent="0.25">
      <c r="A3823" s="102">
        <v>46140</v>
      </c>
      <c r="B3823" s="95">
        <v>511642.26500000001</v>
      </c>
      <c r="C3823" s="95">
        <v>4786673.125</v>
      </c>
      <c r="D3823" s="95">
        <v>48.438000000000002</v>
      </c>
      <c r="E3823" s="91" t="s">
        <v>107</v>
      </c>
    </row>
    <row r="3824" spans="1:5" x14ac:dyDescent="0.25">
      <c r="A3824" s="102">
        <v>46140</v>
      </c>
      <c r="B3824" s="95">
        <v>511642.41899999999</v>
      </c>
      <c r="C3824" s="95">
        <v>4786673.0140000004</v>
      </c>
      <c r="D3824" s="95">
        <v>45.933999999999997</v>
      </c>
      <c r="E3824" s="91" t="s">
        <v>108</v>
      </c>
    </row>
    <row r="3825" spans="1:5" x14ac:dyDescent="0.25">
      <c r="A3825" s="102">
        <v>46140</v>
      </c>
      <c r="B3825" s="95">
        <v>511642.45899999997</v>
      </c>
      <c r="C3825" s="95">
        <v>4786672.9019999998</v>
      </c>
      <c r="D3825" s="95">
        <v>43.965000000000003</v>
      </c>
      <c r="E3825" s="91" t="s">
        <v>111</v>
      </c>
    </row>
    <row r="3826" spans="1:5" x14ac:dyDescent="0.25">
      <c r="A3826" s="102">
        <v>46140</v>
      </c>
      <c r="B3826" s="95">
        <v>511649.11700000003</v>
      </c>
      <c r="C3826" s="95">
        <v>4786669.3990000002</v>
      </c>
      <c r="D3826" s="95">
        <v>43.945</v>
      </c>
      <c r="E3826" s="91" t="s">
        <v>113</v>
      </c>
    </row>
    <row r="3827" spans="1:5" x14ac:dyDescent="0.25">
      <c r="A3827" s="102">
        <v>46140</v>
      </c>
      <c r="B3827" s="95">
        <v>511673.81099999999</v>
      </c>
      <c r="C3827" s="95">
        <v>4786631.0769999996</v>
      </c>
      <c r="D3827" s="95">
        <v>40.161000000000001</v>
      </c>
      <c r="E3827" s="91" t="s">
        <v>147</v>
      </c>
    </row>
    <row r="3828" spans="1:5" x14ac:dyDescent="0.25">
      <c r="A3828" s="102">
        <v>46140</v>
      </c>
      <c r="B3828" s="95">
        <v>511573.39399999997</v>
      </c>
      <c r="C3828" s="95">
        <v>4786684.3550000004</v>
      </c>
      <c r="D3828" s="95">
        <v>43.466999999999999</v>
      </c>
      <c r="E3828" s="91" t="s">
        <v>148</v>
      </c>
    </row>
    <row r="3829" spans="1:5" x14ac:dyDescent="0.25">
      <c r="A3829" s="102">
        <v>46140</v>
      </c>
      <c r="B3829" s="95">
        <v>511575.48</v>
      </c>
      <c r="C3829" s="95">
        <v>4786688.2280000001</v>
      </c>
      <c r="D3829" s="95">
        <v>43.427</v>
      </c>
      <c r="E3829" s="91" t="s">
        <v>149</v>
      </c>
    </row>
    <row r="3830" spans="1:5" x14ac:dyDescent="0.25">
      <c r="A3830" s="102">
        <v>46140</v>
      </c>
      <c r="B3830" s="95">
        <v>511577.679</v>
      </c>
      <c r="C3830" s="95">
        <v>4786692.2819999997</v>
      </c>
      <c r="D3830" s="95">
        <v>43.615000000000002</v>
      </c>
      <c r="E3830" s="91" t="s">
        <v>150</v>
      </c>
    </row>
    <row r="3831" spans="1:5" x14ac:dyDescent="0.25">
      <c r="A3831" s="102">
        <v>46140</v>
      </c>
      <c r="B3831" s="95">
        <v>511579.78100000002</v>
      </c>
      <c r="C3831" s="95">
        <v>4786696.1979999999</v>
      </c>
      <c r="D3831" s="95">
        <v>43.686999999999998</v>
      </c>
      <c r="E3831" s="91" t="s">
        <v>151</v>
      </c>
    </row>
    <row r="3832" spans="1:5" x14ac:dyDescent="0.25">
      <c r="A3832" s="102">
        <v>46140</v>
      </c>
      <c r="B3832" s="95">
        <v>511607.16899999999</v>
      </c>
      <c r="C3832" s="95">
        <v>4786690.8430000003</v>
      </c>
      <c r="D3832" s="95">
        <v>41.314</v>
      </c>
      <c r="E3832" s="91" t="s">
        <v>139</v>
      </c>
    </row>
    <row r="3833" spans="1:5" x14ac:dyDescent="0.25">
      <c r="A3833" s="102">
        <v>46140</v>
      </c>
      <c r="B3833" s="95">
        <v>511614.97</v>
      </c>
      <c r="C3833" s="95">
        <v>4786686.6109999996</v>
      </c>
      <c r="D3833" s="95">
        <v>41.442</v>
      </c>
      <c r="E3833" s="91" t="s">
        <v>140</v>
      </c>
    </row>
    <row r="3834" spans="1:5" x14ac:dyDescent="0.25">
      <c r="A3834" s="102">
        <v>46140</v>
      </c>
      <c r="B3834" s="95">
        <v>511628.82199999999</v>
      </c>
      <c r="C3834" s="95">
        <v>4786679.142</v>
      </c>
      <c r="D3834" s="95">
        <v>41.374000000000002</v>
      </c>
      <c r="E3834" s="91" t="s">
        <v>141</v>
      </c>
    </row>
    <row r="3835" spans="1:5" x14ac:dyDescent="0.25">
      <c r="A3835" s="102">
        <v>46140</v>
      </c>
      <c r="B3835" s="95">
        <v>511641.99099999998</v>
      </c>
      <c r="C3835" s="95">
        <v>4786671.9440000001</v>
      </c>
      <c r="D3835" s="95">
        <v>41.51</v>
      </c>
      <c r="E3835" s="91" t="s">
        <v>142</v>
      </c>
    </row>
    <row r="3836" spans="1:5" x14ac:dyDescent="0.25">
      <c r="A3836" s="102">
        <v>46140</v>
      </c>
      <c r="B3836" s="95">
        <v>511648.77100000001</v>
      </c>
      <c r="C3836" s="95">
        <v>4786668.2649999997</v>
      </c>
      <c r="D3836" s="95">
        <v>41.308</v>
      </c>
      <c r="E3836" s="91" t="s">
        <v>143</v>
      </c>
    </row>
    <row r="3837" spans="1:5" x14ac:dyDescent="0.25">
      <c r="A3837" s="102">
        <v>46140</v>
      </c>
      <c r="B3837" s="95">
        <v>511606.84600000002</v>
      </c>
      <c r="C3837" s="95">
        <v>4786690.2910000002</v>
      </c>
      <c r="D3837" s="95">
        <v>38.319000000000003</v>
      </c>
      <c r="E3837" s="91" t="s">
        <v>158</v>
      </c>
    </row>
    <row r="3838" spans="1:5" x14ac:dyDescent="0.25">
      <c r="A3838" s="102">
        <v>46140</v>
      </c>
      <c r="B3838" s="95">
        <v>511614.46899999998</v>
      </c>
      <c r="C3838" s="95">
        <v>4786685.9479999999</v>
      </c>
      <c r="D3838" s="95">
        <v>38.356000000000002</v>
      </c>
      <c r="E3838" s="91" t="s">
        <v>159</v>
      </c>
    </row>
    <row r="3839" spans="1:5" x14ac:dyDescent="0.25">
      <c r="A3839" s="102">
        <v>46140</v>
      </c>
      <c r="B3839" s="95">
        <v>511628.527</v>
      </c>
      <c r="C3839" s="95">
        <v>4786678.926</v>
      </c>
      <c r="D3839" s="95">
        <v>38.331000000000003</v>
      </c>
      <c r="E3839" s="91" t="s">
        <v>160</v>
      </c>
    </row>
    <row r="3840" spans="1:5" x14ac:dyDescent="0.25">
      <c r="A3840" s="102">
        <v>46140</v>
      </c>
      <c r="B3840" s="95">
        <v>511641.75300000003</v>
      </c>
      <c r="C3840" s="95">
        <v>4786671.57</v>
      </c>
      <c r="D3840" s="95">
        <v>38.457000000000001</v>
      </c>
      <c r="E3840" s="91" t="s">
        <v>161</v>
      </c>
    </row>
    <row r="3841" spans="1:5" x14ac:dyDescent="0.25">
      <c r="A3841" s="102">
        <v>46140</v>
      </c>
      <c r="B3841" s="95">
        <v>511648.49300000002</v>
      </c>
      <c r="C3841" s="95">
        <v>4786667.99</v>
      </c>
      <c r="D3841" s="95">
        <v>38.491999999999997</v>
      </c>
      <c r="E3841" s="91" t="s">
        <v>162</v>
      </c>
    </row>
    <row r="3842" spans="1:5" x14ac:dyDescent="0.25">
      <c r="A3842" s="102">
        <v>46141</v>
      </c>
      <c r="B3842" s="95">
        <v>511629.40399999998</v>
      </c>
      <c r="C3842" s="95">
        <v>4786679.9029999999</v>
      </c>
      <c r="D3842" s="95">
        <v>43.944000000000003</v>
      </c>
      <c r="E3842" s="91" t="s">
        <v>109</v>
      </c>
    </row>
    <row r="3843" spans="1:5" x14ac:dyDescent="0.25">
      <c r="A3843" s="102">
        <v>46141</v>
      </c>
      <c r="B3843" s="95">
        <v>511615.23599999998</v>
      </c>
      <c r="C3843" s="95">
        <v>4786687.4280000003</v>
      </c>
      <c r="D3843" s="95">
        <v>48.439</v>
      </c>
      <c r="E3843" s="91" t="s">
        <v>103</v>
      </c>
    </row>
    <row r="3844" spans="1:5" x14ac:dyDescent="0.25">
      <c r="A3844" s="102">
        <v>46141</v>
      </c>
      <c r="B3844" s="95">
        <v>511615.20799999998</v>
      </c>
      <c r="C3844" s="95">
        <v>4786687.352</v>
      </c>
      <c r="D3844" s="95">
        <v>45.932000000000002</v>
      </c>
      <c r="E3844" s="91" t="s">
        <v>104</v>
      </c>
    </row>
    <row r="3845" spans="1:5" x14ac:dyDescent="0.25">
      <c r="A3845" s="102">
        <v>46141</v>
      </c>
      <c r="B3845" s="95">
        <v>511629.16700000002</v>
      </c>
      <c r="C3845" s="95">
        <v>4786680.0619999999</v>
      </c>
      <c r="D3845" s="95">
        <v>48.457000000000001</v>
      </c>
      <c r="E3845" s="91" t="s">
        <v>105</v>
      </c>
    </row>
    <row r="3846" spans="1:5" x14ac:dyDescent="0.25">
      <c r="A3846" s="102">
        <v>46141</v>
      </c>
      <c r="B3846" s="95">
        <v>511629.29</v>
      </c>
      <c r="C3846" s="95">
        <v>4786680.0240000002</v>
      </c>
      <c r="D3846" s="95">
        <v>45.94</v>
      </c>
      <c r="E3846" s="91" t="s">
        <v>106</v>
      </c>
    </row>
    <row r="3847" spans="1:5" x14ac:dyDescent="0.25">
      <c r="A3847" s="102">
        <v>46141</v>
      </c>
      <c r="B3847" s="95">
        <v>511642.26699999999</v>
      </c>
      <c r="C3847" s="95">
        <v>4786673.1229999997</v>
      </c>
      <c r="D3847" s="95">
        <v>48.438000000000002</v>
      </c>
      <c r="E3847" s="91" t="s">
        <v>107</v>
      </c>
    </row>
    <row r="3848" spans="1:5" x14ac:dyDescent="0.25">
      <c r="A3848" s="102">
        <v>46141</v>
      </c>
      <c r="B3848" s="95">
        <v>511642.42200000002</v>
      </c>
      <c r="C3848" s="95">
        <v>4786673.0130000003</v>
      </c>
      <c r="D3848" s="95">
        <v>45.933</v>
      </c>
      <c r="E3848" s="91" t="s">
        <v>108</v>
      </c>
    </row>
    <row r="3849" spans="1:5" x14ac:dyDescent="0.25">
      <c r="A3849" s="102">
        <v>46141</v>
      </c>
      <c r="B3849" s="95">
        <v>511642.46100000001</v>
      </c>
      <c r="C3849" s="95">
        <v>4786672.9000000004</v>
      </c>
      <c r="D3849" s="95">
        <v>43.965000000000003</v>
      </c>
      <c r="E3849" s="91" t="s">
        <v>111</v>
      </c>
    </row>
    <row r="3850" spans="1:5" x14ac:dyDescent="0.25">
      <c r="A3850" s="102">
        <v>46141</v>
      </c>
      <c r="B3850" s="95">
        <v>511649.11900000001</v>
      </c>
      <c r="C3850" s="95">
        <v>4786669.3969999999</v>
      </c>
      <c r="D3850" s="95">
        <v>43.944000000000003</v>
      </c>
      <c r="E3850" s="91" t="s">
        <v>113</v>
      </c>
    </row>
    <row r="3851" spans="1:5" x14ac:dyDescent="0.25">
      <c r="A3851" s="102">
        <v>46141</v>
      </c>
      <c r="B3851" s="95">
        <v>511673.81800000003</v>
      </c>
      <c r="C3851" s="95">
        <v>4786631.0860000001</v>
      </c>
      <c r="D3851" s="95">
        <v>40.171999999999997</v>
      </c>
      <c r="E3851" s="91" t="s">
        <v>147</v>
      </c>
    </row>
    <row r="3852" spans="1:5" x14ac:dyDescent="0.25">
      <c r="A3852" s="102">
        <v>46141</v>
      </c>
      <c r="B3852" s="95">
        <v>511573.39600000001</v>
      </c>
      <c r="C3852" s="95">
        <v>4786684.3540000003</v>
      </c>
      <c r="D3852" s="95">
        <v>43.466999999999999</v>
      </c>
      <c r="E3852" s="91" t="s">
        <v>148</v>
      </c>
    </row>
    <row r="3853" spans="1:5" x14ac:dyDescent="0.25">
      <c r="A3853" s="102">
        <v>46141</v>
      </c>
      <c r="B3853" s="95">
        <v>511575.48200000002</v>
      </c>
      <c r="C3853" s="95">
        <v>4786688.227</v>
      </c>
      <c r="D3853" s="95">
        <v>43.426000000000002</v>
      </c>
      <c r="E3853" s="91" t="s">
        <v>149</v>
      </c>
    </row>
    <row r="3854" spans="1:5" x14ac:dyDescent="0.25">
      <c r="A3854" s="102">
        <v>46141</v>
      </c>
      <c r="B3854" s="95">
        <v>511577.68</v>
      </c>
      <c r="C3854" s="95">
        <v>4786692.2829999998</v>
      </c>
      <c r="D3854" s="95">
        <v>43.613999999999997</v>
      </c>
      <c r="E3854" s="91" t="s">
        <v>150</v>
      </c>
    </row>
    <row r="3855" spans="1:5" x14ac:dyDescent="0.25">
      <c r="A3855" s="102">
        <v>46141</v>
      </c>
      <c r="B3855" s="95">
        <v>511579.78200000001</v>
      </c>
      <c r="C3855" s="95">
        <v>4786696.1979999999</v>
      </c>
      <c r="D3855" s="95">
        <v>43.686</v>
      </c>
      <c r="E3855" s="91" t="s">
        <v>151</v>
      </c>
    </row>
    <row r="3856" spans="1:5" x14ac:dyDescent="0.25">
      <c r="A3856" s="102">
        <v>46141</v>
      </c>
      <c r="B3856" s="95">
        <v>511607.17099999997</v>
      </c>
      <c r="C3856" s="95">
        <v>4786690.8420000002</v>
      </c>
      <c r="D3856" s="95">
        <v>41.314</v>
      </c>
      <c r="E3856" s="91" t="s">
        <v>139</v>
      </c>
    </row>
    <row r="3857" spans="1:5" x14ac:dyDescent="0.25">
      <c r="A3857" s="102">
        <v>46141</v>
      </c>
      <c r="B3857" s="95">
        <v>511614.973</v>
      </c>
      <c r="C3857" s="95">
        <v>4786686.6090000002</v>
      </c>
      <c r="D3857" s="95">
        <v>41.441000000000003</v>
      </c>
      <c r="E3857" s="91" t="s">
        <v>140</v>
      </c>
    </row>
    <row r="3858" spans="1:5" x14ac:dyDescent="0.25">
      <c r="A3858" s="102">
        <v>46141</v>
      </c>
      <c r="B3858" s="95">
        <v>511628.82299999997</v>
      </c>
      <c r="C3858" s="95">
        <v>4786679.1399999997</v>
      </c>
      <c r="D3858" s="95">
        <v>41.374000000000002</v>
      </c>
      <c r="E3858" s="91" t="s">
        <v>141</v>
      </c>
    </row>
    <row r="3859" spans="1:5" x14ac:dyDescent="0.25">
      <c r="A3859" s="102">
        <v>46141</v>
      </c>
      <c r="B3859" s="95">
        <v>511641.99200000003</v>
      </c>
      <c r="C3859" s="95">
        <v>4786671.9419999998</v>
      </c>
      <c r="D3859" s="95">
        <v>41.51</v>
      </c>
      <c r="E3859" s="91" t="s">
        <v>142</v>
      </c>
    </row>
    <row r="3860" spans="1:5" x14ac:dyDescent="0.25">
      <c r="A3860" s="102">
        <v>46141</v>
      </c>
      <c r="B3860" s="95">
        <v>511648.77299999999</v>
      </c>
      <c r="C3860" s="95">
        <v>4786668.2630000003</v>
      </c>
      <c r="D3860" s="95">
        <v>41.308</v>
      </c>
      <c r="E3860" s="91" t="s">
        <v>143</v>
      </c>
    </row>
    <row r="3861" spans="1:5" x14ac:dyDescent="0.25">
      <c r="A3861" s="102">
        <v>46141</v>
      </c>
      <c r="B3861" s="95">
        <v>511606.84700000001</v>
      </c>
      <c r="C3861" s="95">
        <v>4786690.2889999999</v>
      </c>
      <c r="D3861" s="95">
        <v>38.319000000000003</v>
      </c>
      <c r="E3861" s="91" t="s">
        <v>158</v>
      </c>
    </row>
    <row r="3862" spans="1:5" x14ac:dyDescent="0.25">
      <c r="A3862" s="102">
        <v>46141</v>
      </c>
      <c r="B3862" s="95">
        <v>511614.47</v>
      </c>
      <c r="C3862" s="95">
        <v>4786685.9460000005</v>
      </c>
      <c r="D3862" s="95">
        <v>38.356999999999999</v>
      </c>
      <c r="E3862" s="91" t="s">
        <v>159</v>
      </c>
    </row>
    <row r="3863" spans="1:5" x14ac:dyDescent="0.25">
      <c r="A3863" s="102">
        <v>46141</v>
      </c>
      <c r="B3863" s="95">
        <v>511628.52899999998</v>
      </c>
      <c r="C3863" s="95">
        <v>4786678.9239999996</v>
      </c>
      <c r="D3863" s="95">
        <v>38.331000000000003</v>
      </c>
      <c r="E3863" s="91" t="s">
        <v>160</v>
      </c>
    </row>
    <row r="3864" spans="1:5" x14ac:dyDescent="0.25">
      <c r="A3864" s="102">
        <v>46141</v>
      </c>
      <c r="B3864" s="95">
        <v>511641.75400000002</v>
      </c>
      <c r="C3864" s="95">
        <v>4786671.568</v>
      </c>
      <c r="D3864" s="95">
        <v>38.457000000000001</v>
      </c>
      <c r="E3864" s="91" t="s">
        <v>161</v>
      </c>
    </row>
    <row r="3865" spans="1:5" x14ac:dyDescent="0.25">
      <c r="A3865" s="102">
        <v>46141</v>
      </c>
      <c r="B3865" s="95">
        <v>511648.495</v>
      </c>
      <c r="C3865" s="95">
        <v>4786667.9879999999</v>
      </c>
      <c r="D3865" s="95">
        <v>38.491</v>
      </c>
      <c r="E3865" s="91" t="s">
        <v>162</v>
      </c>
    </row>
    <row r="3866" spans="1:5" x14ac:dyDescent="0.25">
      <c r="A3866" s="102">
        <v>46142</v>
      </c>
      <c r="B3866" s="95">
        <v>511629.408</v>
      </c>
      <c r="C3866" s="95">
        <v>4786679.9000000004</v>
      </c>
      <c r="D3866" s="95">
        <v>43.944000000000003</v>
      </c>
      <c r="E3866" s="91" t="s">
        <v>109</v>
      </c>
    </row>
    <row r="3867" spans="1:5" x14ac:dyDescent="0.25">
      <c r="A3867" s="102">
        <v>46142</v>
      </c>
      <c r="B3867" s="95">
        <v>511615.239</v>
      </c>
      <c r="C3867" s="95">
        <v>4786687.4270000001</v>
      </c>
      <c r="D3867" s="95">
        <v>48.438000000000002</v>
      </c>
      <c r="E3867" s="91" t="s">
        <v>103</v>
      </c>
    </row>
    <row r="3868" spans="1:5" x14ac:dyDescent="0.25">
      <c r="A3868" s="102">
        <v>46142</v>
      </c>
      <c r="B3868" s="95">
        <v>511615.21100000001</v>
      </c>
      <c r="C3868" s="95">
        <v>4786687.3490000004</v>
      </c>
      <c r="D3868" s="95">
        <v>45.930999999999997</v>
      </c>
      <c r="E3868" s="91" t="s">
        <v>104</v>
      </c>
    </row>
    <row r="3869" spans="1:5" x14ac:dyDescent="0.25">
      <c r="A3869" s="102">
        <v>46142</v>
      </c>
      <c r="B3869" s="95">
        <v>511629.17</v>
      </c>
      <c r="C3869" s="95">
        <v>4786680.0580000002</v>
      </c>
      <c r="D3869" s="95">
        <v>48.457000000000001</v>
      </c>
      <c r="E3869" s="91" t="s">
        <v>105</v>
      </c>
    </row>
    <row r="3870" spans="1:5" x14ac:dyDescent="0.25">
      <c r="A3870" s="102">
        <v>46142</v>
      </c>
      <c r="B3870" s="95">
        <v>511629.29300000001</v>
      </c>
      <c r="C3870" s="95">
        <v>4786680.0209999997</v>
      </c>
      <c r="D3870" s="95">
        <v>45.939</v>
      </c>
      <c r="E3870" s="91" t="s">
        <v>106</v>
      </c>
    </row>
    <row r="3871" spans="1:5" x14ac:dyDescent="0.25">
      <c r="A3871" s="102">
        <v>46142</v>
      </c>
      <c r="B3871" s="95">
        <v>511642.26899999997</v>
      </c>
      <c r="C3871" s="95">
        <v>4786673.1189999999</v>
      </c>
      <c r="D3871" s="95">
        <v>48.438000000000002</v>
      </c>
      <c r="E3871" s="91" t="s">
        <v>107</v>
      </c>
    </row>
    <row r="3872" spans="1:5" x14ac:dyDescent="0.25">
      <c r="A3872" s="102">
        <v>46142</v>
      </c>
      <c r="B3872" s="95">
        <v>511642.42300000001</v>
      </c>
      <c r="C3872" s="95">
        <v>4786673.0089999996</v>
      </c>
      <c r="D3872" s="95">
        <v>45.933</v>
      </c>
      <c r="E3872" s="91" t="s">
        <v>108</v>
      </c>
    </row>
    <row r="3873" spans="1:5" x14ac:dyDescent="0.25">
      <c r="A3873" s="102">
        <v>46142</v>
      </c>
      <c r="B3873" s="95">
        <v>511642.462</v>
      </c>
      <c r="C3873" s="95">
        <v>4786672.8959999997</v>
      </c>
      <c r="D3873" s="95">
        <v>43.965000000000003</v>
      </c>
      <c r="E3873" s="91" t="s">
        <v>111</v>
      </c>
    </row>
    <row r="3874" spans="1:5" x14ac:dyDescent="0.25">
      <c r="A3874" s="102">
        <v>46142</v>
      </c>
      <c r="B3874" s="95">
        <v>511649.12</v>
      </c>
      <c r="C3874" s="95">
        <v>4786669.3930000002</v>
      </c>
      <c r="D3874" s="95">
        <v>43.944000000000003</v>
      </c>
      <c r="E3874" s="91" t="s">
        <v>113</v>
      </c>
    </row>
    <row r="3875" spans="1:5" x14ac:dyDescent="0.25">
      <c r="A3875" s="102">
        <v>46142</v>
      </c>
      <c r="B3875" s="95">
        <v>511673.81300000002</v>
      </c>
      <c r="C3875" s="95">
        <v>4786631.07</v>
      </c>
      <c r="D3875" s="95">
        <v>40.159999999999997</v>
      </c>
      <c r="E3875" s="91" t="s">
        <v>147</v>
      </c>
    </row>
    <row r="3876" spans="1:5" x14ac:dyDescent="0.25">
      <c r="A3876" s="102">
        <v>46142</v>
      </c>
      <c r="B3876" s="95">
        <v>511573.39799999999</v>
      </c>
      <c r="C3876" s="95">
        <v>4786684.3540000003</v>
      </c>
      <c r="D3876" s="95">
        <v>43.466000000000001</v>
      </c>
      <c r="E3876" s="91" t="s">
        <v>148</v>
      </c>
    </row>
    <row r="3877" spans="1:5" x14ac:dyDescent="0.25">
      <c r="A3877" s="102">
        <v>46142</v>
      </c>
      <c r="B3877" s="95">
        <v>511575.48599999998</v>
      </c>
      <c r="C3877" s="95">
        <v>4786688.2249999996</v>
      </c>
      <c r="D3877" s="95">
        <v>43.426000000000002</v>
      </c>
      <c r="E3877" s="91" t="s">
        <v>149</v>
      </c>
    </row>
    <row r="3878" spans="1:5" x14ac:dyDescent="0.25">
      <c r="A3878" s="102">
        <v>46142</v>
      </c>
      <c r="B3878" s="95">
        <v>511577.68400000001</v>
      </c>
      <c r="C3878" s="95">
        <v>4786692.2810000004</v>
      </c>
      <c r="D3878" s="95">
        <v>43.615000000000002</v>
      </c>
      <c r="E3878" s="91" t="s">
        <v>150</v>
      </c>
    </row>
    <row r="3879" spans="1:5" x14ac:dyDescent="0.25">
      <c r="A3879" s="102">
        <v>46142</v>
      </c>
      <c r="B3879" s="95">
        <v>511579.78600000002</v>
      </c>
      <c r="C3879" s="95">
        <v>4786696.1950000003</v>
      </c>
      <c r="D3879" s="95">
        <v>43.686</v>
      </c>
      <c r="E3879" s="91" t="s">
        <v>151</v>
      </c>
    </row>
    <row r="3880" spans="1:5" x14ac:dyDescent="0.25">
      <c r="A3880" s="102">
        <v>46142</v>
      </c>
      <c r="B3880" s="95">
        <v>511607.174</v>
      </c>
      <c r="C3880" s="95">
        <v>4786690.84</v>
      </c>
      <c r="D3880" s="95">
        <v>41.314</v>
      </c>
      <c r="E3880" s="91" t="s">
        <v>139</v>
      </c>
    </row>
    <row r="3881" spans="1:5" x14ac:dyDescent="0.25">
      <c r="A3881" s="102">
        <v>46142</v>
      </c>
      <c r="B3881" s="95">
        <v>511614.97499999998</v>
      </c>
      <c r="C3881" s="95">
        <v>4786686.6050000004</v>
      </c>
      <c r="D3881" s="95">
        <v>41.441000000000003</v>
      </c>
      <c r="E3881" s="91" t="s">
        <v>140</v>
      </c>
    </row>
    <row r="3882" spans="1:5" x14ac:dyDescent="0.25">
      <c r="A3882" s="102">
        <v>46142</v>
      </c>
      <c r="B3882" s="95">
        <v>511628.826</v>
      </c>
      <c r="C3882" s="95">
        <v>4786679.1370000001</v>
      </c>
      <c r="D3882" s="95">
        <v>41.372999999999998</v>
      </c>
      <c r="E3882" s="91" t="s">
        <v>141</v>
      </c>
    </row>
    <row r="3883" spans="1:5" x14ac:dyDescent="0.25">
      <c r="A3883" s="102">
        <v>46142</v>
      </c>
      <c r="B3883" s="95">
        <v>511641.99400000001</v>
      </c>
      <c r="C3883" s="95">
        <v>4786671.9380000001</v>
      </c>
      <c r="D3883" s="95">
        <v>41.51</v>
      </c>
      <c r="E3883" s="91" t="s">
        <v>142</v>
      </c>
    </row>
    <row r="3884" spans="1:5" x14ac:dyDescent="0.25">
      <c r="A3884" s="102">
        <v>46142</v>
      </c>
      <c r="B3884" s="95">
        <v>511648.77500000002</v>
      </c>
      <c r="C3884" s="95">
        <v>4786668.2589999996</v>
      </c>
      <c r="D3884" s="95">
        <v>41.307000000000002</v>
      </c>
      <c r="E3884" s="91" t="s">
        <v>143</v>
      </c>
    </row>
    <row r="3885" spans="1:5" x14ac:dyDescent="0.25">
      <c r="A3885" s="102">
        <v>46142</v>
      </c>
      <c r="B3885" s="95">
        <v>511606.85100000002</v>
      </c>
      <c r="C3885" s="95">
        <v>4786690.2879999997</v>
      </c>
      <c r="D3885" s="95">
        <v>38.317999999999998</v>
      </c>
      <c r="E3885" s="91" t="s">
        <v>158</v>
      </c>
    </row>
    <row r="3886" spans="1:5" x14ac:dyDescent="0.25">
      <c r="A3886" s="102">
        <v>46142</v>
      </c>
      <c r="B3886" s="95">
        <v>511614.47399999999</v>
      </c>
      <c r="C3886" s="95">
        <v>4786685.9440000001</v>
      </c>
      <c r="D3886" s="95">
        <v>38.356000000000002</v>
      </c>
      <c r="E3886" s="91" t="s">
        <v>159</v>
      </c>
    </row>
    <row r="3887" spans="1:5" x14ac:dyDescent="0.25">
      <c r="A3887" s="102">
        <v>46142</v>
      </c>
      <c r="B3887" s="95">
        <v>511628.53100000002</v>
      </c>
      <c r="C3887" s="95">
        <v>4786678.92</v>
      </c>
      <c r="D3887" s="95">
        <v>38.331000000000003</v>
      </c>
      <c r="E3887" s="91" t="s">
        <v>160</v>
      </c>
    </row>
    <row r="3888" spans="1:5" x14ac:dyDescent="0.25">
      <c r="A3888" s="102">
        <v>46142</v>
      </c>
      <c r="B3888" s="95">
        <v>511641.75599999999</v>
      </c>
      <c r="C3888" s="95">
        <v>4786671.5640000002</v>
      </c>
      <c r="D3888" s="95">
        <v>38.457000000000001</v>
      </c>
      <c r="E3888" s="91" t="s">
        <v>161</v>
      </c>
    </row>
    <row r="3889" spans="1:5" x14ac:dyDescent="0.25">
      <c r="A3889" s="102">
        <v>46142</v>
      </c>
      <c r="B3889" s="95">
        <v>511648.49699999997</v>
      </c>
      <c r="C3889" s="95">
        <v>4786667.9840000002</v>
      </c>
      <c r="D3889" s="95">
        <v>38.491999999999997</v>
      </c>
      <c r="E3889" s="91" t="s">
        <v>162</v>
      </c>
    </row>
    <row r="3890" spans="1:5" x14ac:dyDescent="0.25">
      <c r="A3890" s="102">
        <v>46146</v>
      </c>
      <c r="B3890" s="95">
        <v>511615.24599999998</v>
      </c>
      <c r="C3890" s="95">
        <v>4786687.4220000003</v>
      </c>
      <c r="D3890" s="95">
        <v>48.436999999999998</v>
      </c>
      <c r="E3890" s="91" t="s">
        <v>103</v>
      </c>
    </row>
    <row r="3891" spans="1:5" x14ac:dyDescent="0.25">
      <c r="A3891" s="102">
        <v>46146</v>
      </c>
      <c r="B3891" s="95">
        <v>511615.21799999999</v>
      </c>
      <c r="C3891" s="95">
        <v>4786687.3439999996</v>
      </c>
      <c r="D3891" s="95">
        <v>45.93</v>
      </c>
      <c r="E3891" s="91" t="s">
        <v>104</v>
      </c>
    </row>
    <row r="3892" spans="1:5" x14ac:dyDescent="0.25">
      <c r="A3892" s="102">
        <v>46146</v>
      </c>
      <c r="B3892" s="95">
        <v>511615.16200000001</v>
      </c>
      <c r="C3892" s="95">
        <v>4786687.375</v>
      </c>
      <c r="D3892" s="95">
        <v>43.978000000000002</v>
      </c>
      <c r="E3892" s="91" t="s">
        <v>110</v>
      </c>
    </row>
    <row r="3893" spans="1:5" x14ac:dyDescent="0.25">
      <c r="A3893" s="102">
        <v>46146</v>
      </c>
      <c r="B3893" s="95">
        <v>511629.17599999998</v>
      </c>
      <c r="C3893" s="95">
        <v>4786680.0530000003</v>
      </c>
      <c r="D3893" s="95">
        <v>48.454999999999998</v>
      </c>
      <c r="E3893" s="91" t="s">
        <v>105</v>
      </c>
    </row>
    <row r="3894" spans="1:5" x14ac:dyDescent="0.25">
      <c r="A3894" s="102">
        <v>46146</v>
      </c>
      <c r="B3894" s="95">
        <v>511629.3</v>
      </c>
      <c r="C3894" s="95">
        <v>4786680.0159999998</v>
      </c>
      <c r="D3894" s="95">
        <v>45.938000000000002</v>
      </c>
      <c r="E3894" s="91" t="s">
        <v>106</v>
      </c>
    </row>
    <row r="3895" spans="1:5" x14ac:dyDescent="0.25">
      <c r="A3895" s="102">
        <v>46146</v>
      </c>
      <c r="B3895" s="95">
        <v>511642.27399999998</v>
      </c>
      <c r="C3895" s="95">
        <v>4786673.1140000001</v>
      </c>
      <c r="D3895" s="95">
        <v>48.435000000000002</v>
      </c>
      <c r="E3895" s="91" t="s">
        <v>107</v>
      </c>
    </row>
    <row r="3896" spans="1:5" x14ac:dyDescent="0.25">
      <c r="A3896" s="102">
        <v>46146</v>
      </c>
      <c r="B3896" s="95">
        <v>511642.26500000001</v>
      </c>
      <c r="C3896" s="95">
        <v>4786673.125</v>
      </c>
      <c r="D3896" s="95">
        <v>48.436999999999998</v>
      </c>
      <c r="E3896" s="91" t="s">
        <v>107</v>
      </c>
    </row>
    <row r="3897" spans="1:5" x14ac:dyDescent="0.25">
      <c r="A3897" s="102">
        <v>46146</v>
      </c>
      <c r="B3897" s="95">
        <v>511642.43099999998</v>
      </c>
      <c r="C3897" s="95">
        <v>4786673.0039999997</v>
      </c>
      <c r="D3897" s="95">
        <v>45.930999999999997</v>
      </c>
      <c r="E3897" s="91" t="s">
        <v>108</v>
      </c>
    </row>
    <row r="3898" spans="1:5" x14ac:dyDescent="0.25">
      <c r="A3898" s="102">
        <v>46146</v>
      </c>
      <c r="B3898" s="95">
        <v>511642.46899999998</v>
      </c>
      <c r="C3898" s="95">
        <v>4786672.8909999998</v>
      </c>
      <c r="D3898" s="95">
        <v>43.963000000000001</v>
      </c>
      <c r="E3898" s="91" t="s">
        <v>111</v>
      </c>
    </row>
    <row r="3899" spans="1:5" x14ac:dyDescent="0.25">
      <c r="A3899" s="102">
        <v>46146</v>
      </c>
      <c r="B3899" s="95">
        <v>511649.12800000003</v>
      </c>
      <c r="C3899" s="95">
        <v>4786669.3880000003</v>
      </c>
      <c r="D3899" s="95">
        <v>43.942</v>
      </c>
      <c r="E3899" s="91" t="s">
        <v>113</v>
      </c>
    </row>
    <row r="3900" spans="1:5" x14ac:dyDescent="0.25">
      <c r="A3900" s="102">
        <v>46146</v>
      </c>
      <c r="B3900" s="95">
        <v>511649.11700000003</v>
      </c>
      <c r="C3900" s="95">
        <v>4786669.398</v>
      </c>
      <c r="D3900" s="95">
        <v>43.944000000000003</v>
      </c>
      <c r="E3900" s="91" t="s">
        <v>113</v>
      </c>
    </row>
    <row r="3901" spans="1:5" x14ac:dyDescent="0.25">
      <c r="A3901" s="102">
        <v>46146</v>
      </c>
      <c r="B3901" s="95">
        <v>511673.81699999998</v>
      </c>
      <c r="C3901" s="95">
        <v>4786631.0630000001</v>
      </c>
      <c r="D3901" s="95">
        <v>40.158999999999999</v>
      </c>
      <c r="E3901" s="91" t="s">
        <v>147</v>
      </c>
    </row>
    <row r="3902" spans="1:5" x14ac:dyDescent="0.25">
      <c r="A3902" s="102">
        <v>46146</v>
      </c>
      <c r="B3902" s="95">
        <v>511573.40600000002</v>
      </c>
      <c r="C3902" s="95">
        <v>4786684.3530000001</v>
      </c>
      <c r="D3902" s="95">
        <v>43.466000000000001</v>
      </c>
      <c r="E3902" s="91" t="s">
        <v>148</v>
      </c>
    </row>
    <row r="3903" spans="1:5" x14ac:dyDescent="0.25">
      <c r="A3903" s="102">
        <v>46146</v>
      </c>
      <c r="B3903" s="95">
        <v>511575.49200000003</v>
      </c>
      <c r="C3903" s="95">
        <v>4786688.2249999996</v>
      </c>
      <c r="D3903" s="95">
        <v>43.426000000000002</v>
      </c>
      <c r="E3903" s="91" t="s">
        <v>149</v>
      </c>
    </row>
    <row r="3904" spans="1:5" x14ac:dyDescent="0.25">
      <c r="A3904" s="102">
        <v>46146</v>
      </c>
      <c r="B3904" s="95">
        <v>511577.69199999998</v>
      </c>
      <c r="C3904" s="95">
        <v>4786692.28</v>
      </c>
      <c r="D3904" s="95">
        <v>43.613999999999997</v>
      </c>
      <c r="E3904" s="91" t="s">
        <v>150</v>
      </c>
    </row>
    <row r="3905" spans="1:5" x14ac:dyDescent="0.25">
      <c r="A3905" s="102">
        <v>46146</v>
      </c>
      <c r="B3905" s="95">
        <v>511579.79399999999</v>
      </c>
      <c r="C3905" s="95">
        <v>4786696.193</v>
      </c>
      <c r="D3905" s="95">
        <v>43.685000000000002</v>
      </c>
      <c r="E3905" s="91" t="s">
        <v>151</v>
      </c>
    </row>
    <row r="3906" spans="1:5" x14ac:dyDescent="0.25">
      <c r="A3906" s="102">
        <v>46146</v>
      </c>
      <c r="B3906" s="95">
        <v>511607.18099999998</v>
      </c>
      <c r="C3906" s="95">
        <v>4786690.8360000001</v>
      </c>
      <c r="D3906" s="95">
        <v>41.311999999999998</v>
      </c>
      <c r="E3906" s="91" t="s">
        <v>139</v>
      </c>
    </row>
    <row r="3907" spans="1:5" x14ac:dyDescent="0.25">
      <c r="A3907" s="102">
        <v>46146</v>
      </c>
      <c r="B3907" s="95">
        <v>511607.16899999999</v>
      </c>
      <c r="C3907" s="95">
        <v>4786690.8439999996</v>
      </c>
      <c r="D3907" s="95">
        <v>41.313000000000002</v>
      </c>
      <c r="E3907" s="91" t="s">
        <v>139</v>
      </c>
    </row>
    <row r="3908" spans="1:5" x14ac:dyDescent="0.25">
      <c r="A3908" s="102">
        <v>46146</v>
      </c>
      <c r="B3908" s="95">
        <v>511614.98200000002</v>
      </c>
      <c r="C3908" s="95">
        <v>4786686.5999999996</v>
      </c>
      <c r="D3908" s="95">
        <v>41.44</v>
      </c>
      <c r="E3908" s="91" t="s">
        <v>140</v>
      </c>
    </row>
    <row r="3909" spans="1:5" x14ac:dyDescent="0.25">
      <c r="A3909" s="102">
        <v>46146</v>
      </c>
      <c r="B3909" s="95">
        <v>511614.97</v>
      </c>
      <c r="C3909" s="95">
        <v>4786686.6090000002</v>
      </c>
      <c r="D3909" s="95">
        <v>41.441000000000003</v>
      </c>
      <c r="E3909" s="91" t="s">
        <v>140</v>
      </c>
    </row>
    <row r="3910" spans="1:5" x14ac:dyDescent="0.25">
      <c r="A3910" s="102">
        <v>46146</v>
      </c>
      <c r="B3910" s="95">
        <v>511628.83299999998</v>
      </c>
      <c r="C3910" s="95">
        <v>4786679.1320000002</v>
      </c>
      <c r="D3910" s="95">
        <v>41.372</v>
      </c>
      <c r="E3910" s="91" t="s">
        <v>141</v>
      </c>
    </row>
    <row r="3911" spans="1:5" x14ac:dyDescent="0.25">
      <c r="A3911" s="102">
        <v>46146</v>
      </c>
      <c r="B3911" s="95">
        <v>511628.821</v>
      </c>
      <c r="C3911" s="95">
        <v>4786679.1409999998</v>
      </c>
      <c r="D3911" s="95">
        <v>41.372999999999998</v>
      </c>
      <c r="E3911" s="91" t="s">
        <v>141</v>
      </c>
    </row>
    <row r="3912" spans="1:5" x14ac:dyDescent="0.25">
      <c r="A3912" s="102">
        <v>46146</v>
      </c>
      <c r="B3912" s="95">
        <v>511642</v>
      </c>
      <c r="C3912" s="95">
        <v>4786671.9330000002</v>
      </c>
      <c r="D3912" s="95">
        <v>41.508000000000003</v>
      </c>
      <c r="E3912" s="91" t="s">
        <v>142</v>
      </c>
    </row>
    <row r="3913" spans="1:5" x14ac:dyDescent="0.25">
      <c r="A3913" s="102">
        <v>46146</v>
      </c>
      <c r="B3913" s="95">
        <v>511641.99</v>
      </c>
      <c r="C3913" s="95">
        <v>4786671.9440000001</v>
      </c>
      <c r="D3913" s="95">
        <v>41.51</v>
      </c>
      <c r="E3913" s="91" t="s">
        <v>142</v>
      </c>
    </row>
    <row r="3914" spans="1:5" x14ac:dyDescent="0.25">
      <c r="A3914" s="102">
        <v>46146</v>
      </c>
      <c r="B3914" s="95">
        <v>511648.78200000001</v>
      </c>
      <c r="C3914" s="95">
        <v>4786668.2539999997</v>
      </c>
      <c r="D3914" s="95">
        <v>41.305</v>
      </c>
      <c r="E3914" s="91" t="s">
        <v>143</v>
      </c>
    </row>
    <row r="3915" spans="1:5" x14ac:dyDescent="0.25">
      <c r="A3915" s="102">
        <v>46146</v>
      </c>
      <c r="B3915" s="95">
        <v>511648.772</v>
      </c>
      <c r="C3915" s="95">
        <v>4786668.2649999997</v>
      </c>
      <c r="D3915" s="95">
        <v>41.307000000000002</v>
      </c>
      <c r="E3915" s="91" t="s">
        <v>143</v>
      </c>
    </row>
    <row r="3916" spans="1:5" x14ac:dyDescent="0.25">
      <c r="A3916" s="102">
        <v>46146</v>
      </c>
      <c r="B3916" s="95">
        <v>511606.84600000002</v>
      </c>
      <c r="C3916" s="95">
        <v>4786690.2920000004</v>
      </c>
      <c r="D3916" s="95">
        <v>38.317999999999998</v>
      </c>
      <c r="E3916" s="91" t="s">
        <v>158</v>
      </c>
    </row>
    <row r="3917" spans="1:5" x14ac:dyDescent="0.25">
      <c r="A3917" s="102">
        <v>46146</v>
      </c>
      <c r="B3917" s="95">
        <v>511614.46899999998</v>
      </c>
      <c r="C3917" s="95">
        <v>4786685.9469999997</v>
      </c>
      <c r="D3917" s="95">
        <v>38.356000000000002</v>
      </c>
      <c r="E3917" s="91" t="s">
        <v>159</v>
      </c>
    </row>
    <row r="3918" spans="1:5" x14ac:dyDescent="0.25">
      <c r="A3918" s="102">
        <v>46146</v>
      </c>
      <c r="B3918" s="95">
        <v>511628.52600000001</v>
      </c>
      <c r="C3918" s="95">
        <v>4786678.9239999996</v>
      </c>
      <c r="D3918" s="95">
        <v>38.331000000000003</v>
      </c>
      <c r="E3918" s="91" t="s">
        <v>160</v>
      </c>
    </row>
    <row r="3919" spans="1:5" x14ac:dyDescent="0.25">
      <c r="A3919" s="102">
        <v>46146</v>
      </c>
      <c r="B3919" s="95">
        <v>511641.75300000003</v>
      </c>
      <c r="C3919" s="95">
        <v>4786671.5690000001</v>
      </c>
      <c r="D3919" s="95">
        <v>38.456000000000003</v>
      </c>
      <c r="E3919" s="91" t="s">
        <v>161</v>
      </c>
    </row>
    <row r="3920" spans="1:5" x14ac:dyDescent="0.25">
      <c r="A3920" s="102">
        <v>46146</v>
      </c>
      <c r="B3920" s="95">
        <v>511648.49400000001</v>
      </c>
      <c r="C3920" s="95">
        <v>4786667.99</v>
      </c>
      <c r="D3920" s="95">
        <v>38.491</v>
      </c>
      <c r="E3920" s="91" t="s">
        <v>162</v>
      </c>
    </row>
    <row r="3921" spans="1:5" x14ac:dyDescent="0.25">
      <c r="A3921" s="102">
        <v>46147</v>
      </c>
      <c r="B3921" s="95">
        <v>511607.68699999998</v>
      </c>
      <c r="C3921" s="95">
        <v>4786691.4139999999</v>
      </c>
      <c r="D3921" s="95">
        <v>43.941000000000003</v>
      </c>
      <c r="E3921" s="91" t="s">
        <v>112</v>
      </c>
    </row>
    <row r="3922" spans="1:5" x14ac:dyDescent="0.25">
      <c r="A3922" s="102">
        <v>46147</v>
      </c>
      <c r="B3922" s="95">
        <v>511629.40500000003</v>
      </c>
      <c r="C3922" s="95">
        <v>4786679.9019999998</v>
      </c>
      <c r="D3922" s="95">
        <v>43.942999999999998</v>
      </c>
      <c r="E3922" s="91" t="s">
        <v>109</v>
      </c>
    </row>
    <row r="3923" spans="1:5" x14ac:dyDescent="0.25">
      <c r="A3923" s="102">
        <v>46147</v>
      </c>
      <c r="B3923" s="95">
        <v>511615.23599999998</v>
      </c>
      <c r="C3923" s="95">
        <v>4786687.4270000001</v>
      </c>
      <c r="D3923" s="95">
        <v>48.436999999999998</v>
      </c>
      <c r="E3923" s="91" t="s">
        <v>103</v>
      </c>
    </row>
    <row r="3924" spans="1:5" x14ac:dyDescent="0.25">
      <c r="A3924" s="102">
        <v>46147</v>
      </c>
      <c r="B3924" s="95">
        <v>511615.20899999997</v>
      </c>
      <c r="C3924" s="95">
        <v>4786687.3499999996</v>
      </c>
      <c r="D3924" s="95">
        <v>45.93</v>
      </c>
      <c r="E3924" s="91" t="s">
        <v>104</v>
      </c>
    </row>
    <row r="3925" spans="1:5" x14ac:dyDescent="0.25">
      <c r="A3925" s="102">
        <v>46147</v>
      </c>
      <c r="B3925" s="95">
        <v>511629.16899999999</v>
      </c>
      <c r="C3925" s="95">
        <v>4786680.0609999998</v>
      </c>
      <c r="D3925" s="95">
        <v>48.456000000000003</v>
      </c>
      <c r="E3925" s="91" t="s">
        <v>105</v>
      </c>
    </row>
    <row r="3926" spans="1:5" x14ac:dyDescent="0.25">
      <c r="A3926" s="102">
        <v>46147</v>
      </c>
      <c r="B3926" s="95">
        <v>511629.29100000003</v>
      </c>
      <c r="C3926" s="95">
        <v>4786680.023</v>
      </c>
      <c r="D3926" s="95">
        <v>45.939</v>
      </c>
      <c r="E3926" s="91" t="s">
        <v>106</v>
      </c>
    </row>
    <row r="3927" spans="1:5" x14ac:dyDescent="0.25">
      <c r="A3927" s="102">
        <v>46147</v>
      </c>
      <c r="B3927" s="95">
        <v>511642.26699999999</v>
      </c>
      <c r="C3927" s="95">
        <v>4786673.1229999997</v>
      </c>
      <c r="D3927" s="95">
        <v>48.436999999999998</v>
      </c>
      <c r="E3927" s="91" t="s">
        <v>107</v>
      </c>
    </row>
    <row r="3928" spans="1:5" x14ac:dyDescent="0.25">
      <c r="A3928" s="102">
        <v>46147</v>
      </c>
      <c r="B3928" s="95">
        <v>511642.42200000002</v>
      </c>
      <c r="C3928" s="95">
        <v>4786673.0120000001</v>
      </c>
      <c r="D3928" s="95">
        <v>45.932000000000002</v>
      </c>
      <c r="E3928" s="91" t="s">
        <v>108</v>
      </c>
    </row>
    <row r="3929" spans="1:5" x14ac:dyDescent="0.25">
      <c r="A3929" s="102">
        <v>46147</v>
      </c>
      <c r="B3929" s="95">
        <v>511642.462</v>
      </c>
      <c r="C3929" s="95">
        <v>4786672.9000000004</v>
      </c>
      <c r="D3929" s="95">
        <v>43.963999999999999</v>
      </c>
      <c r="E3929" s="91" t="s">
        <v>111</v>
      </c>
    </row>
    <row r="3930" spans="1:5" x14ac:dyDescent="0.25">
      <c r="A3930" s="102">
        <v>46147</v>
      </c>
      <c r="B3930" s="95">
        <v>511649.11900000001</v>
      </c>
      <c r="C3930" s="95">
        <v>4786669.3949999996</v>
      </c>
      <c r="D3930" s="95">
        <v>43.944000000000003</v>
      </c>
      <c r="E3930" s="91" t="s">
        <v>113</v>
      </c>
    </row>
    <row r="3931" spans="1:5" x14ac:dyDescent="0.25">
      <c r="A3931" s="102">
        <v>46147</v>
      </c>
      <c r="B3931" s="95">
        <v>511673.81199999998</v>
      </c>
      <c r="C3931" s="95">
        <v>4786631.0760000004</v>
      </c>
      <c r="D3931" s="95">
        <v>40.158999999999999</v>
      </c>
      <c r="E3931" s="91" t="s">
        <v>147</v>
      </c>
    </row>
    <row r="3932" spans="1:5" x14ac:dyDescent="0.25">
      <c r="A3932" s="102">
        <v>46147</v>
      </c>
      <c r="B3932" s="95">
        <v>511573.39600000001</v>
      </c>
      <c r="C3932" s="95">
        <v>4786684.3550000004</v>
      </c>
      <c r="D3932" s="95">
        <v>43.466000000000001</v>
      </c>
      <c r="E3932" s="91" t="s">
        <v>148</v>
      </c>
    </row>
    <row r="3933" spans="1:5" x14ac:dyDescent="0.25">
      <c r="A3933" s="102">
        <v>46147</v>
      </c>
      <c r="B3933" s="95">
        <v>511575.484</v>
      </c>
      <c r="C3933" s="95">
        <v>4786688.2259999998</v>
      </c>
      <c r="D3933" s="95">
        <v>43.426000000000002</v>
      </c>
      <c r="E3933" s="91" t="s">
        <v>149</v>
      </c>
    </row>
    <row r="3934" spans="1:5" x14ac:dyDescent="0.25">
      <c r="A3934" s="102">
        <v>46147</v>
      </c>
      <c r="B3934" s="95">
        <v>511577.68199999997</v>
      </c>
      <c r="C3934" s="95">
        <v>4786692.2810000004</v>
      </c>
      <c r="D3934" s="95">
        <v>43.613999999999997</v>
      </c>
      <c r="E3934" s="91" t="s">
        <v>150</v>
      </c>
    </row>
    <row r="3935" spans="1:5" x14ac:dyDescent="0.25">
      <c r="A3935" s="102">
        <v>46147</v>
      </c>
      <c r="B3935" s="95">
        <v>511579.783</v>
      </c>
      <c r="C3935" s="95">
        <v>4786696.1969999997</v>
      </c>
      <c r="D3935" s="95">
        <v>43.686</v>
      </c>
      <c r="E3935" s="91" t="s">
        <v>151</v>
      </c>
    </row>
    <row r="3936" spans="1:5" x14ac:dyDescent="0.25">
      <c r="A3936" s="102">
        <v>46147</v>
      </c>
      <c r="B3936" s="95">
        <v>511607.17200000002</v>
      </c>
      <c r="C3936" s="95">
        <v>4786690.8420000002</v>
      </c>
      <c r="D3936" s="95">
        <v>41.313000000000002</v>
      </c>
      <c r="E3936" s="91" t="s">
        <v>139</v>
      </c>
    </row>
    <row r="3937" spans="1:5" x14ac:dyDescent="0.25">
      <c r="A3937" s="102">
        <v>46147</v>
      </c>
      <c r="B3937" s="95">
        <v>511614.973</v>
      </c>
      <c r="C3937" s="95">
        <v>4786686.6069999998</v>
      </c>
      <c r="D3937" s="95">
        <v>41.44</v>
      </c>
      <c r="E3937" s="91" t="s">
        <v>140</v>
      </c>
    </row>
    <row r="3938" spans="1:5" x14ac:dyDescent="0.25">
      <c r="A3938" s="102">
        <v>46147</v>
      </c>
      <c r="B3938" s="95">
        <v>511628.82299999997</v>
      </c>
      <c r="C3938" s="95">
        <v>4786679.1390000004</v>
      </c>
      <c r="D3938" s="95">
        <v>41.372999999999998</v>
      </c>
      <c r="E3938" s="91" t="s">
        <v>141</v>
      </c>
    </row>
    <row r="3939" spans="1:5" x14ac:dyDescent="0.25">
      <c r="A3939" s="102">
        <v>46147</v>
      </c>
      <c r="B3939" s="95">
        <v>511641.99400000001</v>
      </c>
      <c r="C3939" s="95">
        <v>4786671.9419999998</v>
      </c>
      <c r="D3939" s="95">
        <v>41.509</v>
      </c>
      <c r="E3939" s="91" t="s">
        <v>142</v>
      </c>
    </row>
    <row r="3940" spans="1:5" x14ac:dyDescent="0.25">
      <c r="A3940" s="102">
        <v>46147</v>
      </c>
      <c r="B3940" s="95">
        <v>511648.77399999998</v>
      </c>
      <c r="C3940" s="95">
        <v>4786668.2630000003</v>
      </c>
      <c r="D3940" s="95">
        <v>41.307000000000002</v>
      </c>
      <c r="E3940" s="91" t="s">
        <v>143</v>
      </c>
    </row>
    <row r="3941" spans="1:5" x14ac:dyDescent="0.25">
      <c r="A3941" s="102">
        <v>46147</v>
      </c>
      <c r="B3941" s="95">
        <v>511606.848</v>
      </c>
      <c r="C3941" s="95">
        <v>4786690.29</v>
      </c>
      <c r="D3941" s="95">
        <v>38.317</v>
      </c>
      <c r="E3941" s="91" t="s">
        <v>158</v>
      </c>
    </row>
    <row r="3942" spans="1:5" x14ac:dyDescent="0.25">
      <c r="A3942" s="102">
        <v>46147</v>
      </c>
      <c r="B3942" s="95">
        <v>511614.47100000002</v>
      </c>
      <c r="C3942" s="95">
        <v>4786685.9450000003</v>
      </c>
      <c r="D3942" s="95">
        <v>38.354999999999997</v>
      </c>
      <c r="E3942" s="91" t="s">
        <v>159</v>
      </c>
    </row>
    <row r="3943" spans="1:5" x14ac:dyDescent="0.25">
      <c r="A3943" s="102">
        <v>46147</v>
      </c>
      <c r="B3943" s="95">
        <v>511628.52799999999</v>
      </c>
      <c r="C3943" s="95">
        <v>4786678.9230000004</v>
      </c>
      <c r="D3943" s="95">
        <v>38.331000000000003</v>
      </c>
      <c r="E3943" s="91" t="s">
        <v>160</v>
      </c>
    </row>
    <row r="3944" spans="1:5" x14ac:dyDescent="0.25">
      <c r="A3944" s="102">
        <v>46147</v>
      </c>
      <c r="B3944" s="95">
        <v>511641.755</v>
      </c>
      <c r="C3944" s="95">
        <v>4786671.568</v>
      </c>
      <c r="D3944" s="95">
        <v>38.454999999999998</v>
      </c>
      <c r="E3944" s="91" t="s">
        <v>161</v>
      </c>
    </row>
    <row r="3945" spans="1:5" x14ac:dyDescent="0.25">
      <c r="A3945" s="102">
        <v>46147</v>
      </c>
      <c r="B3945" s="95">
        <v>511648.495</v>
      </c>
      <c r="C3945" s="95">
        <v>4786667.9879999999</v>
      </c>
      <c r="D3945" s="95">
        <v>38.491</v>
      </c>
      <c r="E3945" s="91" t="s">
        <v>162</v>
      </c>
    </row>
    <row r="3946" spans="1:5" x14ac:dyDescent="0.25">
      <c r="A3946" s="102">
        <v>46148</v>
      </c>
      <c r="B3946" s="96">
        <v>511607.68599999999</v>
      </c>
      <c r="C3946" s="96">
        <v>4786691.4129999997</v>
      </c>
      <c r="D3946" s="96">
        <v>43.941000000000003</v>
      </c>
      <c r="E3946" s="96" t="s">
        <v>112</v>
      </c>
    </row>
    <row r="3947" spans="1:5" x14ac:dyDescent="0.25">
      <c r="A3947" s="102">
        <v>46148</v>
      </c>
      <c r="B3947" s="96">
        <v>511629.40399999998</v>
      </c>
      <c r="C3947" s="96">
        <v>4786679.9019999998</v>
      </c>
      <c r="D3947" s="96">
        <v>43.942999999999998</v>
      </c>
      <c r="E3947" s="96" t="s">
        <v>109</v>
      </c>
    </row>
    <row r="3948" spans="1:5" x14ac:dyDescent="0.25">
      <c r="A3948" s="102">
        <v>46148</v>
      </c>
      <c r="B3948" s="96">
        <v>511615.23599999998</v>
      </c>
      <c r="C3948" s="96">
        <v>4786687.4280000003</v>
      </c>
      <c r="D3948" s="96">
        <v>48.436999999999998</v>
      </c>
      <c r="E3948" s="96" t="s">
        <v>103</v>
      </c>
    </row>
    <row r="3949" spans="1:5" x14ac:dyDescent="0.25">
      <c r="A3949" s="102">
        <v>46148</v>
      </c>
      <c r="B3949" s="96">
        <v>511615.20799999998</v>
      </c>
      <c r="C3949" s="96">
        <v>4786687.3509999998</v>
      </c>
      <c r="D3949" s="96">
        <v>45.93</v>
      </c>
      <c r="E3949" s="96" t="s">
        <v>104</v>
      </c>
    </row>
    <row r="3950" spans="1:5" x14ac:dyDescent="0.25">
      <c r="A3950" s="102">
        <v>46148</v>
      </c>
      <c r="B3950" s="96">
        <v>511615.16100000002</v>
      </c>
      <c r="C3950" s="96">
        <v>4786687.375</v>
      </c>
      <c r="D3950" s="96">
        <v>43.954999999999998</v>
      </c>
      <c r="E3950" s="96" t="s">
        <v>110</v>
      </c>
    </row>
    <row r="3951" spans="1:5" x14ac:dyDescent="0.25">
      <c r="A3951" s="102">
        <v>46148</v>
      </c>
      <c r="B3951" s="96">
        <v>511629.16600000003</v>
      </c>
      <c r="C3951" s="96">
        <v>4786680.0609999998</v>
      </c>
      <c r="D3951" s="96">
        <v>48.456000000000003</v>
      </c>
      <c r="E3951" s="96" t="s">
        <v>105</v>
      </c>
    </row>
    <row r="3952" spans="1:5" x14ac:dyDescent="0.25">
      <c r="A3952" s="102">
        <v>46148</v>
      </c>
      <c r="B3952" s="96">
        <v>511629.29</v>
      </c>
      <c r="C3952" s="96">
        <v>4786680.0240000002</v>
      </c>
      <c r="D3952" s="96">
        <v>45.938000000000002</v>
      </c>
      <c r="E3952" s="96" t="s">
        <v>106</v>
      </c>
    </row>
    <row r="3953" spans="1:5" x14ac:dyDescent="0.25">
      <c r="A3953" s="102">
        <v>46148</v>
      </c>
      <c r="B3953" s="96">
        <v>511642.26699999999</v>
      </c>
      <c r="C3953" s="96">
        <v>4786673.1239999998</v>
      </c>
      <c r="D3953" s="96">
        <v>48.436</v>
      </c>
      <c r="E3953" s="96" t="s">
        <v>107</v>
      </c>
    </row>
    <row r="3954" spans="1:5" x14ac:dyDescent="0.25">
      <c r="A3954" s="102">
        <v>46148</v>
      </c>
      <c r="B3954" s="96">
        <v>511642.42099999997</v>
      </c>
      <c r="C3954" s="96">
        <v>4786673.0130000003</v>
      </c>
      <c r="D3954" s="96">
        <v>45.932000000000002</v>
      </c>
      <c r="E3954" s="96" t="s">
        <v>108</v>
      </c>
    </row>
    <row r="3955" spans="1:5" x14ac:dyDescent="0.25">
      <c r="A3955" s="102">
        <v>46148</v>
      </c>
      <c r="B3955" s="96">
        <v>511642.46100000001</v>
      </c>
      <c r="C3955" s="96">
        <v>4786672.9000000004</v>
      </c>
      <c r="D3955" s="96">
        <v>43.963999999999999</v>
      </c>
      <c r="E3955" s="96" t="s">
        <v>111</v>
      </c>
    </row>
    <row r="3956" spans="1:5" x14ac:dyDescent="0.25">
      <c r="A3956" s="102">
        <v>46148</v>
      </c>
      <c r="B3956" s="96">
        <v>511649.11800000002</v>
      </c>
      <c r="C3956" s="96">
        <v>4786669.3969999999</v>
      </c>
      <c r="D3956" s="96">
        <v>43.942999999999998</v>
      </c>
      <c r="E3956" s="96" t="s">
        <v>113</v>
      </c>
    </row>
    <row r="3957" spans="1:5" x14ac:dyDescent="0.25">
      <c r="A3957" s="102">
        <v>46148</v>
      </c>
      <c r="B3957" s="96">
        <v>511673.81199999998</v>
      </c>
      <c r="C3957" s="96">
        <v>4786631.0750000002</v>
      </c>
      <c r="D3957" s="96">
        <v>40.158999999999999</v>
      </c>
      <c r="E3957" s="96" t="s">
        <v>147</v>
      </c>
    </row>
    <row r="3958" spans="1:5" x14ac:dyDescent="0.25">
      <c r="A3958" s="102">
        <v>46148</v>
      </c>
      <c r="B3958" s="96">
        <v>511573.39600000001</v>
      </c>
      <c r="C3958" s="96">
        <v>4786684.3550000004</v>
      </c>
      <c r="D3958" s="96">
        <v>43.466000000000001</v>
      </c>
      <c r="E3958" s="96" t="s">
        <v>148</v>
      </c>
    </row>
    <row r="3959" spans="1:5" x14ac:dyDescent="0.25">
      <c r="A3959" s="102">
        <v>46148</v>
      </c>
      <c r="B3959" s="96">
        <v>511575.48300000001</v>
      </c>
      <c r="C3959" s="96">
        <v>4786688.2280000001</v>
      </c>
      <c r="D3959" s="96">
        <v>43.424999999999997</v>
      </c>
      <c r="E3959" s="96" t="s">
        <v>149</v>
      </c>
    </row>
    <row r="3960" spans="1:5" x14ac:dyDescent="0.25">
      <c r="A3960" s="102">
        <v>46148</v>
      </c>
      <c r="B3960" s="96">
        <v>511577.68300000002</v>
      </c>
      <c r="C3960" s="96">
        <v>4786692.2810000004</v>
      </c>
      <c r="D3960" s="96">
        <v>43.613999999999997</v>
      </c>
      <c r="E3960" s="96" t="s">
        <v>150</v>
      </c>
    </row>
    <row r="3961" spans="1:5" x14ac:dyDescent="0.25">
      <c r="A3961" s="102">
        <v>46148</v>
      </c>
      <c r="B3961" s="96">
        <v>511579.783</v>
      </c>
      <c r="C3961" s="96">
        <v>4786696.1969999997</v>
      </c>
      <c r="D3961" s="96">
        <v>43.686</v>
      </c>
      <c r="E3961" s="96" t="s">
        <v>151</v>
      </c>
    </row>
    <row r="3962" spans="1:5" x14ac:dyDescent="0.25">
      <c r="A3962" s="102">
        <v>46148</v>
      </c>
      <c r="B3962" s="96">
        <v>511607.17099999997</v>
      </c>
      <c r="C3962" s="96">
        <v>4786690.841</v>
      </c>
      <c r="D3962" s="96">
        <v>41.313000000000002</v>
      </c>
      <c r="E3962" s="96" t="s">
        <v>139</v>
      </c>
    </row>
    <row r="3963" spans="1:5" x14ac:dyDescent="0.25">
      <c r="A3963" s="102">
        <v>46148</v>
      </c>
      <c r="B3963" s="96">
        <v>511614.97100000002</v>
      </c>
      <c r="C3963" s="96">
        <v>4786686.6069999998</v>
      </c>
      <c r="D3963" s="96">
        <v>41.44</v>
      </c>
      <c r="E3963" s="96" t="s">
        <v>140</v>
      </c>
    </row>
    <row r="3964" spans="1:5" x14ac:dyDescent="0.25">
      <c r="A3964" s="102">
        <v>46148</v>
      </c>
      <c r="B3964" s="96">
        <v>511628.82199999999</v>
      </c>
      <c r="C3964" s="96">
        <v>4786679.1390000004</v>
      </c>
      <c r="D3964" s="96">
        <v>41.372999999999998</v>
      </c>
      <c r="E3964" s="96" t="s">
        <v>141</v>
      </c>
    </row>
    <row r="3965" spans="1:5" x14ac:dyDescent="0.25">
      <c r="A3965" s="102">
        <v>46148</v>
      </c>
      <c r="B3965" s="96">
        <v>511641.99300000002</v>
      </c>
      <c r="C3965" s="96">
        <v>4786671.943</v>
      </c>
      <c r="D3965" s="96">
        <v>41.508000000000003</v>
      </c>
      <c r="E3965" s="96" t="s">
        <v>142</v>
      </c>
    </row>
    <row r="3966" spans="1:5" x14ac:dyDescent="0.25">
      <c r="A3966" s="102">
        <v>46148</v>
      </c>
      <c r="B3966" s="96">
        <v>511648.77299999999</v>
      </c>
      <c r="C3966" s="96">
        <v>4786668.2640000004</v>
      </c>
      <c r="D3966" s="96">
        <v>41.305999999999997</v>
      </c>
      <c r="E3966" s="96" t="s">
        <v>143</v>
      </c>
    </row>
    <row r="3967" spans="1:5" x14ac:dyDescent="0.25">
      <c r="A3967" s="102">
        <v>46148</v>
      </c>
      <c r="B3967" s="96">
        <v>511606.84700000001</v>
      </c>
      <c r="C3967" s="96">
        <v>4786690.2889999999</v>
      </c>
      <c r="D3967" s="96">
        <v>38.317</v>
      </c>
      <c r="E3967" s="96" t="s">
        <v>158</v>
      </c>
    </row>
    <row r="3968" spans="1:5" x14ac:dyDescent="0.25">
      <c r="A3968" s="102">
        <v>46148</v>
      </c>
      <c r="B3968" s="96">
        <v>511614.47</v>
      </c>
      <c r="C3968" s="96">
        <v>4786685.9440000001</v>
      </c>
      <c r="D3968" s="96">
        <v>38.354999999999997</v>
      </c>
      <c r="E3968" s="96" t="s">
        <v>159</v>
      </c>
    </row>
    <row r="3969" spans="1:5" x14ac:dyDescent="0.25">
      <c r="A3969" s="102">
        <v>46148</v>
      </c>
      <c r="B3969" s="96">
        <v>511628.527</v>
      </c>
      <c r="C3969" s="96">
        <v>4786678.9220000003</v>
      </c>
      <c r="D3969" s="96">
        <v>38.331000000000003</v>
      </c>
      <c r="E3969" s="96" t="s">
        <v>160</v>
      </c>
    </row>
    <row r="3970" spans="1:5" x14ac:dyDescent="0.25">
      <c r="A3970" s="102">
        <v>46148</v>
      </c>
      <c r="B3970" s="96">
        <v>511641.75300000003</v>
      </c>
      <c r="C3970" s="96">
        <v>4786671.568</v>
      </c>
      <c r="D3970" s="96">
        <v>38.456000000000003</v>
      </c>
      <c r="E3970" s="96" t="s">
        <v>161</v>
      </c>
    </row>
    <row r="3971" spans="1:5" x14ac:dyDescent="0.25">
      <c r="A3971" s="102">
        <v>46148</v>
      </c>
      <c r="B3971" s="96">
        <v>511648.49400000001</v>
      </c>
      <c r="C3971" s="96">
        <v>4786667.9879999999</v>
      </c>
      <c r="D3971" s="96">
        <v>38.491</v>
      </c>
      <c r="E3971" s="96" t="s">
        <v>162</v>
      </c>
    </row>
    <row r="3972" spans="1:5" x14ac:dyDescent="0.25">
      <c r="A3972" s="102">
        <v>46149</v>
      </c>
      <c r="B3972" s="95">
        <v>511607.68800000002</v>
      </c>
      <c r="C3972" s="95">
        <v>4786691.4129999997</v>
      </c>
      <c r="D3972" s="95">
        <v>43.941000000000003</v>
      </c>
      <c r="E3972" s="91" t="s">
        <v>112</v>
      </c>
    </row>
    <row r="3973" spans="1:5" x14ac:dyDescent="0.25">
      <c r="A3973" s="102">
        <v>46149</v>
      </c>
      <c r="B3973" s="95">
        <v>511629.40600000002</v>
      </c>
      <c r="C3973" s="95">
        <v>4786679.9019999998</v>
      </c>
      <c r="D3973" s="95">
        <v>43.944000000000003</v>
      </c>
      <c r="E3973" s="91" t="s">
        <v>109</v>
      </c>
    </row>
    <row r="3974" spans="1:5" x14ac:dyDescent="0.25">
      <c r="A3974" s="102">
        <v>46149</v>
      </c>
      <c r="B3974" s="95">
        <v>511615.23700000002</v>
      </c>
      <c r="C3974" s="95">
        <v>4786687.4270000001</v>
      </c>
      <c r="D3974" s="95">
        <v>48.438000000000002</v>
      </c>
      <c r="E3974" s="91" t="s">
        <v>103</v>
      </c>
    </row>
    <row r="3975" spans="1:5" x14ac:dyDescent="0.25">
      <c r="A3975" s="102">
        <v>46149</v>
      </c>
      <c r="B3975" s="95">
        <v>511615.20899999997</v>
      </c>
      <c r="C3975" s="95">
        <v>4786687.3490000004</v>
      </c>
      <c r="D3975" s="95">
        <v>45.930999999999997</v>
      </c>
      <c r="E3975" s="91" t="s">
        <v>104</v>
      </c>
    </row>
    <row r="3976" spans="1:5" x14ac:dyDescent="0.25">
      <c r="A3976" s="102">
        <v>46149</v>
      </c>
      <c r="B3976" s="95">
        <v>511615.163</v>
      </c>
      <c r="C3976" s="95">
        <v>4786687.3729999997</v>
      </c>
      <c r="D3976" s="95">
        <v>43.956000000000003</v>
      </c>
      <c r="E3976" s="91" t="s">
        <v>110</v>
      </c>
    </row>
    <row r="3977" spans="1:5" x14ac:dyDescent="0.25">
      <c r="A3977" s="102">
        <v>46149</v>
      </c>
      <c r="B3977" s="95">
        <v>511629.16700000002</v>
      </c>
      <c r="C3977" s="95">
        <v>4786680.0590000004</v>
      </c>
      <c r="D3977" s="95">
        <v>48.456000000000003</v>
      </c>
      <c r="E3977" s="91" t="s">
        <v>105</v>
      </c>
    </row>
    <row r="3978" spans="1:5" x14ac:dyDescent="0.25">
      <c r="A3978" s="102">
        <v>46149</v>
      </c>
      <c r="B3978" s="95">
        <v>511629.29200000002</v>
      </c>
      <c r="C3978" s="95">
        <v>4786680.023</v>
      </c>
      <c r="D3978" s="95">
        <v>45.939</v>
      </c>
      <c r="E3978" s="91" t="s">
        <v>106</v>
      </c>
    </row>
    <row r="3979" spans="1:5" x14ac:dyDescent="0.25">
      <c r="A3979" s="102">
        <v>46149</v>
      </c>
      <c r="B3979" s="95">
        <v>511642.26799999998</v>
      </c>
      <c r="C3979" s="95">
        <v>4786673.1229999997</v>
      </c>
      <c r="D3979" s="95">
        <v>48.436999999999998</v>
      </c>
      <c r="E3979" s="91" t="s">
        <v>107</v>
      </c>
    </row>
    <row r="3980" spans="1:5" x14ac:dyDescent="0.25">
      <c r="A3980" s="102">
        <v>46149</v>
      </c>
      <c r="B3980" s="95">
        <v>511642.42200000002</v>
      </c>
      <c r="C3980" s="95">
        <v>4786673.0120000001</v>
      </c>
      <c r="D3980" s="95">
        <v>45.932000000000002</v>
      </c>
      <c r="E3980" s="91" t="s">
        <v>108</v>
      </c>
    </row>
    <row r="3981" spans="1:5" x14ac:dyDescent="0.25">
      <c r="A3981" s="102">
        <v>46149</v>
      </c>
      <c r="B3981" s="95">
        <v>511642.46299999999</v>
      </c>
      <c r="C3981" s="95">
        <v>4786672.8990000002</v>
      </c>
      <c r="D3981" s="95">
        <v>43.963999999999999</v>
      </c>
      <c r="E3981" s="91" t="s">
        <v>111</v>
      </c>
    </row>
    <row r="3982" spans="1:5" x14ac:dyDescent="0.25">
      <c r="A3982" s="102">
        <v>46149</v>
      </c>
      <c r="B3982" s="95">
        <v>511649.11900000001</v>
      </c>
      <c r="C3982" s="95">
        <v>4786669.3959999997</v>
      </c>
      <c r="D3982" s="95">
        <v>43.944000000000003</v>
      </c>
      <c r="E3982" s="91" t="s">
        <v>113</v>
      </c>
    </row>
    <row r="3983" spans="1:5" x14ac:dyDescent="0.25">
      <c r="A3983" s="102">
        <v>46149</v>
      </c>
      <c r="B3983" s="95">
        <v>511673.81300000002</v>
      </c>
      <c r="C3983" s="95">
        <v>4786631.0750000002</v>
      </c>
      <c r="D3983" s="95">
        <v>40.159999999999997</v>
      </c>
      <c r="E3983" s="91" t="s">
        <v>147</v>
      </c>
    </row>
    <row r="3984" spans="1:5" x14ac:dyDescent="0.25">
      <c r="A3984" s="102">
        <v>46149</v>
      </c>
      <c r="B3984" s="95">
        <v>511573.397</v>
      </c>
      <c r="C3984" s="95">
        <v>4786684.3559999997</v>
      </c>
      <c r="D3984" s="95">
        <v>43.466000000000001</v>
      </c>
      <c r="E3984" s="91" t="s">
        <v>148</v>
      </c>
    </row>
    <row r="3985" spans="1:5" x14ac:dyDescent="0.25">
      <c r="A3985" s="102">
        <v>46149</v>
      </c>
      <c r="B3985" s="95">
        <v>511575.48499999999</v>
      </c>
      <c r="C3985" s="95">
        <v>4786688.2259999998</v>
      </c>
      <c r="D3985" s="95">
        <v>43.426000000000002</v>
      </c>
      <c r="E3985" s="91" t="s">
        <v>149</v>
      </c>
    </row>
    <row r="3986" spans="1:5" x14ac:dyDescent="0.25">
      <c r="A3986" s="102">
        <v>46149</v>
      </c>
      <c r="B3986" s="95">
        <v>511577.68300000002</v>
      </c>
      <c r="C3986" s="95">
        <v>4786692.2810000004</v>
      </c>
      <c r="D3986" s="95">
        <v>43.613999999999997</v>
      </c>
      <c r="E3986" s="91" t="s">
        <v>150</v>
      </c>
    </row>
    <row r="3987" spans="1:5" x14ac:dyDescent="0.25">
      <c r="A3987" s="102">
        <v>46149</v>
      </c>
      <c r="B3987" s="95">
        <v>511579.78399999999</v>
      </c>
      <c r="C3987" s="95">
        <v>4786696.1969999997</v>
      </c>
      <c r="D3987" s="95">
        <v>43.686</v>
      </c>
      <c r="E3987" s="91" t="s">
        <v>151</v>
      </c>
    </row>
    <row r="3988" spans="1:5" x14ac:dyDescent="0.25">
      <c r="A3988" s="102">
        <v>46149</v>
      </c>
      <c r="B3988" s="95">
        <v>511607.17200000002</v>
      </c>
      <c r="C3988" s="95">
        <v>4786690.84</v>
      </c>
      <c r="D3988" s="95">
        <v>41.313000000000002</v>
      </c>
      <c r="E3988" s="91" t="s">
        <v>139</v>
      </c>
    </row>
    <row r="3989" spans="1:5" x14ac:dyDescent="0.25">
      <c r="A3989" s="102">
        <v>46149</v>
      </c>
      <c r="B3989" s="95">
        <v>511614.97399999999</v>
      </c>
      <c r="C3989" s="95">
        <v>4786686.6069999998</v>
      </c>
      <c r="D3989" s="95">
        <v>41.44</v>
      </c>
      <c r="E3989" s="91" t="s">
        <v>140</v>
      </c>
    </row>
    <row r="3990" spans="1:5" x14ac:dyDescent="0.25">
      <c r="A3990" s="102">
        <v>46149</v>
      </c>
      <c r="B3990" s="95">
        <v>511628.82400000002</v>
      </c>
      <c r="C3990" s="95">
        <v>4786679.1390000004</v>
      </c>
      <c r="D3990" s="95">
        <v>41.372999999999998</v>
      </c>
      <c r="E3990" s="91" t="s">
        <v>141</v>
      </c>
    </row>
    <row r="3991" spans="1:5" x14ac:dyDescent="0.25">
      <c r="A3991" s="102">
        <v>46149</v>
      </c>
      <c r="B3991" s="95">
        <v>511641.99400000001</v>
      </c>
      <c r="C3991" s="95">
        <v>4786671.9419999998</v>
      </c>
      <c r="D3991" s="95">
        <v>41.509</v>
      </c>
      <c r="E3991" s="91" t="s">
        <v>142</v>
      </c>
    </row>
    <row r="3992" spans="1:5" x14ac:dyDescent="0.25">
      <c r="A3992" s="102">
        <v>46149</v>
      </c>
      <c r="B3992" s="95">
        <v>511648.77500000002</v>
      </c>
      <c r="C3992" s="95">
        <v>4786668.2630000003</v>
      </c>
      <c r="D3992" s="95">
        <v>41.307000000000002</v>
      </c>
      <c r="E3992" s="91" t="s">
        <v>143</v>
      </c>
    </row>
    <row r="3993" spans="1:5" x14ac:dyDescent="0.25">
      <c r="A3993" s="102">
        <v>46149</v>
      </c>
      <c r="B3993" s="95">
        <v>511606.84899999999</v>
      </c>
      <c r="C3993" s="95">
        <v>4786690.29</v>
      </c>
      <c r="D3993" s="95">
        <v>38.317</v>
      </c>
      <c r="E3993" s="91" t="s">
        <v>158</v>
      </c>
    </row>
    <row r="3994" spans="1:5" x14ac:dyDescent="0.25">
      <c r="A3994" s="102">
        <v>46149</v>
      </c>
      <c r="B3994" s="95">
        <v>511614.47100000002</v>
      </c>
      <c r="C3994" s="95">
        <v>4786685.943</v>
      </c>
      <c r="D3994" s="95">
        <v>38.356000000000002</v>
      </c>
      <c r="E3994" s="91" t="s">
        <v>159</v>
      </c>
    </row>
    <row r="3995" spans="1:5" x14ac:dyDescent="0.25">
      <c r="A3995" s="102">
        <v>46149</v>
      </c>
      <c r="B3995" s="95">
        <v>511628.52899999998</v>
      </c>
      <c r="C3995" s="95">
        <v>4786678.9220000003</v>
      </c>
      <c r="D3995" s="95">
        <v>38.331000000000003</v>
      </c>
      <c r="E3995" s="91" t="s">
        <v>160</v>
      </c>
    </row>
    <row r="3996" spans="1:5" x14ac:dyDescent="0.25">
      <c r="A3996" s="102">
        <v>46149</v>
      </c>
      <c r="B3996" s="95">
        <v>511641.75599999999</v>
      </c>
      <c r="C3996" s="95">
        <v>4786671.5669999998</v>
      </c>
      <c r="D3996" s="95">
        <v>38.456000000000003</v>
      </c>
      <c r="E3996" s="91" t="s">
        <v>161</v>
      </c>
    </row>
    <row r="3997" spans="1:5" x14ac:dyDescent="0.25">
      <c r="A3997" s="102">
        <v>46149</v>
      </c>
      <c r="B3997" s="95">
        <v>511648.49599999998</v>
      </c>
      <c r="C3997" s="95">
        <v>4786667.9879999999</v>
      </c>
      <c r="D3997" s="95">
        <v>38.491</v>
      </c>
      <c r="E3997" s="91" t="s">
        <v>162</v>
      </c>
    </row>
    <row r="3998" spans="1:5" x14ac:dyDescent="0.25">
      <c r="A3998" s="102">
        <v>46150</v>
      </c>
      <c r="B3998" s="95">
        <v>511607.68599999999</v>
      </c>
      <c r="C3998" s="95">
        <v>4786691.4119999995</v>
      </c>
      <c r="D3998" s="95">
        <v>43.941000000000003</v>
      </c>
      <c r="E3998" s="91" t="s">
        <v>112</v>
      </c>
    </row>
    <row r="3999" spans="1:5" x14ac:dyDescent="0.25">
      <c r="A3999" s="102">
        <v>46150</v>
      </c>
      <c r="B3999" s="95">
        <v>511629.40500000003</v>
      </c>
      <c r="C3999" s="95">
        <v>4786679.9009999996</v>
      </c>
      <c r="D3999" s="95">
        <v>43.942999999999998</v>
      </c>
      <c r="E3999" s="91" t="s">
        <v>109</v>
      </c>
    </row>
    <row r="4000" spans="1:5" x14ac:dyDescent="0.25">
      <c r="A4000" s="102">
        <v>46150</v>
      </c>
      <c r="B4000" s="95">
        <v>511615.23599999998</v>
      </c>
      <c r="C4000" s="95">
        <v>4786687.426</v>
      </c>
      <c r="D4000" s="95">
        <v>48.438000000000002</v>
      </c>
      <c r="E4000" s="91" t="s">
        <v>103</v>
      </c>
    </row>
    <row r="4001" spans="1:5" x14ac:dyDescent="0.25">
      <c r="A4001" s="102">
        <v>46150</v>
      </c>
      <c r="B4001" s="95">
        <v>511615.20799999998</v>
      </c>
      <c r="C4001" s="95">
        <v>4786687.3490000004</v>
      </c>
      <c r="D4001" s="95">
        <v>45.93</v>
      </c>
      <c r="E4001" s="91" t="s">
        <v>104</v>
      </c>
    </row>
    <row r="4002" spans="1:5" x14ac:dyDescent="0.25">
      <c r="A4002" s="102">
        <v>46150</v>
      </c>
      <c r="B4002" s="95">
        <v>511615.16200000001</v>
      </c>
      <c r="C4002" s="95">
        <v>4786687.3729999997</v>
      </c>
      <c r="D4002" s="95">
        <v>43.956000000000003</v>
      </c>
      <c r="E4002" s="91" t="s">
        <v>110</v>
      </c>
    </row>
    <row r="4003" spans="1:5" x14ac:dyDescent="0.25">
      <c r="A4003" s="102">
        <v>46150</v>
      </c>
      <c r="B4003" s="95">
        <v>511629.16800000001</v>
      </c>
      <c r="C4003" s="95">
        <v>4786680.0599999996</v>
      </c>
      <c r="D4003" s="95">
        <v>48.456000000000003</v>
      </c>
      <c r="E4003" s="91" t="s">
        <v>105</v>
      </c>
    </row>
    <row r="4004" spans="1:5" x14ac:dyDescent="0.25">
      <c r="A4004" s="102">
        <v>46150</v>
      </c>
      <c r="B4004" s="95">
        <v>511629.29100000003</v>
      </c>
      <c r="C4004" s="95">
        <v>4786680.023</v>
      </c>
      <c r="D4004" s="95">
        <v>45.939</v>
      </c>
      <c r="E4004" s="91" t="s">
        <v>106</v>
      </c>
    </row>
    <row r="4005" spans="1:5" x14ac:dyDescent="0.25">
      <c r="A4005" s="102">
        <v>46150</v>
      </c>
      <c r="B4005" s="95">
        <v>511642.26899999997</v>
      </c>
      <c r="C4005" s="95">
        <v>4786673.1229999997</v>
      </c>
      <c r="D4005" s="95">
        <v>48.436999999999998</v>
      </c>
      <c r="E4005" s="91" t="s">
        <v>107</v>
      </c>
    </row>
    <row r="4006" spans="1:5" x14ac:dyDescent="0.25">
      <c r="A4006" s="102">
        <v>46150</v>
      </c>
      <c r="B4006" s="95">
        <v>511642.42099999997</v>
      </c>
      <c r="C4006" s="95">
        <v>4786673.0120000001</v>
      </c>
      <c r="D4006" s="95">
        <v>45.933</v>
      </c>
      <c r="E4006" s="91" t="s">
        <v>108</v>
      </c>
    </row>
    <row r="4007" spans="1:5" x14ac:dyDescent="0.25">
      <c r="A4007" s="102">
        <v>46150</v>
      </c>
      <c r="B4007" s="95">
        <v>511642.46100000001</v>
      </c>
      <c r="C4007" s="95">
        <v>4786672.9000000004</v>
      </c>
      <c r="D4007" s="95">
        <v>43.963999999999999</v>
      </c>
      <c r="E4007" s="91" t="s">
        <v>111</v>
      </c>
    </row>
    <row r="4008" spans="1:5" x14ac:dyDescent="0.25">
      <c r="A4008" s="102">
        <v>46150</v>
      </c>
      <c r="B4008" s="95">
        <v>511649.11900000001</v>
      </c>
      <c r="C4008" s="95">
        <v>4786669.3959999997</v>
      </c>
      <c r="D4008" s="95">
        <v>43.944000000000003</v>
      </c>
      <c r="E4008" s="91" t="s">
        <v>113</v>
      </c>
    </row>
    <row r="4009" spans="1:5" x14ac:dyDescent="0.25">
      <c r="A4009" s="102">
        <v>46150</v>
      </c>
      <c r="B4009" s="95">
        <v>511673.81400000001</v>
      </c>
      <c r="C4009" s="95">
        <v>4786631.0750000002</v>
      </c>
      <c r="D4009" s="95">
        <v>40.161000000000001</v>
      </c>
      <c r="E4009" s="91" t="s">
        <v>147</v>
      </c>
    </row>
    <row r="4010" spans="1:5" x14ac:dyDescent="0.25">
      <c r="A4010" s="102">
        <v>46150</v>
      </c>
      <c r="B4010" s="95">
        <v>511573.397</v>
      </c>
      <c r="C4010" s="95">
        <v>4786684.3550000004</v>
      </c>
      <c r="D4010" s="95">
        <v>43.466999999999999</v>
      </c>
      <c r="E4010" s="91" t="s">
        <v>148</v>
      </c>
    </row>
    <row r="4011" spans="1:5" x14ac:dyDescent="0.25">
      <c r="A4011" s="102">
        <v>46150</v>
      </c>
      <c r="B4011" s="95">
        <v>511575.48300000001</v>
      </c>
      <c r="C4011" s="95">
        <v>4786688.227</v>
      </c>
      <c r="D4011" s="95">
        <v>43.427</v>
      </c>
      <c r="E4011" s="91" t="s">
        <v>149</v>
      </c>
    </row>
    <row r="4012" spans="1:5" x14ac:dyDescent="0.25">
      <c r="A4012" s="102">
        <v>46150</v>
      </c>
      <c r="B4012" s="95">
        <v>511577.68199999997</v>
      </c>
      <c r="C4012" s="95">
        <v>4786692.2810000004</v>
      </c>
      <c r="D4012" s="95">
        <v>43.615000000000002</v>
      </c>
      <c r="E4012" s="91" t="s">
        <v>150</v>
      </c>
    </row>
    <row r="4013" spans="1:5" x14ac:dyDescent="0.25">
      <c r="A4013" s="102">
        <v>46150</v>
      </c>
      <c r="B4013" s="95">
        <v>511579.783</v>
      </c>
      <c r="C4013" s="95">
        <v>4786696.1969999997</v>
      </c>
      <c r="D4013" s="95">
        <v>43.686</v>
      </c>
      <c r="E4013" s="91" t="s">
        <v>151</v>
      </c>
    </row>
    <row r="4014" spans="1:5" x14ac:dyDescent="0.25">
      <c r="A4014" s="102">
        <v>46150</v>
      </c>
      <c r="B4014" s="95">
        <v>511607.17099999997</v>
      </c>
      <c r="C4014" s="95">
        <v>4786690.8389999997</v>
      </c>
      <c r="D4014" s="95">
        <v>41.313000000000002</v>
      </c>
      <c r="E4014" s="91" t="s">
        <v>139</v>
      </c>
    </row>
    <row r="4015" spans="1:5" x14ac:dyDescent="0.25">
      <c r="A4015" s="102">
        <v>46150</v>
      </c>
      <c r="B4015" s="95">
        <v>511614.97200000001</v>
      </c>
      <c r="C4015" s="95">
        <v>4786686.6059999997</v>
      </c>
      <c r="D4015" s="95">
        <v>41.44</v>
      </c>
      <c r="E4015" s="91" t="s">
        <v>140</v>
      </c>
    </row>
    <row r="4016" spans="1:5" x14ac:dyDescent="0.25">
      <c r="A4016" s="102">
        <v>46150</v>
      </c>
      <c r="B4016" s="95">
        <v>511628.82299999997</v>
      </c>
      <c r="C4016" s="95">
        <v>4786679.1390000004</v>
      </c>
      <c r="D4016" s="95">
        <v>41.372999999999998</v>
      </c>
      <c r="E4016" s="91" t="s">
        <v>141</v>
      </c>
    </row>
    <row r="4017" spans="1:5" x14ac:dyDescent="0.25">
      <c r="A4017" s="102">
        <v>46150</v>
      </c>
      <c r="B4017" s="95">
        <v>511641.99099999998</v>
      </c>
      <c r="C4017" s="95">
        <v>4786671.9409999996</v>
      </c>
      <c r="D4017" s="95">
        <v>41.51</v>
      </c>
      <c r="E4017" s="91" t="s">
        <v>142</v>
      </c>
    </row>
    <row r="4018" spans="1:5" x14ac:dyDescent="0.25">
      <c r="A4018" s="102">
        <v>46150</v>
      </c>
      <c r="B4018" s="95">
        <v>511648.77299999999</v>
      </c>
      <c r="C4018" s="95">
        <v>4786668.2630000003</v>
      </c>
      <c r="D4018" s="95">
        <v>41.307000000000002</v>
      </c>
      <c r="E4018" s="91" t="s">
        <v>143</v>
      </c>
    </row>
    <row r="4019" spans="1:5" x14ac:dyDescent="0.25">
      <c r="A4019" s="102">
        <v>46150</v>
      </c>
      <c r="B4019" s="95">
        <v>511606.84700000001</v>
      </c>
      <c r="C4019" s="95">
        <v>4786690.2869999995</v>
      </c>
      <c r="D4019" s="95">
        <v>38.317999999999998</v>
      </c>
      <c r="E4019" s="91" t="s">
        <v>158</v>
      </c>
    </row>
    <row r="4020" spans="1:5" x14ac:dyDescent="0.25">
      <c r="A4020" s="102">
        <v>46150</v>
      </c>
      <c r="B4020" s="95">
        <v>511614.47</v>
      </c>
      <c r="C4020" s="95">
        <v>4786685.943</v>
      </c>
      <c r="D4020" s="95">
        <v>38.354999999999997</v>
      </c>
      <c r="E4020" s="91" t="s">
        <v>159</v>
      </c>
    </row>
    <row r="4021" spans="1:5" x14ac:dyDescent="0.25">
      <c r="A4021" s="102">
        <v>46150</v>
      </c>
      <c r="B4021" s="95">
        <v>511628.52799999999</v>
      </c>
      <c r="C4021" s="95">
        <v>4786678.9220000003</v>
      </c>
      <c r="D4021" s="95">
        <v>38.331000000000003</v>
      </c>
      <c r="E4021" s="91" t="s">
        <v>160</v>
      </c>
    </row>
    <row r="4022" spans="1:5" x14ac:dyDescent="0.25">
      <c r="A4022" s="102">
        <v>46150</v>
      </c>
      <c r="B4022" s="95">
        <v>511641.75400000002</v>
      </c>
      <c r="C4022" s="95">
        <v>4786671.5669999998</v>
      </c>
      <c r="D4022" s="95">
        <v>38.457000000000001</v>
      </c>
      <c r="E4022" s="91" t="s">
        <v>161</v>
      </c>
    </row>
    <row r="4023" spans="1:5" x14ac:dyDescent="0.25">
      <c r="A4023" s="102">
        <v>46150</v>
      </c>
      <c r="B4023" s="95">
        <v>511648.49599999998</v>
      </c>
      <c r="C4023" s="95">
        <v>4786667.9879999999</v>
      </c>
      <c r="D4023" s="95">
        <v>38.491</v>
      </c>
      <c r="E4023" s="91" t="s">
        <v>162</v>
      </c>
    </row>
    <row r="4024" spans="1:5" x14ac:dyDescent="0.25">
      <c r="A4024" s="102">
        <v>46153</v>
      </c>
      <c r="B4024" s="95">
        <v>511607.69199999998</v>
      </c>
      <c r="C4024" s="95">
        <v>4786691.41</v>
      </c>
      <c r="D4024" s="95">
        <v>43.941000000000003</v>
      </c>
      <c r="E4024" s="91" t="s">
        <v>112</v>
      </c>
    </row>
    <row r="4025" spans="1:5" x14ac:dyDescent="0.25">
      <c r="A4025" s="102">
        <v>46153</v>
      </c>
      <c r="B4025" s="95">
        <v>511629.41</v>
      </c>
      <c r="C4025" s="95">
        <v>4786679.8990000002</v>
      </c>
      <c r="D4025" s="95">
        <v>43.942999999999998</v>
      </c>
      <c r="E4025" s="91" t="s">
        <v>109</v>
      </c>
    </row>
    <row r="4026" spans="1:5" x14ac:dyDescent="0.25">
      <c r="A4026" s="102">
        <v>46153</v>
      </c>
      <c r="B4026" s="95">
        <v>511615.24200000003</v>
      </c>
      <c r="C4026" s="95">
        <v>4786687.4239999996</v>
      </c>
      <c r="D4026" s="95">
        <v>48.436999999999998</v>
      </c>
      <c r="E4026" s="91" t="s">
        <v>103</v>
      </c>
    </row>
    <row r="4027" spans="1:5" x14ac:dyDescent="0.25">
      <c r="A4027" s="102">
        <v>46153</v>
      </c>
      <c r="B4027" s="95">
        <v>511615.21399999998</v>
      </c>
      <c r="C4027" s="95">
        <v>4786687.3480000002</v>
      </c>
      <c r="D4027" s="95">
        <v>45.93</v>
      </c>
      <c r="E4027" s="91" t="s">
        <v>104</v>
      </c>
    </row>
    <row r="4028" spans="1:5" x14ac:dyDescent="0.25">
      <c r="A4028" s="102">
        <v>46153</v>
      </c>
      <c r="B4028" s="95">
        <v>511615.16700000002</v>
      </c>
      <c r="C4028" s="95">
        <v>4786687.3710000003</v>
      </c>
      <c r="D4028" s="95">
        <v>43.956000000000003</v>
      </c>
      <c r="E4028" s="91" t="s">
        <v>110</v>
      </c>
    </row>
    <row r="4029" spans="1:5" x14ac:dyDescent="0.25">
      <c r="A4029" s="102">
        <v>46153</v>
      </c>
      <c r="B4029" s="95">
        <v>511629.17300000001</v>
      </c>
      <c r="C4029" s="95">
        <v>4786680.057</v>
      </c>
      <c r="D4029" s="95">
        <v>48.456000000000003</v>
      </c>
      <c r="E4029" s="91" t="s">
        <v>105</v>
      </c>
    </row>
    <row r="4030" spans="1:5" x14ac:dyDescent="0.25">
      <c r="A4030" s="102">
        <v>46153</v>
      </c>
      <c r="B4030" s="95">
        <v>511629.29599999997</v>
      </c>
      <c r="C4030" s="95">
        <v>4786680.0199999996</v>
      </c>
      <c r="D4030" s="95">
        <v>45.939</v>
      </c>
      <c r="E4030" s="91" t="s">
        <v>106</v>
      </c>
    </row>
    <row r="4031" spans="1:5" x14ac:dyDescent="0.25">
      <c r="A4031" s="102">
        <v>46153</v>
      </c>
      <c r="B4031" s="95">
        <v>511642.27100000001</v>
      </c>
      <c r="C4031" s="95">
        <v>4786673.1189999999</v>
      </c>
      <c r="D4031" s="95">
        <v>48.436999999999998</v>
      </c>
      <c r="E4031" s="91" t="s">
        <v>107</v>
      </c>
    </row>
    <row r="4032" spans="1:5" x14ac:dyDescent="0.25">
      <c r="A4032" s="102">
        <v>46153</v>
      </c>
      <c r="B4032" s="95">
        <v>511642.42599999998</v>
      </c>
      <c r="C4032" s="95">
        <v>4786673.0080000004</v>
      </c>
      <c r="D4032" s="95">
        <v>45.933</v>
      </c>
      <c r="E4032" s="91" t="s">
        <v>108</v>
      </c>
    </row>
    <row r="4033" spans="1:5" x14ac:dyDescent="0.25">
      <c r="A4033" s="102">
        <v>46153</v>
      </c>
      <c r="B4033" s="95">
        <v>511642.46600000001</v>
      </c>
      <c r="C4033" s="95">
        <v>4786672.8949999996</v>
      </c>
      <c r="D4033" s="95">
        <v>43.963999999999999</v>
      </c>
      <c r="E4033" s="91" t="s">
        <v>111</v>
      </c>
    </row>
    <row r="4034" spans="1:5" x14ac:dyDescent="0.25">
      <c r="A4034" s="102">
        <v>46153</v>
      </c>
      <c r="B4034" s="95">
        <v>511649.12300000002</v>
      </c>
      <c r="C4034" s="95">
        <v>4786669.392</v>
      </c>
      <c r="D4034" s="95">
        <v>43.942999999999998</v>
      </c>
      <c r="E4034" s="91" t="s">
        <v>113</v>
      </c>
    </row>
    <row r="4035" spans="1:5" x14ac:dyDescent="0.25">
      <c r="A4035" s="102">
        <v>46153</v>
      </c>
      <c r="B4035" s="95">
        <v>511673.815</v>
      </c>
      <c r="C4035" s="95">
        <v>4786631.07</v>
      </c>
      <c r="D4035" s="95">
        <v>40.159999999999997</v>
      </c>
      <c r="E4035" s="91" t="s">
        <v>147</v>
      </c>
    </row>
    <row r="4036" spans="1:5" x14ac:dyDescent="0.25">
      <c r="A4036" s="102">
        <v>46153</v>
      </c>
      <c r="B4036" s="95">
        <v>511573.40299999999</v>
      </c>
      <c r="C4036" s="95">
        <v>4786684.3550000004</v>
      </c>
      <c r="D4036" s="95">
        <v>43.466000000000001</v>
      </c>
      <c r="E4036" s="91" t="s">
        <v>148</v>
      </c>
    </row>
    <row r="4037" spans="1:5" x14ac:dyDescent="0.25">
      <c r="A4037" s="102">
        <v>46153</v>
      </c>
      <c r="B4037" s="95">
        <v>511575.489</v>
      </c>
      <c r="C4037" s="95">
        <v>4786688.2280000001</v>
      </c>
      <c r="D4037" s="95">
        <v>43.426000000000002</v>
      </c>
      <c r="E4037" s="91" t="s">
        <v>149</v>
      </c>
    </row>
    <row r="4038" spans="1:5" x14ac:dyDescent="0.25">
      <c r="A4038" s="102">
        <v>46153</v>
      </c>
      <c r="B4038" s="95">
        <v>511577.68800000002</v>
      </c>
      <c r="C4038" s="95">
        <v>4786692.2819999997</v>
      </c>
      <c r="D4038" s="95">
        <v>43.613999999999997</v>
      </c>
      <c r="E4038" s="91" t="s">
        <v>150</v>
      </c>
    </row>
    <row r="4039" spans="1:5" x14ac:dyDescent="0.25">
      <c r="A4039" s="102">
        <v>46153</v>
      </c>
      <c r="B4039" s="95">
        <v>511579.78899999999</v>
      </c>
      <c r="C4039" s="95">
        <v>4786696.1979999999</v>
      </c>
      <c r="D4039" s="95">
        <v>43.686</v>
      </c>
      <c r="E4039" s="91" t="s">
        <v>151</v>
      </c>
    </row>
    <row r="4040" spans="1:5" x14ac:dyDescent="0.25">
      <c r="A4040" s="102">
        <v>46153</v>
      </c>
      <c r="B4040" s="95">
        <v>511574.15399999998</v>
      </c>
      <c r="C4040" s="95">
        <v>4786684.2620000001</v>
      </c>
      <c r="D4040" s="95">
        <v>41.218000000000004</v>
      </c>
      <c r="E4040" s="91" t="s">
        <v>165</v>
      </c>
    </row>
    <row r="4041" spans="1:5" x14ac:dyDescent="0.25">
      <c r="A4041" s="102">
        <v>46153</v>
      </c>
      <c r="B4041" s="95">
        <v>511576.033</v>
      </c>
      <c r="C4041" s="95">
        <v>4786687.8710000003</v>
      </c>
      <c r="D4041" s="95">
        <v>41.054000000000002</v>
      </c>
      <c r="E4041" s="91" t="s">
        <v>166</v>
      </c>
    </row>
    <row r="4042" spans="1:5" x14ac:dyDescent="0.25">
      <c r="A4042" s="102">
        <v>46153</v>
      </c>
      <c r="B4042" s="95">
        <v>511578.1</v>
      </c>
      <c r="C4042" s="95">
        <v>4786692.3229999999</v>
      </c>
      <c r="D4042" s="95">
        <v>41.411000000000001</v>
      </c>
      <c r="E4042" s="91" t="s">
        <v>167</v>
      </c>
    </row>
    <row r="4043" spans="1:5" x14ac:dyDescent="0.25">
      <c r="A4043" s="102">
        <v>46153</v>
      </c>
      <c r="B4043" s="95">
        <v>511580.12</v>
      </c>
      <c r="C4043" s="95">
        <v>4786695.8499999996</v>
      </c>
      <c r="D4043" s="95">
        <v>41.073999999999998</v>
      </c>
      <c r="E4043" s="91" t="s">
        <v>168</v>
      </c>
    </row>
    <row r="4044" spans="1:5" x14ac:dyDescent="0.25">
      <c r="A4044" s="102">
        <v>46153</v>
      </c>
      <c r="B4044" s="95">
        <v>511576.2</v>
      </c>
      <c r="C4044" s="95">
        <v>4786687.824</v>
      </c>
      <c r="D4044" s="95">
        <v>39.142000000000003</v>
      </c>
      <c r="E4044" s="91" t="s">
        <v>169</v>
      </c>
    </row>
    <row r="4045" spans="1:5" x14ac:dyDescent="0.25">
      <c r="A4045" s="102">
        <v>46153</v>
      </c>
      <c r="B4045" s="95">
        <v>511580.826</v>
      </c>
      <c r="C4045" s="95">
        <v>4786696.34</v>
      </c>
      <c r="D4045" s="95">
        <v>39.270000000000003</v>
      </c>
      <c r="E4045" s="91" t="s">
        <v>170</v>
      </c>
    </row>
    <row r="4046" spans="1:5" x14ac:dyDescent="0.25">
      <c r="A4046" s="102">
        <v>46153</v>
      </c>
      <c r="B4046" s="95">
        <v>511607.17599999998</v>
      </c>
      <c r="C4046" s="95">
        <v>4786690.8370000003</v>
      </c>
      <c r="D4046" s="95">
        <v>41.313000000000002</v>
      </c>
      <c r="E4046" s="91" t="s">
        <v>139</v>
      </c>
    </row>
    <row r="4047" spans="1:5" x14ac:dyDescent="0.25">
      <c r="A4047" s="102">
        <v>46153</v>
      </c>
      <c r="B4047" s="95">
        <v>511614.978</v>
      </c>
      <c r="C4047" s="95">
        <v>4786686.6030000001</v>
      </c>
      <c r="D4047" s="95">
        <v>41.44</v>
      </c>
      <c r="E4047" s="91" t="s">
        <v>140</v>
      </c>
    </row>
    <row r="4048" spans="1:5" x14ac:dyDescent="0.25">
      <c r="A4048" s="102">
        <v>46153</v>
      </c>
      <c r="B4048" s="95">
        <v>511628.82799999998</v>
      </c>
      <c r="C4048" s="95">
        <v>4786679.1359999999</v>
      </c>
      <c r="D4048" s="95">
        <v>41.372999999999998</v>
      </c>
      <c r="E4048" s="91" t="s">
        <v>141</v>
      </c>
    </row>
    <row r="4049" spans="1:5" x14ac:dyDescent="0.25">
      <c r="A4049" s="102">
        <v>46153</v>
      </c>
      <c r="B4049" s="95">
        <v>511641.99800000002</v>
      </c>
      <c r="C4049" s="95">
        <v>4786671.9380000001</v>
      </c>
      <c r="D4049" s="95">
        <v>41.509</v>
      </c>
      <c r="E4049" s="91" t="s">
        <v>142</v>
      </c>
    </row>
    <row r="4050" spans="1:5" x14ac:dyDescent="0.25">
      <c r="A4050" s="102">
        <v>46153</v>
      </c>
      <c r="B4050" s="95">
        <v>511648.77799999999</v>
      </c>
      <c r="C4050" s="95">
        <v>4786668.2589999996</v>
      </c>
      <c r="D4050" s="95">
        <v>41.307000000000002</v>
      </c>
      <c r="E4050" s="91" t="s">
        <v>143</v>
      </c>
    </row>
    <row r="4051" spans="1:5" x14ac:dyDescent="0.25">
      <c r="A4051" s="102">
        <v>46153</v>
      </c>
      <c r="B4051" s="95">
        <v>511606.853</v>
      </c>
      <c r="C4051" s="95">
        <v>4786690.2860000003</v>
      </c>
      <c r="D4051" s="95">
        <v>38.317999999999998</v>
      </c>
      <c r="E4051" s="91" t="s">
        <v>158</v>
      </c>
    </row>
    <row r="4052" spans="1:5" x14ac:dyDescent="0.25">
      <c r="A4052" s="102">
        <v>46153</v>
      </c>
      <c r="B4052" s="95">
        <v>511614.47600000002</v>
      </c>
      <c r="C4052" s="95">
        <v>4786685.9419999998</v>
      </c>
      <c r="D4052" s="95">
        <v>38.356000000000002</v>
      </c>
      <c r="E4052" s="91" t="s">
        <v>159</v>
      </c>
    </row>
    <row r="4053" spans="1:5" x14ac:dyDescent="0.25">
      <c r="A4053" s="102">
        <v>46153</v>
      </c>
      <c r="B4053" s="95">
        <v>511628.53399999999</v>
      </c>
      <c r="C4053" s="95">
        <v>4786678.9189999998</v>
      </c>
      <c r="D4053" s="95">
        <v>38.331000000000003</v>
      </c>
      <c r="E4053" s="91" t="s">
        <v>160</v>
      </c>
    </row>
    <row r="4054" spans="1:5" x14ac:dyDescent="0.25">
      <c r="A4054" s="102">
        <v>46153</v>
      </c>
      <c r="B4054" s="95">
        <v>511641.75900000002</v>
      </c>
      <c r="C4054" s="95">
        <v>4786671.5630000001</v>
      </c>
      <c r="D4054" s="95">
        <v>38.456000000000003</v>
      </c>
      <c r="E4054" s="91" t="s">
        <v>161</v>
      </c>
    </row>
    <row r="4055" spans="1:5" x14ac:dyDescent="0.25">
      <c r="A4055" s="102">
        <v>46153</v>
      </c>
      <c r="B4055" s="95">
        <v>511648.49900000001</v>
      </c>
      <c r="C4055" s="95">
        <v>4786667.9840000002</v>
      </c>
      <c r="D4055" s="95">
        <v>38.491</v>
      </c>
      <c r="E4055" s="91" t="s">
        <v>162</v>
      </c>
    </row>
    <row r="4056" spans="1:5" x14ac:dyDescent="0.25">
      <c r="A4056" s="102">
        <v>46154</v>
      </c>
      <c r="B4056" s="95">
        <v>511607.68699999998</v>
      </c>
      <c r="C4056" s="95">
        <v>4786691.41</v>
      </c>
      <c r="D4056" s="95">
        <v>43.941000000000003</v>
      </c>
      <c r="E4056" s="91" t="s">
        <v>112</v>
      </c>
    </row>
    <row r="4057" spans="1:5" x14ac:dyDescent="0.25">
      <c r="A4057" s="102">
        <v>46154</v>
      </c>
      <c r="B4057" s="95">
        <v>511629.40500000003</v>
      </c>
      <c r="C4057" s="95">
        <v>4786679.9000000004</v>
      </c>
      <c r="D4057" s="95">
        <v>43.942999999999998</v>
      </c>
      <c r="E4057" s="91" t="s">
        <v>109</v>
      </c>
    </row>
    <row r="4058" spans="1:5" x14ac:dyDescent="0.25">
      <c r="A4058" s="102">
        <v>46154</v>
      </c>
      <c r="B4058" s="95">
        <v>511615.23700000002</v>
      </c>
      <c r="C4058" s="95">
        <v>4786687.426</v>
      </c>
      <c r="D4058" s="95">
        <v>48.436999999999998</v>
      </c>
      <c r="E4058" s="91" t="s">
        <v>103</v>
      </c>
    </row>
    <row r="4059" spans="1:5" x14ac:dyDescent="0.25">
      <c r="A4059" s="102">
        <v>46154</v>
      </c>
      <c r="B4059" s="95">
        <v>511615.20899999997</v>
      </c>
      <c r="C4059" s="95">
        <v>4786687.3490000004</v>
      </c>
      <c r="D4059" s="95">
        <v>45.93</v>
      </c>
      <c r="E4059" s="91" t="s">
        <v>104</v>
      </c>
    </row>
    <row r="4060" spans="1:5" x14ac:dyDescent="0.25">
      <c r="A4060" s="102">
        <v>46154</v>
      </c>
      <c r="B4060" s="95">
        <v>511615.16200000001</v>
      </c>
      <c r="C4060" s="95">
        <v>4786687.3720000004</v>
      </c>
      <c r="D4060" s="95">
        <v>43.954999999999998</v>
      </c>
      <c r="E4060" s="91" t="s">
        <v>110</v>
      </c>
    </row>
    <row r="4061" spans="1:5" x14ac:dyDescent="0.25">
      <c r="A4061" s="102">
        <v>46154</v>
      </c>
      <c r="B4061" s="95">
        <v>511629.16800000001</v>
      </c>
      <c r="C4061" s="95">
        <v>4786680.0580000002</v>
      </c>
      <c r="D4061" s="95">
        <v>48.456000000000003</v>
      </c>
      <c r="E4061" s="91" t="s">
        <v>105</v>
      </c>
    </row>
    <row r="4062" spans="1:5" x14ac:dyDescent="0.25">
      <c r="A4062" s="102">
        <v>46154</v>
      </c>
      <c r="B4062" s="95">
        <v>511629.29200000002</v>
      </c>
      <c r="C4062" s="95">
        <v>4786680.0219999999</v>
      </c>
      <c r="D4062" s="95">
        <v>45.938000000000002</v>
      </c>
      <c r="E4062" s="91" t="s">
        <v>106</v>
      </c>
    </row>
    <row r="4063" spans="1:5" x14ac:dyDescent="0.25">
      <c r="A4063" s="102">
        <v>46154</v>
      </c>
      <c r="B4063" s="95">
        <v>511642.26799999998</v>
      </c>
      <c r="C4063" s="95">
        <v>4786673.1210000003</v>
      </c>
      <c r="D4063" s="95">
        <v>48.436999999999998</v>
      </c>
      <c r="E4063" s="91" t="s">
        <v>107</v>
      </c>
    </row>
    <row r="4064" spans="1:5" x14ac:dyDescent="0.25">
      <c r="A4064" s="102">
        <v>46154</v>
      </c>
      <c r="B4064" s="95">
        <v>511642.42300000001</v>
      </c>
      <c r="C4064" s="95">
        <v>4786673.0109999999</v>
      </c>
      <c r="D4064" s="95">
        <v>45.932000000000002</v>
      </c>
      <c r="E4064" s="91" t="s">
        <v>108</v>
      </c>
    </row>
    <row r="4065" spans="1:5" x14ac:dyDescent="0.25">
      <c r="A4065" s="102">
        <v>46154</v>
      </c>
      <c r="B4065" s="95">
        <v>511642.462</v>
      </c>
      <c r="C4065" s="95">
        <v>4786672.898</v>
      </c>
      <c r="D4065" s="95">
        <v>43.963999999999999</v>
      </c>
      <c r="E4065" s="91" t="s">
        <v>111</v>
      </c>
    </row>
    <row r="4066" spans="1:5" x14ac:dyDescent="0.25">
      <c r="A4066" s="102">
        <v>46154</v>
      </c>
      <c r="B4066" s="95">
        <v>511649.11800000002</v>
      </c>
      <c r="C4066" s="95">
        <v>4786669.3949999996</v>
      </c>
      <c r="D4066" s="95">
        <v>43.942999999999998</v>
      </c>
      <c r="E4066" s="91" t="s">
        <v>113</v>
      </c>
    </row>
    <row r="4067" spans="1:5" x14ac:dyDescent="0.25">
      <c r="A4067" s="102">
        <v>46154</v>
      </c>
      <c r="B4067" s="95">
        <v>511673.81300000002</v>
      </c>
      <c r="C4067" s="95">
        <v>4786631.0729999999</v>
      </c>
      <c r="D4067" s="95">
        <v>40.159999999999997</v>
      </c>
      <c r="E4067" s="91" t="s">
        <v>147</v>
      </c>
    </row>
    <row r="4068" spans="1:5" x14ac:dyDescent="0.25">
      <c r="A4068" s="102">
        <v>46154</v>
      </c>
      <c r="B4068" s="95">
        <v>511573.39799999999</v>
      </c>
      <c r="C4068" s="95">
        <v>4786684.3550000004</v>
      </c>
      <c r="D4068" s="95">
        <v>43.466000000000001</v>
      </c>
      <c r="E4068" s="91" t="s">
        <v>148</v>
      </c>
    </row>
    <row r="4069" spans="1:5" x14ac:dyDescent="0.25">
      <c r="A4069" s="102">
        <v>46154</v>
      </c>
      <c r="B4069" s="95">
        <v>511575.48499999999</v>
      </c>
      <c r="C4069" s="95">
        <v>4786688.227</v>
      </c>
      <c r="D4069" s="95">
        <v>43.426000000000002</v>
      </c>
      <c r="E4069" s="91" t="s">
        <v>149</v>
      </c>
    </row>
    <row r="4070" spans="1:5" x14ac:dyDescent="0.25">
      <c r="A4070" s="102">
        <v>46154</v>
      </c>
      <c r="B4070" s="95">
        <v>511577.68400000001</v>
      </c>
      <c r="C4070" s="95">
        <v>4786692.28</v>
      </c>
      <c r="D4070" s="95">
        <v>43.613999999999997</v>
      </c>
      <c r="E4070" s="91" t="s">
        <v>150</v>
      </c>
    </row>
    <row r="4071" spans="1:5" x14ac:dyDescent="0.25">
      <c r="A4071" s="102">
        <v>46154</v>
      </c>
      <c r="B4071" s="95">
        <v>511579.78499999997</v>
      </c>
      <c r="C4071" s="95">
        <v>4786696.1960000005</v>
      </c>
      <c r="D4071" s="95">
        <v>43.686</v>
      </c>
      <c r="E4071" s="91" t="s">
        <v>151</v>
      </c>
    </row>
    <row r="4072" spans="1:5" x14ac:dyDescent="0.25">
      <c r="A4072" s="102">
        <v>46154</v>
      </c>
      <c r="B4072" s="95">
        <v>511574.14899999998</v>
      </c>
      <c r="C4072" s="95">
        <v>4786684.2620000001</v>
      </c>
      <c r="D4072" s="95">
        <v>41.216999999999999</v>
      </c>
      <c r="E4072" s="91" t="s">
        <v>165</v>
      </c>
    </row>
    <row r="4073" spans="1:5" x14ac:dyDescent="0.25">
      <c r="A4073" s="102">
        <v>46154</v>
      </c>
      <c r="B4073" s="95">
        <v>511576.03</v>
      </c>
      <c r="C4073" s="95">
        <v>4786687.87</v>
      </c>
      <c r="D4073" s="95">
        <v>41.054000000000002</v>
      </c>
      <c r="E4073" s="91" t="s">
        <v>166</v>
      </c>
    </row>
    <row r="4074" spans="1:5" x14ac:dyDescent="0.25">
      <c r="A4074" s="102">
        <v>46154</v>
      </c>
      <c r="B4074" s="95">
        <v>511578.09499999997</v>
      </c>
      <c r="C4074" s="95">
        <v>4786692.3229999999</v>
      </c>
      <c r="D4074" s="95">
        <v>41.411000000000001</v>
      </c>
      <c r="E4074" s="91" t="s">
        <v>167</v>
      </c>
    </row>
    <row r="4075" spans="1:5" x14ac:dyDescent="0.25">
      <c r="A4075" s="102">
        <v>46154</v>
      </c>
      <c r="B4075" s="95">
        <v>511580.11599999998</v>
      </c>
      <c r="C4075" s="95">
        <v>4786695.8499999996</v>
      </c>
      <c r="D4075" s="95">
        <v>41.073999999999998</v>
      </c>
      <c r="E4075" s="91" t="s">
        <v>168</v>
      </c>
    </row>
    <row r="4076" spans="1:5" x14ac:dyDescent="0.25">
      <c r="A4076" s="102">
        <v>46154</v>
      </c>
      <c r="B4076" s="95">
        <v>511576.19699999999</v>
      </c>
      <c r="C4076" s="95">
        <v>4786687.8229999999</v>
      </c>
      <c r="D4076" s="95">
        <v>39.142000000000003</v>
      </c>
      <c r="E4076" s="91" t="s">
        <v>169</v>
      </c>
    </row>
    <row r="4077" spans="1:5" x14ac:dyDescent="0.25">
      <c r="A4077" s="102">
        <v>46154</v>
      </c>
      <c r="B4077" s="95">
        <v>511580.821</v>
      </c>
      <c r="C4077" s="95">
        <v>4786696.341</v>
      </c>
      <c r="D4077" s="95">
        <v>39.268999999999998</v>
      </c>
      <c r="E4077" s="91" t="s">
        <v>170</v>
      </c>
    </row>
    <row r="4078" spans="1:5" x14ac:dyDescent="0.25">
      <c r="A4078" s="102">
        <v>46154</v>
      </c>
      <c r="B4078" s="95">
        <v>511607.17200000002</v>
      </c>
      <c r="C4078" s="95">
        <v>4786690.8389999997</v>
      </c>
      <c r="D4078" s="95">
        <v>41.311999999999998</v>
      </c>
      <c r="E4078" s="91" t="s">
        <v>139</v>
      </c>
    </row>
    <row r="4079" spans="1:5" x14ac:dyDescent="0.25">
      <c r="A4079" s="102">
        <v>46154</v>
      </c>
      <c r="B4079" s="95">
        <v>511614.973</v>
      </c>
      <c r="C4079" s="95">
        <v>4786686.6040000003</v>
      </c>
      <c r="D4079" s="95">
        <v>41.44</v>
      </c>
      <c r="E4079" s="91" t="s">
        <v>140</v>
      </c>
    </row>
    <row r="4080" spans="1:5" x14ac:dyDescent="0.25">
      <c r="A4080" s="102">
        <v>46154</v>
      </c>
      <c r="B4080" s="95">
        <v>511628.82400000002</v>
      </c>
      <c r="C4080" s="95">
        <v>4786679.1370000001</v>
      </c>
      <c r="D4080" s="95">
        <v>41.372999999999998</v>
      </c>
      <c r="E4080" s="91" t="s">
        <v>141</v>
      </c>
    </row>
    <row r="4081" spans="1:5" x14ac:dyDescent="0.25">
      <c r="A4081" s="102">
        <v>46154</v>
      </c>
      <c r="B4081" s="95">
        <v>511641.99300000002</v>
      </c>
      <c r="C4081" s="95">
        <v>4786671.9400000004</v>
      </c>
      <c r="D4081" s="95">
        <v>41.509</v>
      </c>
      <c r="E4081" s="91" t="s">
        <v>142</v>
      </c>
    </row>
    <row r="4082" spans="1:5" x14ac:dyDescent="0.25">
      <c r="A4082" s="102">
        <v>46154</v>
      </c>
      <c r="B4082" s="95">
        <v>511648.77299999999</v>
      </c>
      <c r="C4082" s="95">
        <v>4786668.2609999999</v>
      </c>
      <c r="D4082" s="95">
        <v>41.307000000000002</v>
      </c>
      <c r="E4082" s="91" t="s">
        <v>143</v>
      </c>
    </row>
    <row r="4083" spans="1:5" x14ac:dyDescent="0.25">
      <c r="A4083" s="102">
        <v>46154</v>
      </c>
      <c r="B4083" s="95">
        <v>511606.848</v>
      </c>
      <c r="C4083" s="95">
        <v>4786690.2869999995</v>
      </c>
      <c r="D4083" s="95">
        <v>38.317</v>
      </c>
      <c r="E4083" s="91" t="s">
        <v>158</v>
      </c>
    </row>
    <row r="4084" spans="1:5" x14ac:dyDescent="0.25">
      <c r="A4084" s="102">
        <v>46154</v>
      </c>
      <c r="B4084" s="95">
        <v>511614.47</v>
      </c>
      <c r="C4084" s="95">
        <v>4786685.9419999998</v>
      </c>
      <c r="D4084" s="95">
        <v>38.354999999999997</v>
      </c>
      <c r="E4084" s="91" t="s">
        <v>159</v>
      </c>
    </row>
    <row r="4085" spans="1:5" x14ac:dyDescent="0.25">
      <c r="A4085" s="102">
        <v>46154</v>
      </c>
      <c r="B4085" s="95">
        <v>511628.53</v>
      </c>
      <c r="C4085" s="95">
        <v>4786678.9210000001</v>
      </c>
      <c r="D4085" s="95">
        <v>38.331000000000003</v>
      </c>
      <c r="E4085" s="91" t="s">
        <v>160</v>
      </c>
    </row>
    <row r="4086" spans="1:5" x14ac:dyDescent="0.25">
      <c r="A4086" s="102">
        <v>46154</v>
      </c>
      <c r="B4086" s="95">
        <v>511641.755</v>
      </c>
      <c r="C4086" s="95">
        <v>4786671.5650000004</v>
      </c>
      <c r="D4086" s="95">
        <v>38.456000000000003</v>
      </c>
      <c r="E4086" s="91" t="s">
        <v>161</v>
      </c>
    </row>
    <row r="4087" spans="1:5" x14ac:dyDescent="0.25">
      <c r="A4087" s="102">
        <v>46154</v>
      </c>
      <c r="B4087" s="95">
        <v>511648.49599999998</v>
      </c>
      <c r="C4087" s="95">
        <v>4786667.9859999996</v>
      </c>
      <c r="D4087" s="95">
        <v>38.491</v>
      </c>
      <c r="E4087" s="91" t="s">
        <v>162</v>
      </c>
    </row>
    <row r="4088" spans="1:5" x14ac:dyDescent="0.25">
      <c r="A4088" s="102">
        <v>46155</v>
      </c>
      <c r="B4088" s="95">
        <v>511607.68400000001</v>
      </c>
      <c r="C4088" s="95">
        <v>4786691.4139999999</v>
      </c>
      <c r="D4088" s="95">
        <v>43.942</v>
      </c>
      <c r="E4088" s="91" t="s">
        <v>112</v>
      </c>
    </row>
    <row r="4089" spans="1:5" x14ac:dyDescent="0.25">
      <c r="A4089" s="102">
        <v>46155</v>
      </c>
      <c r="B4089" s="95">
        <v>511629.402</v>
      </c>
      <c r="C4089" s="95">
        <v>4786679.9040000001</v>
      </c>
      <c r="D4089" s="95">
        <v>43.944000000000003</v>
      </c>
      <c r="E4089" s="91" t="s">
        <v>109</v>
      </c>
    </row>
    <row r="4090" spans="1:5" x14ac:dyDescent="0.25">
      <c r="A4090" s="102">
        <v>46155</v>
      </c>
      <c r="B4090" s="95">
        <v>511615.234</v>
      </c>
      <c r="C4090" s="95">
        <v>4786687.4289999995</v>
      </c>
      <c r="D4090" s="95">
        <v>48.436999999999998</v>
      </c>
      <c r="E4090" s="91" t="s">
        <v>103</v>
      </c>
    </row>
    <row r="4091" spans="1:5" x14ac:dyDescent="0.25">
      <c r="A4091" s="102">
        <v>46155</v>
      </c>
      <c r="B4091" s="95">
        <v>511615.20600000001</v>
      </c>
      <c r="C4091" s="95">
        <v>4786687.352</v>
      </c>
      <c r="D4091" s="95">
        <v>45.93</v>
      </c>
      <c r="E4091" s="91" t="s">
        <v>104</v>
      </c>
    </row>
    <row r="4092" spans="1:5" x14ac:dyDescent="0.25">
      <c r="A4092" s="102">
        <v>46155</v>
      </c>
      <c r="B4092" s="95">
        <v>511615.15899999999</v>
      </c>
      <c r="C4092" s="95">
        <v>4786687.3760000002</v>
      </c>
      <c r="D4092" s="95">
        <v>43.956000000000003</v>
      </c>
      <c r="E4092" s="91" t="s">
        <v>110</v>
      </c>
    </row>
    <row r="4093" spans="1:5" x14ac:dyDescent="0.25">
      <c r="A4093" s="102">
        <v>46155</v>
      </c>
      <c r="B4093" s="95">
        <v>511629.16499999998</v>
      </c>
      <c r="C4093" s="95">
        <v>4786680.0630000001</v>
      </c>
      <c r="D4093" s="95">
        <v>48.457000000000001</v>
      </c>
      <c r="E4093" s="91" t="s">
        <v>105</v>
      </c>
    </row>
    <row r="4094" spans="1:5" x14ac:dyDescent="0.25">
      <c r="A4094" s="102">
        <v>46155</v>
      </c>
      <c r="B4094" s="95">
        <v>511629.288</v>
      </c>
      <c r="C4094" s="95">
        <v>4786680.0250000004</v>
      </c>
      <c r="D4094" s="95">
        <v>45.939</v>
      </c>
      <c r="E4094" s="91" t="s">
        <v>106</v>
      </c>
    </row>
    <row r="4095" spans="1:5" x14ac:dyDescent="0.25">
      <c r="A4095" s="102">
        <v>46155</v>
      </c>
      <c r="B4095" s="95">
        <v>511642.266</v>
      </c>
      <c r="C4095" s="95">
        <v>4786673.1260000002</v>
      </c>
      <c r="D4095" s="95">
        <v>48.436</v>
      </c>
      <c r="E4095" s="91" t="s">
        <v>107</v>
      </c>
    </row>
    <row r="4096" spans="1:5" x14ac:dyDescent="0.25">
      <c r="A4096" s="102">
        <v>46155</v>
      </c>
      <c r="B4096" s="95">
        <v>511642.42</v>
      </c>
      <c r="C4096" s="95">
        <v>4786673.0149999997</v>
      </c>
      <c r="D4096" s="95">
        <v>45.932000000000002</v>
      </c>
      <c r="E4096" s="91" t="s">
        <v>108</v>
      </c>
    </row>
    <row r="4097" spans="1:5" x14ac:dyDescent="0.25">
      <c r="A4097" s="102">
        <v>46155</v>
      </c>
      <c r="B4097" s="95">
        <v>511642.46</v>
      </c>
      <c r="C4097" s="95">
        <v>4786672.9019999998</v>
      </c>
      <c r="D4097" s="95">
        <v>43.963999999999999</v>
      </c>
      <c r="E4097" s="91" t="s">
        <v>111</v>
      </c>
    </row>
    <row r="4098" spans="1:5" x14ac:dyDescent="0.25">
      <c r="A4098" s="102">
        <v>46155</v>
      </c>
      <c r="B4098" s="95">
        <v>511649.11800000002</v>
      </c>
      <c r="C4098" s="95">
        <v>4786669.4000000004</v>
      </c>
      <c r="D4098" s="95">
        <v>43.942999999999998</v>
      </c>
      <c r="E4098" s="91" t="s">
        <v>113</v>
      </c>
    </row>
    <row r="4099" spans="1:5" x14ac:dyDescent="0.25">
      <c r="A4099" s="102">
        <v>46155</v>
      </c>
      <c r="B4099" s="95">
        <v>511673.81199999998</v>
      </c>
      <c r="C4099" s="95">
        <v>4786631.0789999999</v>
      </c>
      <c r="D4099" s="95">
        <v>40.159999999999997</v>
      </c>
      <c r="E4099" s="91" t="s">
        <v>147</v>
      </c>
    </row>
    <row r="4100" spans="1:5" x14ac:dyDescent="0.25">
      <c r="A4100" s="102">
        <v>46155</v>
      </c>
      <c r="B4100" s="95">
        <v>511573.39399999997</v>
      </c>
      <c r="C4100" s="95">
        <v>4786684.3569999998</v>
      </c>
      <c r="D4100" s="95">
        <v>43.466000000000001</v>
      </c>
      <c r="E4100" s="91" t="s">
        <v>148</v>
      </c>
    </row>
    <row r="4101" spans="1:5" x14ac:dyDescent="0.25">
      <c r="A4101" s="102">
        <v>46155</v>
      </c>
      <c r="B4101" s="95">
        <v>511575.48200000002</v>
      </c>
      <c r="C4101" s="95">
        <v>4786688.227</v>
      </c>
      <c r="D4101" s="95">
        <v>43.426000000000002</v>
      </c>
      <c r="E4101" s="91" t="s">
        <v>149</v>
      </c>
    </row>
    <row r="4102" spans="1:5" x14ac:dyDescent="0.25">
      <c r="A4102" s="102">
        <v>46155</v>
      </c>
      <c r="B4102" s="95">
        <v>511577.68099999998</v>
      </c>
      <c r="C4102" s="95">
        <v>4786692.2810000004</v>
      </c>
      <c r="D4102" s="95">
        <v>43.615000000000002</v>
      </c>
      <c r="E4102" s="91" t="s">
        <v>150</v>
      </c>
    </row>
    <row r="4103" spans="1:5" x14ac:dyDescent="0.25">
      <c r="A4103" s="102">
        <v>46155</v>
      </c>
      <c r="B4103" s="95">
        <v>511579.78100000002</v>
      </c>
      <c r="C4103" s="95">
        <v>4786696.1979999999</v>
      </c>
      <c r="D4103" s="95">
        <v>43.686</v>
      </c>
      <c r="E4103" s="91" t="s">
        <v>151</v>
      </c>
    </row>
    <row r="4104" spans="1:5" x14ac:dyDescent="0.25">
      <c r="A4104" s="102">
        <v>46155</v>
      </c>
      <c r="B4104" s="95">
        <v>511574.147</v>
      </c>
      <c r="C4104" s="95">
        <v>4786684.2630000003</v>
      </c>
      <c r="D4104" s="95">
        <v>41.216999999999999</v>
      </c>
      <c r="E4104" s="91" t="s">
        <v>165</v>
      </c>
    </row>
    <row r="4105" spans="1:5" x14ac:dyDescent="0.25">
      <c r="A4105" s="102">
        <v>46155</v>
      </c>
      <c r="B4105" s="95">
        <v>511576.027</v>
      </c>
      <c r="C4105" s="95">
        <v>4786687.8720000004</v>
      </c>
      <c r="D4105" s="95">
        <v>41.052999999999997</v>
      </c>
      <c r="E4105" s="91" t="s">
        <v>166</v>
      </c>
    </row>
    <row r="4106" spans="1:5" x14ac:dyDescent="0.25">
      <c r="A4106" s="102">
        <v>46155</v>
      </c>
      <c r="B4106" s="95">
        <v>511578.092</v>
      </c>
      <c r="C4106" s="95">
        <v>4786692.324</v>
      </c>
      <c r="D4106" s="95">
        <v>41.411000000000001</v>
      </c>
      <c r="E4106" s="91" t="s">
        <v>167</v>
      </c>
    </row>
    <row r="4107" spans="1:5" x14ac:dyDescent="0.25">
      <c r="A4107" s="102">
        <v>46155</v>
      </c>
      <c r="B4107" s="95">
        <v>511580.11200000002</v>
      </c>
      <c r="C4107" s="95">
        <v>4786695.852</v>
      </c>
      <c r="D4107" s="95">
        <v>41.073999999999998</v>
      </c>
      <c r="E4107" s="91" t="s">
        <v>168</v>
      </c>
    </row>
    <row r="4108" spans="1:5" x14ac:dyDescent="0.25">
      <c r="A4108" s="102">
        <v>46155</v>
      </c>
      <c r="B4108" s="95">
        <v>511576.19400000002</v>
      </c>
      <c r="C4108" s="95">
        <v>4786687.824</v>
      </c>
      <c r="D4108" s="95">
        <v>39.143000000000001</v>
      </c>
      <c r="E4108" s="91" t="s">
        <v>169</v>
      </c>
    </row>
    <row r="4109" spans="1:5" x14ac:dyDescent="0.25">
      <c r="A4109" s="102">
        <v>46155</v>
      </c>
      <c r="B4109" s="95">
        <v>511580.81800000003</v>
      </c>
      <c r="C4109" s="95">
        <v>4786696.3420000002</v>
      </c>
      <c r="D4109" s="95">
        <v>39.270000000000003</v>
      </c>
      <c r="E4109" s="91" t="s">
        <v>170</v>
      </c>
    </row>
    <row r="4110" spans="1:5" x14ac:dyDescent="0.25">
      <c r="A4110" s="102">
        <v>46155</v>
      </c>
      <c r="B4110" s="95">
        <v>511607.16899999999</v>
      </c>
      <c r="C4110" s="95">
        <v>4786690.8420000002</v>
      </c>
      <c r="D4110" s="95">
        <v>41.311999999999998</v>
      </c>
      <c r="E4110" s="91" t="s">
        <v>139</v>
      </c>
    </row>
    <row r="4111" spans="1:5" x14ac:dyDescent="0.25">
      <c r="A4111" s="102">
        <v>46155</v>
      </c>
      <c r="B4111" s="95">
        <v>511614.97</v>
      </c>
      <c r="C4111" s="95">
        <v>4786686.608</v>
      </c>
      <c r="D4111" s="95">
        <v>41.44</v>
      </c>
      <c r="E4111" s="91" t="s">
        <v>140</v>
      </c>
    </row>
    <row r="4112" spans="1:5" x14ac:dyDescent="0.25">
      <c r="A4112" s="102">
        <v>46155</v>
      </c>
      <c r="B4112" s="95">
        <v>511628.82199999999</v>
      </c>
      <c r="C4112" s="95">
        <v>4786679.142</v>
      </c>
      <c r="D4112" s="95">
        <v>41.372999999999998</v>
      </c>
      <c r="E4112" s="91" t="s">
        <v>141</v>
      </c>
    </row>
    <row r="4113" spans="1:5" x14ac:dyDescent="0.25">
      <c r="A4113" s="102">
        <v>46155</v>
      </c>
      <c r="B4113" s="95">
        <v>511641.99200000003</v>
      </c>
      <c r="C4113" s="95">
        <v>4786671.9450000003</v>
      </c>
      <c r="D4113" s="95">
        <v>41.509</v>
      </c>
      <c r="E4113" s="91" t="s">
        <v>142</v>
      </c>
    </row>
    <row r="4114" spans="1:5" x14ac:dyDescent="0.25">
      <c r="A4114" s="102">
        <v>46155</v>
      </c>
      <c r="B4114" s="95">
        <v>511648.772</v>
      </c>
      <c r="C4114" s="95">
        <v>4786668.2659999998</v>
      </c>
      <c r="D4114" s="95">
        <v>41.307000000000002</v>
      </c>
      <c r="E4114" s="91" t="s">
        <v>143</v>
      </c>
    </row>
    <row r="4115" spans="1:5" x14ac:dyDescent="0.25">
      <c r="A4115" s="102">
        <v>46155</v>
      </c>
      <c r="B4115" s="95">
        <v>511606.84499999997</v>
      </c>
      <c r="C4115" s="95">
        <v>4786690.2889999999</v>
      </c>
      <c r="D4115" s="95">
        <v>38.317</v>
      </c>
      <c r="E4115" s="91" t="s">
        <v>158</v>
      </c>
    </row>
    <row r="4116" spans="1:5" x14ac:dyDescent="0.25">
      <c r="A4116" s="102">
        <v>46155</v>
      </c>
      <c r="B4116" s="95">
        <v>511614.46799999999</v>
      </c>
      <c r="C4116" s="95">
        <v>4786685.9460000005</v>
      </c>
      <c r="D4116" s="95">
        <v>38.354999999999997</v>
      </c>
      <c r="E4116" s="91" t="s">
        <v>159</v>
      </c>
    </row>
    <row r="4117" spans="1:5" x14ac:dyDescent="0.25">
      <c r="A4117" s="102">
        <v>46155</v>
      </c>
      <c r="B4117" s="95">
        <v>511628.52600000001</v>
      </c>
      <c r="C4117" s="95">
        <v>4786678.9239999996</v>
      </c>
      <c r="D4117" s="95">
        <v>38.331000000000003</v>
      </c>
      <c r="E4117" s="91" t="s">
        <v>160</v>
      </c>
    </row>
    <row r="4118" spans="1:5" x14ac:dyDescent="0.25">
      <c r="A4118" s="102">
        <v>46155</v>
      </c>
      <c r="B4118" s="95">
        <v>511641.75199999998</v>
      </c>
      <c r="C4118" s="95">
        <v>4786671.57</v>
      </c>
      <c r="D4118" s="95">
        <v>38.456000000000003</v>
      </c>
      <c r="E4118" s="91" t="s">
        <v>161</v>
      </c>
    </row>
    <row r="4119" spans="1:5" x14ac:dyDescent="0.25">
      <c r="A4119" s="102">
        <v>46155</v>
      </c>
      <c r="B4119" s="95">
        <v>511648.49400000001</v>
      </c>
      <c r="C4119" s="95">
        <v>4786667.9910000004</v>
      </c>
      <c r="D4119" s="95">
        <v>38.49</v>
      </c>
      <c r="E4119" s="91" t="s">
        <v>162</v>
      </c>
    </row>
    <row r="4120" spans="1:5" x14ac:dyDescent="0.25">
      <c r="A4120" s="102">
        <v>46156</v>
      </c>
      <c r="B4120" s="95">
        <v>511607.68699999998</v>
      </c>
      <c r="C4120" s="95">
        <v>4786691.4119999995</v>
      </c>
      <c r="D4120" s="95">
        <v>43.941000000000003</v>
      </c>
      <c r="E4120" s="91" t="s">
        <v>112</v>
      </c>
    </row>
    <row r="4121" spans="1:5" x14ac:dyDescent="0.25">
      <c r="A4121" s="102">
        <v>46156</v>
      </c>
      <c r="B4121" s="95">
        <v>511629.40600000002</v>
      </c>
      <c r="C4121" s="95">
        <v>4786679.9019999998</v>
      </c>
      <c r="D4121" s="95">
        <v>43.942999999999998</v>
      </c>
      <c r="E4121" s="91" t="s">
        <v>109</v>
      </c>
    </row>
    <row r="4122" spans="1:5" x14ac:dyDescent="0.25">
      <c r="A4122" s="102">
        <v>46156</v>
      </c>
      <c r="B4122" s="95">
        <v>511615.23700000002</v>
      </c>
      <c r="C4122" s="95">
        <v>4786687.4280000003</v>
      </c>
      <c r="D4122" s="95">
        <v>48.436999999999998</v>
      </c>
      <c r="E4122" s="91" t="s">
        <v>103</v>
      </c>
    </row>
    <row r="4123" spans="1:5" x14ac:dyDescent="0.25">
      <c r="A4123" s="102">
        <v>46156</v>
      </c>
      <c r="B4123" s="95">
        <v>511615.20899999997</v>
      </c>
      <c r="C4123" s="95">
        <v>4786687.3499999996</v>
      </c>
      <c r="D4123" s="95">
        <v>45.93</v>
      </c>
      <c r="E4123" s="91" t="s">
        <v>104</v>
      </c>
    </row>
    <row r="4124" spans="1:5" x14ac:dyDescent="0.25">
      <c r="A4124" s="102">
        <v>46156</v>
      </c>
      <c r="B4124" s="95">
        <v>511615.16200000001</v>
      </c>
      <c r="C4124" s="95">
        <v>4786687.3739999998</v>
      </c>
      <c r="D4124" s="95">
        <v>43.954999999999998</v>
      </c>
      <c r="E4124" s="91" t="s">
        <v>110</v>
      </c>
    </row>
    <row r="4125" spans="1:5" x14ac:dyDescent="0.25">
      <c r="A4125" s="102">
        <v>46156</v>
      </c>
      <c r="B4125" s="95">
        <v>511629.16800000001</v>
      </c>
      <c r="C4125" s="95">
        <v>4786680.0609999998</v>
      </c>
      <c r="D4125" s="95">
        <v>48.456000000000003</v>
      </c>
      <c r="E4125" s="91" t="s">
        <v>105</v>
      </c>
    </row>
    <row r="4126" spans="1:5" x14ac:dyDescent="0.25">
      <c r="A4126" s="102">
        <v>46156</v>
      </c>
      <c r="B4126" s="95">
        <v>511629.29100000003</v>
      </c>
      <c r="C4126" s="95">
        <v>4786680.023</v>
      </c>
      <c r="D4126" s="95">
        <v>45.938000000000002</v>
      </c>
      <c r="E4126" s="91" t="s">
        <v>106</v>
      </c>
    </row>
    <row r="4127" spans="1:5" x14ac:dyDescent="0.25">
      <c r="A4127" s="102">
        <v>46156</v>
      </c>
      <c r="B4127" s="95">
        <v>511642.26799999998</v>
      </c>
      <c r="C4127" s="95">
        <v>4786673.1229999997</v>
      </c>
      <c r="D4127" s="95">
        <v>48.436</v>
      </c>
      <c r="E4127" s="91" t="s">
        <v>107</v>
      </c>
    </row>
    <row r="4128" spans="1:5" x14ac:dyDescent="0.25">
      <c r="A4128" s="102">
        <v>46156</v>
      </c>
      <c r="B4128" s="95">
        <v>511642.42200000002</v>
      </c>
      <c r="C4128" s="95">
        <v>4786673.0120000001</v>
      </c>
      <c r="D4128" s="95">
        <v>45.932000000000002</v>
      </c>
      <c r="E4128" s="91" t="s">
        <v>108</v>
      </c>
    </row>
    <row r="4129" spans="1:5" x14ac:dyDescent="0.25">
      <c r="A4129" s="102">
        <v>46156</v>
      </c>
      <c r="B4129" s="95">
        <v>511642.46299999999</v>
      </c>
      <c r="C4129" s="95">
        <v>4786672.9000000004</v>
      </c>
      <c r="D4129" s="95">
        <v>43.963000000000001</v>
      </c>
      <c r="E4129" s="91" t="s">
        <v>111</v>
      </c>
    </row>
    <row r="4130" spans="1:5" x14ac:dyDescent="0.25">
      <c r="A4130" s="102">
        <v>46156</v>
      </c>
      <c r="B4130" s="95">
        <v>511649.12</v>
      </c>
      <c r="C4130" s="95">
        <v>4786669.3969999999</v>
      </c>
      <c r="D4130" s="95">
        <v>43.942999999999998</v>
      </c>
      <c r="E4130" s="91" t="s">
        <v>113</v>
      </c>
    </row>
    <row r="4131" spans="1:5" x14ac:dyDescent="0.25">
      <c r="A4131" s="102">
        <v>46156</v>
      </c>
      <c r="B4131" s="95">
        <v>511673.815</v>
      </c>
      <c r="C4131" s="95">
        <v>4786631.074</v>
      </c>
      <c r="D4131" s="95">
        <v>40.158999999999999</v>
      </c>
      <c r="E4131" s="91" t="s">
        <v>147</v>
      </c>
    </row>
    <row r="4132" spans="1:5" x14ac:dyDescent="0.25">
      <c r="A4132" s="102">
        <v>46156</v>
      </c>
      <c r="B4132" s="95">
        <v>511573.39899999998</v>
      </c>
      <c r="C4132" s="95">
        <v>4786684.3550000004</v>
      </c>
      <c r="D4132" s="95">
        <v>43.465000000000003</v>
      </c>
      <c r="E4132" s="91" t="s">
        <v>148</v>
      </c>
    </row>
    <row r="4133" spans="1:5" x14ac:dyDescent="0.25">
      <c r="A4133" s="102">
        <v>46156</v>
      </c>
      <c r="B4133" s="95">
        <v>511575.48499999999</v>
      </c>
      <c r="C4133" s="95">
        <v>4786688.227</v>
      </c>
      <c r="D4133" s="95">
        <v>43.424999999999997</v>
      </c>
      <c r="E4133" s="91" t="s">
        <v>149</v>
      </c>
    </row>
    <row r="4134" spans="1:5" x14ac:dyDescent="0.25">
      <c r="A4134" s="102">
        <v>46156</v>
      </c>
      <c r="B4134" s="95">
        <v>511577.68400000001</v>
      </c>
      <c r="C4134" s="95">
        <v>4786692.2810000004</v>
      </c>
      <c r="D4134" s="95">
        <v>43.613999999999997</v>
      </c>
      <c r="E4134" s="91" t="s">
        <v>150</v>
      </c>
    </row>
    <row r="4135" spans="1:5" x14ac:dyDescent="0.25">
      <c r="A4135" s="102">
        <v>46156</v>
      </c>
      <c r="B4135" s="95">
        <v>511579.78499999997</v>
      </c>
      <c r="C4135" s="95">
        <v>4786696.1969999997</v>
      </c>
      <c r="D4135" s="95">
        <v>43.685000000000002</v>
      </c>
      <c r="E4135" s="91" t="s">
        <v>151</v>
      </c>
    </row>
    <row r="4136" spans="1:5" x14ac:dyDescent="0.25">
      <c r="A4136" s="102">
        <v>46156</v>
      </c>
      <c r="B4136" s="95">
        <v>511574.15</v>
      </c>
      <c r="C4136" s="95">
        <v>4786684.2630000003</v>
      </c>
      <c r="D4136" s="95">
        <v>41.216999999999999</v>
      </c>
      <c r="E4136" s="91" t="s">
        <v>165</v>
      </c>
    </row>
    <row r="4137" spans="1:5" x14ac:dyDescent="0.25">
      <c r="A4137" s="102">
        <v>46156</v>
      </c>
      <c r="B4137" s="95">
        <v>511576.03</v>
      </c>
      <c r="C4137" s="95">
        <v>4786687.8710000003</v>
      </c>
      <c r="D4137" s="95">
        <v>41.052999999999997</v>
      </c>
      <c r="E4137" s="91" t="s">
        <v>166</v>
      </c>
    </row>
    <row r="4138" spans="1:5" x14ac:dyDescent="0.25">
      <c r="A4138" s="102">
        <v>46156</v>
      </c>
      <c r="B4138" s="95">
        <v>511578.09499999997</v>
      </c>
      <c r="C4138" s="95">
        <v>4786692.3229999999</v>
      </c>
      <c r="D4138" s="95">
        <v>41.41</v>
      </c>
      <c r="E4138" s="91" t="s">
        <v>167</v>
      </c>
    </row>
    <row r="4139" spans="1:5" x14ac:dyDescent="0.25">
      <c r="A4139" s="102">
        <v>46156</v>
      </c>
      <c r="B4139" s="95">
        <v>511580.11499999999</v>
      </c>
      <c r="C4139" s="95">
        <v>4786695.8499999996</v>
      </c>
      <c r="D4139" s="95">
        <v>41.073</v>
      </c>
      <c r="E4139" s="91" t="s">
        <v>168</v>
      </c>
    </row>
    <row r="4140" spans="1:5" x14ac:dyDescent="0.25">
      <c r="A4140" s="102">
        <v>46156</v>
      </c>
      <c r="B4140" s="95">
        <v>511576.19799999997</v>
      </c>
      <c r="C4140" s="95">
        <v>4786687.8229999999</v>
      </c>
      <c r="D4140" s="95">
        <v>39.142000000000003</v>
      </c>
      <c r="E4140" s="91" t="s">
        <v>169</v>
      </c>
    </row>
    <row r="4141" spans="1:5" x14ac:dyDescent="0.25">
      <c r="A4141" s="102">
        <v>46156</v>
      </c>
      <c r="B4141" s="95">
        <v>511580.82199999999</v>
      </c>
      <c r="C4141" s="95">
        <v>4786696.34</v>
      </c>
      <c r="D4141" s="95">
        <v>39.268999999999998</v>
      </c>
      <c r="E4141" s="91" t="s">
        <v>170</v>
      </c>
    </row>
    <row r="4142" spans="1:5" x14ac:dyDescent="0.25">
      <c r="A4142" s="102">
        <v>46156</v>
      </c>
      <c r="B4142" s="95">
        <v>511607.17099999997</v>
      </c>
      <c r="C4142" s="95">
        <v>4786690.8389999997</v>
      </c>
      <c r="D4142" s="95">
        <v>41.311999999999998</v>
      </c>
      <c r="E4142" s="91" t="s">
        <v>139</v>
      </c>
    </row>
    <row r="4143" spans="1:5" x14ac:dyDescent="0.25">
      <c r="A4143" s="102">
        <v>46156</v>
      </c>
      <c r="B4143" s="95">
        <v>511614.97200000001</v>
      </c>
      <c r="C4143" s="95">
        <v>4786686.6050000004</v>
      </c>
      <c r="D4143" s="95">
        <v>41.44</v>
      </c>
      <c r="E4143" s="91" t="s">
        <v>140</v>
      </c>
    </row>
    <row r="4144" spans="1:5" x14ac:dyDescent="0.25">
      <c r="A4144" s="102">
        <v>46156</v>
      </c>
      <c r="B4144" s="95">
        <v>511628.82400000002</v>
      </c>
      <c r="C4144" s="95">
        <v>4786679.1390000004</v>
      </c>
      <c r="D4144" s="95">
        <v>41.372999999999998</v>
      </c>
      <c r="E4144" s="91" t="s">
        <v>141</v>
      </c>
    </row>
    <row r="4145" spans="1:5" x14ac:dyDescent="0.25">
      <c r="A4145" s="102">
        <v>46156</v>
      </c>
      <c r="B4145" s="95">
        <v>511641.995</v>
      </c>
      <c r="C4145" s="95">
        <v>4786671.9419999998</v>
      </c>
      <c r="D4145" s="95">
        <v>41.508000000000003</v>
      </c>
      <c r="E4145" s="91" t="s">
        <v>142</v>
      </c>
    </row>
    <row r="4146" spans="1:5" x14ac:dyDescent="0.25">
      <c r="A4146" s="102">
        <v>46156</v>
      </c>
      <c r="B4146" s="95">
        <v>511648.77399999998</v>
      </c>
      <c r="C4146" s="95">
        <v>4786668.2630000003</v>
      </c>
      <c r="D4146" s="95">
        <v>41.305999999999997</v>
      </c>
      <c r="E4146" s="91" t="s">
        <v>143</v>
      </c>
    </row>
    <row r="4147" spans="1:5" x14ac:dyDescent="0.25">
      <c r="A4147" s="102">
        <v>46156</v>
      </c>
      <c r="B4147" s="95">
        <v>511606.848</v>
      </c>
      <c r="C4147" s="95">
        <v>4786690.2869999995</v>
      </c>
      <c r="D4147" s="95">
        <v>38.317</v>
      </c>
      <c r="E4147" s="91" t="s">
        <v>158</v>
      </c>
    </row>
    <row r="4148" spans="1:5" x14ac:dyDescent="0.25">
      <c r="A4148" s="102">
        <v>46156</v>
      </c>
      <c r="B4148" s="95">
        <v>511614.47</v>
      </c>
      <c r="C4148" s="95">
        <v>4786685.943</v>
      </c>
      <c r="D4148" s="95">
        <v>38.354999999999997</v>
      </c>
      <c r="E4148" s="91" t="s">
        <v>159</v>
      </c>
    </row>
    <row r="4149" spans="1:5" x14ac:dyDescent="0.25">
      <c r="A4149" s="102">
        <v>46156</v>
      </c>
      <c r="B4149" s="95">
        <v>511628.52899999998</v>
      </c>
      <c r="C4149" s="95">
        <v>4786678.9220000003</v>
      </c>
      <c r="D4149" s="95">
        <v>38.33</v>
      </c>
      <c r="E4149" s="91" t="s">
        <v>160</v>
      </c>
    </row>
    <row r="4150" spans="1:5" x14ac:dyDescent="0.25">
      <c r="A4150" s="102">
        <v>46156</v>
      </c>
      <c r="B4150" s="95">
        <v>511641.755</v>
      </c>
      <c r="C4150" s="95">
        <v>4786671.5669999998</v>
      </c>
      <c r="D4150" s="95">
        <v>38.454999999999998</v>
      </c>
      <c r="E4150" s="91" t="s">
        <v>161</v>
      </c>
    </row>
    <row r="4151" spans="1:5" x14ac:dyDescent="0.25">
      <c r="A4151" s="102">
        <v>46156</v>
      </c>
      <c r="B4151" s="95">
        <v>511648.49599999998</v>
      </c>
      <c r="C4151" s="95">
        <v>4786667.9879999999</v>
      </c>
      <c r="D4151" s="95">
        <v>38.49</v>
      </c>
      <c r="E4151" s="91" t="s">
        <v>162</v>
      </c>
    </row>
    <row r="4152" spans="1:5" x14ac:dyDescent="0.25">
      <c r="A4152" s="102">
        <v>46160</v>
      </c>
      <c r="B4152" s="95">
        <v>511607.68699999998</v>
      </c>
      <c r="C4152" s="95">
        <v>4786691.4079999998</v>
      </c>
      <c r="D4152" s="95">
        <v>43.941000000000003</v>
      </c>
      <c r="E4152" s="91" t="s">
        <v>112</v>
      </c>
    </row>
    <row r="4153" spans="1:5" x14ac:dyDescent="0.25">
      <c r="A4153" s="102">
        <v>46160</v>
      </c>
      <c r="B4153" s="95">
        <v>511629.40399999998</v>
      </c>
      <c r="C4153" s="95">
        <v>4786679.8969999999</v>
      </c>
      <c r="D4153" s="95">
        <v>43.942999999999998</v>
      </c>
      <c r="E4153" s="91" t="s">
        <v>109</v>
      </c>
    </row>
    <row r="4154" spans="1:5" x14ac:dyDescent="0.25">
      <c r="A4154" s="102">
        <v>46160</v>
      </c>
      <c r="B4154" s="95">
        <v>511615.23700000002</v>
      </c>
      <c r="C4154" s="95">
        <v>4786687.4239999996</v>
      </c>
      <c r="D4154" s="95">
        <v>48.436</v>
      </c>
      <c r="E4154" s="91" t="s">
        <v>103</v>
      </c>
    </row>
    <row r="4155" spans="1:5" x14ac:dyDescent="0.25">
      <c r="A4155" s="102">
        <v>46160</v>
      </c>
      <c r="B4155" s="95">
        <v>511615.20899999997</v>
      </c>
      <c r="C4155" s="95">
        <v>4786687.3470000001</v>
      </c>
      <c r="D4155" s="95">
        <v>45.93</v>
      </c>
      <c r="E4155" s="91" t="s">
        <v>104</v>
      </c>
    </row>
    <row r="4156" spans="1:5" x14ac:dyDescent="0.25">
      <c r="A4156" s="102">
        <v>46160</v>
      </c>
      <c r="B4156" s="95">
        <v>511615.16200000001</v>
      </c>
      <c r="C4156" s="95">
        <v>4786687.37</v>
      </c>
      <c r="D4156" s="95">
        <v>43.954999999999998</v>
      </c>
      <c r="E4156" s="91" t="s">
        <v>110</v>
      </c>
    </row>
    <row r="4157" spans="1:5" x14ac:dyDescent="0.25">
      <c r="A4157" s="102">
        <v>46160</v>
      </c>
      <c r="B4157" s="95">
        <v>511629.16700000002</v>
      </c>
      <c r="C4157" s="95">
        <v>4786680.0559999999</v>
      </c>
      <c r="D4157" s="95">
        <v>48.454999999999998</v>
      </c>
      <c r="E4157" s="91" t="s">
        <v>105</v>
      </c>
    </row>
    <row r="4158" spans="1:5" x14ac:dyDescent="0.25">
      <c r="A4158" s="102">
        <v>46160</v>
      </c>
      <c r="B4158" s="95">
        <v>511629.29100000003</v>
      </c>
      <c r="C4158" s="95">
        <v>4786680.0190000003</v>
      </c>
      <c r="D4158" s="95">
        <v>45.938000000000002</v>
      </c>
      <c r="E4158" s="91" t="s">
        <v>106</v>
      </c>
    </row>
    <row r="4159" spans="1:5" x14ac:dyDescent="0.25">
      <c r="A4159" s="102">
        <v>46160</v>
      </c>
      <c r="B4159" s="95">
        <v>511642.26699999999</v>
      </c>
      <c r="C4159" s="95">
        <v>4786673.1189999999</v>
      </c>
      <c r="D4159" s="95">
        <v>48.436</v>
      </c>
      <c r="E4159" s="91" t="s">
        <v>107</v>
      </c>
    </row>
    <row r="4160" spans="1:5" x14ac:dyDescent="0.25">
      <c r="A4160" s="102">
        <v>46160</v>
      </c>
      <c r="B4160" s="95">
        <v>511642.42</v>
      </c>
      <c r="C4160" s="95">
        <v>4786673.0080000004</v>
      </c>
      <c r="D4160" s="95">
        <v>45.932000000000002</v>
      </c>
      <c r="E4160" s="91" t="s">
        <v>108</v>
      </c>
    </row>
    <row r="4161" spans="1:5" x14ac:dyDescent="0.25">
      <c r="A4161" s="102">
        <v>46160</v>
      </c>
      <c r="B4161" s="95">
        <v>511642.462</v>
      </c>
      <c r="C4161" s="95">
        <v>4786672.8959999997</v>
      </c>
      <c r="D4161" s="95">
        <v>43.963000000000001</v>
      </c>
      <c r="E4161" s="91" t="s">
        <v>111</v>
      </c>
    </row>
    <row r="4162" spans="1:5" x14ac:dyDescent="0.25">
      <c r="A4162" s="102">
        <v>46160</v>
      </c>
      <c r="B4162" s="95">
        <v>511649.11900000001</v>
      </c>
      <c r="C4162" s="95">
        <v>4786669.3930000002</v>
      </c>
      <c r="D4162" s="95">
        <v>43.942</v>
      </c>
      <c r="E4162" s="91" t="s">
        <v>113</v>
      </c>
    </row>
    <row r="4163" spans="1:5" x14ac:dyDescent="0.25">
      <c r="A4163" s="102">
        <v>46160</v>
      </c>
      <c r="B4163" s="95">
        <v>511673.81400000001</v>
      </c>
      <c r="C4163" s="95">
        <v>4786631.0710000005</v>
      </c>
      <c r="D4163" s="95">
        <v>40.158999999999999</v>
      </c>
      <c r="E4163" s="91" t="s">
        <v>147</v>
      </c>
    </row>
    <row r="4164" spans="1:5" x14ac:dyDescent="0.25">
      <c r="A4164" s="102">
        <v>46160</v>
      </c>
      <c r="B4164" s="95">
        <v>511573.39899999998</v>
      </c>
      <c r="C4164" s="95">
        <v>4786684.3530000001</v>
      </c>
      <c r="D4164" s="95">
        <v>43.465000000000003</v>
      </c>
      <c r="E4164" s="91" t="s">
        <v>148</v>
      </c>
    </row>
    <row r="4165" spans="1:5" x14ac:dyDescent="0.25">
      <c r="A4165" s="102">
        <v>46160</v>
      </c>
      <c r="B4165" s="95">
        <v>511575.48499999999</v>
      </c>
      <c r="C4165" s="95">
        <v>4786688.2240000004</v>
      </c>
      <c r="D4165" s="95">
        <v>43.424999999999997</v>
      </c>
      <c r="E4165" s="91" t="s">
        <v>149</v>
      </c>
    </row>
    <row r="4166" spans="1:5" x14ac:dyDescent="0.25">
      <c r="A4166" s="102">
        <v>46160</v>
      </c>
      <c r="B4166" s="95">
        <v>511577.68400000001</v>
      </c>
      <c r="C4166" s="95">
        <v>4786692.2779999999</v>
      </c>
      <c r="D4166" s="95">
        <v>43.613</v>
      </c>
      <c r="E4166" s="91" t="s">
        <v>150</v>
      </c>
    </row>
    <row r="4167" spans="1:5" x14ac:dyDescent="0.25">
      <c r="A4167" s="102">
        <v>46160</v>
      </c>
      <c r="B4167" s="95">
        <v>511579.78499999997</v>
      </c>
      <c r="C4167" s="95">
        <v>4786696.1940000001</v>
      </c>
      <c r="D4167" s="95">
        <v>43.685000000000002</v>
      </c>
      <c r="E4167" s="91" t="s">
        <v>151</v>
      </c>
    </row>
    <row r="4168" spans="1:5" x14ac:dyDescent="0.25">
      <c r="A4168" s="102">
        <v>46160</v>
      </c>
      <c r="B4168" s="95">
        <v>511574.15</v>
      </c>
      <c r="C4168" s="95">
        <v>4786684.26</v>
      </c>
      <c r="D4168" s="95">
        <v>41.216000000000001</v>
      </c>
      <c r="E4168" s="91" t="s">
        <v>165</v>
      </c>
    </row>
    <row r="4169" spans="1:5" x14ac:dyDescent="0.25">
      <c r="A4169" s="102">
        <v>46160</v>
      </c>
      <c r="B4169" s="95">
        <v>511576.02899999998</v>
      </c>
      <c r="C4169" s="95">
        <v>4786687.8689999999</v>
      </c>
      <c r="D4169" s="95">
        <v>41.052</v>
      </c>
      <c r="E4169" s="91" t="s">
        <v>166</v>
      </c>
    </row>
    <row r="4170" spans="1:5" x14ac:dyDescent="0.25">
      <c r="A4170" s="102">
        <v>46160</v>
      </c>
      <c r="B4170" s="95">
        <v>511578.09499999997</v>
      </c>
      <c r="C4170" s="95">
        <v>4786692.3210000005</v>
      </c>
      <c r="D4170" s="95">
        <v>41.41</v>
      </c>
      <c r="E4170" s="91" t="s">
        <v>167</v>
      </c>
    </row>
    <row r="4171" spans="1:5" x14ac:dyDescent="0.25">
      <c r="A4171" s="102">
        <v>46160</v>
      </c>
      <c r="B4171" s="95">
        <v>511580.11499999999</v>
      </c>
      <c r="C4171" s="95">
        <v>4786695.8470000001</v>
      </c>
      <c r="D4171" s="95">
        <v>41.073</v>
      </c>
      <c r="E4171" s="91" t="s">
        <v>168</v>
      </c>
    </row>
    <row r="4172" spans="1:5" x14ac:dyDescent="0.25">
      <c r="A4172" s="102">
        <v>46160</v>
      </c>
      <c r="B4172" s="95">
        <v>511607.17099999997</v>
      </c>
      <c r="C4172" s="95">
        <v>4786690.8370000003</v>
      </c>
      <c r="D4172" s="95">
        <v>41.311999999999998</v>
      </c>
      <c r="E4172" s="91" t="s">
        <v>139</v>
      </c>
    </row>
    <row r="4173" spans="1:5" x14ac:dyDescent="0.25">
      <c r="A4173" s="102">
        <v>46160</v>
      </c>
      <c r="B4173" s="95">
        <v>511614.973</v>
      </c>
      <c r="C4173" s="95">
        <v>4786686.602</v>
      </c>
      <c r="D4173" s="95">
        <v>41.439</v>
      </c>
      <c r="E4173" s="91" t="s">
        <v>140</v>
      </c>
    </row>
    <row r="4174" spans="1:5" x14ac:dyDescent="0.25">
      <c r="A4174" s="102">
        <v>46160</v>
      </c>
      <c r="B4174" s="95">
        <v>511628.82400000002</v>
      </c>
      <c r="C4174" s="95">
        <v>4786679.1359999999</v>
      </c>
      <c r="D4174" s="95">
        <v>41.372999999999998</v>
      </c>
      <c r="E4174" s="91" t="s">
        <v>141</v>
      </c>
    </row>
    <row r="4175" spans="1:5" x14ac:dyDescent="0.25">
      <c r="A4175" s="102">
        <v>46160</v>
      </c>
      <c r="B4175" s="95">
        <v>511641.99400000001</v>
      </c>
      <c r="C4175" s="95">
        <v>4786671.9380000001</v>
      </c>
      <c r="D4175" s="95">
        <v>41.508000000000003</v>
      </c>
      <c r="E4175" s="91" t="s">
        <v>142</v>
      </c>
    </row>
    <row r="4176" spans="1:5" x14ac:dyDescent="0.25">
      <c r="A4176" s="102">
        <v>46160</v>
      </c>
      <c r="B4176" s="95">
        <v>511648.77399999998</v>
      </c>
      <c r="C4176" s="95">
        <v>4786668.2589999996</v>
      </c>
      <c r="D4176" s="95">
        <v>41.305999999999997</v>
      </c>
      <c r="E4176" s="91" t="s">
        <v>143</v>
      </c>
    </row>
    <row r="4177" spans="1:5" x14ac:dyDescent="0.25">
      <c r="A4177" s="102">
        <v>46160</v>
      </c>
      <c r="B4177" s="95">
        <v>511606.848</v>
      </c>
      <c r="C4177" s="95">
        <v>4786690.284</v>
      </c>
      <c r="D4177" s="95">
        <v>38.317</v>
      </c>
      <c r="E4177" s="91" t="s">
        <v>158</v>
      </c>
    </row>
    <row r="4178" spans="1:5" x14ac:dyDescent="0.25">
      <c r="A4178" s="102">
        <v>46160</v>
      </c>
      <c r="B4178" s="95">
        <v>511614.47100000002</v>
      </c>
      <c r="C4178" s="95">
        <v>4786685.9400000004</v>
      </c>
      <c r="D4178" s="95">
        <v>38.354999999999997</v>
      </c>
      <c r="E4178" s="91" t="s">
        <v>159</v>
      </c>
    </row>
    <row r="4179" spans="1:5" x14ac:dyDescent="0.25">
      <c r="A4179" s="102">
        <v>46160</v>
      </c>
      <c r="B4179" s="95">
        <v>511628.52899999998</v>
      </c>
      <c r="C4179" s="95">
        <v>4786678.9189999998</v>
      </c>
      <c r="D4179" s="95">
        <v>38.33</v>
      </c>
      <c r="E4179" s="91" t="s">
        <v>160</v>
      </c>
    </row>
    <row r="4180" spans="1:5" x14ac:dyDescent="0.25">
      <c r="A4180" s="102">
        <v>46160</v>
      </c>
      <c r="B4180" s="95">
        <v>511641.755</v>
      </c>
      <c r="C4180" s="95">
        <v>4786671.5640000002</v>
      </c>
      <c r="D4180" s="95">
        <v>38.454999999999998</v>
      </c>
      <c r="E4180" s="91" t="s">
        <v>161</v>
      </c>
    </row>
    <row r="4181" spans="1:5" x14ac:dyDescent="0.25">
      <c r="A4181" s="102">
        <v>46160</v>
      </c>
      <c r="B4181" s="95">
        <v>511648.495</v>
      </c>
      <c r="C4181" s="95">
        <v>4786667.9850000003</v>
      </c>
      <c r="D4181" s="95">
        <v>38.49</v>
      </c>
      <c r="E4181" s="91" t="s">
        <v>162</v>
      </c>
    </row>
    <row r="4182" spans="1:5" x14ac:dyDescent="0.25">
      <c r="A4182" s="102">
        <v>46161</v>
      </c>
      <c r="B4182" s="95">
        <v>511607.68400000001</v>
      </c>
      <c r="C4182" s="95">
        <v>4786691.41</v>
      </c>
      <c r="D4182" s="95">
        <v>43.942</v>
      </c>
      <c r="E4182" s="91" t="s">
        <v>112</v>
      </c>
    </row>
    <row r="4183" spans="1:5" x14ac:dyDescent="0.25">
      <c r="A4183" s="102">
        <v>46161</v>
      </c>
      <c r="B4183" s="95">
        <v>511629.40100000001</v>
      </c>
      <c r="C4183" s="95">
        <v>4786679.9000000004</v>
      </c>
      <c r="D4183" s="95">
        <v>43.944000000000003</v>
      </c>
      <c r="E4183" s="91" t="s">
        <v>109</v>
      </c>
    </row>
    <row r="4184" spans="1:5" x14ac:dyDescent="0.25">
      <c r="A4184" s="102">
        <v>46161</v>
      </c>
      <c r="B4184" s="95">
        <v>511615.23300000001</v>
      </c>
      <c r="C4184" s="95">
        <v>4786687.426</v>
      </c>
      <c r="D4184" s="95">
        <v>48.438000000000002</v>
      </c>
      <c r="E4184" s="91" t="s">
        <v>103</v>
      </c>
    </row>
    <row r="4185" spans="1:5" x14ac:dyDescent="0.25">
      <c r="A4185" s="102">
        <v>46161</v>
      </c>
      <c r="B4185" s="95">
        <v>511615.20600000001</v>
      </c>
      <c r="C4185" s="95">
        <v>4786687.3490000004</v>
      </c>
      <c r="D4185" s="95">
        <v>45.930999999999997</v>
      </c>
      <c r="E4185" s="91" t="s">
        <v>104</v>
      </c>
    </row>
    <row r="4186" spans="1:5" x14ac:dyDescent="0.25">
      <c r="A4186" s="102">
        <v>46161</v>
      </c>
      <c r="B4186" s="95">
        <v>511615.158</v>
      </c>
      <c r="C4186" s="95">
        <v>4786687.3720000004</v>
      </c>
      <c r="D4186" s="95">
        <v>43.956000000000003</v>
      </c>
      <c r="E4186" s="91" t="s">
        <v>110</v>
      </c>
    </row>
    <row r="4187" spans="1:5" x14ac:dyDescent="0.25">
      <c r="A4187" s="102">
        <v>46161</v>
      </c>
      <c r="B4187" s="95">
        <v>511629.16399999999</v>
      </c>
      <c r="C4187" s="95">
        <v>4786680.0590000004</v>
      </c>
      <c r="D4187" s="95">
        <v>48.456000000000003</v>
      </c>
      <c r="E4187" s="91" t="s">
        <v>105</v>
      </c>
    </row>
    <row r="4188" spans="1:5" x14ac:dyDescent="0.25">
      <c r="A4188" s="102">
        <v>46161</v>
      </c>
      <c r="B4188" s="95">
        <v>511629.288</v>
      </c>
      <c r="C4188" s="95">
        <v>4786680.0209999997</v>
      </c>
      <c r="D4188" s="95">
        <v>45.939</v>
      </c>
      <c r="E4188" s="91" t="s">
        <v>106</v>
      </c>
    </row>
    <row r="4189" spans="1:5" x14ac:dyDescent="0.25">
      <c r="A4189" s="102">
        <v>46161</v>
      </c>
      <c r="B4189" s="95">
        <v>511642.26500000001</v>
      </c>
      <c r="C4189" s="95">
        <v>4786673.1220000004</v>
      </c>
      <c r="D4189" s="95">
        <v>48.436999999999998</v>
      </c>
      <c r="E4189" s="91" t="s">
        <v>107</v>
      </c>
    </row>
    <row r="4190" spans="1:5" x14ac:dyDescent="0.25">
      <c r="A4190" s="102">
        <v>46161</v>
      </c>
      <c r="B4190" s="95">
        <v>511642.41899999999</v>
      </c>
      <c r="C4190" s="95">
        <v>4786673.0109999999</v>
      </c>
      <c r="D4190" s="95">
        <v>45.933</v>
      </c>
      <c r="E4190" s="91" t="s">
        <v>108</v>
      </c>
    </row>
    <row r="4191" spans="1:5" x14ac:dyDescent="0.25">
      <c r="A4191" s="102">
        <v>46161</v>
      </c>
      <c r="B4191" s="95">
        <v>511642.45699999999</v>
      </c>
      <c r="C4191" s="95">
        <v>4786672.898</v>
      </c>
      <c r="D4191" s="95">
        <v>43.965000000000003</v>
      </c>
      <c r="E4191" s="91" t="s">
        <v>111</v>
      </c>
    </row>
    <row r="4192" spans="1:5" x14ac:dyDescent="0.25">
      <c r="A4192" s="102">
        <v>46161</v>
      </c>
      <c r="B4192" s="95">
        <v>511649.11599999998</v>
      </c>
      <c r="C4192" s="95">
        <v>4786669.3959999997</v>
      </c>
      <c r="D4192" s="95">
        <v>43.944000000000003</v>
      </c>
      <c r="E4192" s="91" t="s">
        <v>113</v>
      </c>
    </row>
    <row r="4193" spans="1:5" x14ac:dyDescent="0.25">
      <c r="A4193" s="102">
        <v>46161</v>
      </c>
      <c r="B4193" s="95">
        <v>511678.29300000001</v>
      </c>
      <c r="C4193" s="95">
        <v>4786638.6109999996</v>
      </c>
      <c r="D4193" s="95">
        <v>41.311</v>
      </c>
      <c r="E4193" s="91" t="s">
        <v>171</v>
      </c>
    </row>
    <row r="4194" spans="1:5" x14ac:dyDescent="0.25">
      <c r="A4194" s="102">
        <v>46161</v>
      </c>
      <c r="B4194" s="95">
        <v>511673.81099999999</v>
      </c>
      <c r="C4194" s="95">
        <v>4786631.0750000002</v>
      </c>
      <c r="D4194" s="95">
        <v>40.159999999999997</v>
      </c>
      <c r="E4194" s="91" t="s">
        <v>147</v>
      </c>
    </row>
    <row r="4195" spans="1:5" x14ac:dyDescent="0.25">
      <c r="A4195" s="102">
        <v>46161</v>
      </c>
      <c r="B4195" s="95">
        <v>511681.67</v>
      </c>
      <c r="C4195" s="95">
        <v>4786646.8250000002</v>
      </c>
      <c r="D4195" s="95">
        <v>38.518999999999998</v>
      </c>
      <c r="E4195" s="91" t="s">
        <v>172</v>
      </c>
    </row>
    <row r="4196" spans="1:5" x14ac:dyDescent="0.25">
      <c r="A4196" s="102">
        <v>46161</v>
      </c>
      <c r="B4196" s="95">
        <v>511680.23100000003</v>
      </c>
      <c r="C4196" s="95">
        <v>4786643.568</v>
      </c>
      <c r="D4196" s="95">
        <v>38.491999999999997</v>
      </c>
      <c r="E4196" s="91" t="s">
        <v>173</v>
      </c>
    </row>
    <row r="4197" spans="1:5" x14ac:dyDescent="0.25">
      <c r="A4197" s="102">
        <v>46161</v>
      </c>
      <c r="B4197" s="95">
        <v>511675.49200000003</v>
      </c>
      <c r="C4197" s="95">
        <v>4786634.6279999996</v>
      </c>
      <c r="D4197" s="95">
        <v>38.651000000000003</v>
      </c>
      <c r="E4197" s="91" t="s">
        <v>174</v>
      </c>
    </row>
    <row r="4198" spans="1:5" x14ac:dyDescent="0.25">
      <c r="A4198" s="102">
        <v>46161</v>
      </c>
      <c r="B4198" s="95">
        <v>511673.58</v>
      </c>
      <c r="C4198" s="95">
        <v>4786631.2429999998</v>
      </c>
      <c r="D4198" s="95">
        <v>38.640999999999998</v>
      </c>
      <c r="E4198" s="91" t="s">
        <v>175</v>
      </c>
    </row>
    <row r="4199" spans="1:5" x14ac:dyDescent="0.25">
      <c r="A4199" s="102">
        <v>46161</v>
      </c>
      <c r="B4199" s="95">
        <v>511573.39399999997</v>
      </c>
      <c r="C4199" s="95">
        <v>4786684.3550000004</v>
      </c>
      <c r="D4199" s="95">
        <v>43.466000000000001</v>
      </c>
      <c r="E4199" s="91" t="s">
        <v>148</v>
      </c>
    </row>
    <row r="4200" spans="1:5" x14ac:dyDescent="0.25">
      <c r="A4200" s="102">
        <v>46161</v>
      </c>
      <c r="B4200" s="95">
        <v>511575.48100000003</v>
      </c>
      <c r="C4200" s="95">
        <v>4786688.2259999998</v>
      </c>
      <c r="D4200" s="95">
        <v>43.426000000000002</v>
      </c>
      <c r="E4200" s="91" t="s">
        <v>149</v>
      </c>
    </row>
    <row r="4201" spans="1:5" x14ac:dyDescent="0.25">
      <c r="A4201" s="102">
        <v>46161</v>
      </c>
      <c r="B4201" s="95">
        <v>511577.68</v>
      </c>
      <c r="C4201" s="95">
        <v>4786692.2810000004</v>
      </c>
      <c r="D4201" s="95">
        <v>43.613999999999997</v>
      </c>
      <c r="E4201" s="91" t="s">
        <v>150</v>
      </c>
    </row>
    <row r="4202" spans="1:5" x14ac:dyDescent="0.25">
      <c r="A4202" s="102">
        <v>46161</v>
      </c>
      <c r="B4202" s="95">
        <v>511579.78100000002</v>
      </c>
      <c r="C4202" s="95">
        <v>4786696.1960000005</v>
      </c>
      <c r="D4202" s="95">
        <v>43.686</v>
      </c>
      <c r="E4202" s="91" t="s">
        <v>151</v>
      </c>
    </row>
    <row r="4203" spans="1:5" x14ac:dyDescent="0.25">
      <c r="A4203" s="102">
        <v>46161</v>
      </c>
      <c r="B4203" s="95">
        <v>511574.14600000001</v>
      </c>
      <c r="C4203" s="95">
        <v>4786684.2620000001</v>
      </c>
      <c r="D4203" s="95">
        <v>41.216999999999999</v>
      </c>
      <c r="E4203" s="91" t="s">
        <v>165</v>
      </c>
    </row>
    <row r="4204" spans="1:5" x14ac:dyDescent="0.25">
      <c r="A4204" s="102">
        <v>46161</v>
      </c>
      <c r="B4204" s="95">
        <v>511576.027</v>
      </c>
      <c r="C4204" s="95">
        <v>4786687.8689999999</v>
      </c>
      <c r="D4204" s="95">
        <v>41.054000000000002</v>
      </c>
      <c r="E4204" s="91" t="s">
        <v>166</v>
      </c>
    </row>
    <row r="4205" spans="1:5" x14ac:dyDescent="0.25">
      <c r="A4205" s="102">
        <v>46161</v>
      </c>
      <c r="B4205" s="95">
        <v>511578.09100000001</v>
      </c>
      <c r="C4205" s="95">
        <v>4786692.3229999999</v>
      </c>
      <c r="D4205" s="95">
        <v>41.411000000000001</v>
      </c>
      <c r="E4205" s="91" t="s">
        <v>167</v>
      </c>
    </row>
    <row r="4206" spans="1:5" x14ac:dyDescent="0.25">
      <c r="A4206" s="102">
        <v>46161</v>
      </c>
      <c r="B4206" s="95">
        <v>511580.11099999998</v>
      </c>
      <c r="C4206" s="95">
        <v>4786695.8509999998</v>
      </c>
      <c r="D4206" s="95">
        <v>41.073</v>
      </c>
      <c r="E4206" s="91" t="s">
        <v>168</v>
      </c>
    </row>
    <row r="4207" spans="1:5" x14ac:dyDescent="0.25">
      <c r="A4207" s="102">
        <v>46161</v>
      </c>
      <c r="B4207" s="95">
        <v>511576.19300000003</v>
      </c>
      <c r="C4207" s="95">
        <v>4786687.8229999999</v>
      </c>
      <c r="D4207" s="95">
        <v>39.143000000000001</v>
      </c>
      <c r="E4207" s="91" t="s">
        <v>169</v>
      </c>
    </row>
    <row r="4208" spans="1:5" x14ac:dyDescent="0.25">
      <c r="A4208" s="102">
        <v>46161</v>
      </c>
      <c r="B4208" s="95">
        <v>511580.81699999998</v>
      </c>
      <c r="C4208" s="95">
        <v>4786696.341</v>
      </c>
      <c r="D4208" s="95">
        <v>39.270000000000003</v>
      </c>
      <c r="E4208" s="91" t="s">
        <v>170</v>
      </c>
    </row>
    <row r="4209" spans="1:5" x14ac:dyDescent="0.25">
      <c r="A4209" s="102">
        <v>46161</v>
      </c>
      <c r="B4209" s="95">
        <v>511607.16800000001</v>
      </c>
      <c r="C4209" s="95">
        <v>4786690.8389999997</v>
      </c>
      <c r="D4209" s="95">
        <v>41.313000000000002</v>
      </c>
      <c r="E4209" s="91" t="s">
        <v>139</v>
      </c>
    </row>
    <row r="4210" spans="1:5" x14ac:dyDescent="0.25">
      <c r="A4210" s="102">
        <v>46161</v>
      </c>
      <c r="B4210" s="95">
        <v>511614.96899999998</v>
      </c>
      <c r="C4210" s="95">
        <v>4786686.6040000003</v>
      </c>
      <c r="D4210" s="95">
        <v>41.441000000000003</v>
      </c>
      <c r="E4210" s="91" t="s">
        <v>140</v>
      </c>
    </row>
    <row r="4211" spans="1:5" x14ac:dyDescent="0.25">
      <c r="A4211" s="102">
        <v>46161</v>
      </c>
      <c r="B4211" s="95">
        <v>511628.82</v>
      </c>
      <c r="C4211" s="95">
        <v>4786679.1380000003</v>
      </c>
      <c r="D4211" s="95">
        <v>41.374000000000002</v>
      </c>
      <c r="E4211" s="91" t="s">
        <v>141</v>
      </c>
    </row>
    <row r="4212" spans="1:5" x14ac:dyDescent="0.25">
      <c r="A4212" s="102">
        <v>46161</v>
      </c>
      <c r="B4212" s="95">
        <v>511641.99</v>
      </c>
      <c r="C4212" s="95">
        <v>4786671.9409999996</v>
      </c>
      <c r="D4212" s="95">
        <v>41.51</v>
      </c>
      <c r="E4212" s="91" t="s">
        <v>142</v>
      </c>
    </row>
    <row r="4213" spans="1:5" x14ac:dyDescent="0.25">
      <c r="A4213" s="102">
        <v>46161</v>
      </c>
      <c r="B4213" s="95">
        <v>511648.77</v>
      </c>
      <c r="C4213" s="95">
        <v>4786668.2620000001</v>
      </c>
      <c r="D4213" s="95">
        <v>41.308</v>
      </c>
      <c r="E4213" s="91" t="s">
        <v>143</v>
      </c>
    </row>
    <row r="4214" spans="1:5" x14ac:dyDescent="0.25">
      <c r="A4214" s="102">
        <v>46161</v>
      </c>
      <c r="B4214" s="95">
        <v>511606.84399999998</v>
      </c>
      <c r="C4214" s="95">
        <v>4786690.2860000003</v>
      </c>
      <c r="D4214" s="95">
        <v>38.317999999999998</v>
      </c>
      <c r="E4214" s="91" t="s">
        <v>158</v>
      </c>
    </row>
    <row r="4215" spans="1:5" x14ac:dyDescent="0.25">
      <c r="A4215" s="102">
        <v>46161</v>
      </c>
      <c r="B4215" s="95">
        <v>511614.46600000001</v>
      </c>
      <c r="C4215" s="95">
        <v>4786685.9409999996</v>
      </c>
      <c r="D4215" s="95">
        <v>38.356000000000002</v>
      </c>
      <c r="E4215" s="91" t="s">
        <v>159</v>
      </c>
    </row>
    <row r="4216" spans="1:5" x14ac:dyDescent="0.25">
      <c r="A4216" s="102">
        <v>46161</v>
      </c>
      <c r="B4216" s="95">
        <v>511628.52600000001</v>
      </c>
      <c r="C4216" s="95">
        <v>4786678.9220000003</v>
      </c>
      <c r="D4216" s="95">
        <v>38.331000000000003</v>
      </c>
      <c r="E4216" s="91" t="s">
        <v>160</v>
      </c>
    </row>
    <row r="4217" spans="1:5" x14ac:dyDescent="0.25">
      <c r="A4217" s="102">
        <v>46161</v>
      </c>
      <c r="B4217" s="95">
        <v>511641.75199999998</v>
      </c>
      <c r="C4217" s="95">
        <v>4786671.5669999998</v>
      </c>
      <c r="D4217" s="95">
        <v>38.457000000000001</v>
      </c>
      <c r="E4217" s="91" t="s">
        <v>161</v>
      </c>
    </row>
    <row r="4218" spans="1:5" x14ac:dyDescent="0.25">
      <c r="A4218" s="102">
        <v>46161</v>
      </c>
      <c r="B4218" s="95">
        <v>511648.49300000002</v>
      </c>
      <c r="C4218" s="95">
        <v>4786667.9869999997</v>
      </c>
      <c r="D4218" s="95">
        <v>38.491999999999997</v>
      </c>
      <c r="E4218" s="91" t="s">
        <v>162</v>
      </c>
    </row>
    <row r="4219" spans="1:5" x14ac:dyDescent="0.25">
      <c r="A4219" s="102">
        <v>46161</v>
      </c>
      <c r="B4219" s="95">
        <v>511606.57799999998</v>
      </c>
      <c r="C4219" s="95">
        <v>4786689.7970000003</v>
      </c>
      <c r="D4219" s="95">
        <v>35.209000000000003</v>
      </c>
      <c r="E4219" s="91" t="s">
        <v>176</v>
      </c>
    </row>
    <row r="4220" spans="1:5" x14ac:dyDescent="0.25">
      <c r="A4220" s="102">
        <v>46161</v>
      </c>
      <c r="B4220" s="95">
        <v>511614.288</v>
      </c>
      <c r="C4220" s="95">
        <v>4786685.5939999996</v>
      </c>
      <c r="D4220" s="95">
        <v>35.57</v>
      </c>
      <c r="E4220" s="91" t="s">
        <v>177</v>
      </c>
    </row>
    <row r="4221" spans="1:5" x14ac:dyDescent="0.25">
      <c r="A4221" s="102">
        <v>46161</v>
      </c>
      <c r="B4221" s="95">
        <v>511628.23499999999</v>
      </c>
      <c r="C4221" s="95">
        <v>4786678.517</v>
      </c>
      <c r="D4221" s="95">
        <v>35.203000000000003</v>
      </c>
      <c r="E4221" s="91" t="s">
        <v>178</v>
      </c>
    </row>
    <row r="4222" spans="1:5" x14ac:dyDescent="0.25">
      <c r="A4222" s="102">
        <v>46161</v>
      </c>
      <c r="B4222" s="95">
        <v>511641.37900000002</v>
      </c>
      <c r="C4222" s="95">
        <v>4786671.1749999998</v>
      </c>
      <c r="D4222" s="95">
        <v>35.261000000000003</v>
      </c>
      <c r="E4222" s="91" t="s">
        <v>179</v>
      </c>
    </row>
    <row r="4223" spans="1:5" x14ac:dyDescent="0.25">
      <c r="A4223" s="102">
        <v>46161</v>
      </c>
      <c r="B4223" s="95">
        <v>511648.19</v>
      </c>
      <c r="C4223" s="95">
        <v>4786667.4440000001</v>
      </c>
      <c r="D4223" s="95">
        <v>35.311</v>
      </c>
      <c r="E4223" s="91" t="s">
        <v>180</v>
      </c>
    </row>
    <row r="4224" spans="1:5" x14ac:dyDescent="0.25">
      <c r="A4224" s="102">
        <v>46163</v>
      </c>
      <c r="B4224" s="95">
        <v>511607.68300000002</v>
      </c>
      <c r="C4224" s="95">
        <v>4786691.4119999995</v>
      </c>
      <c r="D4224" s="95">
        <v>43.942999999999998</v>
      </c>
      <c r="E4224" s="91" t="s">
        <v>112</v>
      </c>
    </row>
    <row r="4225" spans="1:5" x14ac:dyDescent="0.25">
      <c r="A4225" s="102">
        <v>46163</v>
      </c>
      <c r="B4225" s="95">
        <v>511629.402</v>
      </c>
      <c r="C4225" s="95">
        <v>4786679.9019999998</v>
      </c>
      <c r="D4225" s="95">
        <v>43.944000000000003</v>
      </c>
      <c r="E4225" s="91" t="s">
        <v>109</v>
      </c>
    </row>
    <row r="4226" spans="1:5" x14ac:dyDescent="0.25">
      <c r="A4226" s="102">
        <v>46163</v>
      </c>
      <c r="B4226" s="95">
        <v>511615.23300000001</v>
      </c>
      <c r="C4226" s="95">
        <v>4786687.4270000001</v>
      </c>
      <c r="D4226" s="95">
        <v>48.439</v>
      </c>
      <c r="E4226" s="91" t="s">
        <v>103</v>
      </c>
    </row>
    <row r="4227" spans="1:5" x14ac:dyDescent="0.25">
      <c r="A4227" s="102">
        <v>46163</v>
      </c>
      <c r="B4227" s="95">
        <v>511615.20500000002</v>
      </c>
      <c r="C4227" s="95">
        <v>4786687.3499999996</v>
      </c>
      <c r="D4227" s="95">
        <v>45.932000000000002</v>
      </c>
      <c r="E4227" s="91" t="s">
        <v>104</v>
      </c>
    </row>
    <row r="4228" spans="1:5" x14ac:dyDescent="0.25">
      <c r="A4228" s="102">
        <v>46163</v>
      </c>
      <c r="B4228" s="95">
        <v>511615.158</v>
      </c>
      <c r="C4228" s="95">
        <v>4786687.3729999997</v>
      </c>
      <c r="D4228" s="95">
        <v>43.957000000000001</v>
      </c>
      <c r="E4228" s="91" t="s">
        <v>110</v>
      </c>
    </row>
    <row r="4229" spans="1:5" x14ac:dyDescent="0.25">
      <c r="A4229" s="102">
        <v>46163</v>
      </c>
      <c r="B4229" s="95">
        <v>511629.16499999998</v>
      </c>
      <c r="C4229" s="95">
        <v>4786680.0609999998</v>
      </c>
      <c r="D4229" s="95">
        <v>48.457000000000001</v>
      </c>
      <c r="E4229" s="91" t="s">
        <v>105</v>
      </c>
    </row>
    <row r="4230" spans="1:5" x14ac:dyDescent="0.25">
      <c r="A4230" s="102">
        <v>46163</v>
      </c>
      <c r="B4230" s="95">
        <v>511629.28700000001</v>
      </c>
      <c r="C4230" s="95">
        <v>4786680.023</v>
      </c>
      <c r="D4230" s="95">
        <v>45.94</v>
      </c>
      <c r="E4230" s="91" t="s">
        <v>106</v>
      </c>
    </row>
    <row r="4231" spans="1:5" x14ac:dyDescent="0.25">
      <c r="A4231" s="102">
        <v>46163</v>
      </c>
      <c r="B4231" s="95">
        <v>511642.26400000002</v>
      </c>
      <c r="C4231" s="95">
        <v>4786673.1239999998</v>
      </c>
      <c r="D4231" s="95">
        <v>48.438000000000002</v>
      </c>
      <c r="E4231" s="91" t="s">
        <v>107</v>
      </c>
    </row>
    <row r="4232" spans="1:5" x14ac:dyDescent="0.25">
      <c r="A4232" s="102">
        <v>46163</v>
      </c>
      <c r="B4232" s="95">
        <v>511642.41899999999</v>
      </c>
      <c r="C4232" s="95">
        <v>4786673.0130000003</v>
      </c>
      <c r="D4232" s="95">
        <v>45.933999999999997</v>
      </c>
      <c r="E4232" s="91" t="s">
        <v>108</v>
      </c>
    </row>
    <row r="4233" spans="1:5" x14ac:dyDescent="0.25">
      <c r="A4233" s="102">
        <v>46163</v>
      </c>
      <c r="B4233" s="95">
        <v>511642.45799999998</v>
      </c>
      <c r="C4233" s="95">
        <v>4786672.9000000004</v>
      </c>
      <c r="D4233" s="95">
        <v>43.966000000000001</v>
      </c>
      <c r="E4233" s="91" t="s">
        <v>111</v>
      </c>
    </row>
    <row r="4234" spans="1:5" x14ac:dyDescent="0.25">
      <c r="A4234" s="102">
        <v>46163</v>
      </c>
      <c r="B4234" s="95">
        <v>511649.11599999998</v>
      </c>
      <c r="C4234" s="95">
        <v>4786669.398</v>
      </c>
      <c r="D4234" s="95">
        <v>43.945</v>
      </c>
      <c r="E4234" s="91" t="s">
        <v>113</v>
      </c>
    </row>
    <row r="4235" spans="1:5" x14ac:dyDescent="0.25">
      <c r="A4235" s="102">
        <v>46163</v>
      </c>
      <c r="B4235" s="95">
        <v>511678.29200000002</v>
      </c>
      <c r="C4235" s="95">
        <v>4786638.6119999997</v>
      </c>
      <c r="D4235" s="95">
        <v>41.311999999999998</v>
      </c>
      <c r="E4235" s="91" t="s">
        <v>171</v>
      </c>
    </row>
    <row r="4236" spans="1:5" x14ac:dyDescent="0.25">
      <c r="A4236" s="102">
        <v>46163</v>
      </c>
      <c r="B4236" s="95">
        <v>511673.80900000001</v>
      </c>
      <c r="C4236" s="95">
        <v>4786631.0710000005</v>
      </c>
      <c r="D4236" s="95">
        <v>40.161999999999999</v>
      </c>
      <c r="E4236" s="91" t="s">
        <v>147</v>
      </c>
    </row>
    <row r="4237" spans="1:5" x14ac:dyDescent="0.25">
      <c r="A4237" s="102">
        <v>46163</v>
      </c>
      <c r="B4237" s="95">
        <v>511681.67099999997</v>
      </c>
      <c r="C4237" s="95">
        <v>4786646.8260000004</v>
      </c>
      <c r="D4237" s="95">
        <v>38.521999999999998</v>
      </c>
      <c r="E4237" s="91" t="s">
        <v>172</v>
      </c>
    </row>
    <row r="4238" spans="1:5" x14ac:dyDescent="0.25">
      <c r="A4238" s="102">
        <v>46163</v>
      </c>
      <c r="B4238" s="95">
        <v>511680.23100000003</v>
      </c>
      <c r="C4238" s="95">
        <v>4786643.5690000001</v>
      </c>
      <c r="D4238" s="95">
        <v>38.494</v>
      </c>
      <c r="E4238" s="91" t="s">
        <v>173</v>
      </c>
    </row>
    <row r="4239" spans="1:5" x14ac:dyDescent="0.25">
      <c r="A4239" s="102">
        <v>46163</v>
      </c>
      <c r="B4239" s="95">
        <v>511675.49099999998</v>
      </c>
      <c r="C4239" s="95">
        <v>4786634.63</v>
      </c>
      <c r="D4239" s="95">
        <v>38.652999999999999</v>
      </c>
      <c r="E4239" s="91" t="s">
        <v>174</v>
      </c>
    </row>
    <row r="4240" spans="1:5" x14ac:dyDescent="0.25">
      <c r="A4240" s="102">
        <v>46163</v>
      </c>
      <c r="B4240" s="95">
        <v>511673.58</v>
      </c>
      <c r="C4240" s="95">
        <v>4786631.2450000001</v>
      </c>
      <c r="D4240" s="95">
        <v>38.642000000000003</v>
      </c>
      <c r="E4240" s="91" t="s">
        <v>175</v>
      </c>
    </row>
    <row r="4241" spans="1:5" x14ac:dyDescent="0.25">
      <c r="A4241" s="102">
        <v>46163</v>
      </c>
      <c r="B4241" s="95">
        <v>511573.39500000002</v>
      </c>
      <c r="C4241" s="95">
        <v>4786684.3540000003</v>
      </c>
      <c r="D4241" s="95">
        <v>43.466999999999999</v>
      </c>
      <c r="E4241" s="91" t="s">
        <v>148</v>
      </c>
    </row>
    <row r="4242" spans="1:5" x14ac:dyDescent="0.25">
      <c r="A4242" s="102">
        <v>46163</v>
      </c>
      <c r="B4242" s="95">
        <v>511575.48100000003</v>
      </c>
      <c r="C4242" s="95">
        <v>4786688.2259999998</v>
      </c>
      <c r="D4242" s="95">
        <v>43.427999999999997</v>
      </c>
      <c r="E4242" s="91" t="s">
        <v>149</v>
      </c>
    </row>
    <row r="4243" spans="1:5" x14ac:dyDescent="0.25">
      <c r="A4243" s="102">
        <v>46163</v>
      </c>
      <c r="B4243" s="95">
        <v>511577.68</v>
      </c>
      <c r="C4243" s="95">
        <v>4786692.28</v>
      </c>
      <c r="D4243" s="95">
        <v>43.616</v>
      </c>
      <c r="E4243" s="91" t="s">
        <v>150</v>
      </c>
    </row>
    <row r="4244" spans="1:5" x14ac:dyDescent="0.25">
      <c r="A4244" s="102">
        <v>46163</v>
      </c>
      <c r="B4244" s="95">
        <v>511579.78100000002</v>
      </c>
      <c r="C4244" s="95">
        <v>4786696.1969999997</v>
      </c>
      <c r="D4244" s="95">
        <v>43.686999999999998</v>
      </c>
      <c r="E4244" s="91" t="s">
        <v>151</v>
      </c>
    </row>
    <row r="4245" spans="1:5" x14ac:dyDescent="0.25">
      <c r="A4245" s="102">
        <v>46163</v>
      </c>
      <c r="B4245" s="95">
        <v>511574.14600000001</v>
      </c>
      <c r="C4245" s="95">
        <v>4786684.2630000003</v>
      </c>
      <c r="D4245" s="95">
        <v>41.218000000000004</v>
      </c>
      <c r="E4245" s="91" t="s">
        <v>165</v>
      </c>
    </row>
    <row r="4246" spans="1:5" x14ac:dyDescent="0.25">
      <c r="A4246" s="102">
        <v>46163</v>
      </c>
      <c r="B4246" s="95">
        <v>511576.027</v>
      </c>
      <c r="C4246" s="95">
        <v>4786687.87</v>
      </c>
      <c r="D4246" s="95">
        <v>41.055</v>
      </c>
      <c r="E4246" s="91" t="s">
        <v>166</v>
      </c>
    </row>
    <row r="4247" spans="1:5" x14ac:dyDescent="0.25">
      <c r="A4247" s="102">
        <v>46163</v>
      </c>
      <c r="B4247" s="95">
        <v>511578.092</v>
      </c>
      <c r="C4247" s="95">
        <v>4786692.3229999999</v>
      </c>
      <c r="D4247" s="95">
        <v>41.411999999999999</v>
      </c>
      <c r="E4247" s="91" t="s">
        <v>167</v>
      </c>
    </row>
    <row r="4248" spans="1:5" x14ac:dyDescent="0.25">
      <c r="A4248" s="102">
        <v>46163</v>
      </c>
      <c r="B4248" s="95">
        <v>511580.11099999998</v>
      </c>
      <c r="C4248" s="95">
        <v>4786695.8509999998</v>
      </c>
      <c r="D4248" s="95">
        <v>41.075000000000003</v>
      </c>
      <c r="E4248" s="91" t="s">
        <v>168</v>
      </c>
    </row>
    <row r="4249" spans="1:5" x14ac:dyDescent="0.25">
      <c r="A4249" s="102">
        <v>46163</v>
      </c>
      <c r="B4249" s="95">
        <v>511576.19300000003</v>
      </c>
      <c r="C4249" s="95">
        <v>4786687.8250000002</v>
      </c>
      <c r="D4249" s="95">
        <v>39.143999999999998</v>
      </c>
      <c r="E4249" s="91" t="s">
        <v>169</v>
      </c>
    </row>
    <row r="4250" spans="1:5" x14ac:dyDescent="0.25">
      <c r="A4250" s="102">
        <v>46163</v>
      </c>
      <c r="B4250" s="95">
        <v>511580.81699999998</v>
      </c>
      <c r="C4250" s="95">
        <v>4786696.3420000002</v>
      </c>
      <c r="D4250" s="95">
        <v>39.271000000000001</v>
      </c>
      <c r="E4250" s="91" t="s">
        <v>170</v>
      </c>
    </row>
    <row r="4251" spans="1:5" x14ac:dyDescent="0.25">
      <c r="A4251" s="102">
        <v>46163</v>
      </c>
      <c r="B4251" s="95">
        <v>511607.16800000001</v>
      </c>
      <c r="C4251" s="95">
        <v>4786690.84</v>
      </c>
      <c r="D4251" s="95">
        <v>41.314</v>
      </c>
      <c r="E4251" s="91" t="s">
        <v>139</v>
      </c>
    </row>
    <row r="4252" spans="1:5" x14ac:dyDescent="0.25">
      <c r="A4252" s="102">
        <v>46163</v>
      </c>
      <c r="B4252" s="95">
        <v>511614.96899999998</v>
      </c>
      <c r="C4252" s="95">
        <v>4786686.6050000004</v>
      </c>
      <c r="D4252" s="95">
        <v>41.442</v>
      </c>
      <c r="E4252" s="91" t="s">
        <v>140</v>
      </c>
    </row>
    <row r="4253" spans="1:5" x14ac:dyDescent="0.25">
      <c r="A4253" s="102">
        <v>46163</v>
      </c>
      <c r="B4253" s="95">
        <v>511628.82</v>
      </c>
      <c r="C4253" s="95">
        <v>4786679.1390000004</v>
      </c>
      <c r="D4253" s="95">
        <v>41.375</v>
      </c>
      <c r="E4253" s="91" t="s">
        <v>141</v>
      </c>
    </row>
    <row r="4254" spans="1:5" x14ac:dyDescent="0.25">
      <c r="A4254" s="102">
        <v>46163</v>
      </c>
      <c r="B4254" s="95">
        <v>511641.99</v>
      </c>
      <c r="C4254" s="95">
        <v>4786671.943</v>
      </c>
      <c r="D4254" s="95">
        <v>41.511000000000003</v>
      </c>
      <c r="E4254" s="91" t="s">
        <v>142</v>
      </c>
    </row>
    <row r="4255" spans="1:5" x14ac:dyDescent="0.25">
      <c r="A4255" s="102">
        <v>46163</v>
      </c>
      <c r="B4255" s="95">
        <v>511648.77100000001</v>
      </c>
      <c r="C4255" s="95">
        <v>4786668.2640000004</v>
      </c>
      <c r="D4255" s="95">
        <v>41.308999999999997</v>
      </c>
      <c r="E4255" s="91" t="s">
        <v>143</v>
      </c>
    </row>
    <row r="4256" spans="1:5" x14ac:dyDescent="0.25">
      <c r="A4256" s="102">
        <v>46163</v>
      </c>
      <c r="B4256" s="95">
        <v>511606.84399999998</v>
      </c>
      <c r="C4256" s="95">
        <v>4786690.2879999997</v>
      </c>
      <c r="D4256" s="95">
        <v>38.319000000000003</v>
      </c>
      <c r="E4256" s="91" t="s">
        <v>158</v>
      </c>
    </row>
    <row r="4257" spans="1:5" x14ac:dyDescent="0.25">
      <c r="A4257" s="102">
        <v>46163</v>
      </c>
      <c r="B4257" s="95">
        <v>511614.467</v>
      </c>
      <c r="C4257" s="95">
        <v>4786685.943</v>
      </c>
      <c r="D4257" s="95">
        <v>38.356999999999999</v>
      </c>
      <c r="E4257" s="91" t="s">
        <v>159</v>
      </c>
    </row>
    <row r="4258" spans="1:5" x14ac:dyDescent="0.25">
      <c r="A4258" s="102">
        <v>46163</v>
      </c>
      <c r="B4258" s="95">
        <v>511628.52500000002</v>
      </c>
      <c r="C4258" s="95">
        <v>4786678.9220000003</v>
      </c>
      <c r="D4258" s="95">
        <v>38.332999999999998</v>
      </c>
      <c r="E4258" s="91" t="s">
        <v>160</v>
      </c>
    </row>
    <row r="4259" spans="1:5" x14ac:dyDescent="0.25">
      <c r="A4259" s="102">
        <v>46163</v>
      </c>
      <c r="B4259" s="95">
        <v>511641.75099999999</v>
      </c>
      <c r="C4259" s="95">
        <v>4786671.568</v>
      </c>
      <c r="D4259" s="95">
        <v>38.457000000000001</v>
      </c>
      <c r="E4259" s="91" t="s">
        <v>161</v>
      </c>
    </row>
    <row r="4260" spans="1:5" x14ac:dyDescent="0.25">
      <c r="A4260" s="102">
        <v>46163</v>
      </c>
      <c r="B4260" s="95">
        <v>511648.49300000002</v>
      </c>
      <c r="C4260" s="95">
        <v>4786667.9890000001</v>
      </c>
      <c r="D4260" s="95">
        <v>38.493000000000002</v>
      </c>
      <c r="E4260" s="91" t="s">
        <v>162</v>
      </c>
    </row>
    <row r="4261" spans="1:5" x14ac:dyDescent="0.25">
      <c r="A4261" s="102">
        <v>46163</v>
      </c>
      <c r="B4261" s="95">
        <v>511606.57799999998</v>
      </c>
      <c r="C4261" s="95">
        <v>4786689.7970000003</v>
      </c>
      <c r="D4261" s="95">
        <v>35.210999999999999</v>
      </c>
      <c r="E4261" s="91" t="s">
        <v>176</v>
      </c>
    </row>
    <row r="4262" spans="1:5" x14ac:dyDescent="0.25">
      <c r="A4262" s="102">
        <v>46163</v>
      </c>
      <c r="B4262" s="95">
        <v>511614.28899999999</v>
      </c>
      <c r="C4262" s="95">
        <v>4786685.5949999997</v>
      </c>
      <c r="D4262" s="95">
        <v>35.572000000000003</v>
      </c>
      <c r="E4262" s="91" t="s">
        <v>177</v>
      </c>
    </row>
    <row r="4263" spans="1:5" x14ac:dyDescent="0.25">
      <c r="A4263" s="102">
        <v>46163</v>
      </c>
      <c r="B4263" s="95">
        <v>511628.23599999998</v>
      </c>
      <c r="C4263" s="95">
        <v>4786678.5180000002</v>
      </c>
      <c r="D4263" s="95">
        <v>35.204000000000001</v>
      </c>
      <c r="E4263" s="91" t="s">
        <v>178</v>
      </c>
    </row>
    <row r="4264" spans="1:5" x14ac:dyDescent="0.25">
      <c r="A4264" s="102">
        <v>46163</v>
      </c>
      <c r="B4264" s="95">
        <v>511641.37900000002</v>
      </c>
      <c r="C4264" s="95">
        <v>4786671.1749999998</v>
      </c>
      <c r="D4264" s="95">
        <v>35.262</v>
      </c>
      <c r="E4264" s="91" t="s">
        <v>179</v>
      </c>
    </row>
    <row r="4265" spans="1:5" x14ac:dyDescent="0.25">
      <c r="A4265" s="102">
        <v>46163</v>
      </c>
      <c r="B4265" s="95">
        <v>511648.18900000001</v>
      </c>
      <c r="C4265" s="95">
        <v>4786667.4450000003</v>
      </c>
      <c r="D4265" s="95">
        <v>35.311999999999998</v>
      </c>
      <c r="E4265" s="91" t="s">
        <v>180</v>
      </c>
    </row>
    <row r="4266" spans="1:5" x14ac:dyDescent="0.25">
      <c r="A4266" s="102">
        <v>46167</v>
      </c>
      <c r="B4266" s="96">
        <v>511607.68300000002</v>
      </c>
      <c r="C4266" s="96">
        <v>4786691.4119999995</v>
      </c>
      <c r="D4266" s="96">
        <v>43.942999999999998</v>
      </c>
      <c r="E4266" s="96" t="s">
        <v>112</v>
      </c>
    </row>
    <row r="4267" spans="1:5" x14ac:dyDescent="0.25">
      <c r="A4267" s="102">
        <v>46167</v>
      </c>
      <c r="B4267" s="96">
        <v>511629.40299999999</v>
      </c>
      <c r="C4267" s="96">
        <v>4786679.9019999998</v>
      </c>
      <c r="D4267" s="96">
        <v>43.945</v>
      </c>
      <c r="E4267" s="96" t="s">
        <v>109</v>
      </c>
    </row>
    <row r="4268" spans="1:5" x14ac:dyDescent="0.25">
      <c r="A4268" s="102">
        <v>46167</v>
      </c>
      <c r="B4268" s="96">
        <v>511615.234</v>
      </c>
      <c r="C4268" s="96">
        <v>4786687.4280000003</v>
      </c>
      <c r="D4268" s="96">
        <v>48.439</v>
      </c>
      <c r="E4268" s="96" t="s">
        <v>103</v>
      </c>
    </row>
    <row r="4269" spans="1:5" x14ac:dyDescent="0.25">
      <c r="A4269" s="102">
        <v>46167</v>
      </c>
      <c r="B4269" s="96">
        <v>511615.20699999999</v>
      </c>
      <c r="C4269" s="96">
        <v>4786687.3509999998</v>
      </c>
      <c r="D4269" s="96">
        <v>45.930999999999997</v>
      </c>
      <c r="E4269" s="96" t="s">
        <v>104</v>
      </c>
    </row>
    <row r="4270" spans="1:5" x14ac:dyDescent="0.25">
      <c r="A4270" s="102">
        <v>46167</v>
      </c>
      <c r="B4270" s="96">
        <v>511615.15899999999</v>
      </c>
      <c r="C4270" s="96">
        <v>4786687.3729999997</v>
      </c>
      <c r="D4270" s="96">
        <v>43.957000000000001</v>
      </c>
      <c r="E4270" s="96" t="s">
        <v>110</v>
      </c>
    </row>
    <row r="4271" spans="1:5" x14ac:dyDescent="0.25">
      <c r="A4271" s="102">
        <v>46167</v>
      </c>
      <c r="B4271" s="96">
        <v>511629.16600000003</v>
      </c>
      <c r="C4271" s="96">
        <v>4786680.0609999998</v>
      </c>
      <c r="D4271" s="96">
        <v>48.457999999999998</v>
      </c>
      <c r="E4271" s="96" t="s">
        <v>105</v>
      </c>
    </row>
    <row r="4272" spans="1:5" x14ac:dyDescent="0.25">
      <c r="A4272" s="102">
        <v>46167</v>
      </c>
      <c r="B4272" s="96">
        <v>511629.288</v>
      </c>
      <c r="C4272" s="96">
        <v>4786680.0219999999</v>
      </c>
      <c r="D4272" s="96">
        <v>45.94</v>
      </c>
      <c r="E4272" s="96" t="s">
        <v>106</v>
      </c>
    </row>
    <row r="4273" spans="1:5" x14ac:dyDescent="0.25">
      <c r="A4273" s="102">
        <v>46167</v>
      </c>
      <c r="B4273" s="96">
        <v>511642.26699999999</v>
      </c>
      <c r="C4273" s="96">
        <v>4786673.1239999998</v>
      </c>
      <c r="D4273" s="96">
        <v>48.439</v>
      </c>
      <c r="E4273" s="96" t="s">
        <v>107</v>
      </c>
    </row>
    <row r="4274" spans="1:5" x14ac:dyDescent="0.25">
      <c r="A4274" s="102">
        <v>46167</v>
      </c>
      <c r="B4274" s="96">
        <v>511642.42099999997</v>
      </c>
      <c r="C4274" s="96">
        <v>4786673.0130000003</v>
      </c>
      <c r="D4274" s="96">
        <v>45.933999999999997</v>
      </c>
      <c r="E4274" s="96" t="s">
        <v>108</v>
      </c>
    </row>
    <row r="4275" spans="1:5" x14ac:dyDescent="0.25">
      <c r="A4275" s="102">
        <v>46167</v>
      </c>
      <c r="B4275" s="96">
        <v>511642.46</v>
      </c>
      <c r="C4275" s="96">
        <v>4786672.9000000004</v>
      </c>
      <c r="D4275" s="96">
        <v>43.966000000000001</v>
      </c>
      <c r="E4275" s="96" t="s">
        <v>111</v>
      </c>
    </row>
    <row r="4276" spans="1:5" x14ac:dyDescent="0.25">
      <c r="A4276" s="102">
        <v>46167</v>
      </c>
      <c r="B4276" s="96">
        <v>511649.11800000002</v>
      </c>
      <c r="C4276" s="96">
        <v>4786669.398</v>
      </c>
      <c r="D4276" s="96">
        <v>43.945</v>
      </c>
      <c r="E4276" s="96" t="s">
        <v>113</v>
      </c>
    </row>
    <row r="4277" spans="1:5" x14ac:dyDescent="0.25">
      <c r="A4277" s="102">
        <v>46167</v>
      </c>
      <c r="B4277" s="96">
        <v>511678.29399999999</v>
      </c>
      <c r="C4277" s="96">
        <v>4786638.6129999999</v>
      </c>
      <c r="D4277" s="96">
        <v>41.314</v>
      </c>
      <c r="E4277" s="96" t="s">
        <v>171</v>
      </c>
    </row>
    <row r="4278" spans="1:5" x14ac:dyDescent="0.25">
      <c r="A4278" s="102">
        <v>46167</v>
      </c>
      <c r="B4278" s="96">
        <v>511673.81400000001</v>
      </c>
      <c r="C4278" s="96">
        <v>4786631.0779999997</v>
      </c>
      <c r="D4278" s="96">
        <v>40.164000000000001</v>
      </c>
      <c r="E4278" s="96" t="s">
        <v>147</v>
      </c>
    </row>
    <row r="4279" spans="1:5" x14ac:dyDescent="0.25">
      <c r="A4279" s="102">
        <v>46167</v>
      </c>
      <c r="B4279" s="96">
        <v>511681.67200000002</v>
      </c>
      <c r="C4279" s="96">
        <v>4786646.8269999996</v>
      </c>
      <c r="D4279" s="96">
        <v>38.523000000000003</v>
      </c>
      <c r="E4279" s="96" t="s">
        <v>172</v>
      </c>
    </row>
    <row r="4280" spans="1:5" x14ac:dyDescent="0.25">
      <c r="A4280" s="102">
        <v>46167</v>
      </c>
      <c r="B4280" s="96">
        <v>511680.23300000001</v>
      </c>
      <c r="C4280" s="96">
        <v>4786643.57</v>
      </c>
      <c r="D4280" s="96">
        <v>38.496000000000002</v>
      </c>
      <c r="E4280" s="96" t="s">
        <v>173</v>
      </c>
    </row>
    <row r="4281" spans="1:5" x14ac:dyDescent="0.25">
      <c r="A4281" s="102">
        <v>46167</v>
      </c>
      <c r="B4281" s="96">
        <v>511675.49300000002</v>
      </c>
      <c r="C4281" s="96">
        <v>4786634.63</v>
      </c>
      <c r="D4281" s="96">
        <v>38.655000000000001</v>
      </c>
      <c r="E4281" s="96" t="s">
        <v>174</v>
      </c>
    </row>
    <row r="4282" spans="1:5" x14ac:dyDescent="0.25">
      <c r="A4282" s="102">
        <v>46167</v>
      </c>
      <c r="B4282" s="96">
        <v>511673.58299999998</v>
      </c>
      <c r="C4282" s="96">
        <v>4786631.2460000003</v>
      </c>
      <c r="D4282" s="96">
        <v>38.643999999999998</v>
      </c>
      <c r="E4282" s="96" t="s">
        <v>175</v>
      </c>
    </row>
    <row r="4283" spans="1:5" x14ac:dyDescent="0.25">
      <c r="A4283" s="102">
        <v>46167</v>
      </c>
      <c r="B4283" s="96">
        <v>511573.39600000001</v>
      </c>
      <c r="C4283" s="96">
        <v>4786684.3530000001</v>
      </c>
      <c r="D4283" s="96">
        <v>43.468000000000004</v>
      </c>
      <c r="E4283" s="96" t="s">
        <v>148</v>
      </c>
    </row>
    <row r="4284" spans="1:5" x14ac:dyDescent="0.25">
      <c r="A4284" s="102">
        <v>46167</v>
      </c>
      <c r="B4284" s="96">
        <v>511575.48200000002</v>
      </c>
      <c r="C4284" s="96">
        <v>4786688.2249999996</v>
      </c>
      <c r="D4284" s="96">
        <v>43.427999999999997</v>
      </c>
      <c r="E4284" s="96" t="s">
        <v>149</v>
      </c>
    </row>
    <row r="4285" spans="1:5" x14ac:dyDescent="0.25">
      <c r="A4285" s="102">
        <v>46167</v>
      </c>
      <c r="B4285" s="96">
        <v>511577.68099999998</v>
      </c>
      <c r="C4285" s="96">
        <v>4786692.28</v>
      </c>
      <c r="D4285" s="96">
        <v>43.616</v>
      </c>
      <c r="E4285" s="96" t="s">
        <v>150</v>
      </c>
    </row>
    <row r="4286" spans="1:5" x14ac:dyDescent="0.25">
      <c r="A4286" s="102">
        <v>46167</v>
      </c>
      <c r="B4286" s="96">
        <v>511579.78100000002</v>
      </c>
      <c r="C4286" s="96">
        <v>4786696.1969999997</v>
      </c>
      <c r="D4286" s="96">
        <v>43.688000000000002</v>
      </c>
      <c r="E4286" s="96" t="s">
        <v>151</v>
      </c>
    </row>
    <row r="4287" spans="1:5" x14ac:dyDescent="0.25">
      <c r="A4287" s="102">
        <v>46167</v>
      </c>
      <c r="B4287" s="96">
        <v>511574.14600000001</v>
      </c>
      <c r="C4287" s="96">
        <v>4786684.2609999999</v>
      </c>
      <c r="D4287" s="96">
        <v>41.219000000000001</v>
      </c>
      <c r="E4287" s="96" t="s">
        <v>165</v>
      </c>
    </row>
    <row r="4288" spans="1:5" x14ac:dyDescent="0.25">
      <c r="A4288" s="102">
        <v>46167</v>
      </c>
      <c r="B4288" s="96">
        <v>511576.027</v>
      </c>
      <c r="C4288" s="96">
        <v>4786687.87</v>
      </c>
      <c r="D4288" s="96">
        <v>41.055</v>
      </c>
      <c r="E4288" s="96" t="s">
        <v>166</v>
      </c>
    </row>
    <row r="4289" spans="1:5" x14ac:dyDescent="0.25">
      <c r="A4289" s="102">
        <v>46167</v>
      </c>
      <c r="B4289" s="96">
        <v>511578.09299999999</v>
      </c>
      <c r="C4289" s="96">
        <v>4786692.3219999997</v>
      </c>
      <c r="D4289" s="96">
        <v>41.411999999999999</v>
      </c>
      <c r="E4289" s="96" t="s">
        <v>167</v>
      </c>
    </row>
    <row r="4290" spans="1:5" x14ac:dyDescent="0.25">
      <c r="A4290" s="102">
        <v>46167</v>
      </c>
      <c r="B4290" s="96">
        <v>511580.11099999998</v>
      </c>
      <c r="C4290" s="96">
        <v>4786695.8499999996</v>
      </c>
      <c r="D4290" s="96">
        <v>41.075000000000003</v>
      </c>
      <c r="E4290" s="96" t="s">
        <v>168</v>
      </c>
    </row>
    <row r="4291" spans="1:5" x14ac:dyDescent="0.25">
      <c r="A4291" s="102">
        <v>46167</v>
      </c>
      <c r="B4291" s="96">
        <v>511576.19400000002</v>
      </c>
      <c r="C4291" s="96">
        <v>4786687.8219999997</v>
      </c>
      <c r="D4291" s="96">
        <v>39.143999999999998</v>
      </c>
      <c r="E4291" s="96" t="s">
        <v>169</v>
      </c>
    </row>
    <row r="4292" spans="1:5" x14ac:dyDescent="0.25">
      <c r="A4292" s="102">
        <v>46167</v>
      </c>
      <c r="B4292" s="96">
        <v>511580.81800000003</v>
      </c>
      <c r="C4292" s="96">
        <v>4786696.34</v>
      </c>
      <c r="D4292" s="96">
        <v>39.271999999999998</v>
      </c>
      <c r="E4292" s="96" t="s">
        <v>170</v>
      </c>
    </row>
    <row r="4293" spans="1:5" x14ac:dyDescent="0.25">
      <c r="A4293" s="102">
        <v>46167</v>
      </c>
      <c r="B4293" s="96">
        <v>511607.16800000001</v>
      </c>
      <c r="C4293" s="96">
        <v>4786690.8389999997</v>
      </c>
      <c r="D4293" s="96">
        <v>41.314</v>
      </c>
      <c r="E4293" s="96" t="s">
        <v>139</v>
      </c>
    </row>
    <row r="4294" spans="1:5" x14ac:dyDescent="0.25">
      <c r="A4294" s="102">
        <v>46167</v>
      </c>
      <c r="B4294" s="96">
        <v>511614.97</v>
      </c>
      <c r="C4294" s="96">
        <v>4786686.6059999997</v>
      </c>
      <c r="D4294" s="96">
        <v>41.442</v>
      </c>
      <c r="E4294" s="96" t="s">
        <v>140</v>
      </c>
    </row>
    <row r="4295" spans="1:5" x14ac:dyDescent="0.25">
      <c r="A4295" s="102">
        <v>46167</v>
      </c>
      <c r="B4295" s="96">
        <v>511628.82199999999</v>
      </c>
      <c r="C4295" s="96">
        <v>4786679.1390000004</v>
      </c>
      <c r="D4295" s="96">
        <v>41.375</v>
      </c>
      <c r="E4295" s="96" t="s">
        <v>141</v>
      </c>
    </row>
    <row r="4296" spans="1:5" x14ac:dyDescent="0.25">
      <c r="A4296" s="102">
        <v>46167</v>
      </c>
      <c r="B4296" s="96">
        <v>511641.99099999998</v>
      </c>
      <c r="C4296" s="96">
        <v>4786671.9419999998</v>
      </c>
      <c r="D4296" s="96">
        <v>41.512</v>
      </c>
      <c r="E4296" s="96" t="s">
        <v>142</v>
      </c>
    </row>
    <row r="4297" spans="1:5" x14ac:dyDescent="0.25">
      <c r="A4297" s="102">
        <v>46167</v>
      </c>
      <c r="B4297" s="96">
        <v>511648.77299999999</v>
      </c>
      <c r="C4297" s="96">
        <v>4786668.2640000004</v>
      </c>
      <c r="D4297" s="96">
        <v>41.31</v>
      </c>
      <c r="E4297" s="96" t="s">
        <v>143</v>
      </c>
    </row>
    <row r="4298" spans="1:5" x14ac:dyDescent="0.25">
      <c r="A4298" s="102">
        <v>46167</v>
      </c>
      <c r="B4298" s="96">
        <v>511606.84399999998</v>
      </c>
      <c r="C4298" s="96">
        <v>4786690.2869999995</v>
      </c>
      <c r="D4298" s="96">
        <v>38.319000000000003</v>
      </c>
      <c r="E4298" s="96" t="s">
        <v>158</v>
      </c>
    </row>
    <row r="4299" spans="1:5" x14ac:dyDescent="0.25">
      <c r="A4299" s="102">
        <v>46167</v>
      </c>
      <c r="B4299" s="96">
        <v>511614.46799999999</v>
      </c>
      <c r="C4299" s="96">
        <v>4786685.943</v>
      </c>
      <c r="D4299" s="96">
        <v>38.356999999999999</v>
      </c>
      <c r="E4299" s="96" t="s">
        <v>159</v>
      </c>
    </row>
    <row r="4300" spans="1:5" x14ac:dyDescent="0.25">
      <c r="A4300" s="102">
        <v>46167</v>
      </c>
      <c r="B4300" s="96">
        <v>511628.527</v>
      </c>
      <c r="C4300" s="96">
        <v>4786678.9220000003</v>
      </c>
      <c r="D4300" s="96">
        <v>38.332999999999998</v>
      </c>
      <c r="E4300" s="96" t="s">
        <v>160</v>
      </c>
    </row>
    <row r="4301" spans="1:5" x14ac:dyDescent="0.25">
      <c r="A4301" s="102">
        <v>46167</v>
      </c>
      <c r="B4301" s="96">
        <v>511641.75300000003</v>
      </c>
      <c r="C4301" s="96">
        <v>4786671.568</v>
      </c>
      <c r="D4301" s="96">
        <v>38.457999999999998</v>
      </c>
      <c r="E4301" s="96" t="s">
        <v>161</v>
      </c>
    </row>
    <row r="4302" spans="1:5" x14ac:dyDescent="0.25">
      <c r="A4302" s="102">
        <v>46167</v>
      </c>
      <c r="B4302" s="96">
        <v>511648.495</v>
      </c>
      <c r="C4302" s="96">
        <v>4786667.9890000001</v>
      </c>
      <c r="D4302" s="96">
        <v>38.493000000000002</v>
      </c>
      <c r="E4302" s="96" t="s">
        <v>162</v>
      </c>
    </row>
    <row r="4303" spans="1:5" x14ac:dyDescent="0.25">
      <c r="A4303" s="102">
        <v>46167</v>
      </c>
      <c r="B4303" s="96">
        <v>511606.57799999998</v>
      </c>
      <c r="C4303" s="96">
        <v>4786689.7960000001</v>
      </c>
      <c r="D4303" s="96">
        <v>35.210999999999999</v>
      </c>
      <c r="E4303" s="96" t="s">
        <v>176</v>
      </c>
    </row>
    <row r="4304" spans="1:5" x14ac:dyDescent="0.25">
      <c r="A4304" s="102">
        <v>46167</v>
      </c>
      <c r="B4304" s="96">
        <v>511628.23700000002</v>
      </c>
      <c r="C4304" s="96">
        <v>4786678.517</v>
      </c>
      <c r="D4304" s="96">
        <v>35.204999999999998</v>
      </c>
      <c r="E4304" s="96" t="s">
        <v>178</v>
      </c>
    </row>
    <row r="4305" spans="1:5" x14ac:dyDescent="0.25">
      <c r="A4305" s="102">
        <v>46167</v>
      </c>
      <c r="B4305" s="96">
        <v>511641.38</v>
      </c>
      <c r="C4305" s="96">
        <v>4786671.1749999998</v>
      </c>
      <c r="D4305" s="96">
        <v>35.262999999999998</v>
      </c>
      <c r="E4305" s="96" t="s">
        <v>179</v>
      </c>
    </row>
    <row r="4306" spans="1:5" x14ac:dyDescent="0.25">
      <c r="A4306" s="102">
        <v>46167</v>
      </c>
      <c r="B4306" s="96">
        <v>511648.19</v>
      </c>
      <c r="C4306" s="96">
        <v>4786667.4450000003</v>
      </c>
      <c r="D4306" s="96">
        <v>35.313000000000002</v>
      </c>
      <c r="E4306" s="96" t="s">
        <v>180</v>
      </c>
    </row>
    <row r="4307" spans="1:5" x14ac:dyDescent="0.25">
      <c r="A4307" s="102">
        <v>46169</v>
      </c>
      <c r="B4307" s="95">
        <v>511607.68400000001</v>
      </c>
      <c r="C4307" s="95">
        <v>4786691.41</v>
      </c>
      <c r="D4307" s="95">
        <v>43.942999999999998</v>
      </c>
      <c r="E4307" s="91" t="s">
        <v>112</v>
      </c>
    </row>
    <row r="4308" spans="1:5" x14ac:dyDescent="0.25">
      <c r="A4308" s="102">
        <v>46169</v>
      </c>
      <c r="B4308" s="95">
        <v>511629.40299999999</v>
      </c>
      <c r="C4308" s="95">
        <v>4786679.8990000002</v>
      </c>
      <c r="D4308" s="95">
        <v>43.945</v>
      </c>
      <c r="E4308" s="91" t="s">
        <v>109</v>
      </c>
    </row>
    <row r="4309" spans="1:5" x14ac:dyDescent="0.25">
      <c r="A4309" s="102">
        <v>46169</v>
      </c>
      <c r="B4309" s="95">
        <v>511615.23499999999</v>
      </c>
      <c r="C4309" s="95">
        <v>4786687.426</v>
      </c>
      <c r="D4309" s="95">
        <v>48.439</v>
      </c>
      <c r="E4309" s="91" t="s">
        <v>103</v>
      </c>
    </row>
    <row r="4310" spans="1:5" x14ac:dyDescent="0.25">
      <c r="A4310" s="102">
        <v>46169</v>
      </c>
      <c r="B4310" s="95">
        <v>511615.20699999999</v>
      </c>
      <c r="C4310" s="95">
        <v>4786687.3490000004</v>
      </c>
      <c r="D4310" s="95">
        <v>45.932000000000002</v>
      </c>
      <c r="E4310" s="91" t="s">
        <v>104</v>
      </c>
    </row>
    <row r="4311" spans="1:5" x14ac:dyDescent="0.25">
      <c r="A4311" s="102">
        <v>46169</v>
      </c>
      <c r="B4311" s="95">
        <v>511615.16</v>
      </c>
      <c r="C4311" s="95">
        <v>4786687.3720000004</v>
      </c>
      <c r="D4311" s="95">
        <v>43.957000000000001</v>
      </c>
      <c r="E4311" s="91" t="s">
        <v>110</v>
      </c>
    </row>
    <row r="4312" spans="1:5" x14ac:dyDescent="0.25">
      <c r="A4312" s="102">
        <v>46169</v>
      </c>
      <c r="B4312" s="95">
        <v>511629.16700000002</v>
      </c>
      <c r="C4312" s="95">
        <v>4786680.0590000004</v>
      </c>
      <c r="D4312" s="95">
        <v>48.457999999999998</v>
      </c>
      <c r="E4312" s="91" t="s">
        <v>105</v>
      </c>
    </row>
    <row r="4313" spans="1:5" x14ac:dyDescent="0.25">
      <c r="A4313" s="102">
        <v>46169</v>
      </c>
      <c r="B4313" s="95">
        <v>511629.28899999999</v>
      </c>
      <c r="C4313" s="95">
        <v>4786680.0209999997</v>
      </c>
      <c r="D4313" s="95">
        <v>45.94</v>
      </c>
      <c r="E4313" s="91" t="s">
        <v>106</v>
      </c>
    </row>
    <row r="4314" spans="1:5" x14ac:dyDescent="0.25">
      <c r="A4314" s="102">
        <v>46169</v>
      </c>
      <c r="B4314" s="95">
        <v>511642.26799999998</v>
      </c>
      <c r="C4314" s="95">
        <v>4786673.1220000004</v>
      </c>
      <c r="D4314" s="95">
        <v>48.439</v>
      </c>
      <c r="E4314" s="91" t="s">
        <v>107</v>
      </c>
    </row>
    <row r="4315" spans="1:5" x14ac:dyDescent="0.25">
      <c r="A4315" s="102">
        <v>46169</v>
      </c>
      <c r="B4315" s="95">
        <v>511642.42099999997</v>
      </c>
      <c r="C4315" s="95">
        <v>4786673.01</v>
      </c>
      <c r="D4315" s="95">
        <v>45.933999999999997</v>
      </c>
      <c r="E4315" s="91" t="s">
        <v>108</v>
      </c>
    </row>
    <row r="4316" spans="1:5" x14ac:dyDescent="0.25">
      <c r="A4316" s="102">
        <v>46169</v>
      </c>
      <c r="B4316" s="95">
        <v>511642.46100000001</v>
      </c>
      <c r="C4316" s="95">
        <v>4786672.898</v>
      </c>
      <c r="D4316" s="95">
        <v>43.966000000000001</v>
      </c>
      <c r="E4316" s="91" t="s">
        <v>111</v>
      </c>
    </row>
    <row r="4317" spans="1:5" x14ac:dyDescent="0.25">
      <c r="A4317" s="102">
        <v>46169</v>
      </c>
      <c r="B4317" s="95">
        <v>511649.11900000001</v>
      </c>
      <c r="C4317" s="95">
        <v>4786669.3949999996</v>
      </c>
      <c r="D4317" s="95">
        <v>43.945</v>
      </c>
      <c r="E4317" s="91" t="s">
        <v>113</v>
      </c>
    </row>
    <row r="4318" spans="1:5" x14ac:dyDescent="0.25">
      <c r="A4318" s="102">
        <v>46169</v>
      </c>
      <c r="B4318" s="95">
        <v>511678.29399999999</v>
      </c>
      <c r="C4318" s="95">
        <v>4786638.6100000003</v>
      </c>
      <c r="D4318" s="95">
        <v>41.313000000000002</v>
      </c>
      <c r="E4318" s="91" t="s">
        <v>171</v>
      </c>
    </row>
    <row r="4319" spans="1:5" x14ac:dyDescent="0.25">
      <c r="A4319" s="102">
        <v>46169</v>
      </c>
      <c r="B4319" s="95">
        <v>511673.81099999999</v>
      </c>
      <c r="C4319" s="95">
        <v>4786631.0750000002</v>
      </c>
      <c r="D4319" s="95">
        <v>40.164000000000001</v>
      </c>
      <c r="E4319" s="91" t="s">
        <v>147</v>
      </c>
    </row>
    <row r="4320" spans="1:5" x14ac:dyDescent="0.25">
      <c r="A4320" s="102">
        <v>46169</v>
      </c>
      <c r="B4320" s="95">
        <v>511681.67200000002</v>
      </c>
      <c r="C4320" s="95">
        <v>4786646.824</v>
      </c>
      <c r="D4320" s="95">
        <v>38.521999999999998</v>
      </c>
      <c r="E4320" s="91" t="s">
        <v>172</v>
      </c>
    </row>
    <row r="4321" spans="1:5" x14ac:dyDescent="0.25">
      <c r="A4321" s="102">
        <v>46169</v>
      </c>
      <c r="B4321" s="95">
        <v>511680.23200000002</v>
      </c>
      <c r="C4321" s="95">
        <v>4786643.5669999998</v>
      </c>
      <c r="D4321" s="95">
        <v>38.494999999999997</v>
      </c>
      <c r="E4321" s="91" t="s">
        <v>173</v>
      </c>
    </row>
    <row r="4322" spans="1:5" x14ac:dyDescent="0.25">
      <c r="A4322" s="102">
        <v>46169</v>
      </c>
      <c r="B4322" s="95">
        <v>511675.49300000002</v>
      </c>
      <c r="C4322" s="95">
        <v>4786634.6279999996</v>
      </c>
      <c r="D4322" s="95">
        <v>38.654000000000003</v>
      </c>
      <c r="E4322" s="91" t="s">
        <v>174</v>
      </c>
    </row>
    <row r="4323" spans="1:5" x14ac:dyDescent="0.25">
      <c r="A4323" s="102">
        <v>46169</v>
      </c>
      <c r="B4323" s="95">
        <v>511673.58299999998</v>
      </c>
      <c r="C4323" s="95">
        <v>4786631.2429999998</v>
      </c>
      <c r="D4323" s="95">
        <v>38.643000000000001</v>
      </c>
      <c r="E4323" s="91" t="s">
        <v>175</v>
      </c>
    </row>
    <row r="4324" spans="1:5" x14ac:dyDescent="0.25">
      <c r="A4324" s="102">
        <v>46169</v>
      </c>
      <c r="B4324" s="95">
        <v>511573.397</v>
      </c>
      <c r="C4324" s="95">
        <v>4786684.3530000001</v>
      </c>
      <c r="D4324" s="95">
        <v>43.466999999999999</v>
      </c>
      <c r="E4324" s="91" t="s">
        <v>148</v>
      </c>
    </row>
    <row r="4325" spans="1:5" x14ac:dyDescent="0.25">
      <c r="A4325" s="102">
        <v>46169</v>
      </c>
      <c r="B4325" s="95">
        <v>511575.48300000001</v>
      </c>
      <c r="C4325" s="95">
        <v>4786688.2249999996</v>
      </c>
      <c r="D4325" s="95">
        <v>43.427999999999997</v>
      </c>
      <c r="E4325" s="91" t="s">
        <v>149</v>
      </c>
    </row>
    <row r="4326" spans="1:5" x14ac:dyDescent="0.25">
      <c r="A4326" s="102">
        <v>46169</v>
      </c>
      <c r="B4326" s="95">
        <v>511577.68199999997</v>
      </c>
      <c r="C4326" s="95">
        <v>4786692.2790000001</v>
      </c>
      <c r="D4326" s="95">
        <v>43.616</v>
      </c>
      <c r="E4326" s="91" t="s">
        <v>150</v>
      </c>
    </row>
    <row r="4327" spans="1:5" x14ac:dyDescent="0.25">
      <c r="A4327" s="102">
        <v>46169</v>
      </c>
      <c r="B4327" s="95">
        <v>511579.78200000001</v>
      </c>
      <c r="C4327" s="95">
        <v>4786696.1960000005</v>
      </c>
      <c r="D4327" s="95">
        <v>43.688000000000002</v>
      </c>
      <c r="E4327" s="91" t="s">
        <v>151</v>
      </c>
    </row>
    <row r="4328" spans="1:5" x14ac:dyDescent="0.25">
      <c r="A4328" s="102">
        <v>46169</v>
      </c>
      <c r="B4328" s="95">
        <v>511574.147</v>
      </c>
      <c r="C4328" s="95">
        <v>4786684.2609999999</v>
      </c>
      <c r="D4328" s="95">
        <v>41.219000000000001</v>
      </c>
      <c r="E4328" s="91" t="s">
        <v>165</v>
      </c>
    </row>
    <row r="4329" spans="1:5" x14ac:dyDescent="0.25">
      <c r="A4329" s="102">
        <v>46169</v>
      </c>
      <c r="B4329" s="95">
        <v>511576.027</v>
      </c>
      <c r="C4329" s="95">
        <v>4786687.87</v>
      </c>
      <c r="D4329" s="95">
        <v>41.055</v>
      </c>
      <c r="E4329" s="91" t="s">
        <v>166</v>
      </c>
    </row>
    <row r="4330" spans="1:5" x14ac:dyDescent="0.25">
      <c r="A4330" s="102">
        <v>46169</v>
      </c>
      <c r="B4330" s="95">
        <v>511578.09399999998</v>
      </c>
      <c r="C4330" s="95">
        <v>4786692.3210000005</v>
      </c>
      <c r="D4330" s="95">
        <v>41.412999999999997</v>
      </c>
      <c r="E4330" s="91" t="s">
        <v>167</v>
      </c>
    </row>
    <row r="4331" spans="1:5" x14ac:dyDescent="0.25">
      <c r="A4331" s="102">
        <v>46169</v>
      </c>
      <c r="B4331" s="95">
        <v>511580.11300000001</v>
      </c>
      <c r="C4331" s="95">
        <v>4786695.8499999996</v>
      </c>
      <c r="D4331" s="95">
        <v>41.075000000000003</v>
      </c>
      <c r="E4331" s="91" t="s">
        <v>168</v>
      </c>
    </row>
    <row r="4332" spans="1:5" x14ac:dyDescent="0.25">
      <c r="A4332" s="102">
        <v>46169</v>
      </c>
      <c r="B4332" s="95">
        <v>511576.19500000001</v>
      </c>
      <c r="C4332" s="95">
        <v>4786687.8229999999</v>
      </c>
      <c r="D4332" s="95">
        <v>39.143999999999998</v>
      </c>
      <c r="E4332" s="91" t="s">
        <v>169</v>
      </c>
    </row>
    <row r="4333" spans="1:5" x14ac:dyDescent="0.25">
      <c r="A4333" s="102">
        <v>46169</v>
      </c>
      <c r="B4333" s="95">
        <v>511580.81900000002</v>
      </c>
      <c r="C4333" s="95">
        <v>4786696.34</v>
      </c>
      <c r="D4333" s="95">
        <v>39.271000000000001</v>
      </c>
      <c r="E4333" s="91" t="s">
        <v>170</v>
      </c>
    </row>
    <row r="4334" spans="1:5" x14ac:dyDescent="0.25">
      <c r="A4334" s="102">
        <v>46169</v>
      </c>
      <c r="B4334" s="95">
        <v>511607.16899999999</v>
      </c>
      <c r="C4334" s="95">
        <v>4786690.8380000005</v>
      </c>
      <c r="D4334" s="95">
        <v>41.314</v>
      </c>
      <c r="E4334" s="91" t="s">
        <v>139</v>
      </c>
    </row>
    <row r="4335" spans="1:5" x14ac:dyDescent="0.25">
      <c r="A4335" s="102">
        <v>46169</v>
      </c>
      <c r="B4335" s="95">
        <v>511614.97100000002</v>
      </c>
      <c r="C4335" s="95">
        <v>4786686.6040000003</v>
      </c>
      <c r="D4335" s="95">
        <v>41.442</v>
      </c>
      <c r="E4335" s="91" t="s">
        <v>140</v>
      </c>
    </row>
    <row r="4336" spans="1:5" x14ac:dyDescent="0.25">
      <c r="A4336" s="102">
        <v>46169</v>
      </c>
      <c r="B4336" s="95">
        <v>511628.82199999999</v>
      </c>
      <c r="C4336" s="95">
        <v>4786679.1380000003</v>
      </c>
      <c r="D4336" s="95">
        <v>41.375</v>
      </c>
      <c r="E4336" s="91" t="s">
        <v>141</v>
      </c>
    </row>
    <row r="4337" spans="1:5" x14ac:dyDescent="0.25">
      <c r="A4337" s="102">
        <v>46169</v>
      </c>
      <c r="B4337" s="95">
        <v>511641.99200000003</v>
      </c>
      <c r="C4337" s="95">
        <v>4786671.9400000004</v>
      </c>
      <c r="D4337" s="95">
        <v>41.511000000000003</v>
      </c>
      <c r="E4337" s="91" t="s">
        <v>142</v>
      </c>
    </row>
    <row r="4338" spans="1:5" x14ac:dyDescent="0.25">
      <c r="A4338" s="102">
        <v>46169</v>
      </c>
      <c r="B4338" s="95">
        <v>511648.772</v>
      </c>
      <c r="C4338" s="95">
        <v>4786668.2609999999</v>
      </c>
      <c r="D4338" s="95">
        <v>41.308999999999997</v>
      </c>
      <c r="E4338" s="91" t="s">
        <v>143</v>
      </c>
    </row>
    <row r="4339" spans="1:5" x14ac:dyDescent="0.25">
      <c r="A4339" s="102">
        <v>46169</v>
      </c>
      <c r="B4339" s="95">
        <v>511606.84499999997</v>
      </c>
      <c r="C4339" s="95">
        <v>4786690.2850000001</v>
      </c>
      <c r="D4339" s="95">
        <v>38.319000000000003</v>
      </c>
      <c r="E4339" s="91" t="s">
        <v>158</v>
      </c>
    </row>
    <row r="4340" spans="1:5" x14ac:dyDescent="0.25">
      <c r="A4340" s="102">
        <v>46169</v>
      </c>
      <c r="B4340" s="95">
        <v>511614.46799999999</v>
      </c>
      <c r="C4340" s="95">
        <v>4786685.9409999996</v>
      </c>
      <c r="D4340" s="95">
        <v>38.356999999999999</v>
      </c>
      <c r="E4340" s="91" t="s">
        <v>159</v>
      </c>
    </row>
    <row r="4341" spans="1:5" x14ac:dyDescent="0.25">
      <c r="A4341" s="102">
        <v>46169</v>
      </c>
      <c r="B4341" s="95">
        <v>511628.527</v>
      </c>
      <c r="C4341" s="95">
        <v>4786678.92</v>
      </c>
      <c r="D4341" s="95">
        <v>38.332999999999998</v>
      </c>
      <c r="E4341" s="91" t="s">
        <v>160</v>
      </c>
    </row>
    <row r="4342" spans="1:5" x14ac:dyDescent="0.25">
      <c r="A4342" s="102">
        <v>46169</v>
      </c>
      <c r="B4342" s="95">
        <v>511641.75400000002</v>
      </c>
      <c r="C4342" s="95">
        <v>4786671.5659999996</v>
      </c>
      <c r="D4342" s="95">
        <v>38.457999999999998</v>
      </c>
      <c r="E4342" s="91" t="s">
        <v>161</v>
      </c>
    </row>
    <row r="4343" spans="1:5" x14ac:dyDescent="0.25">
      <c r="A4343" s="102">
        <v>46169</v>
      </c>
      <c r="B4343" s="95">
        <v>511648.495</v>
      </c>
      <c r="C4343" s="95">
        <v>4786667.9869999997</v>
      </c>
      <c r="D4343" s="95">
        <v>38.493000000000002</v>
      </c>
      <c r="E4343" s="91" t="s">
        <v>162</v>
      </c>
    </row>
    <row r="4344" spans="1:5" x14ac:dyDescent="0.25">
      <c r="A4344" s="102">
        <v>46169</v>
      </c>
      <c r="B4344" s="95">
        <v>511606.57900000003</v>
      </c>
      <c r="C4344" s="95">
        <v>4786689.7939999998</v>
      </c>
      <c r="D4344" s="95">
        <v>35.210999999999999</v>
      </c>
      <c r="E4344" s="91" t="s">
        <v>176</v>
      </c>
    </row>
    <row r="4345" spans="1:5" x14ac:dyDescent="0.25">
      <c r="A4345" s="102">
        <v>46169</v>
      </c>
      <c r="B4345" s="95">
        <v>511614.28899999999</v>
      </c>
      <c r="C4345" s="95">
        <v>4786685.5920000002</v>
      </c>
      <c r="D4345" s="95">
        <v>35.572000000000003</v>
      </c>
      <c r="E4345" s="91" t="s">
        <v>177</v>
      </c>
    </row>
    <row r="4346" spans="1:5" x14ac:dyDescent="0.25">
      <c r="A4346" s="102">
        <v>46169</v>
      </c>
      <c r="B4346" s="95">
        <v>511628.23800000001</v>
      </c>
      <c r="C4346" s="95">
        <v>4786678.5149999997</v>
      </c>
      <c r="D4346" s="95">
        <v>35.204000000000001</v>
      </c>
      <c r="E4346" s="91" t="s">
        <v>178</v>
      </c>
    </row>
    <row r="4347" spans="1:5" x14ac:dyDescent="0.25">
      <c r="A4347" s="102">
        <v>46169</v>
      </c>
      <c r="B4347" s="95">
        <v>511641.38</v>
      </c>
      <c r="C4347" s="95">
        <v>4786671.1720000003</v>
      </c>
      <c r="D4347" s="95">
        <v>35.262</v>
      </c>
      <c r="E4347" s="91" t="s">
        <v>179</v>
      </c>
    </row>
    <row r="4348" spans="1:5" x14ac:dyDescent="0.25">
      <c r="A4348" s="102">
        <v>46169</v>
      </c>
      <c r="B4348" s="95">
        <v>511648.19</v>
      </c>
      <c r="C4348" s="95">
        <v>4786667.4419999998</v>
      </c>
      <c r="D4348" s="95">
        <v>35.311999999999998</v>
      </c>
      <c r="E4348" s="91" t="s">
        <v>180</v>
      </c>
    </row>
    <row r="4349" spans="1:5" x14ac:dyDescent="0.25">
      <c r="A4349" s="102">
        <v>46171</v>
      </c>
      <c r="B4349" s="95">
        <v>511673.81199999998</v>
      </c>
      <c r="C4349" s="95">
        <v>4786631.0729999999</v>
      </c>
      <c r="D4349" s="95">
        <v>40.161000000000001</v>
      </c>
      <c r="E4349" s="91" t="s">
        <v>147</v>
      </c>
    </row>
    <row r="4350" spans="1:5" x14ac:dyDescent="0.25">
      <c r="A4350" s="102">
        <v>46171</v>
      </c>
      <c r="B4350" s="95">
        <v>511681.67200000002</v>
      </c>
      <c r="C4350" s="95">
        <v>4786646.8219999997</v>
      </c>
      <c r="D4350" s="95">
        <v>38.520000000000003</v>
      </c>
      <c r="E4350" s="91" t="s">
        <v>172</v>
      </c>
    </row>
    <row r="4351" spans="1:5" x14ac:dyDescent="0.25">
      <c r="A4351" s="102">
        <v>46171</v>
      </c>
      <c r="B4351" s="95">
        <v>511680.23200000002</v>
      </c>
      <c r="C4351" s="95">
        <v>4786643.5650000004</v>
      </c>
      <c r="D4351" s="95">
        <v>38.493000000000002</v>
      </c>
      <c r="E4351" s="91" t="s">
        <v>173</v>
      </c>
    </row>
    <row r="4352" spans="1:5" x14ac:dyDescent="0.25">
      <c r="A4352" s="102">
        <v>46171</v>
      </c>
      <c r="B4352" s="95">
        <v>511675.49300000002</v>
      </c>
      <c r="C4352" s="95">
        <v>4786634.6260000002</v>
      </c>
      <c r="D4352" s="95">
        <v>38.651000000000003</v>
      </c>
      <c r="E4352" s="91" t="s">
        <v>174</v>
      </c>
    </row>
    <row r="4353" spans="1:5" x14ac:dyDescent="0.25">
      <c r="A4353" s="102">
        <v>46171</v>
      </c>
      <c r="B4353" s="95">
        <v>511673.58100000001</v>
      </c>
      <c r="C4353" s="95">
        <v>4786631.2419999996</v>
      </c>
      <c r="D4353" s="95">
        <v>38.640999999999998</v>
      </c>
      <c r="E4353" s="91" t="s">
        <v>175</v>
      </c>
    </row>
    <row r="4354" spans="1:5" x14ac:dyDescent="0.25">
      <c r="A4354" s="102">
        <v>46171</v>
      </c>
      <c r="B4354" s="95">
        <v>511573.397</v>
      </c>
      <c r="C4354" s="95">
        <v>4786684.3530000001</v>
      </c>
      <c r="D4354" s="95">
        <v>43.466999999999999</v>
      </c>
      <c r="E4354" s="91" t="s">
        <v>148</v>
      </c>
    </row>
    <row r="4355" spans="1:5" x14ac:dyDescent="0.25">
      <c r="A4355" s="102">
        <v>46171</v>
      </c>
      <c r="B4355" s="95">
        <v>511575.484</v>
      </c>
      <c r="C4355" s="95">
        <v>4786688.2230000002</v>
      </c>
      <c r="D4355" s="95">
        <v>43.427</v>
      </c>
      <c r="E4355" s="91" t="s">
        <v>149</v>
      </c>
    </row>
    <row r="4356" spans="1:5" x14ac:dyDescent="0.25">
      <c r="A4356" s="102">
        <v>46171</v>
      </c>
      <c r="B4356" s="95">
        <v>511577.68300000002</v>
      </c>
      <c r="C4356" s="95">
        <v>4786692.2779999999</v>
      </c>
      <c r="D4356" s="95">
        <v>43.616</v>
      </c>
      <c r="E4356" s="91" t="s">
        <v>150</v>
      </c>
    </row>
    <row r="4357" spans="1:5" x14ac:dyDescent="0.25">
      <c r="A4357" s="102">
        <v>46171</v>
      </c>
      <c r="B4357" s="95">
        <v>511579.78399999999</v>
      </c>
      <c r="C4357" s="95">
        <v>4786696.1940000001</v>
      </c>
      <c r="D4357" s="95">
        <v>43.686999999999998</v>
      </c>
      <c r="E4357" s="91" t="s">
        <v>151</v>
      </c>
    </row>
    <row r="4358" spans="1:5" x14ac:dyDescent="0.25">
      <c r="A4358" s="102">
        <v>46171</v>
      </c>
      <c r="B4358" s="95">
        <v>511574.14899999998</v>
      </c>
      <c r="C4358" s="95">
        <v>4786684.2589999996</v>
      </c>
      <c r="D4358" s="95">
        <v>41.218000000000004</v>
      </c>
      <c r="E4358" s="91" t="s">
        <v>165</v>
      </c>
    </row>
    <row r="4359" spans="1:5" x14ac:dyDescent="0.25">
      <c r="A4359" s="102">
        <v>46171</v>
      </c>
      <c r="B4359" s="95">
        <v>511576.02799999999</v>
      </c>
      <c r="C4359" s="95">
        <v>4786687.8689999999</v>
      </c>
      <c r="D4359" s="95">
        <v>41.054000000000002</v>
      </c>
      <c r="E4359" s="91" t="s">
        <v>166</v>
      </c>
    </row>
    <row r="4360" spans="1:5" x14ac:dyDescent="0.25">
      <c r="A4360" s="102">
        <v>46171</v>
      </c>
      <c r="B4360" s="95">
        <v>511578.09399999998</v>
      </c>
      <c r="C4360" s="95">
        <v>4786692.3210000005</v>
      </c>
      <c r="D4360" s="95">
        <v>41.411999999999999</v>
      </c>
      <c r="E4360" s="91" t="s">
        <v>167</v>
      </c>
    </row>
    <row r="4361" spans="1:5" x14ac:dyDescent="0.25">
      <c r="A4361" s="102">
        <v>46171</v>
      </c>
      <c r="B4361" s="95">
        <v>511580.114</v>
      </c>
      <c r="C4361" s="95">
        <v>4786695.8499999996</v>
      </c>
      <c r="D4361" s="95">
        <v>41.073999999999998</v>
      </c>
      <c r="E4361" s="91" t="s">
        <v>168</v>
      </c>
    </row>
    <row r="4362" spans="1:5" x14ac:dyDescent="0.25">
      <c r="A4362" s="102">
        <v>46171</v>
      </c>
      <c r="B4362" s="95">
        <v>511576.196</v>
      </c>
      <c r="C4362" s="95">
        <v>4786687.8210000005</v>
      </c>
      <c r="D4362" s="95">
        <v>39.143999999999998</v>
      </c>
      <c r="E4362" s="91" t="s">
        <v>169</v>
      </c>
    </row>
    <row r="4363" spans="1:5" x14ac:dyDescent="0.25">
      <c r="A4363" s="102">
        <v>46171</v>
      </c>
      <c r="B4363" s="95">
        <v>511580.82</v>
      </c>
      <c r="C4363" s="95">
        <v>4786696.3389999997</v>
      </c>
      <c r="D4363" s="95">
        <v>39.271000000000001</v>
      </c>
      <c r="E4363" s="91" t="s">
        <v>170</v>
      </c>
    </row>
    <row r="4364" spans="1:5" x14ac:dyDescent="0.25">
      <c r="A4364" s="102">
        <v>46171</v>
      </c>
      <c r="B4364" s="95">
        <v>511607.17099999997</v>
      </c>
      <c r="C4364" s="95">
        <v>4786690.8380000005</v>
      </c>
      <c r="D4364" s="95">
        <v>41.314</v>
      </c>
      <c r="E4364" s="91" t="s">
        <v>139</v>
      </c>
    </row>
    <row r="4365" spans="1:5" x14ac:dyDescent="0.25">
      <c r="A4365" s="102">
        <v>46171</v>
      </c>
      <c r="B4365" s="95">
        <v>511614.97200000001</v>
      </c>
      <c r="C4365" s="95">
        <v>4786686.6030000001</v>
      </c>
      <c r="D4365" s="95">
        <v>41.441000000000003</v>
      </c>
      <c r="E4365" s="91" t="s">
        <v>140</v>
      </c>
    </row>
    <row r="4366" spans="1:5" x14ac:dyDescent="0.25">
      <c r="A4366" s="102">
        <v>46171</v>
      </c>
      <c r="B4366" s="95">
        <v>511628.82299999997</v>
      </c>
      <c r="C4366" s="95">
        <v>4786679.1359999999</v>
      </c>
      <c r="D4366" s="95">
        <v>41.375</v>
      </c>
      <c r="E4366" s="91" t="s">
        <v>141</v>
      </c>
    </row>
    <row r="4367" spans="1:5" x14ac:dyDescent="0.25">
      <c r="A4367" s="102">
        <v>46171</v>
      </c>
      <c r="B4367" s="95">
        <v>511641.99200000003</v>
      </c>
      <c r="C4367" s="95">
        <v>4786671.9380000001</v>
      </c>
      <c r="D4367" s="95">
        <v>41.511000000000003</v>
      </c>
      <c r="E4367" s="91" t="s">
        <v>142</v>
      </c>
    </row>
    <row r="4368" spans="1:5" x14ac:dyDescent="0.25">
      <c r="A4368" s="102">
        <v>46171</v>
      </c>
      <c r="B4368" s="95">
        <v>511648.77299999999</v>
      </c>
      <c r="C4368" s="95">
        <v>4786668.2589999996</v>
      </c>
      <c r="D4368" s="95">
        <v>41.308</v>
      </c>
      <c r="E4368" s="91" t="s">
        <v>143</v>
      </c>
    </row>
    <row r="4369" spans="1:5" x14ac:dyDescent="0.25">
      <c r="A4369" s="102">
        <v>46171</v>
      </c>
      <c r="B4369" s="95">
        <v>511606.84600000002</v>
      </c>
      <c r="C4369" s="95">
        <v>4786690.284</v>
      </c>
      <c r="D4369" s="95">
        <v>38.319000000000003</v>
      </c>
      <c r="E4369" s="91" t="s">
        <v>158</v>
      </c>
    </row>
    <row r="4370" spans="1:5" x14ac:dyDescent="0.25">
      <c r="A4370" s="102">
        <v>46171</v>
      </c>
      <c r="B4370" s="95">
        <v>511614.46799999999</v>
      </c>
      <c r="C4370" s="95">
        <v>4786685.9380000001</v>
      </c>
      <c r="D4370" s="95">
        <v>38.356999999999999</v>
      </c>
      <c r="E4370" s="91" t="s">
        <v>159</v>
      </c>
    </row>
    <row r="4371" spans="1:5" x14ac:dyDescent="0.25">
      <c r="A4371" s="102">
        <v>46171</v>
      </c>
      <c r="B4371" s="95">
        <v>511628.52799999999</v>
      </c>
      <c r="C4371" s="95">
        <v>4786678.9189999998</v>
      </c>
      <c r="D4371" s="95">
        <v>38.332000000000001</v>
      </c>
      <c r="E4371" s="91" t="s">
        <v>160</v>
      </c>
    </row>
    <row r="4372" spans="1:5" x14ac:dyDescent="0.25">
      <c r="A4372" s="102">
        <v>46171</v>
      </c>
      <c r="B4372" s="95">
        <v>511641.75300000003</v>
      </c>
      <c r="C4372" s="95">
        <v>4786671.5630000001</v>
      </c>
      <c r="D4372" s="95">
        <v>38.457999999999998</v>
      </c>
      <c r="E4372" s="91" t="s">
        <v>161</v>
      </c>
    </row>
    <row r="4373" spans="1:5" x14ac:dyDescent="0.25">
      <c r="A4373" s="102">
        <v>46171</v>
      </c>
      <c r="B4373" s="95">
        <v>511648.49599999998</v>
      </c>
      <c r="C4373" s="95">
        <v>4786667.9850000003</v>
      </c>
      <c r="D4373" s="95">
        <v>38.491999999999997</v>
      </c>
      <c r="E4373" s="91" t="s">
        <v>162</v>
      </c>
    </row>
    <row r="4374" spans="1:5" x14ac:dyDescent="0.25">
      <c r="A4374" s="102">
        <v>46171</v>
      </c>
      <c r="B4374" s="95">
        <v>511606.58</v>
      </c>
      <c r="C4374" s="95">
        <v>4786689.7939999998</v>
      </c>
      <c r="D4374" s="95">
        <v>35.21</v>
      </c>
      <c r="E4374" s="91" t="s">
        <v>176</v>
      </c>
    </row>
    <row r="4375" spans="1:5" x14ac:dyDescent="0.25">
      <c r="A4375" s="102">
        <v>46171</v>
      </c>
      <c r="B4375" s="95">
        <v>511614.29</v>
      </c>
      <c r="C4375" s="95">
        <v>4786685.59</v>
      </c>
      <c r="D4375" s="95">
        <v>35.572000000000003</v>
      </c>
      <c r="E4375" s="91" t="s">
        <v>177</v>
      </c>
    </row>
    <row r="4376" spans="1:5" x14ac:dyDescent="0.25">
      <c r="A4376" s="102">
        <v>46171</v>
      </c>
      <c r="B4376" s="95">
        <v>511628.23800000001</v>
      </c>
      <c r="C4376" s="95">
        <v>4786678.5130000003</v>
      </c>
      <c r="D4376" s="95">
        <v>35.204000000000001</v>
      </c>
      <c r="E4376" s="91" t="s">
        <v>178</v>
      </c>
    </row>
    <row r="4377" spans="1:5" x14ac:dyDescent="0.25">
      <c r="A4377" s="102">
        <v>46171</v>
      </c>
      <c r="B4377" s="95">
        <v>511641.38099999999</v>
      </c>
      <c r="C4377" s="95">
        <v>4786671.1710000001</v>
      </c>
      <c r="D4377" s="95">
        <v>35.261000000000003</v>
      </c>
      <c r="E4377" s="91" t="s">
        <v>179</v>
      </c>
    </row>
    <row r="4378" spans="1:5" x14ac:dyDescent="0.25">
      <c r="A4378" s="102">
        <v>46171</v>
      </c>
      <c r="B4378" s="95">
        <v>511648.19199999998</v>
      </c>
      <c r="C4378" s="95">
        <v>4786667.4409999996</v>
      </c>
      <c r="D4378" s="95">
        <v>35.311</v>
      </c>
      <c r="E4378" s="91" t="s">
        <v>180</v>
      </c>
    </row>
    <row r="4379" spans="1:5" x14ac:dyDescent="0.25">
      <c r="A4379" s="102">
        <v>46175</v>
      </c>
      <c r="B4379" s="95">
        <v>511607.68599999999</v>
      </c>
      <c r="C4379" s="95">
        <v>4786691.4079999998</v>
      </c>
      <c r="D4379" s="95">
        <v>43.942</v>
      </c>
      <c r="E4379" s="91" t="s">
        <v>112</v>
      </c>
    </row>
    <row r="4380" spans="1:5" x14ac:dyDescent="0.25">
      <c r="A4380" s="102">
        <v>46175</v>
      </c>
      <c r="B4380" s="95">
        <v>511629.40500000003</v>
      </c>
      <c r="C4380" s="95">
        <v>4786679.898</v>
      </c>
      <c r="D4380" s="95">
        <v>43.944000000000003</v>
      </c>
      <c r="E4380" s="91" t="s">
        <v>109</v>
      </c>
    </row>
    <row r="4381" spans="1:5" x14ac:dyDescent="0.25">
      <c r="A4381" s="102">
        <v>46175</v>
      </c>
      <c r="B4381" s="95">
        <v>511615.23599999998</v>
      </c>
      <c r="C4381" s="95">
        <v>4786687.4239999996</v>
      </c>
      <c r="D4381" s="95">
        <v>48.438000000000002</v>
      </c>
      <c r="E4381" s="91" t="s">
        <v>103</v>
      </c>
    </row>
    <row r="4382" spans="1:5" x14ac:dyDescent="0.25">
      <c r="A4382" s="102">
        <v>46175</v>
      </c>
      <c r="B4382" s="95">
        <v>511615.20899999997</v>
      </c>
      <c r="C4382" s="95">
        <v>4786687.3470000001</v>
      </c>
      <c r="D4382" s="95">
        <v>45.930999999999997</v>
      </c>
      <c r="E4382" s="91" t="s">
        <v>104</v>
      </c>
    </row>
    <row r="4383" spans="1:5" x14ac:dyDescent="0.25">
      <c r="A4383" s="102">
        <v>46175</v>
      </c>
      <c r="B4383" s="95">
        <v>511615.16200000001</v>
      </c>
      <c r="C4383" s="95">
        <v>4786687.37</v>
      </c>
      <c r="D4383" s="95">
        <v>43.957000000000001</v>
      </c>
      <c r="E4383" s="91" t="s">
        <v>110</v>
      </c>
    </row>
    <row r="4384" spans="1:5" x14ac:dyDescent="0.25">
      <c r="A4384" s="102">
        <v>46175</v>
      </c>
      <c r="B4384" s="95">
        <v>511629.16800000001</v>
      </c>
      <c r="C4384" s="95">
        <v>4786680.0559999999</v>
      </c>
      <c r="D4384" s="95">
        <v>48.457000000000001</v>
      </c>
      <c r="E4384" s="91" t="s">
        <v>105</v>
      </c>
    </row>
    <row r="4385" spans="1:5" x14ac:dyDescent="0.25">
      <c r="A4385" s="102">
        <v>46175</v>
      </c>
      <c r="B4385" s="95">
        <v>511629.29100000003</v>
      </c>
      <c r="C4385" s="95">
        <v>4786680.0190000003</v>
      </c>
      <c r="D4385" s="95">
        <v>45.939</v>
      </c>
      <c r="E4385" s="91" t="s">
        <v>106</v>
      </c>
    </row>
    <row r="4386" spans="1:5" x14ac:dyDescent="0.25">
      <c r="A4386" s="102">
        <v>46175</v>
      </c>
      <c r="B4386" s="95">
        <v>511642.26799999998</v>
      </c>
      <c r="C4386" s="95">
        <v>4786673.1189999999</v>
      </c>
      <c r="D4386" s="95">
        <v>48.438000000000002</v>
      </c>
      <c r="E4386" s="91" t="s">
        <v>107</v>
      </c>
    </row>
    <row r="4387" spans="1:5" x14ac:dyDescent="0.25">
      <c r="A4387" s="102">
        <v>46175</v>
      </c>
      <c r="B4387" s="95">
        <v>511642.42300000001</v>
      </c>
      <c r="C4387" s="95">
        <v>4786673.0080000004</v>
      </c>
      <c r="D4387" s="95">
        <v>45.933</v>
      </c>
      <c r="E4387" s="91" t="s">
        <v>108</v>
      </c>
    </row>
    <row r="4388" spans="1:5" x14ac:dyDescent="0.25">
      <c r="A4388" s="102">
        <v>46175</v>
      </c>
      <c r="B4388" s="95">
        <v>511642.462</v>
      </c>
      <c r="C4388" s="95">
        <v>4786672.8949999996</v>
      </c>
      <c r="D4388" s="95">
        <v>43.965000000000003</v>
      </c>
      <c r="E4388" s="91" t="s">
        <v>111</v>
      </c>
    </row>
    <row r="4389" spans="1:5" x14ac:dyDescent="0.25">
      <c r="A4389" s="102">
        <v>46175</v>
      </c>
      <c r="B4389" s="95">
        <v>511649.12099999998</v>
      </c>
      <c r="C4389" s="95">
        <v>4786669.392</v>
      </c>
      <c r="D4389" s="95">
        <v>43.944000000000003</v>
      </c>
      <c r="E4389" s="91" t="s">
        <v>113</v>
      </c>
    </row>
    <row r="4390" spans="1:5" x14ac:dyDescent="0.25">
      <c r="A4390" s="102">
        <v>46175</v>
      </c>
      <c r="B4390" s="95">
        <v>511678.29399999999</v>
      </c>
      <c r="C4390" s="95">
        <v>4786638.6069999998</v>
      </c>
      <c r="D4390" s="95">
        <v>41.311</v>
      </c>
      <c r="E4390" s="91" t="s">
        <v>171</v>
      </c>
    </row>
    <row r="4391" spans="1:5" x14ac:dyDescent="0.25">
      <c r="A4391" s="102">
        <v>46175</v>
      </c>
      <c r="B4391" s="95">
        <v>511673.81099999999</v>
      </c>
      <c r="C4391" s="95">
        <v>4786631.0719999997</v>
      </c>
      <c r="D4391" s="95">
        <v>40.161000000000001</v>
      </c>
      <c r="E4391" s="91" t="s">
        <v>147</v>
      </c>
    </row>
    <row r="4392" spans="1:5" x14ac:dyDescent="0.25">
      <c r="A4392" s="102">
        <v>46175</v>
      </c>
      <c r="B4392" s="95">
        <v>511681.67300000001</v>
      </c>
      <c r="C4392" s="95">
        <v>4786646.82</v>
      </c>
      <c r="D4392" s="95">
        <v>38.520000000000003</v>
      </c>
      <c r="E4392" s="91" t="s">
        <v>172</v>
      </c>
    </row>
    <row r="4393" spans="1:5" x14ac:dyDescent="0.25">
      <c r="A4393" s="102">
        <v>46175</v>
      </c>
      <c r="B4393" s="95">
        <v>511680.23300000001</v>
      </c>
      <c r="C4393" s="95">
        <v>4786643.5640000002</v>
      </c>
      <c r="D4393" s="95">
        <v>38.493000000000002</v>
      </c>
      <c r="E4393" s="91" t="s">
        <v>173</v>
      </c>
    </row>
    <row r="4394" spans="1:5" x14ac:dyDescent="0.25">
      <c r="A4394" s="102">
        <v>46175</v>
      </c>
      <c r="B4394" s="95">
        <v>511675.49300000002</v>
      </c>
      <c r="C4394" s="95">
        <v>4786634.625</v>
      </c>
      <c r="D4394" s="95">
        <v>38.652000000000001</v>
      </c>
      <c r="E4394" s="91" t="s">
        <v>174</v>
      </c>
    </row>
    <row r="4395" spans="1:5" x14ac:dyDescent="0.25">
      <c r="A4395" s="102">
        <v>46175</v>
      </c>
      <c r="B4395" s="95">
        <v>511673.58199999999</v>
      </c>
      <c r="C4395" s="95">
        <v>4786631.24</v>
      </c>
      <c r="D4395" s="95">
        <v>38.640999999999998</v>
      </c>
      <c r="E4395" s="91" t="s">
        <v>175</v>
      </c>
    </row>
    <row r="4396" spans="1:5" x14ac:dyDescent="0.25">
      <c r="A4396" s="102">
        <v>46175</v>
      </c>
      <c r="B4396" s="95">
        <v>511573.39899999998</v>
      </c>
      <c r="C4396" s="95">
        <v>4786684.3530000001</v>
      </c>
      <c r="D4396" s="95">
        <v>43.466000000000001</v>
      </c>
      <c r="E4396" s="91" t="s">
        <v>148</v>
      </c>
    </row>
    <row r="4397" spans="1:5" x14ac:dyDescent="0.25">
      <c r="A4397" s="102">
        <v>46175</v>
      </c>
      <c r="B4397" s="95">
        <v>511575.48599999998</v>
      </c>
      <c r="C4397" s="95">
        <v>4786688.2249999996</v>
      </c>
      <c r="D4397" s="95">
        <v>43.426000000000002</v>
      </c>
      <c r="E4397" s="91" t="s">
        <v>149</v>
      </c>
    </row>
    <row r="4398" spans="1:5" x14ac:dyDescent="0.25">
      <c r="A4398" s="102">
        <v>46175</v>
      </c>
      <c r="B4398" s="95">
        <v>511577.685</v>
      </c>
      <c r="C4398" s="95">
        <v>4786692.2790000001</v>
      </c>
      <c r="D4398" s="95">
        <v>43.615000000000002</v>
      </c>
      <c r="E4398" s="91" t="s">
        <v>150</v>
      </c>
    </row>
    <row r="4399" spans="1:5" x14ac:dyDescent="0.25">
      <c r="A4399" s="102">
        <v>46175</v>
      </c>
      <c r="B4399" s="95">
        <v>511579.78499999997</v>
      </c>
      <c r="C4399" s="95">
        <v>4786696.1950000003</v>
      </c>
      <c r="D4399" s="95">
        <v>43.686</v>
      </c>
      <c r="E4399" s="91" t="s">
        <v>151</v>
      </c>
    </row>
    <row r="4400" spans="1:5" x14ac:dyDescent="0.25">
      <c r="A4400" s="102">
        <v>46175</v>
      </c>
      <c r="B4400" s="95">
        <v>511574.15100000001</v>
      </c>
      <c r="C4400" s="95">
        <v>4786684.26</v>
      </c>
      <c r="D4400" s="95">
        <v>41.218000000000004</v>
      </c>
      <c r="E4400" s="91" t="s">
        <v>165</v>
      </c>
    </row>
    <row r="4401" spans="1:5" x14ac:dyDescent="0.25">
      <c r="A4401" s="102">
        <v>46175</v>
      </c>
      <c r="B4401" s="95">
        <v>511576.03100000002</v>
      </c>
      <c r="C4401" s="95">
        <v>4786687.8689999999</v>
      </c>
      <c r="D4401" s="95">
        <v>41.054000000000002</v>
      </c>
      <c r="E4401" s="91" t="s">
        <v>166</v>
      </c>
    </row>
    <row r="4402" spans="1:5" x14ac:dyDescent="0.25">
      <c r="A4402" s="102">
        <v>46175</v>
      </c>
      <c r="B4402" s="95">
        <v>511578.09700000001</v>
      </c>
      <c r="C4402" s="95">
        <v>4786692.3210000005</v>
      </c>
      <c r="D4402" s="95">
        <v>41.411000000000001</v>
      </c>
      <c r="E4402" s="91" t="s">
        <v>167</v>
      </c>
    </row>
    <row r="4403" spans="1:5" x14ac:dyDescent="0.25">
      <c r="A4403" s="102">
        <v>46175</v>
      </c>
      <c r="B4403" s="95">
        <v>511580.11599999998</v>
      </c>
      <c r="C4403" s="95">
        <v>4786695.8490000004</v>
      </c>
      <c r="D4403" s="95">
        <v>41.073</v>
      </c>
      <c r="E4403" s="91" t="s">
        <v>168</v>
      </c>
    </row>
    <row r="4404" spans="1:5" x14ac:dyDescent="0.25">
      <c r="A4404" s="102">
        <v>46175</v>
      </c>
      <c r="B4404" s="95">
        <v>511576.19799999997</v>
      </c>
      <c r="C4404" s="95">
        <v>4786687.8219999997</v>
      </c>
      <c r="D4404" s="95">
        <v>39.143000000000001</v>
      </c>
      <c r="E4404" s="91" t="s">
        <v>169</v>
      </c>
    </row>
    <row r="4405" spans="1:5" x14ac:dyDescent="0.25">
      <c r="A4405" s="102">
        <v>46175</v>
      </c>
      <c r="B4405" s="95">
        <v>511580.82199999999</v>
      </c>
      <c r="C4405" s="95">
        <v>4786696.3380000005</v>
      </c>
      <c r="D4405" s="95">
        <v>39.270000000000003</v>
      </c>
      <c r="E4405" s="91" t="s">
        <v>170</v>
      </c>
    </row>
    <row r="4406" spans="1:5" x14ac:dyDescent="0.25">
      <c r="A4406" s="102">
        <v>46175</v>
      </c>
      <c r="B4406" s="95">
        <v>511607.17200000002</v>
      </c>
      <c r="C4406" s="95">
        <v>4786690.8370000003</v>
      </c>
      <c r="D4406" s="95">
        <v>41.314</v>
      </c>
      <c r="E4406" s="91" t="s">
        <v>139</v>
      </c>
    </row>
    <row r="4407" spans="1:5" x14ac:dyDescent="0.25">
      <c r="A4407" s="102">
        <v>46175</v>
      </c>
      <c r="B4407" s="95">
        <v>511614.973</v>
      </c>
      <c r="C4407" s="95">
        <v>4786686.602</v>
      </c>
      <c r="D4407" s="95">
        <v>41.441000000000003</v>
      </c>
      <c r="E4407" s="91" t="s">
        <v>140</v>
      </c>
    </row>
    <row r="4408" spans="1:5" x14ac:dyDescent="0.25">
      <c r="A4408" s="102">
        <v>46175</v>
      </c>
      <c r="B4408" s="95">
        <v>511628.82400000002</v>
      </c>
      <c r="C4408" s="95">
        <v>4786679.1349999998</v>
      </c>
      <c r="D4408" s="95">
        <v>41.374000000000002</v>
      </c>
      <c r="E4408" s="91" t="s">
        <v>141</v>
      </c>
    </row>
    <row r="4409" spans="1:5" x14ac:dyDescent="0.25">
      <c r="A4409" s="102">
        <v>46175</v>
      </c>
      <c r="B4409" s="95">
        <v>511641.99400000001</v>
      </c>
      <c r="C4409" s="95">
        <v>4786671.9380000001</v>
      </c>
      <c r="D4409" s="95">
        <v>41.51</v>
      </c>
      <c r="E4409" s="91" t="s">
        <v>142</v>
      </c>
    </row>
    <row r="4410" spans="1:5" x14ac:dyDescent="0.25">
      <c r="A4410" s="102">
        <v>46175</v>
      </c>
      <c r="B4410" s="95">
        <v>511648.77399999998</v>
      </c>
      <c r="C4410" s="95">
        <v>4786668.2580000004</v>
      </c>
      <c r="D4410" s="95">
        <v>41.308</v>
      </c>
      <c r="E4410" s="91" t="s">
        <v>143</v>
      </c>
    </row>
    <row r="4411" spans="1:5" x14ac:dyDescent="0.25">
      <c r="A4411" s="102">
        <v>46175</v>
      </c>
      <c r="B4411" s="95">
        <v>511606.84700000001</v>
      </c>
      <c r="C4411" s="95">
        <v>4786690.284</v>
      </c>
      <c r="D4411" s="95">
        <v>38.317999999999998</v>
      </c>
      <c r="E4411" s="91" t="s">
        <v>158</v>
      </c>
    </row>
    <row r="4412" spans="1:5" x14ac:dyDescent="0.25">
      <c r="A4412" s="102">
        <v>46175</v>
      </c>
      <c r="B4412" s="95">
        <v>511614.47</v>
      </c>
      <c r="C4412" s="95">
        <v>4786685.9380000001</v>
      </c>
      <c r="D4412" s="95">
        <v>38.356000000000002</v>
      </c>
      <c r="E4412" s="91" t="s">
        <v>159</v>
      </c>
    </row>
    <row r="4413" spans="1:5" x14ac:dyDescent="0.25">
      <c r="A4413" s="102">
        <v>46175</v>
      </c>
      <c r="B4413" s="95">
        <v>511628.52899999998</v>
      </c>
      <c r="C4413" s="95">
        <v>4786678.9170000004</v>
      </c>
      <c r="D4413" s="95">
        <v>38.332000000000001</v>
      </c>
      <c r="E4413" s="91" t="s">
        <v>160</v>
      </c>
    </row>
    <row r="4414" spans="1:5" x14ac:dyDescent="0.25">
      <c r="A4414" s="102">
        <v>46175</v>
      </c>
      <c r="B4414" s="95">
        <v>511641.75400000002</v>
      </c>
      <c r="C4414" s="95">
        <v>4786671.5619999999</v>
      </c>
      <c r="D4414" s="95">
        <v>38.457000000000001</v>
      </c>
      <c r="E4414" s="91" t="s">
        <v>161</v>
      </c>
    </row>
    <row r="4415" spans="1:5" x14ac:dyDescent="0.25">
      <c r="A4415" s="102">
        <v>46175</v>
      </c>
      <c r="B4415" s="95">
        <v>511648.49699999997</v>
      </c>
      <c r="C4415" s="95">
        <v>4786667.9840000002</v>
      </c>
      <c r="D4415" s="95">
        <v>38.491</v>
      </c>
      <c r="E4415" s="91" t="s">
        <v>162</v>
      </c>
    </row>
    <row r="4416" spans="1:5" x14ac:dyDescent="0.25">
      <c r="A4416" s="102">
        <v>46175</v>
      </c>
      <c r="B4416" s="95">
        <v>511606.58100000001</v>
      </c>
      <c r="C4416" s="95">
        <v>4786689.7929999996</v>
      </c>
      <c r="D4416" s="95">
        <v>35.21</v>
      </c>
      <c r="E4416" s="91" t="s">
        <v>176</v>
      </c>
    </row>
    <row r="4417" spans="1:5" x14ac:dyDescent="0.25">
      <c r="A4417" s="102">
        <v>46175</v>
      </c>
      <c r="B4417" s="95">
        <v>511614.29100000003</v>
      </c>
      <c r="C4417" s="95">
        <v>4786685.5889999997</v>
      </c>
      <c r="D4417" s="95">
        <v>35.572000000000003</v>
      </c>
      <c r="E4417" s="91" t="s">
        <v>177</v>
      </c>
    </row>
    <row r="4418" spans="1:5" x14ac:dyDescent="0.25">
      <c r="A4418" s="102">
        <v>46175</v>
      </c>
      <c r="B4418" s="95">
        <v>511628.239</v>
      </c>
      <c r="C4418" s="95">
        <v>4786678.5120000001</v>
      </c>
      <c r="D4418" s="95">
        <v>35.203000000000003</v>
      </c>
      <c r="E4418" s="91" t="s">
        <v>178</v>
      </c>
    </row>
    <row r="4419" spans="1:5" x14ac:dyDescent="0.25">
      <c r="A4419" s="102">
        <v>46175</v>
      </c>
      <c r="B4419" s="95">
        <v>511641.38299999997</v>
      </c>
      <c r="C4419" s="95">
        <v>4786671.1689999998</v>
      </c>
      <c r="D4419" s="95">
        <v>35.261000000000003</v>
      </c>
      <c r="E4419" s="91" t="s">
        <v>179</v>
      </c>
    </row>
    <row r="4420" spans="1:5" x14ac:dyDescent="0.25">
      <c r="A4420" s="102">
        <v>46175</v>
      </c>
      <c r="B4420" s="95">
        <v>511648.19199999998</v>
      </c>
      <c r="C4420" s="95">
        <v>4786667.4390000002</v>
      </c>
      <c r="D4420" s="95">
        <v>35.311</v>
      </c>
      <c r="E4420" s="91" t="s">
        <v>180</v>
      </c>
    </row>
    <row r="4421" spans="1:5" x14ac:dyDescent="0.25">
      <c r="A4421" s="102">
        <v>46176</v>
      </c>
      <c r="B4421" s="95">
        <v>511607.68400000001</v>
      </c>
      <c r="C4421" s="95">
        <v>4786691.4110000003</v>
      </c>
      <c r="D4421" s="95">
        <v>43.942</v>
      </c>
      <c r="E4421" s="91" t="s">
        <v>112</v>
      </c>
    </row>
    <row r="4422" spans="1:5" x14ac:dyDescent="0.25">
      <c r="A4422" s="102">
        <v>46176</v>
      </c>
      <c r="B4422" s="95">
        <v>511629.40299999999</v>
      </c>
      <c r="C4422" s="95">
        <v>4786679.9009999996</v>
      </c>
      <c r="D4422" s="95">
        <v>43.942999999999998</v>
      </c>
      <c r="E4422" s="91" t="s">
        <v>109</v>
      </c>
    </row>
    <row r="4423" spans="1:5" x14ac:dyDescent="0.25">
      <c r="A4423" s="102">
        <v>46176</v>
      </c>
      <c r="B4423" s="95">
        <v>511615.234</v>
      </c>
      <c r="C4423" s="95">
        <v>4786687.4270000001</v>
      </c>
      <c r="D4423" s="95">
        <v>48.436999999999998</v>
      </c>
      <c r="E4423" s="91" t="s">
        <v>103</v>
      </c>
    </row>
    <row r="4424" spans="1:5" x14ac:dyDescent="0.25">
      <c r="A4424" s="102">
        <v>46176</v>
      </c>
      <c r="B4424" s="95">
        <v>511615.20699999999</v>
      </c>
      <c r="C4424" s="95">
        <v>4786687.3509999998</v>
      </c>
      <c r="D4424" s="95">
        <v>45.93</v>
      </c>
      <c r="E4424" s="91" t="s">
        <v>104</v>
      </c>
    </row>
    <row r="4425" spans="1:5" x14ac:dyDescent="0.25">
      <c r="A4425" s="102">
        <v>46176</v>
      </c>
      <c r="B4425" s="95">
        <v>511615.15899999999</v>
      </c>
      <c r="C4425" s="95">
        <v>4786687.3729999997</v>
      </c>
      <c r="D4425" s="95">
        <v>43.956000000000003</v>
      </c>
      <c r="E4425" s="91" t="s">
        <v>110</v>
      </c>
    </row>
    <row r="4426" spans="1:5" x14ac:dyDescent="0.25">
      <c r="A4426" s="102">
        <v>46176</v>
      </c>
      <c r="B4426" s="95">
        <v>511629.16600000003</v>
      </c>
      <c r="C4426" s="95">
        <v>4786680.0599999996</v>
      </c>
      <c r="D4426" s="95">
        <v>48.456000000000003</v>
      </c>
      <c r="E4426" s="91" t="s">
        <v>105</v>
      </c>
    </row>
    <row r="4427" spans="1:5" x14ac:dyDescent="0.25">
      <c r="A4427" s="102">
        <v>46176</v>
      </c>
      <c r="B4427" s="95">
        <v>511629.288</v>
      </c>
      <c r="C4427" s="95">
        <v>4786680.0219999999</v>
      </c>
      <c r="D4427" s="95">
        <v>45.939</v>
      </c>
      <c r="E4427" s="91" t="s">
        <v>106</v>
      </c>
    </row>
    <row r="4428" spans="1:5" x14ac:dyDescent="0.25">
      <c r="A4428" s="102">
        <v>46176</v>
      </c>
      <c r="B4428" s="95">
        <v>511642.266</v>
      </c>
      <c r="C4428" s="95">
        <v>4786673.1229999997</v>
      </c>
      <c r="D4428" s="95">
        <v>48.436999999999998</v>
      </c>
      <c r="E4428" s="91" t="s">
        <v>107</v>
      </c>
    </row>
    <row r="4429" spans="1:5" x14ac:dyDescent="0.25">
      <c r="A4429" s="102">
        <v>46176</v>
      </c>
      <c r="B4429" s="95">
        <v>511642.42099999997</v>
      </c>
      <c r="C4429" s="95">
        <v>4786673.0120000001</v>
      </c>
      <c r="D4429" s="95">
        <v>45.932000000000002</v>
      </c>
      <c r="E4429" s="91" t="s">
        <v>108</v>
      </c>
    </row>
    <row r="4430" spans="1:5" x14ac:dyDescent="0.25">
      <c r="A4430" s="102">
        <v>46176</v>
      </c>
      <c r="B4430" s="95">
        <v>511642.45899999997</v>
      </c>
      <c r="C4430" s="95">
        <v>4786672.8990000002</v>
      </c>
      <c r="D4430" s="95">
        <v>43.963999999999999</v>
      </c>
      <c r="E4430" s="91" t="s">
        <v>111</v>
      </c>
    </row>
    <row r="4431" spans="1:5" x14ac:dyDescent="0.25">
      <c r="A4431" s="102">
        <v>46176</v>
      </c>
      <c r="B4431" s="95">
        <v>511649.11700000003</v>
      </c>
      <c r="C4431" s="95">
        <v>4786669.3959999997</v>
      </c>
      <c r="D4431" s="95">
        <v>43.942999999999998</v>
      </c>
      <c r="E4431" s="91" t="s">
        <v>113</v>
      </c>
    </row>
    <row r="4432" spans="1:5" x14ac:dyDescent="0.25">
      <c r="A4432" s="102">
        <v>46176</v>
      </c>
      <c r="B4432" s="95">
        <v>511678.29300000001</v>
      </c>
      <c r="C4432" s="95">
        <v>4786638.6129999999</v>
      </c>
      <c r="D4432" s="95">
        <v>41.31</v>
      </c>
      <c r="E4432" s="91" t="s">
        <v>171</v>
      </c>
    </row>
    <row r="4433" spans="1:5" x14ac:dyDescent="0.25">
      <c r="A4433" s="102">
        <v>46176</v>
      </c>
      <c r="B4433" s="95">
        <v>511673.81099999999</v>
      </c>
      <c r="C4433" s="95">
        <v>4786631.0779999997</v>
      </c>
      <c r="D4433" s="95">
        <v>40.161000000000001</v>
      </c>
      <c r="E4433" s="91" t="s">
        <v>147</v>
      </c>
    </row>
    <row r="4434" spans="1:5" x14ac:dyDescent="0.25">
      <c r="A4434" s="102">
        <v>46176</v>
      </c>
      <c r="B4434" s="95">
        <v>511681.66899999999</v>
      </c>
      <c r="C4434" s="95">
        <v>4786646.8269999996</v>
      </c>
      <c r="D4434" s="95">
        <v>38.518999999999998</v>
      </c>
      <c r="E4434" s="91" t="s">
        <v>172</v>
      </c>
    </row>
    <row r="4435" spans="1:5" x14ac:dyDescent="0.25">
      <c r="A4435" s="102">
        <v>46176</v>
      </c>
      <c r="B4435" s="95">
        <v>511680.23200000002</v>
      </c>
      <c r="C4435" s="95">
        <v>4786643.5690000001</v>
      </c>
      <c r="D4435" s="95">
        <v>38.491999999999997</v>
      </c>
      <c r="E4435" s="91" t="s">
        <v>173</v>
      </c>
    </row>
    <row r="4436" spans="1:5" x14ac:dyDescent="0.25">
      <c r="A4436" s="102">
        <v>46176</v>
      </c>
      <c r="B4436" s="95">
        <v>511675.49200000003</v>
      </c>
      <c r="C4436" s="95">
        <v>4786634.6310000001</v>
      </c>
      <c r="D4436" s="95">
        <v>38.651000000000003</v>
      </c>
      <c r="E4436" s="91" t="s">
        <v>174</v>
      </c>
    </row>
    <row r="4437" spans="1:5" x14ac:dyDescent="0.25">
      <c r="A4437" s="102">
        <v>46176</v>
      </c>
      <c r="B4437" s="95">
        <v>511673.58100000001</v>
      </c>
      <c r="C4437" s="95">
        <v>4786631.2460000003</v>
      </c>
      <c r="D4437" s="95">
        <v>38.64</v>
      </c>
      <c r="E4437" s="91" t="s">
        <v>175</v>
      </c>
    </row>
    <row r="4438" spans="1:5" x14ac:dyDescent="0.25">
      <c r="A4438" s="102">
        <v>46176</v>
      </c>
      <c r="B4438" s="95">
        <v>511573.39500000002</v>
      </c>
      <c r="C4438" s="95">
        <v>4786684.3550000004</v>
      </c>
      <c r="D4438" s="95">
        <v>43.466000000000001</v>
      </c>
      <c r="E4438" s="91" t="s">
        <v>148</v>
      </c>
    </row>
    <row r="4439" spans="1:5" x14ac:dyDescent="0.25">
      <c r="A4439" s="102">
        <v>46176</v>
      </c>
      <c r="B4439" s="95">
        <v>511575.48200000002</v>
      </c>
      <c r="C4439" s="95">
        <v>4786688.227</v>
      </c>
      <c r="D4439" s="95">
        <v>43.426000000000002</v>
      </c>
      <c r="E4439" s="91" t="s">
        <v>149</v>
      </c>
    </row>
    <row r="4440" spans="1:5" x14ac:dyDescent="0.25">
      <c r="A4440" s="102">
        <v>46176</v>
      </c>
      <c r="B4440" s="95">
        <v>511577.68099999998</v>
      </c>
      <c r="C4440" s="95">
        <v>4786692.28</v>
      </c>
      <c r="D4440" s="95">
        <v>43.615000000000002</v>
      </c>
      <c r="E4440" s="91" t="s">
        <v>150</v>
      </c>
    </row>
    <row r="4441" spans="1:5" x14ac:dyDescent="0.25">
      <c r="A4441" s="102">
        <v>46176</v>
      </c>
      <c r="B4441" s="95">
        <v>511579.78100000002</v>
      </c>
      <c r="C4441" s="95">
        <v>4786696.1969999997</v>
      </c>
      <c r="D4441" s="95">
        <v>43.686</v>
      </c>
      <c r="E4441" s="91" t="s">
        <v>151</v>
      </c>
    </row>
    <row r="4442" spans="1:5" x14ac:dyDescent="0.25">
      <c r="A4442" s="102">
        <v>46176</v>
      </c>
      <c r="B4442" s="95">
        <v>511574.147</v>
      </c>
      <c r="C4442" s="95">
        <v>4786684.2620000001</v>
      </c>
      <c r="D4442" s="95">
        <v>41.216999999999999</v>
      </c>
      <c r="E4442" s="91" t="s">
        <v>165</v>
      </c>
    </row>
    <row r="4443" spans="1:5" x14ac:dyDescent="0.25">
      <c r="A4443" s="102">
        <v>46176</v>
      </c>
      <c r="B4443" s="95">
        <v>511576.027</v>
      </c>
      <c r="C4443" s="95">
        <v>4786687.8710000003</v>
      </c>
      <c r="D4443" s="95">
        <v>41.052999999999997</v>
      </c>
      <c r="E4443" s="91" t="s">
        <v>166</v>
      </c>
    </row>
    <row r="4444" spans="1:5" x14ac:dyDescent="0.25">
      <c r="A4444" s="102">
        <v>46176</v>
      </c>
      <c r="B4444" s="95">
        <v>511578.09299999999</v>
      </c>
      <c r="C4444" s="95">
        <v>4786692.3219999997</v>
      </c>
      <c r="D4444" s="95">
        <v>41.411000000000001</v>
      </c>
      <c r="E4444" s="91" t="s">
        <v>167</v>
      </c>
    </row>
    <row r="4445" spans="1:5" x14ac:dyDescent="0.25">
      <c r="A4445" s="102">
        <v>46176</v>
      </c>
      <c r="B4445" s="95">
        <v>511580.11200000002</v>
      </c>
      <c r="C4445" s="95">
        <v>4786695.8509999998</v>
      </c>
      <c r="D4445" s="95">
        <v>41.073</v>
      </c>
      <c r="E4445" s="91" t="s">
        <v>168</v>
      </c>
    </row>
    <row r="4446" spans="1:5" x14ac:dyDescent="0.25">
      <c r="A4446" s="102">
        <v>46176</v>
      </c>
      <c r="B4446" s="95">
        <v>511576.19400000002</v>
      </c>
      <c r="C4446" s="95">
        <v>4786687.824</v>
      </c>
      <c r="D4446" s="95">
        <v>39.143000000000001</v>
      </c>
      <c r="E4446" s="91" t="s">
        <v>169</v>
      </c>
    </row>
    <row r="4447" spans="1:5" x14ac:dyDescent="0.25">
      <c r="A4447" s="102">
        <v>46176</v>
      </c>
      <c r="B4447" s="95">
        <v>511580.81800000003</v>
      </c>
      <c r="C4447" s="95">
        <v>4786696.3420000002</v>
      </c>
      <c r="D4447" s="95">
        <v>39.270000000000003</v>
      </c>
      <c r="E4447" s="91" t="s">
        <v>170</v>
      </c>
    </row>
    <row r="4448" spans="1:5" x14ac:dyDescent="0.25">
      <c r="A4448" s="102">
        <v>46176</v>
      </c>
      <c r="B4448" s="95">
        <v>511607.16800000001</v>
      </c>
      <c r="C4448" s="95">
        <v>4786690.8380000005</v>
      </c>
      <c r="D4448" s="95">
        <v>41.313000000000002</v>
      </c>
      <c r="E4448" s="91" t="s">
        <v>139</v>
      </c>
    </row>
    <row r="4449" spans="1:5" x14ac:dyDescent="0.25">
      <c r="A4449" s="102">
        <v>46176</v>
      </c>
      <c r="B4449" s="95">
        <v>511614.96899999998</v>
      </c>
      <c r="C4449" s="95">
        <v>4786686.6030000001</v>
      </c>
      <c r="D4449" s="95">
        <v>41.441000000000003</v>
      </c>
      <c r="E4449" s="91" t="s">
        <v>140</v>
      </c>
    </row>
    <row r="4450" spans="1:5" x14ac:dyDescent="0.25">
      <c r="A4450" s="102">
        <v>46176</v>
      </c>
      <c r="B4450" s="95">
        <v>511628.821</v>
      </c>
      <c r="C4450" s="95">
        <v>4786679.1390000004</v>
      </c>
      <c r="D4450" s="95">
        <v>41.374000000000002</v>
      </c>
      <c r="E4450" s="91" t="s">
        <v>141</v>
      </c>
    </row>
    <row r="4451" spans="1:5" x14ac:dyDescent="0.25">
      <c r="A4451" s="102">
        <v>46176</v>
      </c>
      <c r="B4451" s="95">
        <v>511641.99</v>
      </c>
      <c r="C4451" s="95">
        <v>4786671.9409999996</v>
      </c>
      <c r="D4451" s="95">
        <v>41.51</v>
      </c>
      <c r="E4451" s="91" t="s">
        <v>142</v>
      </c>
    </row>
    <row r="4452" spans="1:5" x14ac:dyDescent="0.25">
      <c r="A4452" s="102">
        <v>46176</v>
      </c>
      <c r="B4452" s="95">
        <v>511648.772</v>
      </c>
      <c r="C4452" s="95">
        <v>4786668.2620000001</v>
      </c>
      <c r="D4452" s="95">
        <v>41.307000000000002</v>
      </c>
      <c r="E4452" s="91" t="s">
        <v>143</v>
      </c>
    </row>
    <row r="4453" spans="1:5" x14ac:dyDescent="0.25">
      <c r="A4453" s="102">
        <v>46176</v>
      </c>
      <c r="B4453" s="95">
        <v>511606.84399999998</v>
      </c>
      <c r="C4453" s="95">
        <v>4786690.2860000003</v>
      </c>
      <c r="D4453" s="95">
        <v>38.317999999999998</v>
      </c>
      <c r="E4453" s="91" t="s">
        <v>158</v>
      </c>
    </row>
    <row r="4454" spans="1:5" x14ac:dyDescent="0.25">
      <c r="A4454" s="102">
        <v>46176</v>
      </c>
      <c r="B4454" s="95">
        <v>511614.46799999999</v>
      </c>
      <c r="C4454" s="95">
        <v>4786685.943</v>
      </c>
      <c r="D4454" s="95">
        <v>38.356000000000002</v>
      </c>
      <c r="E4454" s="91" t="s">
        <v>159</v>
      </c>
    </row>
    <row r="4455" spans="1:5" x14ac:dyDescent="0.25">
      <c r="A4455" s="102">
        <v>46176</v>
      </c>
      <c r="B4455" s="95">
        <v>511628.52600000001</v>
      </c>
      <c r="C4455" s="95">
        <v>4786678.9210000001</v>
      </c>
      <c r="D4455" s="95">
        <v>38.332000000000001</v>
      </c>
      <c r="E4455" s="91" t="s">
        <v>160</v>
      </c>
    </row>
    <row r="4456" spans="1:5" x14ac:dyDescent="0.25">
      <c r="A4456" s="102">
        <v>46176</v>
      </c>
      <c r="B4456" s="95">
        <v>511641.75300000003</v>
      </c>
      <c r="C4456" s="95">
        <v>4786671.5669999998</v>
      </c>
      <c r="D4456" s="95">
        <v>38.456000000000003</v>
      </c>
      <c r="E4456" s="91" t="s">
        <v>161</v>
      </c>
    </row>
    <row r="4457" spans="1:5" x14ac:dyDescent="0.25">
      <c r="A4457" s="102">
        <v>46176</v>
      </c>
      <c r="B4457" s="95">
        <v>511648.49400000001</v>
      </c>
      <c r="C4457" s="95">
        <v>4786667.9879999999</v>
      </c>
      <c r="D4457" s="95">
        <v>38.491</v>
      </c>
      <c r="E4457" s="91" t="s">
        <v>162</v>
      </c>
    </row>
    <row r="4458" spans="1:5" x14ac:dyDescent="0.25">
      <c r="A4458" s="102">
        <v>46176</v>
      </c>
      <c r="B4458" s="95">
        <v>511606.57799999998</v>
      </c>
      <c r="C4458" s="95">
        <v>4786689.7949999999</v>
      </c>
      <c r="D4458" s="95">
        <v>35.21</v>
      </c>
      <c r="E4458" s="91" t="s">
        <v>176</v>
      </c>
    </row>
    <row r="4459" spans="1:5" x14ac:dyDescent="0.25">
      <c r="A4459" s="102">
        <v>46176</v>
      </c>
      <c r="B4459" s="95">
        <v>511614.28899999999</v>
      </c>
      <c r="C4459" s="95">
        <v>4786685.5930000003</v>
      </c>
      <c r="D4459" s="95">
        <v>35.570999999999998</v>
      </c>
      <c r="E4459" s="91" t="s">
        <v>177</v>
      </c>
    </row>
    <row r="4460" spans="1:5" x14ac:dyDescent="0.25">
      <c r="A4460" s="102">
        <v>46177</v>
      </c>
      <c r="B4460" s="95">
        <v>511607.68800000002</v>
      </c>
      <c r="C4460" s="95">
        <v>4786691.4079999998</v>
      </c>
      <c r="D4460" s="95">
        <v>43.942</v>
      </c>
      <c r="E4460" s="91" t="s">
        <v>112</v>
      </c>
    </row>
    <row r="4461" spans="1:5" x14ac:dyDescent="0.25">
      <c r="A4461" s="102">
        <v>46177</v>
      </c>
      <c r="B4461" s="95">
        <v>511629.40700000001</v>
      </c>
      <c r="C4461" s="95">
        <v>4786679.8969999999</v>
      </c>
      <c r="D4461" s="95">
        <v>43.944000000000003</v>
      </c>
      <c r="E4461" s="91" t="s">
        <v>109</v>
      </c>
    </row>
    <row r="4462" spans="1:5" x14ac:dyDescent="0.25">
      <c r="A4462" s="102">
        <v>46177</v>
      </c>
      <c r="B4462" s="95">
        <v>511615.23800000001</v>
      </c>
      <c r="C4462" s="95">
        <v>4786687.4220000003</v>
      </c>
      <c r="D4462" s="95">
        <v>48.438000000000002</v>
      </c>
      <c r="E4462" s="91" t="s">
        <v>103</v>
      </c>
    </row>
    <row r="4463" spans="1:5" x14ac:dyDescent="0.25">
      <c r="A4463" s="102">
        <v>46177</v>
      </c>
      <c r="B4463" s="95">
        <v>511615.21</v>
      </c>
      <c r="C4463" s="95">
        <v>4786687.3459999999</v>
      </c>
      <c r="D4463" s="95">
        <v>45.930999999999997</v>
      </c>
      <c r="E4463" s="91" t="s">
        <v>104</v>
      </c>
    </row>
    <row r="4464" spans="1:5" x14ac:dyDescent="0.25">
      <c r="A4464" s="102">
        <v>46177</v>
      </c>
      <c r="B4464" s="95">
        <v>511615.163</v>
      </c>
      <c r="C4464" s="95">
        <v>4786687.3679999998</v>
      </c>
      <c r="D4464" s="95">
        <v>43.956000000000003</v>
      </c>
      <c r="E4464" s="91" t="s">
        <v>110</v>
      </c>
    </row>
    <row r="4465" spans="1:5" x14ac:dyDescent="0.25">
      <c r="A4465" s="102">
        <v>46177</v>
      </c>
      <c r="B4465" s="95">
        <v>511629.16800000001</v>
      </c>
      <c r="C4465" s="95">
        <v>4786680.0549999997</v>
      </c>
      <c r="D4465" s="95">
        <v>48.456000000000003</v>
      </c>
      <c r="E4465" s="91" t="s">
        <v>105</v>
      </c>
    </row>
    <row r="4466" spans="1:5" x14ac:dyDescent="0.25">
      <c r="A4466" s="102">
        <v>46177</v>
      </c>
      <c r="B4466" s="95">
        <v>511629.29300000001</v>
      </c>
      <c r="C4466" s="95">
        <v>4786680.0180000002</v>
      </c>
      <c r="D4466" s="95">
        <v>45.939</v>
      </c>
      <c r="E4466" s="91" t="s">
        <v>106</v>
      </c>
    </row>
    <row r="4467" spans="1:5" x14ac:dyDescent="0.25">
      <c r="A4467" s="102">
        <v>46177</v>
      </c>
      <c r="B4467" s="95">
        <v>511642.27100000001</v>
      </c>
      <c r="C4467" s="95">
        <v>4786673.1179999998</v>
      </c>
      <c r="D4467" s="95">
        <v>48.436999999999998</v>
      </c>
      <c r="E4467" s="91" t="s">
        <v>107</v>
      </c>
    </row>
    <row r="4468" spans="1:5" x14ac:dyDescent="0.25">
      <c r="A4468" s="102">
        <v>46177</v>
      </c>
      <c r="B4468" s="95">
        <v>511642.424</v>
      </c>
      <c r="C4468" s="95">
        <v>4786673.0070000002</v>
      </c>
      <c r="D4468" s="95">
        <v>45.933</v>
      </c>
      <c r="E4468" s="91" t="s">
        <v>108</v>
      </c>
    </row>
    <row r="4469" spans="1:5" x14ac:dyDescent="0.25">
      <c r="A4469" s="102">
        <v>46177</v>
      </c>
      <c r="B4469" s="95">
        <v>511649.12199999997</v>
      </c>
      <c r="C4469" s="95">
        <v>4786669.3909999998</v>
      </c>
      <c r="D4469" s="95">
        <v>43.942999999999998</v>
      </c>
      <c r="E4469" s="91" t="s">
        <v>113</v>
      </c>
    </row>
    <row r="4470" spans="1:5" x14ac:dyDescent="0.25">
      <c r="A4470" s="102">
        <v>46177</v>
      </c>
      <c r="B4470" s="95">
        <v>511678.29399999999</v>
      </c>
      <c r="C4470" s="95">
        <v>4786638.6059999997</v>
      </c>
      <c r="D4470" s="95">
        <v>41.311</v>
      </c>
      <c r="E4470" s="91" t="s">
        <v>171</v>
      </c>
    </row>
    <row r="4471" spans="1:5" x14ac:dyDescent="0.25">
      <c r="A4471" s="102">
        <v>46177</v>
      </c>
      <c r="B4471" s="95">
        <v>511673.81300000002</v>
      </c>
      <c r="C4471" s="95">
        <v>4786631.0710000005</v>
      </c>
      <c r="D4471" s="95">
        <v>40.159999999999997</v>
      </c>
      <c r="E4471" s="91" t="s">
        <v>147</v>
      </c>
    </row>
    <row r="4472" spans="1:5" x14ac:dyDescent="0.25">
      <c r="A4472" s="102">
        <v>46177</v>
      </c>
      <c r="B4472" s="95">
        <v>511681.67200000002</v>
      </c>
      <c r="C4472" s="95">
        <v>4786646.82</v>
      </c>
      <c r="D4472" s="95">
        <v>38.518999999999998</v>
      </c>
      <c r="E4472" s="91" t="s">
        <v>172</v>
      </c>
    </row>
    <row r="4473" spans="1:5" x14ac:dyDescent="0.25">
      <c r="A4473" s="102">
        <v>46177</v>
      </c>
      <c r="B4473" s="95">
        <v>511680.23200000002</v>
      </c>
      <c r="C4473" s="95">
        <v>4786643.5630000001</v>
      </c>
      <c r="D4473" s="95">
        <v>38.491999999999997</v>
      </c>
      <c r="E4473" s="91" t="s">
        <v>173</v>
      </c>
    </row>
    <row r="4474" spans="1:5" x14ac:dyDescent="0.25">
      <c r="A4474" s="102">
        <v>46177</v>
      </c>
      <c r="B4474" s="95">
        <v>511675.49300000002</v>
      </c>
      <c r="C4474" s="95">
        <v>4786634.6239999998</v>
      </c>
      <c r="D4474" s="95">
        <v>38.651000000000003</v>
      </c>
      <c r="E4474" s="91" t="s">
        <v>174</v>
      </c>
    </row>
    <row r="4475" spans="1:5" x14ac:dyDescent="0.25">
      <c r="A4475" s="102">
        <v>46177</v>
      </c>
      <c r="B4475" s="95">
        <v>511673.58199999999</v>
      </c>
      <c r="C4475" s="95">
        <v>4786631.2390000001</v>
      </c>
      <c r="D4475" s="95">
        <v>38.64</v>
      </c>
      <c r="E4475" s="91" t="s">
        <v>175</v>
      </c>
    </row>
    <row r="4476" spans="1:5" x14ac:dyDescent="0.25">
      <c r="A4476" s="102">
        <v>46177</v>
      </c>
      <c r="B4476" s="95">
        <v>511573.4</v>
      </c>
      <c r="C4476" s="95">
        <v>4786684.3530000001</v>
      </c>
      <c r="D4476" s="95">
        <v>43.466000000000001</v>
      </c>
      <c r="E4476" s="91" t="s">
        <v>148</v>
      </c>
    </row>
    <row r="4477" spans="1:5" x14ac:dyDescent="0.25">
      <c r="A4477" s="102">
        <v>46177</v>
      </c>
      <c r="B4477" s="95">
        <v>511575.48700000002</v>
      </c>
      <c r="C4477" s="95">
        <v>4786688.2249999996</v>
      </c>
      <c r="D4477" s="95">
        <v>43.426000000000002</v>
      </c>
      <c r="E4477" s="91" t="s">
        <v>149</v>
      </c>
    </row>
    <row r="4478" spans="1:5" x14ac:dyDescent="0.25">
      <c r="A4478" s="102">
        <v>46177</v>
      </c>
      <c r="B4478" s="95">
        <v>511577.68599999999</v>
      </c>
      <c r="C4478" s="95">
        <v>4786692.2790000001</v>
      </c>
      <c r="D4478" s="95">
        <v>43.615000000000002</v>
      </c>
      <c r="E4478" s="91" t="s">
        <v>150</v>
      </c>
    </row>
    <row r="4479" spans="1:5" x14ac:dyDescent="0.25">
      <c r="A4479" s="102">
        <v>46177</v>
      </c>
      <c r="B4479" s="95">
        <v>511579.78700000001</v>
      </c>
      <c r="C4479" s="95">
        <v>4786696.1950000003</v>
      </c>
      <c r="D4479" s="95">
        <v>43.686</v>
      </c>
      <c r="E4479" s="91" t="s">
        <v>151</v>
      </c>
    </row>
    <row r="4480" spans="1:5" x14ac:dyDescent="0.25">
      <c r="A4480" s="102">
        <v>46177</v>
      </c>
      <c r="B4480" s="95">
        <v>511574.152</v>
      </c>
      <c r="C4480" s="95">
        <v>4786684.2609999999</v>
      </c>
      <c r="D4480" s="95">
        <v>41.216999999999999</v>
      </c>
      <c r="E4480" s="91" t="s">
        <v>165</v>
      </c>
    </row>
    <row r="4481" spans="1:5" x14ac:dyDescent="0.25">
      <c r="A4481" s="102">
        <v>46177</v>
      </c>
      <c r="B4481" s="95">
        <v>511576.03200000001</v>
      </c>
      <c r="C4481" s="95">
        <v>4786687.8689999999</v>
      </c>
      <c r="D4481" s="95">
        <v>41.054000000000002</v>
      </c>
      <c r="E4481" s="91" t="s">
        <v>166</v>
      </c>
    </row>
    <row r="4482" spans="1:5" x14ac:dyDescent="0.25">
      <c r="A4482" s="102">
        <v>46177</v>
      </c>
      <c r="B4482" s="95">
        <v>511578.098</v>
      </c>
      <c r="C4482" s="95">
        <v>4786692.3210000005</v>
      </c>
      <c r="D4482" s="95">
        <v>41.411000000000001</v>
      </c>
      <c r="E4482" s="91" t="s">
        <v>167</v>
      </c>
    </row>
    <row r="4483" spans="1:5" x14ac:dyDescent="0.25">
      <c r="A4483" s="102">
        <v>46177</v>
      </c>
      <c r="B4483" s="95">
        <v>511580.11700000003</v>
      </c>
      <c r="C4483" s="95">
        <v>4786695.8490000004</v>
      </c>
      <c r="D4483" s="95">
        <v>41.073</v>
      </c>
      <c r="E4483" s="91" t="s">
        <v>168</v>
      </c>
    </row>
    <row r="4484" spans="1:5" x14ac:dyDescent="0.25">
      <c r="A4484" s="102">
        <v>46177</v>
      </c>
      <c r="B4484" s="95">
        <v>511576.2</v>
      </c>
      <c r="C4484" s="95">
        <v>4786687.8219999997</v>
      </c>
      <c r="D4484" s="95">
        <v>39.143000000000001</v>
      </c>
      <c r="E4484" s="91" t="s">
        <v>169</v>
      </c>
    </row>
    <row r="4485" spans="1:5" x14ac:dyDescent="0.25">
      <c r="A4485" s="102">
        <v>46177</v>
      </c>
      <c r="B4485" s="95">
        <v>511580.82299999997</v>
      </c>
      <c r="C4485" s="95">
        <v>4786696.3389999997</v>
      </c>
      <c r="D4485" s="95">
        <v>39.270000000000003</v>
      </c>
      <c r="E4485" s="91" t="s">
        <v>170</v>
      </c>
    </row>
    <row r="4486" spans="1:5" x14ac:dyDescent="0.25">
      <c r="A4486" s="102">
        <v>46177</v>
      </c>
      <c r="B4486" s="95">
        <v>511607.17300000001</v>
      </c>
      <c r="C4486" s="95">
        <v>4786690.835</v>
      </c>
      <c r="D4486" s="95">
        <v>41.313000000000002</v>
      </c>
      <c r="E4486" s="91" t="s">
        <v>139</v>
      </c>
    </row>
    <row r="4487" spans="1:5" x14ac:dyDescent="0.25">
      <c r="A4487" s="102">
        <v>46177</v>
      </c>
      <c r="B4487" s="95">
        <v>511614.97399999999</v>
      </c>
      <c r="C4487" s="95">
        <v>4786686.6009999998</v>
      </c>
      <c r="D4487" s="95">
        <v>41.441000000000003</v>
      </c>
      <c r="E4487" s="91" t="s">
        <v>140</v>
      </c>
    </row>
    <row r="4488" spans="1:5" x14ac:dyDescent="0.25">
      <c r="A4488" s="102">
        <v>46177</v>
      </c>
      <c r="B4488" s="95">
        <v>511628.82500000001</v>
      </c>
      <c r="C4488" s="95">
        <v>4786679.1339999996</v>
      </c>
      <c r="D4488" s="95">
        <v>41.374000000000002</v>
      </c>
      <c r="E4488" s="91" t="s">
        <v>141</v>
      </c>
    </row>
    <row r="4489" spans="1:5" x14ac:dyDescent="0.25">
      <c r="A4489" s="102">
        <v>46177</v>
      </c>
      <c r="B4489" s="95">
        <v>511641.99400000001</v>
      </c>
      <c r="C4489" s="95">
        <v>4786671.9359999998</v>
      </c>
      <c r="D4489" s="95">
        <v>41.51</v>
      </c>
      <c r="E4489" s="91" t="s">
        <v>142</v>
      </c>
    </row>
    <row r="4490" spans="1:5" x14ac:dyDescent="0.25">
      <c r="A4490" s="102">
        <v>46177</v>
      </c>
      <c r="B4490" s="95">
        <v>511648.77500000002</v>
      </c>
      <c r="C4490" s="95">
        <v>4786668.2570000002</v>
      </c>
      <c r="D4490" s="95">
        <v>41.307000000000002</v>
      </c>
      <c r="E4490" s="91" t="s">
        <v>143</v>
      </c>
    </row>
    <row r="4491" spans="1:5" x14ac:dyDescent="0.25">
      <c r="A4491" s="102">
        <v>46177</v>
      </c>
      <c r="B4491" s="95">
        <v>511606.84899999999</v>
      </c>
      <c r="C4491" s="95">
        <v>4786690.284</v>
      </c>
      <c r="D4491" s="95">
        <v>38.317</v>
      </c>
      <c r="E4491" s="91" t="s">
        <v>158</v>
      </c>
    </row>
    <row r="4492" spans="1:5" x14ac:dyDescent="0.25">
      <c r="A4492" s="102">
        <v>46177</v>
      </c>
      <c r="B4492" s="95">
        <v>511614.47100000002</v>
      </c>
      <c r="C4492" s="95">
        <v>4786685.9380000001</v>
      </c>
      <c r="D4492" s="95">
        <v>38.356000000000002</v>
      </c>
      <c r="E4492" s="91" t="s">
        <v>159</v>
      </c>
    </row>
    <row r="4493" spans="1:5" x14ac:dyDescent="0.25">
      <c r="A4493" s="102">
        <v>46177</v>
      </c>
      <c r="B4493" s="95">
        <v>511628.53</v>
      </c>
      <c r="C4493" s="95">
        <v>4786678.9160000002</v>
      </c>
      <c r="D4493" s="95">
        <v>38.331000000000003</v>
      </c>
      <c r="E4493" s="91" t="s">
        <v>160</v>
      </c>
    </row>
    <row r="4494" spans="1:5" x14ac:dyDescent="0.25">
      <c r="A4494" s="102">
        <v>46177</v>
      </c>
      <c r="B4494" s="95">
        <v>511641.755</v>
      </c>
      <c r="C4494" s="95">
        <v>4786671.5609999998</v>
      </c>
      <c r="D4494" s="95">
        <v>38.457000000000001</v>
      </c>
      <c r="E4494" s="91" t="s">
        <v>161</v>
      </c>
    </row>
    <row r="4495" spans="1:5" x14ac:dyDescent="0.25">
      <c r="A4495" s="102">
        <v>46177</v>
      </c>
      <c r="B4495" s="95">
        <v>511648.49699999997</v>
      </c>
      <c r="C4495" s="95">
        <v>4786667.9819999998</v>
      </c>
      <c r="D4495" s="95">
        <v>38.491</v>
      </c>
      <c r="E4495" s="91" t="s">
        <v>162</v>
      </c>
    </row>
    <row r="4496" spans="1:5" x14ac:dyDescent="0.25">
      <c r="A4496" s="102">
        <v>46177</v>
      </c>
      <c r="B4496" s="95">
        <v>511606.58299999998</v>
      </c>
      <c r="C4496" s="95">
        <v>4786689.7929999996</v>
      </c>
      <c r="D4496" s="95">
        <v>35.21</v>
      </c>
      <c r="E4496" s="91" t="s">
        <v>176</v>
      </c>
    </row>
    <row r="4497" spans="1:5" x14ac:dyDescent="0.25">
      <c r="A4497" s="102">
        <v>46177</v>
      </c>
      <c r="B4497" s="95">
        <v>511614.29200000002</v>
      </c>
      <c r="C4497" s="95">
        <v>4786685.5880000005</v>
      </c>
      <c r="D4497" s="95">
        <v>35.570999999999998</v>
      </c>
      <c r="E4497" s="91" t="s">
        <v>177</v>
      </c>
    </row>
    <row r="4498" spans="1:5" x14ac:dyDescent="0.25">
      <c r="A4498" s="102">
        <v>46178</v>
      </c>
      <c r="B4498" s="95">
        <v>511607.68199999997</v>
      </c>
      <c r="C4498" s="95">
        <v>4786691.4110000003</v>
      </c>
      <c r="D4498" s="95">
        <v>43.942</v>
      </c>
      <c r="E4498" s="91" t="s">
        <v>112</v>
      </c>
    </row>
    <row r="4499" spans="1:5" x14ac:dyDescent="0.25">
      <c r="A4499" s="102">
        <v>46178</v>
      </c>
      <c r="B4499" s="95">
        <v>511629.40100000001</v>
      </c>
      <c r="C4499" s="95">
        <v>4786679.9019999998</v>
      </c>
      <c r="D4499" s="95">
        <v>43.945</v>
      </c>
      <c r="E4499" s="91" t="s">
        <v>109</v>
      </c>
    </row>
    <row r="4500" spans="1:5" x14ac:dyDescent="0.25">
      <c r="A4500" s="102">
        <v>46178</v>
      </c>
      <c r="B4500" s="95">
        <v>511615.23200000002</v>
      </c>
      <c r="C4500" s="95">
        <v>4786687.4270000001</v>
      </c>
      <c r="D4500" s="95">
        <v>48.438000000000002</v>
      </c>
      <c r="E4500" s="91" t="s">
        <v>103</v>
      </c>
    </row>
    <row r="4501" spans="1:5" x14ac:dyDescent="0.25">
      <c r="A4501" s="102">
        <v>46178</v>
      </c>
      <c r="B4501" s="95">
        <v>511615.20500000002</v>
      </c>
      <c r="C4501" s="95">
        <v>4786687.3499999996</v>
      </c>
      <c r="D4501" s="95">
        <v>45.930999999999997</v>
      </c>
      <c r="E4501" s="91" t="s">
        <v>104</v>
      </c>
    </row>
    <row r="4502" spans="1:5" x14ac:dyDescent="0.25">
      <c r="A4502" s="102">
        <v>46178</v>
      </c>
      <c r="B4502" s="95">
        <v>511615.15700000001</v>
      </c>
      <c r="C4502" s="95">
        <v>4786687.3729999997</v>
      </c>
      <c r="D4502" s="95">
        <v>43.957000000000001</v>
      </c>
      <c r="E4502" s="91" t="s">
        <v>110</v>
      </c>
    </row>
    <row r="4503" spans="1:5" x14ac:dyDescent="0.25">
      <c r="A4503" s="102">
        <v>46178</v>
      </c>
      <c r="B4503" s="95">
        <v>511629.16399999999</v>
      </c>
      <c r="C4503" s="95">
        <v>4786680.0609999998</v>
      </c>
      <c r="D4503" s="95">
        <v>48.457000000000001</v>
      </c>
      <c r="E4503" s="91" t="s">
        <v>105</v>
      </c>
    </row>
    <row r="4504" spans="1:5" x14ac:dyDescent="0.25">
      <c r="A4504" s="102">
        <v>46178</v>
      </c>
      <c r="B4504" s="95">
        <v>511629.28600000002</v>
      </c>
      <c r="C4504" s="95">
        <v>4786680.0219999999</v>
      </c>
      <c r="D4504" s="95">
        <v>45.94</v>
      </c>
      <c r="E4504" s="91" t="s">
        <v>106</v>
      </c>
    </row>
    <row r="4505" spans="1:5" x14ac:dyDescent="0.25">
      <c r="A4505" s="102">
        <v>46178</v>
      </c>
      <c r="B4505" s="95">
        <v>511642.26299999998</v>
      </c>
      <c r="C4505" s="95">
        <v>4786673.1239999998</v>
      </c>
      <c r="D4505" s="95">
        <v>48.438000000000002</v>
      </c>
      <c r="E4505" s="91" t="s">
        <v>107</v>
      </c>
    </row>
    <row r="4506" spans="1:5" x14ac:dyDescent="0.25">
      <c r="A4506" s="102">
        <v>46178</v>
      </c>
      <c r="B4506" s="95">
        <v>511642.41899999999</v>
      </c>
      <c r="C4506" s="95">
        <v>4786673.0140000004</v>
      </c>
      <c r="D4506" s="95">
        <v>45.933999999999997</v>
      </c>
      <c r="E4506" s="91" t="s">
        <v>108</v>
      </c>
    </row>
    <row r="4507" spans="1:5" x14ac:dyDescent="0.25">
      <c r="A4507" s="102">
        <v>46178</v>
      </c>
      <c r="B4507" s="95">
        <v>511649.11499999999</v>
      </c>
      <c r="C4507" s="95">
        <v>4786669.3990000002</v>
      </c>
      <c r="D4507" s="95">
        <v>43.944000000000003</v>
      </c>
      <c r="E4507" s="91" t="s">
        <v>113</v>
      </c>
    </row>
    <row r="4508" spans="1:5" x14ac:dyDescent="0.25">
      <c r="A4508" s="102">
        <v>46178</v>
      </c>
      <c r="B4508" s="95">
        <v>511678.29300000001</v>
      </c>
      <c r="C4508" s="95">
        <v>4786638.6179999998</v>
      </c>
      <c r="D4508" s="95">
        <v>41.311</v>
      </c>
      <c r="E4508" s="91" t="s">
        <v>171</v>
      </c>
    </row>
    <row r="4509" spans="1:5" x14ac:dyDescent="0.25">
      <c r="A4509" s="102">
        <v>46178</v>
      </c>
      <c r="B4509" s="95">
        <v>511673.81300000002</v>
      </c>
      <c r="C4509" s="95">
        <v>4786631.0829999996</v>
      </c>
      <c r="D4509" s="95">
        <v>40.161000000000001</v>
      </c>
      <c r="E4509" s="91" t="s">
        <v>147</v>
      </c>
    </row>
    <row r="4510" spans="1:5" x14ac:dyDescent="0.25">
      <c r="A4510" s="102">
        <v>46178</v>
      </c>
      <c r="B4510" s="95">
        <v>511681.67200000002</v>
      </c>
      <c r="C4510" s="95">
        <v>4786646.8320000004</v>
      </c>
      <c r="D4510" s="95">
        <v>38.520000000000003</v>
      </c>
      <c r="E4510" s="91" t="s">
        <v>172</v>
      </c>
    </row>
    <row r="4511" spans="1:5" x14ac:dyDescent="0.25">
      <c r="A4511" s="102">
        <v>46178</v>
      </c>
      <c r="B4511" s="95">
        <v>511680.23100000003</v>
      </c>
      <c r="C4511" s="95">
        <v>4786643.5750000002</v>
      </c>
      <c r="D4511" s="95">
        <v>38.493000000000002</v>
      </c>
      <c r="E4511" s="91" t="s">
        <v>173</v>
      </c>
    </row>
    <row r="4512" spans="1:5" x14ac:dyDescent="0.25">
      <c r="A4512" s="102">
        <v>46178</v>
      </c>
      <c r="B4512" s="95">
        <v>511675.49400000001</v>
      </c>
      <c r="C4512" s="95">
        <v>4786634.6349999998</v>
      </c>
      <c r="D4512" s="95">
        <v>38.652000000000001</v>
      </c>
      <c r="E4512" s="91" t="s">
        <v>174</v>
      </c>
    </row>
    <row r="4513" spans="1:5" x14ac:dyDescent="0.25">
      <c r="A4513" s="102">
        <v>46178</v>
      </c>
      <c r="B4513" s="95">
        <v>511673.58100000001</v>
      </c>
      <c r="C4513" s="95">
        <v>4786631.2510000002</v>
      </c>
      <c r="D4513" s="95">
        <v>38.640999999999998</v>
      </c>
      <c r="E4513" s="91" t="s">
        <v>175</v>
      </c>
    </row>
    <row r="4514" spans="1:5" x14ac:dyDescent="0.25">
      <c r="A4514" s="102">
        <v>46178</v>
      </c>
      <c r="B4514" s="95">
        <v>511573.39399999997</v>
      </c>
      <c r="C4514" s="95">
        <v>4786684.3530000001</v>
      </c>
      <c r="D4514" s="95">
        <v>43.466999999999999</v>
      </c>
      <c r="E4514" s="91" t="s">
        <v>148</v>
      </c>
    </row>
    <row r="4515" spans="1:5" x14ac:dyDescent="0.25">
      <c r="A4515" s="102">
        <v>46178</v>
      </c>
      <c r="B4515" s="95">
        <v>511575.48</v>
      </c>
      <c r="C4515" s="95">
        <v>4786688.2249999996</v>
      </c>
      <c r="D4515" s="95">
        <v>43.427</v>
      </c>
      <c r="E4515" s="91" t="s">
        <v>149</v>
      </c>
    </row>
    <row r="4516" spans="1:5" x14ac:dyDescent="0.25">
      <c r="A4516" s="102">
        <v>46178</v>
      </c>
      <c r="B4516" s="95">
        <v>511577.679</v>
      </c>
      <c r="C4516" s="95">
        <v>4786692.2790000001</v>
      </c>
      <c r="D4516" s="95">
        <v>43.615000000000002</v>
      </c>
      <c r="E4516" s="91" t="s">
        <v>150</v>
      </c>
    </row>
    <row r="4517" spans="1:5" x14ac:dyDescent="0.25">
      <c r="A4517" s="102">
        <v>46178</v>
      </c>
      <c r="B4517" s="95">
        <v>511579.78</v>
      </c>
      <c r="C4517" s="95">
        <v>4786696.1950000003</v>
      </c>
      <c r="D4517" s="95">
        <v>43.686999999999998</v>
      </c>
      <c r="E4517" s="91" t="s">
        <v>151</v>
      </c>
    </row>
    <row r="4518" spans="1:5" x14ac:dyDescent="0.25">
      <c r="A4518" s="102">
        <v>46178</v>
      </c>
      <c r="B4518" s="95">
        <v>511574.14600000001</v>
      </c>
      <c r="C4518" s="95">
        <v>4786684.2609999999</v>
      </c>
      <c r="D4518" s="95">
        <v>41.218000000000004</v>
      </c>
      <c r="E4518" s="91" t="s">
        <v>165</v>
      </c>
    </row>
    <row r="4519" spans="1:5" x14ac:dyDescent="0.25">
      <c r="A4519" s="102">
        <v>46178</v>
      </c>
      <c r="B4519" s="95">
        <v>511576.02600000001</v>
      </c>
      <c r="C4519" s="95">
        <v>4786687.8689999999</v>
      </c>
      <c r="D4519" s="95">
        <v>41.054000000000002</v>
      </c>
      <c r="E4519" s="91" t="s">
        <v>166</v>
      </c>
    </row>
    <row r="4520" spans="1:5" x14ac:dyDescent="0.25">
      <c r="A4520" s="102">
        <v>46178</v>
      </c>
      <c r="B4520" s="95">
        <v>511578.09100000001</v>
      </c>
      <c r="C4520" s="95">
        <v>4786692.3210000005</v>
      </c>
      <c r="D4520" s="95">
        <v>41.411999999999999</v>
      </c>
      <c r="E4520" s="91" t="s">
        <v>167</v>
      </c>
    </row>
    <row r="4521" spans="1:5" x14ac:dyDescent="0.25">
      <c r="A4521" s="102">
        <v>46178</v>
      </c>
      <c r="B4521" s="95">
        <v>511580.11099999998</v>
      </c>
      <c r="C4521" s="95">
        <v>4786695.8490000004</v>
      </c>
      <c r="D4521" s="95">
        <v>41.073999999999998</v>
      </c>
      <c r="E4521" s="91" t="s">
        <v>168</v>
      </c>
    </row>
    <row r="4522" spans="1:5" x14ac:dyDescent="0.25">
      <c r="A4522" s="102">
        <v>46178</v>
      </c>
      <c r="B4522" s="95">
        <v>511576.19400000002</v>
      </c>
      <c r="C4522" s="95">
        <v>4786687.8219999997</v>
      </c>
      <c r="D4522" s="95">
        <v>39.143999999999998</v>
      </c>
      <c r="E4522" s="91" t="s">
        <v>169</v>
      </c>
    </row>
    <row r="4523" spans="1:5" x14ac:dyDescent="0.25">
      <c r="A4523" s="102">
        <v>46178</v>
      </c>
      <c r="B4523" s="95">
        <v>511580.81599999999</v>
      </c>
      <c r="C4523" s="95">
        <v>4786696.34</v>
      </c>
      <c r="D4523" s="95">
        <v>39.270000000000003</v>
      </c>
      <c r="E4523" s="91" t="s">
        <v>170</v>
      </c>
    </row>
    <row r="4524" spans="1:5" x14ac:dyDescent="0.25">
      <c r="A4524" s="102">
        <v>46178</v>
      </c>
      <c r="B4524" s="95">
        <v>511607.16600000003</v>
      </c>
      <c r="C4524" s="95">
        <v>4786690.8389999997</v>
      </c>
      <c r="D4524" s="95">
        <v>41.314</v>
      </c>
      <c r="E4524" s="91" t="s">
        <v>139</v>
      </c>
    </row>
    <row r="4525" spans="1:5" x14ac:dyDescent="0.25">
      <c r="A4525" s="102">
        <v>46178</v>
      </c>
      <c r="B4525" s="95">
        <v>511614.967</v>
      </c>
      <c r="C4525" s="95">
        <v>4786686.6040000003</v>
      </c>
      <c r="D4525" s="95">
        <v>41.441000000000003</v>
      </c>
      <c r="E4525" s="91" t="s">
        <v>140</v>
      </c>
    </row>
    <row r="4526" spans="1:5" x14ac:dyDescent="0.25">
      <c r="A4526" s="102">
        <v>46178</v>
      </c>
      <c r="B4526" s="95">
        <v>511628.82</v>
      </c>
      <c r="C4526" s="95">
        <v>4786679.1399999997</v>
      </c>
      <c r="D4526" s="95">
        <v>41.375</v>
      </c>
      <c r="E4526" s="91" t="s">
        <v>141</v>
      </c>
    </row>
    <row r="4527" spans="1:5" x14ac:dyDescent="0.25">
      <c r="A4527" s="102">
        <v>46178</v>
      </c>
      <c r="B4527" s="95">
        <v>511641.989</v>
      </c>
      <c r="C4527" s="95">
        <v>4786671.943</v>
      </c>
      <c r="D4527" s="95">
        <v>41.511000000000003</v>
      </c>
      <c r="E4527" s="91" t="s">
        <v>142</v>
      </c>
    </row>
    <row r="4528" spans="1:5" x14ac:dyDescent="0.25">
      <c r="A4528" s="102">
        <v>46178</v>
      </c>
      <c r="B4528" s="95">
        <v>511648.77</v>
      </c>
      <c r="C4528" s="95">
        <v>4786668.2649999997</v>
      </c>
      <c r="D4528" s="95">
        <v>41.308</v>
      </c>
      <c r="E4528" s="91" t="s">
        <v>143</v>
      </c>
    </row>
    <row r="4529" spans="1:5" x14ac:dyDescent="0.25">
      <c r="A4529" s="102">
        <v>46178</v>
      </c>
      <c r="B4529" s="95">
        <v>511606.842</v>
      </c>
      <c r="C4529" s="95">
        <v>4786690.2860000003</v>
      </c>
      <c r="D4529" s="95">
        <v>38.319000000000003</v>
      </c>
      <c r="E4529" s="91" t="s">
        <v>158</v>
      </c>
    </row>
    <row r="4530" spans="1:5" x14ac:dyDescent="0.25">
      <c r="A4530" s="102">
        <v>46178</v>
      </c>
      <c r="B4530" s="95">
        <v>511614.46500000003</v>
      </c>
      <c r="C4530" s="95">
        <v>4786685.9419999998</v>
      </c>
      <c r="D4530" s="95">
        <v>38.356000000000002</v>
      </c>
      <c r="E4530" s="91" t="s">
        <v>159</v>
      </c>
    </row>
    <row r="4531" spans="1:5" x14ac:dyDescent="0.25">
      <c r="A4531" s="102">
        <v>46178</v>
      </c>
      <c r="B4531" s="95">
        <v>511628.52399999998</v>
      </c>
      <c r="C4531" s="95">
        <v>4786678.9210000001</v>
      </c>
      <c r="D4531" s="95">
        <v>38.332999999999998</v>
      </c>
      <c r="E4531" s="91" t="s">
        <v>160</v>
      </c>
    </row>
    <row r="4532" spans="1:5" x14ac:dyDescent="0.25">
      <c r="A4532" s="102">
        <v>46178</v>
      </c>
      <c r="B4532" s="95">
        <v>511641.75099999999</v>
      </c>
      <c r="C4532" s="95">
        <v>4786671.5690000001</v>
      </c>
      <c r="D4532" s="95">
        <v>38.457999999999998</v>
      </c>
      <c r="E4532" s="91" t="s">
        <v>161</v>
      </c>
    </row>
    <row r="4533" spans="1:5" x14ac:dyDescent="0.25">
      <c r="A4533" s="102">
        <v>46178</v>
      </c>
      <c r="B4533" s="95">
        <v>511648.49200000003</v>
      </c>
      <c r="C4533" s="95">
        <v>4786667.9910000004</v>
      </c>
      <c r="D4533" s="95">
        <v>38.491999999999997</v>
      </c>
      <c r="E4533" s="91" t="s">
        <v>162</v>
      </c>
    </row>
    <row r="4534" spans="1:5" x14ac:dyDescent="0.25">
      <c r="A4534" s="102">
        <v>46178</v>
      </c>
      <c r="B4534" s="95">
        <v>511606.576</v>
      </c>
      <c r="C4534" s="95">
        <v>4786689.7949999999</v>
      </c>
      <c r="D4534" s="95">
        <v>35.210999999999999</v>
      </c>
      <c r="E4534" s="91" t="s">
        <v>176</v>
      </c>
    </row>
    <row r="4535" spans="1:5" x14ac:dyDescent="0.25">
      <c r="A4535" s="102">
        <v>46178</v>
      </c>
      <c r="B4535" s="95">
        <v>511614.28700000001</v>
      </c>
      <c r="C4535" s="95">
        <v>4786685.5920000002</v>
      </c>
      <c r="D4535" s="95">
        <v>35.572000000000003</v>
      </c>
      <c r="E4535" s="91" t="s">
        <v>177</v>
      </c>
    </row>
    <row r="4536" spans="1:5" x14ac:dyDescent="0.25">
      <c r="A4536" s="102">
        <v>46178</v>
      </c>
      <c r="B4536" s="95">
        <v>511628.234</v>
      </c>
      <c r="C4536" s="95">
        <v>4786678.5159999998</v>
      </c>
      <c r="D4536" s="95">
        <v>35.204000000000001</v>
      </c>
      <c r="E4536" s="91" t="s">
        <v>178</v>
      </c>
    </row>
    <row r="4537" spans="1:5" x14ac:dyDescent="0.25">
      <c r="A4537" s="102">
        <v>46178</v>
      </c>
      <c r="B4537" s="95">
        <v>511641.37800000003</v>
      </c>
      <c r="C4537" s="95">
        <v>4786671.176</v>
      </c>
      <c r="D4537" s="95">
        <v>35.262</v>
      </c>
      <c r="E4537" s="91" t="s">
        <v>179</v>
      </c>
    </row>
    <row r="4538" spans="1:5" x14ac:dyDescent="0.25">
      <c r="A4538" s="102">
        <v>46178</v>
      </c>
      <c r="B4538" s="95">
        <v>511648.18800000002</v>
      </c>
      <c r="C4538" s="95">
        <v>4786667.4469999997</v>
      </c>
      <c r="D4538" s="95">
        <v>35.311999999999998</v>
      </c>
      <c r="E4538" s="91" t="s">
        <v>180</v>
      </c>
    </row>
    <row r="4539" spans="1:5" x14ac:dyDescent="0.25">
      <c r="A4539" s="102">
        <v>46181</v>
      </c>
      <c r="B4539" s="95">
        <v>511607.68400000001</v>
      </c>
      <c r="C4539" s="95">
        <v>4786691.4079999998</v>
      </c>
      <c r="D4539" s="95">
        <v>43.941000000000003</v>
      </c>
      <c r="E4539" s="91" t="s">
        <v>112</v>
      </c>
    </row>
    <row r="4540" spans="1:5" x14ac:dyDescent="0.25">
      <c r="A4540" s="102">
        <v>46181</v>
      </c>
      <c r="B4540" s="95">
        <v>511629.402</v>
      </c>
      <c r="C4540" s="95">
        <v>4786679.8969999999</v>
      </c>
      <c r="D4540" s="95">
        <v>43.942999999999998</v>
      </c>
      <c r="E4540" s="91" t="s">
        <v>109</v>
      </c>
    </row>
    <row r="4541" spans="1:5" x14ac:dyDescent="0.25">
      <c r="A4541" s="102">
        <v>46181</v>
      </c>
      <c r="B4541" s="95">
        <v>511615.234</v>
      </c>
      <c r="C4541" s="95">
        <v>4786687.4230000004</v>
      </c>
      <c r="D4541" s="95">
        <v>48.436999999999998</v>
      </c>
      <c r="E4541" s="91" t="s">
        <v>103</v>
      </c>
    </row>
    <row r="4542" spans="1:5" x14ac:dyDescent="0.25">
      <c r="A4542" s="102">
        <v>46181</v>
      </c>
      <c r="B4542" s="95">
        <v>511615.20600000001</v>
      </c>
      <c r="C4542" s="95">
        <v>4786687.3459999999</v>
      </c>
      <c r="D4542" s="95">
        <v>45.93</v>
      </c>
      <c r="E4542" s="91" t="s">
        <v>104</v>
      </c>
    </row>
    <row r="4543" spans="1:5" x14ac:dyDescent="0.25">
      <c r="A4543" s="102">
        <v>46181</v>
      </c>
      <c r="B4543" s="95">
        <v>511615.15899999999</v>
      </c>
      <c r="C4543" s="95">
        <v>4786687.3679999998</v>
      </c>
      <c r="D4543" s="95">
        <v>43.954999999999998</v>
      </c>
      <c r="E4543" s="91" t="s">
        <v>110</v>
      </c>
    </row>
    <row r="4544" spans="1:5" x14ac:dyDescent="0.25">
      <c r="A4544" s="102">
        <v>46181</v>
      </c>
      <c r="B4544" s="95">
        <v>511629.16499999998</v>
      </c>
      <c r="C4544" s="95">
        <v>4786680.0559999999</v>
      </c>
      <c r="D4544" s="95">
        <v>48.456000000000003</v>
      </c>
      <c r="E4544" s="91" t="s">
        <v>105</v>
      </c>
    </row>
    <row r="4545" spans="1:5" x14ac:dyDescent="0.25">
      <c r="A4545" s="102">
        <v>46181</v>
      </c>
      <c r="B4545" s="95">
        <v>511629.288</v>
      </c>
      <c r="C4545" s="95">
        <v>4786680.0190000003</v>
      </c>
      <c r="D4545" s="95">
        <v>45.938000000000002</v>
      </c>
      <c r="E4545" s="91" t="s">
        <v>106</v>
      </c>
    </row>
    <row r="4546" spans="1:5" x14ac:dyDescent="0.25">
      <c r="A4546" s="102">
        <v>46181</v>
      </c>
      <c r="B4546" s="95">
        <v>511642.26699999999</v>
      </c>
      <c r="C4546" s="95">
        <v>4786673.12</v>
      </c>
      <c r="D4546" s="95">
        <v>48.436999999999998</v>
      </c>
      <c r="E4546" s="91" t="s">
        <v>107</v>
      </c>
    </row>
    <row r="4547" spans="1:5" x14ac:dyDescent="0.25">
      <c r="A4547" s="102">
        <v>46181</v>
      </c>
      <c r="B4547" s="95">
        <v>511642.42</v>
      </c>
      <c r="C4547" s="95">
        <v>4786673.0089999996</v>
      </c>
      <c r="D4547" s="95">
        <v>45.932000000000002</v>
      </c>
      <c r="E4547" s="91" t="s">
        <v>108</v>
      </c>
    </row>
    <row r="4548" spans="1:5" x14ac:dyDescent="0.25">
      <c r="A4548" s="102">
        <v>46181</v>
      </c>
      <c r="B4548" s="95">
        <v>511649.11700000003</v>
      </c>
      <c r="C4548" s="95">
        <v>4786669.3930000002</v>
      </c>
      <c r="D4548" s="95">
        <v>43.942999999999998</v>
      </c>
      <c r="E4548" s="91" t="s">
        <v>113</v>
      </c>
    </row>
    <row r="4549" spans="1:5" x14ac:dyDescent="0.25">
      <c r="A4549" s="102">
        <v>46181</v>
      </c>
      <c r="B4549" s="95">
        <v>511678.29100000003</v>
      </c>
      <c r="C4549" s="95">
        <v>4786638.6090000002</v>
      </c>
      <c r="D4549" s="95">
        <v>41.31</v>
      </c>
      <c r="E4549" s="91" t="s">
        <v>171</v>
      </c>
    </row>
    <row r="4550" spans="1:5" x14ac:dyDescent="0.25">
      <c r="A4550" s="102">
        <v>46181</v>
      </c>
      <c r="B4550" s="95">
        <v>511673.81</v>
      </c>
      <c r="C4550" s="95">
        <v>4786631.0750000002</v>
      </c>
      <c r="D4550" s="95">
        <v>40.159999999999997</v>
      </c>
      <c r="E4550" s="91" t="s">
        <v>147</v>
      </c>
    </row>
    <row r="4551" spans="1:5" x14ac:dyDescent="0.25">
      <c r="A4551" s="102">
        <v>46181</v>
      </c>
      <c r="B4551" s="95">
        <v>511681.66899999999</v>
      </c>
      <c r="C4551" s="95">
        <v>4786646.8229999999</v>
      </c>
      <c r="D4551" s="95">
        <v>38.518999999999998</v>
      </c>
      <c r="E4551" s="91" t="s">
        <v>172</v>
      </c>
    </row>
    <row r="4552" spans="1:5" x14ac:dyDescent="0.25">
      <c r="A4552" s="102">
        <v>46181</v>
      </c>
      <c r="B4552" s="95">
        <v>511680.22899999999</v>
      </c>
      <c r="C4552" s="95">
        <v>4786643.5659999996</v>
      </c>
      <c r="D4552" s="95">
        <v>38.491999999999997</v>
      </c>
      <c r="E4552" s="91" t="s">
        <v>173</v>
      </c>
    </row>
    <row r="4553" spans="1:5" x14ac:dyDescent="0.25">
      <c r="A4553" s="102">
        <v>46181</v>
      </c>
      <c r="B4553" s="95">
        <v>511675.49</v>
      </c>
      <c r="C4553" s="95">
        <v>4786634.6279999996</v>
      </c>
      <c r="D4553" s="95">
        <v>38.65</v>
      </c>
      <c r="E4553" s="91" t="s">
        <v>174</v>
      </c>
    </row>
    <row r="4554" spans="1:5" x14ac:dyDescent="0.25">
      <c r="A4554" s="102">
        <v>46181</v>
      </c>
      <c r="B4554" s="95">
        <v>511673.57900000003</v>
      </c>
      <c r="C4554" s="95">
        <v>4786631.2439999999</v>
      </c>
      <c r="D4554" s="95">
        <v>38.64</v>
      </c>
      <c r="E4554" s="91" t="s">
        <v>175</v>
      </c>
    </row>
    <row r="4555" spans="1:5" x14ac:dyDescent="0.25">
      <c r="A4555" s="102">
        <v>46181</v>
      </c>
      <c r="B4555" s="95">
        <v>511573.397</v>
      </c>
      <c r="C4555" s="95">
        <v>4786684.3530000001</v>
      </c>
      <c r="D4555" s="95">
        <v>43.465000000000003</v>
      </c>
      <c r="E4555" s="91" t="s">
        <v>148</v>
      </c>
    </row>
    <row r="4556" spans="1:5" x14ac:dyDescent="0.25">
      <c r="A4556" s="102">
        <v>46181</v>
      </c>
      <c r="B4556" s="95">
        <v>511575.484</v>
      </c>
      <c r="C4556" s="95">
        <v>4786688.2240000004</v>
      </c>
      <c r="D4556" s="95">
        <v>43.426000000000002</v>
      </c>
      <c r="E4556" s="91" t="s">
        <v>149</v>
      </c>
    </row>
    <row r="4557" spans="1:5" x14ac:dyDescent="0.25">
      <c r="A4557" s="102">
        <v>46181</v>
      </c>
      <c r="B4557" s="95">
        <v>511577.68199999997</v>
      </c>
      <c r="C4557" s="95">
        <v>4786692.2790000001</v>
      </c>
      <c r="D4557" s="95">
        <v>43.613999999999997</v>
      </c>
      <c r="E4557" s="91" t="s">
        <v>150</v>
      </c>
    </row>
    <row r="4558" spans="1:5" x14ac:dyDescent="0.25">
      <c r="A4558" s="102">
        <v>46181</v>
      </c>
      <c r="B4558" s="95">
        <v>511579.783</v>
      </c>
      <c r="C4558" s="95">
        <v>4786696.1940000001</v>
      </c>
      <c r="D4558" s="95">
        <v>43.686</v>
      </c>
      <c r="E4558" s="91" t="s">
        <v>151</v>
      </c>
    </row>
    <row r="4559" spans="1:5" x14ac:dyDescent="0.25">
      <c r="A4559" s="102">
        <v>46181</v>
      </c>
      <c r="B4559" s="95">
        <v>511574.14899999998</v>
      </c>
      <c r="C4559" s="95">
        <v>4786684.2609999999</v>
      </c>
      <c r="D4559" s="95">
        <v>41.216999999999999</v>
      </c>
      <c r="E4559" s="91" t="s">
        <v>165</v>
      </c>
    </row>
    <row r="4560" spans="1:5" x14ac:dyDescent="0.25">
      <c r="A4560" s="102">
        <v>46181</v>
      </c>
      <c r="B4560" s="95">
        <v>511576.02899999998</v>
      </c>
      <c r="C4560" s="95">
        <v>4786687.8679999998</v>
      </c>
      <c r="D4560" s="95">
        <v>41.052999999999997</v>
      </c>
      <c r="E4560" s="91" t="s">
        <v>166</v>
      </c>
    </row>
    <row r="4561" spans="1:5" x14ac:dyDescent="0.25">
      <c r="A4561" s="102">
        <v>46181</v>
      </c>
      <c r="B4561" s="95">
        <v>511578.09499999997</v>
      </c>
      <c r="C4561" s="95">
        <v>4786692.3210000005</v>
      </c>
      <c r="D4561" s="95">
        <v>41.41</v>
      </c>
      <c r="E4561" s="91" t="s">
        <v>167</v>
      </c>
    </row>
    <row r="4562" spans="1:5" x14ac:dyDescent="0.25">
      <c r="A4562" s="102">
        <v>46181</v>
      </c>
      <c r="B4562" s="95">
        <v>511580.114</v>
      </c>
      <c r="C4562" s="95">
        <v>4786695.8490000004</v>
      </c>
      <c r="D4562" s="95">
        <v>41.072000000000003</v>
      </c>
      <c r="E4562" s="91" t="s">
        <v>168</v>
      </c>
    </row>
    <row r="4563" spans="1:5" x14ac:dyDescent="0.25">
      <c r="A4563" s="102">
        <v>46181</v>
      </c>
      <c r="B4563" s="95">
        <v>511576.19699999999</v>
      </c>
      <c r="C4563" s="95">
        <v>4786687.8210000005</v>
      </c>
      <c r="D4563" s="95">
        <v>39.142000000000003</v>
      </c>
      <c r="E4563" s="91" t="s">
        <v>169</v>
      </c>
    </row>
    <row r="4564" spans="1:5" x14ac:dyDescent="0.25">
      <c r="A4564" s="102">
        <v>46181</v>
      </c>
      <c r="B4564" s="95">
        <v>511580.82</v>
      </c>
      <c r="C4564" s="95">
        <v>4786696.3380000005</v>
      </c>
      <c r="D4564" s="95">
        <v>39.268000000000001</v>
      </c>
      <c r="E4564" s="91" t="s">
        <v>170</v>
      </c>
    </row>
    <row r="4565" spans="1:5" x14ac:dyDescent="0.25">
      <c r="A4565" s="102">
        <v>46181</v>
      </c>
      <c r="B4565" s="95">
        <v>511607.16899999999</v>
      </c>
      <c r="C4565" s="95">
        <v>4786690.8360000001</v>
      </c>
      <c r="D4565" s="95">
        <v>41.311999999999998</v>
      </c>
      <c r="E4565" s="91" t="s">
        <v>139</v>
      </c>
    </row>
    <row r="4566" spans="1:5" x14ac:dyDescent="0.25">
      <c r="A4566" s="102">
        <v>46181</v>
      </c>
      <c r="B4566" s="95">
        <v>511614.96899999998</v>
      </c>
      <c r="C4566" s="95">
        <v>4786686.5999999996</v>
      </c>
      <c r="D4566" s="95">
        <v>41.44</v>
      </c>
      <c r="E4566" s="91" t="s">
        <v>140</v>
      </c>
    </row>
    <row r="4567" spans="1:5" x14ac:dyDescent="0.25">
      <c r="A4567" s="102">
        <v>46181</v>
      </c>
      <c r="B4567" s="95">
        <v>511628.821</v>
      </c>
      <c r="C4567" s="95">
        <v>4786679.1349999998</v>
      </c>
      <c r="D4567" s="95">
        <v>41.372999999999998</v>
      </c>
      <c r="E4567" s="91" t="s">
        <v>141</v>
      </c>
    </row>
    <row r="4568" spans="1:5" x14ac:dyDescent="0.25">
      <c r="A4568" s="102">
        <v>46181</v>
      </c>
      <c r="B4568" s="95">
        <v>511641.99099999998</v>
      </c>
      <c r="C4568" s="95">
        <v>4786671.9380000001</v>
      </c>
      <c r="D4568" s="95">
        <v>41.509</v>
      </c>
      <c r="E4568" s="91" t="s">
        <v>142</v>
      </c>
    </row>
    <row r="4569" spans="1:5" x14ac:dyDescent="0.25">
      <c r="A4569" s="102">
        <v>46181</v>
      </c>
      <c r="B4569" s="95">
        <v>511648.77100000001</v>
      </c>
      <c r="C4569" s="95">
        <v>4786668.2589999996</v>
      </c>
      <c r="D4569" s="95">
        <v>41.307000000000002</v>
      </c>
      <c r="E4569" s="91" t="s">
        <v>143</v>
      </c>
    </row>
    <row r="4570" spans="1:5" x14ac:dyDescent="0.25">
      <c r="A4570" s="102">
        <v>46181</v>
      </c>
      <c r="B4570" s="95">
        <v>511606.84399999998</v>
      </c>
      <c r="C4570" s="95">
        <v>4786690.2819999997</v>
      </c>
      <c r="D4570" s="95">
        <v>38.317</v>
      </c>
      <c r="E4570" s="91" t="s">
        <v>158</v>
      </c>
    </row>
    <row r="4571" spans="1:5" x14ac:dyDescent="0.25">
      <c r="A4571" s="102">
        <v>46181</v>
      </c>
      <c r="B4571" s="95">
        <v>511614.467</v>
      </c>
      <c r="C4571" s="95">
        <v>4786685.9369999999</v>
      </c>
      <c r="D4571" s="95">
        <v>38.354999999999997</v>
      </c>
      <c r="E4571" s="91" t="s">
        <v>159</v>
      </c>
    </row>
    <row r="4572" spans="1:5" x14ac:dyDescent="0.25">
      <c r="A4572" s="102">
        <v>46181</v>
      </c>
      <c r="B4572" s="95">
        <v>511628.52600000001</v>
      </c>
      <c r="C4572" s="95">
        <v>4786678.9170000004</v>
      </c>
      <c r="D4572" s="95">
        <v>38.331000000000003</v>
      </c>
      <c r="E4572" s="91" t="s">
        <v>160</v>
      </c>
    </row>
    <row r="4573" spans="1:5" x14ac:dyDescent="0.25">
      <c r="A4573" s="102">
        <v>46181</v>
      </c>
      <c r="B4573" s="95">
        <v>511641.75300000003</v>
      </c>
      <c r="C4573" s="95">
        <v>4786671.5640000002</v>
      </c>
      <c r="D4573" s="95">
        <v>38.456000000000003</v>
      </c>
      <c r="E4573" s="91" t="s">
        <v>161</v>
      </c>
    </row>
    <row r="4574" spans="1:5" x14ac:dyDescent="0.25">
      <c r="A4574" s="102">
        <v>46181</v>
      </c>
      <c r="B4574" s="95">
        <v>511648.49300000002</v>
      </c>
      <c r="C4574" s="95">
        <v>4786667.9850000003</v>
      </c>
      <c r="D4574" s="95">
        <v>38.491</v>
      </c>
      <c r="E4574" s="91" t="s">
        <v>162</v>
      </c>
    </row>
    <row r="4575" spans="1:5" x14ac:dyDescent="0.25">
      <c r="A4575" s="102">
        <v>46181</v>
      </c>
      <c r="B4575" s="95">
        <v>511606.57799999998</v>
      </c>
      <c r="C4575" s="95">
        <v>4786689.79</v>
      </c>
      <c r="D4575" s="95">
        <v>35.209000000000003</v>
      </c>
      <c r="E4575" s="91" t="s">
        <v>176</v>
      </c>
    </row>
    <row r="4576" spans="1:5" x14ac:dyDescent="0.25">
      <c r="A4576" s="102">
        <v>46181</v>
      </c>
      <c r="B4576" s="95">
        <v>511614.28899999999</v>
      </c>
      <c r="C4576" s="95">
        <v>4786685.5889999997</v>
      </c>
      <c r="D4576" s="95">
        <v>35.57</v>
      </c>
      <c r="E4576" s="91" t="s">
        <v>177</v>
      </c>
    </row>
    <row r="4577" spans="1:5" x14ac:dyDescent="0.25">
      <c r="A4577" s="102">
        <v>46181</v>
      </c>
      <c r="B4577" s="95">
        <v>511628.23599999998</v>
      </c>
      <c r="C4577" s="95">
        <v>4786678.5109999999</v>
      </c>
      <c r="D4577" s="95">
        <v>35.203000000000003</v>
      </c>
      <c r="E4577" s="91" t="s">
        <v>178</v>
      </c>
    </row>
    <row r="4578" spans="1:5" x14ac:dyDescent="0.25">
      <c r="A4578" s="102">
        <v>46181</v>
      </c>
      <c r="B4578" s="95">
        <v>511641.38</v>
      </c>
      <c r="C4578" s="95">
        <v>4786671.17</v>
      </c>
      <c r="D4578" s="95">
        <v>35.26</v>
      </c>
      <c r="E4578" s="91" t="s">
        <v>179</v>
      </c>
    </row>
    <row r="4579" spans="1:5" x14ac:dyDescent="0.25">
      <c r="A4579" s="102">
        <v>46181</v>
      </c>
      <c r="B4579" s="95">
        <v>511648.18900000001</v>
      </c>
      <c r="C4579" s="95">
        <v>4786667.4400000004</v>
      </c>
      <c r="D4579" s="95">
        <v>35.31</v>
      </c>
      <c r="E4579" s="91" t="s">
        <v>180</v>
      </c>
    </row>
    <row r="4580" spans="1:5" x14ac:dyDescent="0.25">
      <c r="A4580" s="102">
        <v>46182</v>
      </c>
      <c r="B4580" s="95">
        <v>511607.685</v>
      </c>
      <c r="C4580" s="95">
        <v>4786691.41</v>
      </c>
      <c r="D4580" s="95">
        <v>43.941000000000003</v>
      </c>
      <c r="E4580" s="91" t="s">
        <v>112</v>
      </c>
    </row>
    <row r="4581" spans="1:5" x14ac:dyDescent="0.25">
      <c r="A4581" s="102">
        <v>46182</v>
      </c>
      <c r="B4581" s="95">
        <v>511629.402</v>
      </c>
      <c r="C4581" s="95">
        <v>4786679.898</v>
      </c>
      <c r="D4581" s="95">
        <v>43.942999999999998</v>
      </c>
      <c r="E4581" s="91" t="s">
        <v>109</v>
      </c>
    </row>
    <row r="4582" spans="1:5" x14ac:dyDescent="0.25">
      <c r="A4582" s="102">
        <v>46182</v>
      </c>
      <c r="B4582" s="95">
        <v>511615.23499999999</v>
      </c>
      <c r="C4582" s="95">
        <v>4786687.4249999998</v>
      </c>
      <c r="D4582" s="95">
        <v>48.436999999999998</v>
      </c>
      <c r="E4582" s="91" t="s">
        <v>103</v>
      </c>
    </row>
    <row r="4583" spans="1:5" x14ac:dyDescent="0.25">
      <c r="A4583" s="102">
        <v>46182</v>
      </c>
      <c r="B4583" s="95">
        <v>511615.20699999999</v>
      </c>
      <c r="C4583" s="95">
        <v>4786687.3470000001</v>
      </c>
      <c r="D4583" s="95">
        <v>45.929000000000002</v>
      </c>
      <c r="E4583" s="91" t="s">
        <v>104</v>
      </c>
    </row>
    <row r="4584" spans="1:5" x14ac:dyDescent="0.25">
      <c r="A4584" s="102">
        <v>46182</v>
      </c>
      <c r="B4584" s="95">
        <v>511615.16</v>
      </c>
      <c r="C4584" s="95">
        <v>4786687.37</v>
      </c>
      <c r="D4584" s="95">
        <v>43.954999999999998</v>
      </c>
      <c r="E4584" s="91" t="s">
        <v>110</v>
      </c>
    </row>
    <row r="4585" spans="1:5" x14ac:dyDescent="0.25">
      <c r="A4585" s="102">
        <v>46182</v>
      </c>
      <c r="B4585" s="95">
        <v>511629.16700000002</v>
      </c>
      <c r="C4585" s="95">
        <v>4786680.0580000002</v>
      </c>
      <c r="D4585" s="95">
        <v>48.456000000000003</v>
      </c>
      <c r="E4585" s="91" t="s">
        <v>105</v>
      </c>
    </row>
    <row r="4586" spans="1:5" x14ac:dyDescent="0.25">
      <c r="A4586" s="102">
        <v>46182</v>
      </c>
      <c r="B4586" s="95">
        <v>511629.29</v>
      </c>
      <c r="C4586" s="95">
        <v>4786680.0209999997</v>
      </c>
      <c r="D4586" s="95">
        <v>45.938000000000002</v>
      </c>
      <c r="E4586" s="91" t="s">
        <v>106</v>
      </c>
    </row>
    <row r="4587" spans="1:5" x14ac:dyDescent="0.25">
      <c r="A4587" s="102">
        <v>46182</v>
      </c>
      <c r="B4587" s="95">
        <v>511642.26699999999</v>
      </c>
      <c r="C4587" s="95">
        <v>4786673.1210000003</v>
      </c>
      <c r="D4587" s="95">
        <v>48.436999999999998</v>
      </c>
      <c r="E4587" s="91" t="s">
        <v>107</v>
      </c>
    </row>
    <row r="4588" spans="1:5" x14ac:dyDescent="0.25">
      <c r="A4588" s="102">
        <v>46182</v>
      </c>
      <c r="B4588" s="95">
        <v>511642.42</v>
      </c>
      <c r="C4588" s="95">
        <v>4786673.01</v>
      </c>
      <c r="D4588" s="95">
        <v>45.932000000000002</v>
      </c>
      <c r="E4588" s="91" t="s">
        <v>108</v>
      </c>
    </row>
    <row r="4589" spans="1:5" x14ac:dyDescent="0.25">
      <c r="A4589" s="102">
        <v>46182</v>
      </c>
      <c r="B4589" s="95">
        <v>511649.11700000003</v>
      </c>
      <c r="C4589" s="95">
        <v>4786669.3949999996</v>
      </c>
      <c r="D4589" s="95">
        <v>43.942999999999998</v>
      </c>
      <c r="E4589" s="91" t="s">
        <v>113</v>
      </c>
    </row>
    <row r="4590" spans="1:5" x14ac:dyDescent="0.25">
      <c r="A4590" s="102">
        <v>46182</v>
      </c>
      <c r="B4590" s="95">
        <v>511678.29300000001</v>
      </c>
      <c r="C4590" s="95">
        <v>4786638.6109999996</v>
      </c>
      <c r="D4590" s="95">
        <v>41.308999999999997</v>
      </c>
      <c r="E4590" s="91" t="s">
        <v>171</v>
      </c>
    </row>
    <row r="4591" spans="1:5" x14ac:dyDescent="0.25">
      <c r="A4591" s="102">
        <v>46182</v>
      </c>
      <c r="B4591" s="95">
        <v>511673.81099999999</v>
      </c>
      <c r="C4591" s="95">
        <v>4786631.0769999996</v>
      </c>
      <c r="D4591" s="95">
        <v>40.159999999999997</v>
      </c>
      <c r="E4591" s="91" t="s">
        <v>147</v>
      </c>
    </row>
    <row r="4592" spans="1:5" x14ac:dyDescent="0.25">
      <c r="A4592" s="102">
        <v>46182</v>
      </c>
      <c r="B4592" s="95">
        <v>511681.67</v>
      </c>
      <c r="C4592" s="95">
        <v>4786646.824</v>
      </c>
      <c r="D4592" s="95">
        <v>38.518999999999998</v>
      </c>
      <c r="E4592" s="91" t="s">
        <v>172</v>
      </c>
    </row>
    <row r="4593" spans="1:5" x14ac:dyDescent="0.25">
      <c r="A4593" s="102">
        <v>46182</v>
      </c>
      <c r="B4593" s="95">
        <v>511680.23100000003</v>
      </c>
      <c r="C4593" s="95">
        <v>4786643.568</v>
      </c>
      <c r="D4593" s="95">
        <v>38.491</v>
      </c>
      <c r="E4593" s="91" t="s">
        <v>173</v>
      </c>
    </row>
    <row r="4594" spans="1:5" x14ac:dyDescent="0.25">
      <c r="A4594" s="102">
        <v>46182</v>
      </c>
      <c r="B4594" s="95">
        <v>511675.49200000003</v>
      </c>
      <c r="C4594" s="95">
        <v>4786634.6289999997</v>
      </c>
      <c r="D4594" s="95">
        <v>38.65</v>
      </c>
      <c r="E4594" s="91" t="s">
        <v>174</v>
      </c>
    </row>
    <row r="4595" spans="1:5" x14ac:dyDescent="0.25">
      <c r="A4595" s="102">
        <v>46182</v>
      </c>
      <c r="B4595" s="95">
        <v>511673.58</v>
      </c>
      <c r="C4595" s="95">
        <v>4786631.2439999999</v>
      </c>
      <c r="D4595" s="95">
        <v>38.639000000000003</v>
      </c>
      <c r="E4595" s="91" t="s">
        <v>175</v>
      </c>
    </row>
    <row r="4596" spans="1:5" x14ac:dyDescent="0.25">
      <c r="A4596" s="102">
        <v>46182</v>
      </c>
      <c r="B4596" s="95">
        <v>511573.39799999999</v>
      </c>
      <c r="C4596" s="95">
        <v>4786684.3540000003</v>
      </c>
      <c r="D4596" s="95">
        <v>43.465000000000003</v>
      </c>
      <c r="E4596" s="91" t="s">
        <v>148</v>
      </c>
    </row>
    <row r="4597" spans="1:5" x14ac:dyDescent="0.25">
      <c r="A4597" s="102">
        <v>46182</v>
      </c>
      <c r="B4597" s="95">
        <v>511575.48499999999</v>
      </c>
      <c r="C4597" s="95">
        <v>4786688.227</v>
      </c>
      <c r="D4597" s="95">
        <v>43.424999999999997</v>
      </c>
      <c r="E4597" s="91" t="s">
        <v>149</v>
      </c>
    </row>
    <row r="4598" spans="1:5" x14ac:dyDescent="0.25">
      <c r="A4598" s="102">
        <v>46182</v>
      </c>
      <c r="B4598" s="95">
        <v>511577.68300000002</v>
      </c>
      <c r="C4598" s="95">
        <v>4786692.28</v>
      </c>
      <c r="D4598" s="95">
        <v>43.613999999999997</v>
      </c>
      <c r="E4598" s="91" t="s">
        <v>150</v>
      </c>
    </row>
    <row r="4599" spans="1:5" x14ac:dyDescent="0.25">
      <c r="A4599" s="102">
        <v>46182</v>
      </c>
      <c r="B4599" s="95">
        <v>511579.78399999999</v>
      </c>
      <c r="C4599" s="95">
        <v>4786696.1969999997</v>
      </c>
      <c r="D4599" s="95">
        <v>43.685000000000002</v>
      </c>
      <c r="E4599" s="91" t="s">
        <v>151</v>
      </c>
    </row>
    <row r="4600" spans="1:5" x14ac:dyDescent="0.25">
      <c r="A4600" s="102">
        <v>46182</v>
      </c>
      <c r="B4600" s="95">
        <v>511574.14899999998</v>
      </c>
      <c r="C4600" s="95">
        <v>4786684.2620000001</v>
      </c>
      <c r="D4600" s="95">
        <v>41.216000000000001</v>
      </c>
      <c r="E4600" s="91" t="s">
        <v>165</v>
      </c>
    </row>
    <row r="4601" spans="1:5" x14ac:dyDescent="0.25">
      <c r="A4601" s="102">
        <v>46182</v>
      </c>
      <c r="B4601" s="95">
        <v>511576.03</v>
      </c>
      <c r="C4601" s="95">
        <v>4786687.87</v>
      </c>
      <c r="D4601" s="95">
        <v>41.052999999999997</v>
      </c>
      <c r="E4601" s="91" t="s">
        <v>166</v>
      </c>
    </row>
    <row r="4602" spans="1:5" x14ac:dyDescent="0.25">
      <c r="A4602" s="102">
        <v>46182</v>
      </c>
      <c r="B4602" s="95">
        <v>511578.09600000002</v>
      </c>
      <c r="C4602" s="95">
        <v>4786692.3219999997</v>
      </c>
      <c r="D4602" s="95">
        <v>41.41</v>
      </c>
      <c r="E4602" s="91" t="s">
        <v>167</v>
      </c>
    </row>
    <row r="4603" spans="1:5" x14ac:dyDescent="0.25">
      <c r="A4603" s="102">
        <v>46182</v>
      </c>
      <c r="B4603" s="95">
        <v>511580.11499999999</v>
      </c>
      <c r="C4603" s="95">
        <v>4786695.8499999996</v>
      </c>
      <c r="D4603" s="95">
        <v>41.072000000000003</v>
      </c>
      <c r="E4603" s="91" t="s">
        <v>168</v>
      </c>
    </row>
    <row r="4604" spans="1:5" x14ac:dyDescent="0.25">
      <c r="A4604" s="102">
        <v>46182</v>
      </c>
      <c r="B4604" s="95">
        <v>511576.19699999999</v>
      </c>
      <c r="C4604" s="95">
        <v>4786687.824</v>
      </c>
      <c r="D4604" s="95">
        <v>39.140999999999998</v>
      </c>
      <c r="E4604" s="91" t="s">
        <v>169</v>
      </c>
    </row>
    <row r="4605" spans="1:5" x14ac:dyDescent="0.25">
      <c r="A4605" s="102">
        <v>46182</v>
      </c>
      <c r="B4605" s="95">
        <v>511580.82</v>
      </c>
      <c r="C4605" s="95">
        <v>4786696.341</v>
      </c>
      <c r="D4605" s="95">
        <v>39.268000000000001</v>
      </c>
      <c r="E4605" s="91" t="s">
        <v>170</v>
      </c>
    </row>
    <row r="4606" spans="1:5" x14ac:dyDescent="0.25">
      <c r="A4606" s="102">
        <v>46182</v>
      </c>
      <c r="B4606" s="95">
        <v>511607.16899999999</v>
      </c>
      <c r="C4606" s="95">
        <v>4786690.8370000003</v>
      </c>
      <c r="D4606" s="95">
        <v>41.311999999999998</v>
      </c>
      <c r="E4606" s="91" t="s">
        <v>139</v>
      </c>
    </row>
    <row r="4607" spans="1:5" x14ac:dyDescent="0.25">
      <c r="A4607" s="102">
        <v>46182</v>
      </c>
      <c r="B4607" s="95">
        <v>511614.97100000002</v>
      </c>
      <c r="C4607" s="95">
        <v>4786686.602</v>
      </c>
      <c r="D4607" s="95">
        <v>41.439</v>
      </c>
      <c r="E4607" s="91" t="s">
        <v>140</v>
      </c>
    </row>
    <row r="4608" spans="1:5" x14ac:dyDescent="0.25">
      <c r="A4608" s="102">
        <v>46182</v>
      </c>
      <c r="B4608" s="95">
        <v>511628.82299999997</v>
      </c>
      <c r="C4608" s="95">
        <v>4786679.1380000003</v>
      </c>
      <c r="D4608" s="95">
        <v>41.372999999999998</v>
      </c>
      <c r="E4608" s="91" t="s">
        <v>141</v>
      </c>
    </row>
    <row r="4609" spans="1:5" x14ac:dyDescent="0.25">
      <c r="A4609" s="102">
        <v>46182</v>
      </c>
      <c r="B4609" s="95">
        <v>511641.99099999998</v>
      </c>
      <c r="C4609" s="95">
        <v>4786671.9390000002</v>
      </c>
      <c r="D4609" s="95">
        <v>41.509</v>
      </c>
      <c r="E4609" s="91" t="s">
        <v>142</v>
      </c>
    </row>
    <row r="4610" spans="1:5" x14ac:dyDescent="0.25">
      <c r="A4610" s="102">
        <v>46182</v>
      </c>
      <c r="B4610" s="95">
        <v>511648.77299999999</v>
      </c>
      <c r="C4610" s="95">
        <v>4786668.2609999999</v>
      </c>
      <c r="D4610" s="95">
        <v>41.305999999999997</v>
      </c>
      <c r="E4610" s="91" t="s">
        <v>143</v>
      </c>
    </row>
    <row r="4611" spans="1:5" x14ac:dyDescent="0.25">
      <c r="A4611" s="102">
        <v>46182</v>
      </c>
      <c r="B4611" s="95">
        <v>511606.84499999997</v>
      </c>
      <c r="C4611" s="95">
        <v>4786690.2819999997</v>
      </c>
      <c r="D4611" s="95">
        <v>38.317</v>
      </c>
      <c r="E4611" s="91" t="s">
        <v>158</v>
      </c>
    </row>
    <row r="4612" spans="1:5" x14ac:dyDescent="0.25">
      <c r="A4612" s="102">
        <v>46182</v>
      </c>
      <c r="B4612" s="95">
        <v>511614.46799999999</v>
      </c>
      <c r="C4612" s="95">
        <v>4786685.9390000002</v>
      </c>
      <c r="D4612" s="95">
        <v>38.354999999999997</v>
      </c>
      <c r="E4612" s="91" t="s">
        <v>159</v>
      </c>
    </row>
    <row r="4613" spans="1:5" x14ac:dyDescent="0.25">
      <c r="A4613" s="102">
        <v>46182</v>
      </c>
      <c r="B4613" s="95">
        <v>511628.52600000001</v>
      </c>
      <c r="C4613" s="95">
        <v>4786678.9179999996</v>
      </c>
      <c r="D4613" s="95">
        <v>38.331000000000003</v>
      </c>
      <c r="E4613" s="91" t="s">
        <v>160</v>
      </c>
    </row>
    <row r="4614" spans="1:5" x14ac:dyDescent="0.25">
      <c r="A4614" s="102">
        <v>46182</v>
      </c>
      <c r="B4614" s="95">
        <v>511641.75300000003</v>
      </c>
      <c r="C4614" s="95">
        <v>4786671.5650000004</v>
      </c>
      <c r="D4614" s="95">
        <v>38.456000000000003</v>
      </c>
      <c r="E4614" s="91" t="s">
        <v>161</v>
      </c>
    </row>
    <row r="4615" spans="1:5" x14ac:dyDescent="0.25">
      <c r="A4615" s="102">
        <v>46182</v>
      </c>
      <c r="B4615" s="95">
        <v>511606.57799999998</v>
      </c>
      <c r="C4615" s="95">
        <v>4786689.7920000004</v>
      </c>
      <c r="D4615" s="95">
        <v>35.209000000000003</v>
      </c>
      <c r="E4615" s="91" t="s">
        <v>176</v>
      </c>
    </row>
    <row r="4616" spans="1:5" x14ac:dyDescent="0.25">
      <c r="A4616" s="102">
        <v>46182</v>
      </c>
      <c r="B4616" s="95">
        <v>511614.28899999999</v>
      </c>
      <c r="C4616" s="95">
        <v>4786685.5889999997</v>
      </c>
      <c r="D4616" s="95">
        <v>35.57</v>
      </c>
      <c r="E4616" s="91" t="s">
        <v>177</v>
      </c>
    </row>
    <row r="4617" spans="1:5" x14ac:dyDescent="0.25">
      <c r="A4617" s="102">
        <v>46182</v>
      </c>
      <c r="B4617" s="95">
        <v>511628.23700000002</v>
      </c>
      <c r="C4617" s="95">
        <v>4786678.5130000003</v>
      </c>
      <c r="D4617" s="95">
        <v>35.203000000000003</v>
      </c>
      <c r="E4617" s="91" t="s">
        <v>178</v>
      </c>
    </row>
    <row r="4618" spans="1:5" x14ac:dyDescent="0.25">
      <c r="A4618" s="102">
        <v>46182</v>
      </c>
      <c r="B4618" s="95">
        <v>511641.38</v>
      </c>
      <c r="C4618" s="95">
        <v>4786671.1720000003</v>
      </c>
      <c r="D4618" s="95">
        <v>35.26</v>
      </c>
      <c r="E4618" s="91" t="s">
        <v>179</v>
      </c>
    </row>
    <row r="4619" spans="1:5" x14ac:dyDescent="0.25">
      <c r="A4619" s="102">
        <v>46182</v>
      </c>
      <c r="B4619" s="95">
        <v>511648.19</v>
      </c>
      <c r="C4619" s="95">
        <v>4786667.4419999998</v>
      </c>
      <c r="D4619" s="95">
        <v>35.31</v>
      </c>
      <c r="E4619" s="91" t="s">
        <v>180</v>
      </c>
    </row>
    <row r="4620" spans="1:5" x14ac:dyDescent="0.25">
      <c r="A4620" s="102">
        <v>46183</v>
      </c>
      <c r="B4620" s="95">
        <v>511607.68199999997</v>
      </c>
      <c r="C4620" s="95">
        <v>4786691.41</v>
      </c>
      <c r="D4620" s="95">
        <v>43.942</v>
      </c>
      <c r="E4620" s="91" t="s">
        <v>112</v>
      </c>
    </row>
    <row r="4621" spans="1:5" x14ac:dyDescent="0.25">
      <c r="A4621" s="102">
        <v>46183</v>
      </c>
      <c r="B4621" s="95">
        <v>511615.23200000002</v>
      </c>
      <c r="C4621" s="95">
        <v>4786687.426</v>
      </c>
      <c r="D4621" s="95">
        <v>48.438000000000002</v>
      </c>
      <c r="E4621" s="91" t="s">
        <v>103</v>
      </c>
    </row>
    <row r="4622" spans="1:5" x14ac:dyDescent="0.25">
      <c r="A4622" s="102">
        <v>46183</v>
      </c>
      <c r="B4622" s="95">
        <v>511615.20400000003</v>
      </c>
      <c r="C4622" s="95">
        <v>4786687.3490000004</v>
      </c>
      <c r="D4622" s="95">
        <v>45.930999999999997</v>
      </c>
      <c r="E4622" s="91" t="s">
        <v>104</v>
      </c>
    </row>
    <row r="4623" spans="1:5" x14ac:dyDescent="0.25">
      <c r="A4623" s="102">
        <v>46183</v>
      </c>
      <c r="B4623" s="95">
        <v>511615.158</v>
      </c>
      <c r="C4623" s="95">
        <v>4786687.3720000004</v>
      </c>
      <c r="D4623" s="95">
        <v>43.956000000000003</v>
      </c>
      <c r="E4623" s="91" t="s">
        <v>110</v>
      </c>
    </row>
    <row r="4624" spans="1:5" x14ac:dyDescent="0.25">
      <c r="A4624" s="102">
        <v>46183</v>
      </c>
      <c r="B4624" s="95">
        <v>511629.16399999999</v>
      </c>
      <c r="C4624" s="95">
        <v>4786680.0590000004</v>
      </c>
      <c r="D4624" s="95">
        <v>48.457000000000001</v>
      </c>
      <c r="E4624" s="91" t="s">
        <v>105</v>
      </c>
    </row>
    <row r="4625" spans="1:5" x14ac:dyDescent="0.25">
      <c r="A4625" s="102">
        <v>46183</v>
      </c>
      <c r="B4625" s="95">
        <v>511629.288</v>
      </c>
      <c r="C4625" s="95">
        <v>4786680.023</v>
      </c>
      <c r="D4625" s="95">
        <v>45.939</v>
      </c>
      <c r="E4625" s="91" t="s">
        <v>106</v>
      </c>
    </row>
    <row r="4626" spans="1:5" x14ac:dyDescent="0.25">
      <c r="A4626" s="102">
        <v>46183</v>
      </c>
      <c r="B4626" s="95">
        <v>511642.26500000001</v>
      </c>
      <c r="C4626" s="95">
        <v>4786673.1229999997</v>
      </c>
      <c r="D4626" s="95">
        <v>48.438000000000002</v>
      </c>
      <c r="E4626" s="91" t="s">
        <v>107</v>
      </c>
    </row>
    <row r="4627" spans="1:5" x14ac:dyDescent="0.25">
      <c r="A4627" s="102">
        <v>46183</v>
      </c>
      <c r="B4627" s="95">
        <v>511642.41800000001</v>
      </c>
      <c r="C4627" s="95">
        <v>4786673.0120000001</v>
      </c>
      <c r="D4627" s="95">
        <v>45.933</v>
      </c>
      <c r="E4627" s="91" t="s">
        <v>108</v>
      </c>
    </row>
    <row r="4628" spans="1:5" x14ac:dyDescent="0.25">
      <c r="A4628" s="102">
        <v>46183</v>
      </c>
      <c r="B4628" s="95">
        <v>511649.11900000001</v>
      </c>
      <c r="C4628" s="95">
        <v>4786669.3969999999</v>
      </c>
      <c r="D4628" s="95">
        <v>43.944000000000003</v>
      </c>
      <c r="E4628" s="91" t="s">
        <v>113</v>
      </c>
    </row>
    <row r="4629" spans="1:5" x14ac:dyDescent="0.25">
      <c r="A4629" s="102">
        <v>46183</v>
      </c>
      <c r="B4629" s="95">
        <v>511678.29300000001</v>
      </c>
      <c r="C4629" s="95">
        <v>4786638.6129999999</v>
      </c>
      <c r="D4629" s="95">
        <v>41.31</v>
      </c>
      <c r="E4629" s="91" t="s">
        <v>171</v>
      </c>
    </row>
    <row r="4630" spans="1:5" x14ac:dyDescent="0.25">
      <c r="A4630" s="102">
        <v>46183</v>
      </c>
      <c r="B4630" s="95">
        <v>511673.81099999999</v>
      </c>
      <c r="C4630" s="95">
        <v>4786631.0779999997</v>
      </c>
      <c r="D4630" s="95">
        <v>40.161000000000001</v>
      </c>
      <c r="E4630" s="91" t="s">
        <v>147</v>
      </c>
    </row>
    <row r="4631" spans="1:5" x14ac:dyDescent="0.25">
      <c r="A4631" s="102">
        <v>46183</v>
      </c>
      <c r="B4631" s="95">
        <v>511681.67300000001</v>
      </c>
      <c r="C4631" s="95">
        <v>4786646.8260000004</v>
      </c>
      <c r="D4631" s="95">
        <v>38.518999999999998</v>
      </c>
      <c r="E4631" s="91" t="s">
        <v>172</v>
      </c>
    </row>
    <row r="4632" spans="1:5" x14ac:dyDescent="0.25">
      <c r="A4632" s="102">
        <v>46183</v>
      </c>
      <c r="B4632" s="95">
        <v>511680.23200000002</v>
      </c>
      <c r="C4632" s="95">
        <v>4786643.57</v>
      </c>
      <c r="D4632" s="95">
        <v>38.491999999999997</v>
      </c>
      <c r="E4632" s="91" t="s">
        <v>173</v>
      </c>
    </row>
    <row r="4633" spans="1:5" x14ac:dyDescent="0.25">
      <c r="A4633" s="102">
        <v>46183</v>
      </c>
      <c r="B4633" s="95">
        <v>511675.49200000003</v>
      </c>
      <c r="C4633" s="95">
        <v>4786634.63</v>
      </c>
      <c r="D4633" s="95">
        <v>38.651000000000003</v>
      </c>
      <c r="E4633" s="91" t="s">
        <v>174</v>
      </c>
    </row>
    <row r="4634" spans="1:5" x14ac:dyDescent="0.25">
      <c r="A4634" s="102">
        <v>46183</v>
      </c>
      <c r="B4634" s="95">
        <v>511673.58</v>
      </c>
      <c r="C4634" s="95">
        <v>4786631.2460000003</v>
      </c>
      <c r="D4634" s="95">
        <v>38.640999999999998</v>
      </c>
      <c r="E4634" s="91" t="s">
        <v>175</v>
      </c>
    </row>
    <row r="4635" spans="1:5" x14ac:dyDescent="0.25">
      <c r="A4635" s="102">
        <v>46183</v>
      </c>
      <c r="B4635" s="95">
        <v>511573.39500000002</v>
      </c>
      <c r="C4635" s="95">
        <v>4786684.3559999997</v>
      </c>
      <c r="D4635" s="95">
        <v>43.466000000000001</v>
      </c>
      <c r="E4635" s="91" t="s">
        <v>148</v>
      </c>
    </row>
    <row r="4636" spans="1:5" x14ac:dyDescent="0.25">
      <c r="A4636" s="102">
        <v>46183</v>
      </c>
      <c r="B4636" s="95">
        <v>511575.48300000001</v>
      </c>
      <c r="C4636" s="95">
        <v>4786688.2259999998</v>
      </c>
      <c r="D4636" s="95">
        <v>43.427</v>
      </c>
      <c r="E4636" s="91" t="s">
        <v>149</v>
      </c>
    </row>
    <row r="4637" spans="1:5" x14ac:dyDescent="0.25">
      <c r="A4637" s="102">
        <v>46183</v>
      </c>
      <c r="B4637" s="95">
        <v>511577.68199999997</v>
      </c>
      <c r="C4637" s="95">
        <v>4786692.28</v>
      </c>
      <c r="D4637" s="95">
        <v>43.615000000000002</v>
      </c>
      <c r="E4637" s="91" t="s">
        <v>150</v>
      </c>
    </row>
    <row r="4638" spans="1:5" x14ac:dyDescent="0.25">
      <c r="A4638" s="102">
        <v>46183</v>
      </c>
      <c r="B4638" s="95">
        <v>511579.78200000001</v>
      </c>
      <c r="C4638" s="95">
        <v>4786696.1960000005</v>
      </c>
      <c r="D4638" s="95">
        <v>43.686999999999998</v>
      </c>
      <c r="E4638" s="91" t="s">
        <v>151</v>
      </c>
    </row>
    <row r="4639" spans="1:5" x14ac:dyDescent="0.25">
      <c r="A4639" s="102">
        <v>46183</v>
      </c>
      <c r="B4639" s="95">
        <v>511574.14799999999</v>
      </c>
      <c r="C4639" s="95">
        <v>4786684.2630000003</v>
      </c>
      <c r="D4639" s="95">
        <v>41.218000000000004</v>
      </c>
      <c r="E4639" s="91" t="s">
        <v>165</v>
      </c>
    </row>
    <row r="4640" spans="1:5" x14ac:dyDescent="0.25">
      <c r="A4640" s="102">
        <v>46183</v>
      </c>
      <c r="B4640" s="95">
        <v>511576.027</v>
      </c>
      <c r="C4640" s="95">
        <v>4786687.8710000003</v>
      </c>
      <c r="D4640" s="95">
        <v>41.054000000000002</v>
      </c>
      <c r="E4640" s="91" t="s">
        <v>166</v>
      </c>
    </row>
    <row r="4641" spans="1:5" x14ac:dyDescent="0.25">
      <c r="A4641" s="102">
        <v>46183</v>
      </c>
      <c r="B4641" s="95">
        <v>511578.09399999998</v>
      </c>
      <c r="C4641" s="95">
        <v>4786692.3210000005</v>
      </c>
      <c r="D4641" s="95">
        <v>41.411999999999999</v>
      </c>
      <c r="E4641" s="91" t="s">
        <v>167</v>
      </c>
    </row>
    <row r="4642" spans="1:5" x14ac:dyDescent="0.25">
      <c r="A4642" s="102">
        <v>46183</v>
      </c>
      <c r="B4642" s="95">
        <v>511580.11200000002</v>
      </c>
      <c r="C4642" s="95">
        <v>4786695.8509999998</v>
      </c>
      <c r="D4642" s="95">
        <v>41.073999999999998</v>
      </c>
      <c r="E4642" s="91" t="s">
        <v>168</v>
      </c>
    </row>
    <row r="4643" spans="1:5" x14ac:dyDescent="0.25">
      <c r="A4643" s="102">
        <v>46183</v>
      </c>
      <c r="B4643" s="95">
        <v>511576.196</v>
      </c>
      <c r="C4643" s="95">
        <v>4786687.8229999999</v>
      </c>
      <c r="D4643" s="95">
        <v>39.143999999999998</v>
      </c>
      <c r="E4643" s="91" t="s">
        <v>169</v>
      </c>
    </row>
    <row r="4644" spans="1:5" x14ac:dyDescent="0.25">
      <c r="A4644" s="102">
        <v>46183</v>
      </c>
      <c r="B4644" s="95">
        <v>511580.81800000003</v>
      </c>
      <c r="C4644" s="95">
        <v>4786696.341</v>
      </c>
      <c r="D4644" s="95">
        <v>39.270000000000003</v>
      </c>
      <c r="E4644" s="91" t="s">
        <v>170</v>
      </c>
    </row>
    <row r="4645" spans="1:5" x14ac:dyDescent="0.25">
      <c r="A4645" s="102">
        <v>46183</v>
      </c>
      <c r="B4645" s="95">
        <v>511607.16700000002</v>
      </c>
      <c r="C4645" s="95">
        <v>4786690.8380000005</v>
      </c>
      <c r="D4645" s="95">
        <v>41.313000000000002</v>
      </c>
      <c r="E4645" s="91" t="s">
        <v>139</v>
      </c>
    </row>
    <row r="4646" spans="1:5" x14ac:dyDescent="0.25">
      <c r="A4646" s="102">
        <v>46183</v>
      </c>
      <c r="B4646" s="95">
        <v>511614.96799999999</v>
      </c>
      <c r="C4646" s="95">
        <v>4786686.6030000001</v>
      </c>
      <c r="D4646" s="95">
        <v>41.441000000000003</v>
      </c>
      <c r="E4646" s="91" t="s">
        <v>140</v>
      </c>
    </row>
    <row r="4647" spans="1:5" x14ac:dyDescent="0.25">
      <c r="A4647" s="102">
        <v>46183</v>
      </c>
      <c r="B4647" s="95">
        <v>511628.821</v>
      </c>
      <c r="C4647" s="95">
        <v>4786679.1390000004</v>
      </c>
      <c r="D4647" s="95">
        <v>41.374000000000002</v>
      </c>
      <c r="E4647" s="91" t="s">
        <v>141</v>
      </c>
    </row>
    <row r="4648" spans="1:5" x14ac:dyDescent="0.25">
      <c r="A4648" s="102">
        <v>46183</v>
      </c>
      <c r="B4648" s="95">
        <v>511641.99</v>
      </c>
      <c r="C4648" s="95">
        <v>4786671.9409999996</v>
      </c>
      <c r="D4648" s="95">
        <v>41.51</v>
      </c>
      <c r="E4648" s="91" t="s">
        <v>142</v>
      </c>
    </row>
    <row r="4649" spans="1:5" x14ac:dyDescent="0.25">
      <c r="A4649" s="102">
        <v>46183</v>
      </c>
      <c r="B4649" s="95">
        <v>511648.77299999999</v>
      </c>
      <c r="C4649" s="95">
        <v>4786668.2630000003</v>
      </c>
      <c r="D4649" s="95">
        <v>41.308</v>
      </c>
      <c r="E4649" s="91" t="s">
        <v>143</v>
      </c>
    </row>
    <row r="4650" spans="1:5" x14ac:dyDescent="0.25">
      <c r="A4650" s="102">
        <v>46183</v>
      </c>
      <c r="B4650" s="95">
        <v>511606.84299999999</v>
      </c>
      <c r="C4650" s="95">
        <v>4786690.284</v>
      </c>
      <c r="D4650" s="95">
        <v>38.317999999999998</v>
      </c>
      <c r="E4650" s="91" t="s">
        <v>158</v>
      </c>
    </row>
    <row r="4651" spans="1:5" x14ac:dyDescent="0.25">
      <c r="A4651" s="102">
        <v>46183</v>
      </c>
      <c r="B4651" s="95">
        <v>511614.46500000003</v>
      </c>
      <c r="C4651" s="95">
        <v>4786685.9390000002</v>
      </c>
      <c r="D4651" s="95">
        <v>38.356000000000002</v>
      </c>
      <c r="E4651" s="91" t="s">
        <v>159</v>
      </c>
    </row>
    <row r="4652" spans="1:5" x14ac:dyDescent="0.25">
      <c r="A4652" s="102">
        <v>46183</v>
      </c>
      <c r="B4652" s="95">
        <v>511628.52399999998</v>
      </c>
      <c r="C4652" s="95">
        <v>4786678.9189999998</v>
      </c>
      <c r="D4652" s="95">
        <v>38.332999999999998</v>
      </c>
      <c r="E4652" s="91" t="s">
        <v>160</v>
      </c>
    </row>
    <row r="4653" spans="1:5" x14ac:dyDescent="0.25">
      <c r="A4653" s="102">
        <v>46183</v>
      </c>
      <c r="B4653" s="95">
        <v>511641.75199999998</v>
      </c>
      <c r="C4653" s="95">
        <v>4786671.5659999996</v>
      </c>
      <c r="D4653" s="95">
        <v>38.457999999999998</v>
      </c>
      <c r="E4653" s="91" t="s">
        <v>161</v>
      </c>
    </row>
    <row r="4654" spans="1:5" x14ac:dyDescent="0.25">
      <c r="A4654" s="102">
        <v>46183</v>
      </c>
      <c r="B4654" s="95">
        <v>511614.28700000001</v>
      </c>
      <c r="C4654" s="95">
        <v>4786685.5889999997</v>
      </c>
      <c r="D4654" s="95">
        <v>35.572000000000003</v>
      </c>
      <c r="E4654" s="91" t="s">
        <v>177</v>
      </c>
    </row>
    <row r="4655" spans="1:5" x14ac:dyDescent="0.25">
      <c r="A4655" s="102">
        <v>46183</v>
      </c>
      <c r="B4655" s="95">
        <v>511628.23499999999</v>
      </c>
      <c r="C4655" s="95">
        <v>4786678.5140000004</v>
      </c>
      <c r="D4655" s="95">
        <v>35.204000000000001</v>
      </c>
      <c r="E4655" s="91" t="s">
        <v>178</v>
      </c>
    </row>
    <row r="4656" spans="1:5" x14ac:dyDescent="0.25">
      <c r="A4656" s="102">
        <v>46183</v>
      </c>
      <c r="B4656" s="95">
        <v>511641.37800000003</v>
      </c>
      <c r="C4656" s="95">
        <v>4786671.1730000004</v>
      </c>
      <c r="D4656" s="95">
        <v>35.262</v>
      </c>
      <c r="E4656" s="91" t="s">
        <v>179</v>
      </c>
    </row>
    <row r="4657" spans="1:5" x14ac:dyDescent="0.25">
      <c r="A4657" s="102">
        <v>46183</v>
      </c>
      <c r="B4657" s="95">
        <v>511648.18900000001</v>
      </c>
      <c r="C4657" s="95">
        <v>4786667.443</v>
      </c>
      <c r="D4657" s="95">
        <v>35.311999999999998</v>
      </c>
      <c r="E4657" s="91" t="s">
        <v>180</v>
      </c>
    </row>
    <row r="4658" spans="1:5" x14ac:dyDescent="0.25">
      <c r="A4658" s="102">
        <v>46184</v>
      </c>
      <c r="B4658" s="95">
        <v>511607.68300000002</v>
      </c>
      <c r="C4658" s="95">
        <v>4786691.41</v>
      </c>
      <c r="D4658" s="95">
        <v>43.942</v>
      </c>
      <c r="E4658" s="91" t="s">
        <v>112</v>
      </c>
    </row>
    <row r="4659" spans="1:5" x14ac:dyDescent="0.25">
      <c r="A4659" s="102">
        <v>46184</v>
      </c>
      <c r="B4659" s="95">
        <v>511615.234</v>
      </c>
      <c r="C4659" s="95">
        <v>4786687.4249999998</v>
      </c>
      <c r="D4659" s="95">
        <v>48.438000000000002</v>
      </c>
      <c r="E4659" s="91" t="s">
        <v>103</v>
      </c>
    </row>
    <row r="4660" spans="1:5" x14ac:dyDescent="0.25">
      <c r="A4660" s="102">
        <v>46184</v>
      </c>
      <c r="B4660" s="95">
        <v>511615.20500000002</v>
      </c>
      <c r="C4660" s="95">
        <v>4786687.3459999999</v>
      </c>
      <c r="D4660" s="95">
        <v>45.930999999999997</v>
      </c>
      <c r="E4660" s="91" t="s">
        <v>104</v>
      </c>
    </row>
    <row r="4661" spans="1:5" x14ac:dyDescent="0.25">
      <c r="A4661" s="102">
        <v>46184</v>
      </c>
      <c r="B4661" s="95">
        <v>511615.158</v>
      </c>
      <c r="C4661" s="95">
        <v>4786687.3710000003</v>
      </c>
      <c r="D4661" s="95">
        <v>43.956000000000003</v>
      </c>
      <c r="E4661" s="91" t="s">
        <v>110</v>
      </c>
    </row>
    <row r="4662" spans="1:5" x14ac:dyDescent="0.25">
      <c r="A4662" s="102">
        <v>46184</v>
      </c>
      <c r="B4662" s="95">
        <v>511629.16499999998</v>
      </c>
      <c r="C4662" s="95">
        <v>4786680.0580000002</v>
      </c>
      <c r="D4662" s="95">
        <v>48.457000000000001</v>
      </c>
      <c r="E4662" s="91" t="s">
        <v>105</v>
      </c>
    </row>
    <row r="4663" spans="1:5" x14ac:dyDescent="0.25">
      <c r="A4663" s="102">
        <v>46184</v>
      </c>
      <c r="B4663" s="95">
        <v>511629.28700000001</v>
      </c>
      <c r="C4663" s="95">
        <v>4786680.0199999996</v>
      </c>
      <c r="D4663" s="95">
        <v>45.94</v>
      </c>
      <c r="E4663" s="91" t="s">
        <v>106</v>
      </c>
    </row>
    <row r="4664" spans="1:5" x14ac:dyDescent="0.25">
      <c r="A4664" s="102">
        <v>46184</v>
      </c>
      <c r="B4664" s="95">
        <v>511642.266</v>
      </c>
      <c r="C4664" s="95">
        <v>4786673.1220000004</v>
      </c>
      <c r="D4664" s="95">
        <v>48.438000000000002</v>
      </c>
      <c r="E4664" s="91" t="s">
        <v>107</v>
      </c>
    </row>
    <row r="4665" spans="1:5" x14ac:dyDescent="0.25">
      <c r="A4665" s="102">
        <v>46184</v>
      </c>
      <c r="B4665" s="95">
        <v>511642.41899999999</v>
      </c>
      <c r="C4665" s="95">
        <v>4786673.01</v>
      </c>
      <c r="D4665" s="95">
        <v>45.933999999999997</v>
      </c>
      <c r="E4665" s="91" t="s">
        <v>108</v>
      </c>
    </row>
    <row r="4666" spans="1:5" x14ac:dyDescent="0.25">
      <c r="A4666" s="102">
        <v>46184</v>
      </c>
      <c r="B4666" s="95">
        <v>511649.11700000003</v>
      </c>
      <c r="C4666" s="95">
        <v>4786669.3949999996</v>
      </c>
      <c r="D4666" s="95">
        <v>43.944000000000003</v>
      </c>
      <c r="E4666" s="91" t="s">
        <v>113</v>
      </c>
    </row>
    <row r="4667" spans="1:5" x14ac:dyDescent="0.25">
      <c r="A4667" s="102">
        <v>46184</v>
      </c>
      <c r="B4667" s="95">
        <v>511678.29100000003</v>
      </c>
      <c r="C4667" s="95">
        <v>4786638.6109999996</v>
      </c>
      <c r="D4667" s="95">
        <v>41.313000000000002</v>
      </c>
      <c r="E4667" s="91" t="s">
        <v>171</v>
      </c>
    </row>
    <row r="4668" spans="1:5" x14ac:dyDescent="0.25">
      <c r="A4668" s="102">
        <v>46184</v>
      </c>
      <c r="B4668" s="95">
        <v>511673.81099999999</v>
      </c>
      <c r="C4668" s="95">
        <v>4786631.0760000004</v>
      </c>
      <c r="D4668" s="95">
        <v>40.162999999999997</v>
      </c>
      <c r="E4668" s="91" t="s">
        <v>147</v>
      </c>
    </row>
    <row r="4669" spans="1:5" x14ac:dyDescent="0.25">
      <c r="A4669" s="102">
        <v>46184</v>
      </c>
      <c r="B4669" s="95">
        <v>511681.67099999997</v>
      </c>
      <c r="C4669" s="95">
        <v>4786646.8250000002</v>
      </c>
      <c r="D4669" s="95">
        <v>38.521999999999998</v>
      </c>
      <c r="E4669" s="91" t="s">
        <v>172</v>
      </c>
    </row>
    <row r="4670" spans="1:5" x14ac:dyDescent="0.25">
      <c r="A4670" s="102">
        <v>46184</v>
      </c>
      <c r="B4670" s="95">
        <v>511680.23</v>
      </c>
      <c r="C4670" s="95">
        <v>4786643.5690000001</v>
      </c>
      <c r="D4670" s="95">
        <v>38.494</v>
      </c>
      <c r="E4670" s="91" t="s">
        <v>173</v>
      </c>
    </row>
    <row r="4671" spans="1:5" x14ac:dyDescent="0.25">
      <c r="A4671" s="102">
        <v>46184</v>
      </c>
      <c r="B4671" s="95">
        <v>511675.49099999998</v>
      </c>
      <c r="C4671" s="95">
        <v>4786634.6289999997</v>
      </c>
      <c r="D4671" s="95">
        <v>38.652999999999999</v>
      </c>
      <c r="E4671" s="91" t="s">
        <v>174</v>
      </c>
    </row>
    <row r="4672" spans="1:5" x14ac:dyDescent="0.25">
      <c r="A4672" s="102">
        <v>46184</v>
      </c>
      <c r="B4672" s="95">
        <v>511673.57900000003</v>
      </c>
      <c r="C4672" s="95">
        <v>4786631.2450000001</v>
      </c>
      <c r="D4672" s="95">
        <v>38.643000000000001</v>
      </c>
      <c r="E4672" s="91" t="s">
        <v>175</v>
      </c>
    </row>
    <row r="4673" spans="1:5" x14ac:dyDescent="0.25">
      <c r="A4673" s="102">
        <v>46184</v>
      </c>
      <c r="B4673" s="95">
        <v>511573.39799999999</v>
      </c>
      <c r="C4673" s="95">
        <v>4786684.3530000001</v>
      </c>
      <c r="D4673" s="95">
        <v>43.466000000000001</v>
      </c>
      <c r="E4673" s="91" t="s">
        <v>148</v>
      </c>
    </row>
    <row r="4674" spans="1:5" x14ac:dyDescent="0.25">
      <c r="A4674" s="102">
        <v>46184</v>
      </c>
      <c r="B4674" s="95">
        <v>511575.48499999999</v>
      </c>
      <c r="C4674" s="95">
        <v>4786688.2240000004</v>
      </c>
      <c r="D4674" s="95">
        <v>43.427</v>
      </c>
      <c r="E4674" s="91" t="s">
        <v>149</v>
      </c>
    </row>
    <row r="4675" spans="1:5" x14ac:dyDescent="0.25">
      <c r="A4675" s="102">
        <v>46184</v>
      </c>
      <c r="B4675" s="95">
        <v>511577.68300000002</v>
      </c>
      <c r="C4675" s="95">
        <v>4786692.2790000001</v>
      </c>
      <c r="D4675" s="95">
        <v>43.615000000000002</v>
      </c>
      <c r="E4675" s="91" t="s">
        <v>150</v>
      </c>
    </row>
    <row r="4676" spans="1:5" x14ac:dyDescent="0.25">
      <c r="A4676" s="102">
        <v>46184</v>
      </c>
      <c r="B4676" s="95">
        <v>511579.783</v>
      </c>
      <c r="C4676" s="95">
        <v>4786696.1950000003</v>
      </c>
      <c r="D4676" s="95">
        <v>43.686999999999998</v>
      </c>
      <c r="E4676" s="91" t="s">
        <v>151</v>
      </c>
    </row>
    <row r="4677" spans="1:5" x14ac:dyDescent="0.25">
      <c r="A4677" s="102">
        <v>46184</v>
      </c>
      <c r="B4677" s="95">
        <v>511574.14899999998</v>
      </c>
      <c r="C4677" s="95">
        <v>4786684.2620000001</v>
      </c>
      <c r="D4677" s="95">
        <v>41.218000000000004</v>
      </c>
      <c r="E4677" s="91" t="s">
        <v>165</v>
      </c>
    </row>
    <row r="4678" spans="1:5" x14ac:dyDescent="0.25">
      <c r="A4678" s="102">
        <v>46184</v>
      </c>
      <c r="B4678" s="95">
        <v>511576.02899999998</v>
      </c>
      <c r="C4678" s="95">
        <v>4786687.87</v>
      </c>
      <c r="D4678" s="95">
        <v>41.054000000000002</v>
      </c>
      <c r="E4678" s="91" t="s">
        <v>166</v>
      </c>
    </row>
    <row r="4679" spans="1:5" x14ac:dyDescent="0.25">
      <c r="A4679" s="102">
        <v>46184</v>
      </c>
      <c r="B4679" s="95">
        <v>511578.09399999998</v>
      </c>
      <c r="C4679" s="95">
        <v>4786692.3219999997</v>
      </c>
      <c r="D4679" s="95">
        <v>41.411999999999999</v>
      </c>
      <c r="E4679" s="91" t="s">
        <v>167</v>
      </c>
    </row>
    <row r="4680" spans="1:5" x14ac:dyDescent="0.25">
      <c r="A4680" s="102">
        <v>46184</v>
      </c>
      <c r="B4680" s="95">
        <v>511580.114</v>
      </c>
      <c r="C4680" s="95">
        <v>4786695.8490000004</v>
      </c>
      <c r="D4680" s="95">
        <v>41.073999999999998</v>
      </c>
      <c r="E4680" s="91" t="s">
        <v>168</v>
      </c>
    </row>
    <row r="4681" spans="1:5" x14ac:dyDescent="0.25">
      <c r="A4681" s="102">
        <v>46184</v>
      </c>
      <c r="B4681" s="95">
        <v>511576.196</v>
      </c>
      <c r="C4681" s="95">
        <v>4786687.8229999999</v>
      </c>
      <c r="D4681" s="95">
        <v>39.143000000000001</v>
      </c>
      <c r="E4681" s="91" t="s">
        <v>169</v>
      </c>
    </row>
    <row r="4682" spans="1:5" x14ac:dyDescent="0.25">
      <c r="A4682" s="102">
        <v>46184</v>
      </c>
      <c r="B4682" s="95">
        <v>511580.81900000002</v>
      </c>
      <c r="C4682" s="95">
        <v>4786696.341</v>
      </c>
      <c r="D4682" s="95">
        <v>39.270000000000003</v>
      </c>
      <c r="E4682" s="91" t="s">
        <v>170</v>
      </c>
    </row>
    <row r="4683" spans="1:5" x14ac:dyDescent="0.25">
      <c r="A4683" s="102">
        <v>46184</v>
      </c>
      <c r="B4683" s="95">
        <v>511607.16899999999</v>
      </c>
      <c r="C4683" s="95">
        <v>4786690.8370000003</v>
      </c>
      <c r="D4683" s="95">
        <v>41.313000000000002</v>
      </c>
      <c r="E4683" s="91" t="s">
        <v>139</v>
      </c>
    </row>
    <row r="4684" spans="1:5" x14ac:dyDescent="0.25">
      <c r="A4684" s="102">
        <v>46184</v>
      </c>
      <c r="B4684" s="95">
        <v>511614.96799999999</v>
      </c>
      <c r="C4684" s="95">
        <v>4786686.6009999998</v>
      </c>
      <c r="D4684" s="95">
        <v>41.441000000000003</v>
      </c>
      <c r="E4684" s="91" t="s">
        <v>140</v>
      </c>
    </row>
    <row r="4685" spans="1:5" x14ac:dyDescent="0.25">
      <c r="A4685" s="102">
        <v>46184</v>
      </c>
      <c r="B4685" s="95">
        <v>511628.821</v>
      </c>
      <c r="C4685" s="95">
        <v>4786679.1359999999</v>
      </c>
      <c r="D4685" s="95">
        <v>41.375</v>
      </c>
      <c r="E4685" s="91" t="s">
        <v>141</v>
      </c>
    </row>
    <row r="4686" spans="1:5" x14ac:dyDescent="0.25">
      <c r="A4686" s="102">
        <v>46184</v>
      </c>
      <c r="B4686" s="95">
        <v>511641.989</v>
      </c>
      <c r="C4686" s="95">
        <v>4786671.9390000002</v>
      </c>
      <c r="D4686" s="95">
        <v>41.511000000000003</v>
      </c>
      <c r="E4686" s="91" t="s">
        <v>142</v>
      </c>
    </row>
    <row r="4687" spans="1:5" x14ac:dyDescent="0.25">
      <c r="A4687" s="102">
        <v>46184</v>
      </c>
      <c r="B4687" s="95">
        <v>511648.77</v>
      </c>
      <c r="C4687" s="95">
        <v>4786668.2609999999</v>
      </c>
      <c r="D4687" s="95">
        <v>41.308</v>
      </c>
      <c r="E4687" s="91" t="s">
        <v>143</v>
      </c>
    </row>
    <row r="4688" spans="1:5" x14ac:dyDescent="0.25">
      <c r="A4688" s="102">
        <v>46184</v>
      </c>
      <c r="B4688" s="95">
        <v>511606.84299999999</v>
      </c>
      <c r="C4688" s="95">
        <v>4786690.2819999997</v>
      </c>
      <c r="D4688" s="95">
        <v>38.317999999999998</v>
      </c>
      <c r="E4688" s="91" t="s">
        <v>158</v>
      </c>
    </row>
    <row r="4689" spans="1:5" x14ac:dyDescent="0.25">
      <c r="A4689" s="102">
        <v>46184</v>
      </c>
      <c r="B4689" s="95">
        <v>511614.46600000001</v>
      </c>
      <c r="C4689" s="95">
        <v>4786685.9380000001</v>
      </c>
      <c r="D4689" s="95">
        <v>38.356999999999999</v>
      </c>
      <c r="E4689" s="91" t="s">
        <v>159</v>
      </c>
    </row>
    <row r="4690" spans="1:5" x14ac:dyDescent="0.25">
      <c r="A4690" s="102">
        <v>46184</v>
      </c>
      <c r="B4690" s="95">
        <v>511628.52500000002</v>
      </c>
      <c r="C4690" s="95">
        <v>4786678.9179999996</v>
      </c>
      <c r="D4690" s="95">
        <v>38.332000000000001</v>
      </c>
      <c r="E4690" s="91" t="s">
        <v>160</v>
      </c>
    </row>
    <row r="4691" spans="1:5" x14ac:dyDescent="0.25">
      <c r="A4691" s="102">
        <v>46184</v>
      </c>
      <c r="B4691" s="95">
        <v>511641.75199999998</v>
      </c>
      <c r="C4691" s="95">
        <v>4786671.5640000002</v>
      </c>
      <c r="D4691" s="95">
        <v>38.457000000000001</v>
      </c>
      <c r="E4691" s="91" t="s">
        <v>161</v>
      </c>
    </row>
    <row r="4692" spans="1:5" x14ac:dyDescent="0.25">
      <c r="A4692" s="102">
        <v>46184</v>
      </c>
      <c r="B4692" s="95">
        <v>511606.57699999999</v>
      </c>
      <c r="C4692" s="95">
        <v>4786689.7920000004</v>
      </c>
      <c r="D4692" s="95">
        <v>35.21</v>
      </c>
      <c r="E4692" s="91" t="s">
        <v>176</v>
      </c>
    </row>
    <row r="4693" spans="1:5" x14ac:dyDescent="0.25">
      <c r="A4693" s="102">
        <v>46184</v>
      </c>
      <c r="B4693" s="95">
        <v>511614.28700000001</v>
      </c>
      <c r="C4693" s="95">
        <v>4786685.5889999997</v>
      </c>
      <c r="D4693" s="95">
        <v>35.572000000000003</v>
      </c>
      <c r="E4693" s="91" t="s">
        <v>177</v>
      </c>
    </row>
    <row r="4694" spans="1:5" x14ac:dyDescent="0.25">
      <c r="A4694" s="102">
        <v>46184</v>
      </c>
      <c r="B4694" s="95">
        <v>511628.23499999999</v>
      </c>
      <c r="C4694" s="95">
        <v>4786678.5120000001</v>
      </c>
      <c r="D4694" s="95">
        <v>35.204000000000001</v>
      </c>
      <c r="E4694" s="91" t="s">
        <v>178</v>
      </c>
    </row>
    <row r="4695" spans="1:5" x14ac:dyDescent="0.25">
      <c r="A4695" s="102">
        <v>46184</v>
      </c>
      <c r="B4695" s="95">
        <v>511641.38</v>
      </c>
      <c r="C4695" s="95">
        <v>4786671.1720000003</v>
      </c>
      <c r="D4695" s="95">
        <v>35.261000000000003</v>
      </c>
      <c r="E4695" s="91" t="s">
        <v>179</v>
      </c>
    </row>
    <row r="4696" spans="1:5" x14ac:dyDescent="0.25">
      <c r="A4696" s="102">
        <v>46184</v>
      </c>
      <c r="B4696" s="95">
        <v>511648.18900000001</v>
      </c>
      <c r="C4696" s="95">
        <v>4786667.4419999998</v>
      </c>
      <c r="D4696" s="95">
        <v>35.311999999999998</v>
      </c>
      <c r="E4696" s="91" t="s">
        <v>180</v>
      </c>
    </row>
    <row r="4697" spans="1:5" x14ac:dyDescent="0.25">
      <c r="A4697" s="102">
        <v>46188</v>
      </c>
      <c r="B4697" s="95">
        <v>511607.679</v>
      </c>
      <c r="C4697" s="95">
        <v>4786691.4119999995</v>
      </c>
      <c r="D4697" s="95">
        <v>43.942</v>
      </c>
      <c r="E4697" s="91" t="s">
        <v>112</v>
      </c>
    </row>
    <row r="4698" spans="1:5" x14ac:dyDescent="0.25">
      <c r="A4698" s="102">
        <v>46188</v>
      </c>
      <c r="B4698" s="95">
        <v>511615.22899999999</v>
      </c>
      <c r="C4698" s="95">
        <v>4786687.4270000001</v>
      </c>
      <c r="D4698" s="95">
        <v>48.438000000000002</v>
      </c>
      <c r="E4698" s="91" t="s">
        <v>103</v>
      </c>
    </row>
    <row r="4699" spans="1:5" x14ac:dyDescent="0.25">
      <c r="A4699" s="102">
        <v>46188</v>
      </c>
      <c r="B4699" s="95">
        <v>511615.201</v>
      </c>
      <c r="C4699" s="95">
        <v>4786687.3490000004</v>
      </c>
      <c r="D4699" s="95">
        <v>45.930999999999997</v>
      </c>
      <c r="E4699" s="91" t="s">
        <v>104</v>
      </c>
    </row>
    <row r="4700" spans="1:5" x14ac:dyDescent="0.25">
      <c r="A4700" s="102">
        <v>46188</v>
      </c>
      <c r="B4700" s="95">
        <v>511615.15399999998</v>
      </c>
      <c r="C4700" s="95">
        <v>4786687.3720000004</v>
      </c>
      <c r="D4700" s="95">
        <v>43.957000000000001</v>
      </c>
      <c r="E4700" s="91" t="s">
        <v>110</v>
      </c>
    </row>
    <row r="4701" spans="1:5" x14ac:dyDescent="0.25">
      <c r="A4701" s="102">
        <v>46188</v>
      </c>
      <c r="B4701" s="95">
        <v>511629.16100000002</v>
      </c>
      <c r="C4701" s="95">
        <v>4786680.0599999996</v>
      </c>
      <c r="D4701" s="95">
        <v>48.457000000000001</v>
      </c>
      <c r="E4701" s="91" t="s">
        <v>105</v>
      </c>
    </row>
    <row r="4702" spans="1:5" x14ac:dyDescent="0.25">
      <c r="A4702" s="102">
        <v>46188</v>
      </c>
      <c r="B4702" s="95">
        <v>511629.28499999997</v>
      </c>
      <c r="C4702" s="95">
        <v>4786680.023</v>
      </c>
      <c r="D4702" s="95">
        <v>45.94</v>
      </c>
      <c r="E4702" s="91" t="s">
        <v>106</v>
      </c>
    </row>
    <row r="4703" spans="1:5" x14ac:dyDescent="0.25">
      <c r="A4703" s="102">
        <v>46188</v>
      </c>
      <c r="B4703" s="95">
        <v>511642.26299999998</v>
      </c>
      <c r="C4703" s="95">
        <v>4786673.1239999998</v>
      </c>
      <c r="D4703" s="95">
        <v>48.438000000000002</v>
      </c>
      <c r="E4703" s="91" t="s">
        <v>107</v>
      </c>
    </row>
    <row r="4704" spans="1:5" x14ac:dyDescent="0.25">
      <c r="A4704" s="102">
        <v>46188</v>
      </c>
      <c r="B4704" s="95">
        <v>511642.41600000003</v>
      </c>
      <c r="C4704" s="95">
        <v>4786673.0130000003</v>
      </c>
      <c r="D4704" s="95">
        <v>45.933999999999997</v>
      </c>
      <c r="E4704" s="91" t="s">
        <v>108</v>
      </c>
    </row>
    <row r="4705" spans="1:5" x14ac:dyDescent="0.25">
      <c r="A4705" s="102">
        <v>46188</v>
      </c>
      <c r="B4705" s="95">
        <v>511649.11499999999</v>
      </c>
      <c r="C4705" s="95">
        <v>4786669.398</v>
      </c>
      <c r="D4705" s="95">
        <v>43.945</v>
      </c>
      <c r="E4705" s="91" t="s">
        <v>113</v>
      </c>
    </row>
    <row r="4706" spans="1:5" x14ac:dyDescent="0.25">
      <c r="A4706" s="102">
        <v>46188</v>
      </c>
      <c r="B4706" s="95">
        <v>511678.29</v>
      </c>
      <c r="C4706" s="95">
        <v>4786638.6140000001</v>
      </c>
      <c r="D4706" s="95">
        <v>41.311999999999998</v>
      </c>
      <c r="E4706" s="91" t="s">
        <v>171</v>
      </c>
    </row>
    <row r="4707" spans="1:5" x14ac:dyDescent="0.25">
      <c r="A4707" s="102">
        <v>46188</v>
      </c>
      <c r="B4707" s="95">
        <v>511673.81</v>
      </c>
      <c r="C4707" s="95">
        <v>4786631.0789999999</v>
      </c>
      <c r="D4707" s="95">
        <v>40.161999999999999</v>
      </c>
      <c r="E4707" s="91" t="s">
        <v>147</v>
      </c>
    </row>
    <row r="4708" spans="1:5" x14ac:dyDescent="0.25">
      <c r="A4708" s="102">
        <v>46188</v>
      </c>
      <c r="B4708" s="95">
        <v>511681.66700000002</v>
      </c>
      <c r="C4708" s="95">
        <v>4786646.8279999997</v>
      </c>
      <c r="D4708" s="95">
        <v>38.521000000000001</v>
      </c>
      <c r="E4708" s="91" t="s">
        <v>172</v>
      </c>
    </row>
    <row r="4709" spans="1:5" x14ac:dyDescent="0.25">
      <c r="A4709" s="102">
        <v>46188</v>
      </c>
      <c r="B4709" s="95">
        <v>511680.22899999999</v>
      </c>
      <c r="C4709" s="95">
        <v>4786643.5710000005</v>
      </c>
      <c r="D4709" s="95">
        <v>38.493000000000002</v>
      </c>
      <c r="E4709" s="91" t="s">
        <v>173</v>
      </c>
    </row>
    <row r="4710" spans="1:5" x14ac:dyDescent="0.25">
      <c r="A4710" s="102">
        <v>46188</v>
      </c>
      <c r="B4710" s="95">
        <v>511675.49</v>
      </c>
      <c r="C4710" s="95">
        <v>4786634.6320000002</v>
      </c>
      <c r="D4710" s="95">
        <v>38.652999999999999</v>
      </c>
      <c r="E4710" s="91" t="s">
        <v>174</v>
      </c>
    </row>
    <row r="4711" spans="1:5" x14ac:dyDescent="0.25">
      <c r="A4711" s="102">
        <v>46188</v>
      </c>
      <c r="B4711" s="95">
        <v>511673.57900000003</v>
      </c>
      <c r="C4711" s="95">
        <v>4786631.2479999997</v>
      </c>
      <c r="D4711" s="95">
        <v>38.642000000000003</v>
      </c>
      <c r="E4711" s="91" t="s">
        <v>175</v>
      </c>
    </row>
    <row r="4712" spans="1:5" x14ac:dyDescent="0.25">
      <c r="A4712" s="102">
        <v>46188</v>
      </c>
      <c r="B4712" s="95">
        <v>511573.39299999998</v>
      </c>
      <c r="C4712" s="95">
        <v>4786684.3530000001</v>
      </c>
      <c r="D4712" s="95">
        <v>43.466999999999999</v>
      </c>
      <c r="E4712" s="91" t="s">
        <v>148</v>
      </c>
    </row>
    <row r="4713" spans="1:5" x14ac:dyDescent="0.25">
      <c r="A4713" s="102">
        <v>46188</v>
      </c>
      <c r="B4713" s="95">
        <v>511575.47899999999</v>
      </c>
      <c r="C4713" s="95">
        <v>4786688.2249999996</v>
      </c>
      <c r="D4713" s="95">
        <v>43.427</v>
      </c>
      <c r="E4713" s="91" t="s">
        <v>149</v>
      </c>
    </row>
    <row r="4714" spans="1:5" x14ac:dyDescent="0.25">
      <c r="A4714" s="102">
        <v>46188</v>
      </c>
      <c r="B4714" s="95">
        <v>511577.67700000003</v>
      </c>
      <c r="C4714" s="95">
        <v>4786692.2810000004</v>
      </c>
      <c r="D4714" s="95">
        <v>43.615000000000002</v>
      </c>
      <c r="E4714" s="91" t="s">
        <v>150</v>
      </c>
    </row>
    <row r="4715" spans="1:5" x14ac:dyDescent="0.25">
      <c r="A4715" s="102">
        <v>46188</v>
      </c>
      <c r="B4715" s="95">
        <v>511579.777</v>
      </c>
      <c r="C4715" s="95">
        <v>4786696.1960000005</v>
      </c>
      <c r="D4715" s="95">
        <v>43.686</v>
      </c>
      <c r="E4715" s="91" t="s">
        <v>151</v>
      </c>
    </row>
    <row r="4716" spans="1:5" x14ac:dyDescent="0.25">
      <c r="A4716" s="102">
        <v>46188</v>
      </c>
      <c r="B4716" s="95">
        <v>511574.14399999997</v>
      </c>
      <c r="C4716" s="95">
        <v>4786684.2609999999</v>
      </c>
      <c r="D4716" s="95">
        <v>41.218000000000004</v>
      </c>
      <c r="E4716" s="91" t="s">
        <v>165</v>
      </c>
    </row>
    <row r="4717" spans="1:5" x14ac:dyDescent="0.25">
      <c r="A4717" s="102">
        <v>46188</v>
      </c>
      <c r="B4717" s="95">
        <v>511576.02399999998</v>
      </c>
      <c r="C4717" s="95">
        <v>4786687.87</v>
      </c>
      <c r="D4717" s="95">
        <v>41.054000000000002</v>
      </c>
      <c r="E4717" s="91" t="s">
        <v>166</v>
      </c>
    </row>
    <row r="4718" spans="1:5" x14ac:dyDescent="0.25">
      <c r="A4718" s="102">
        <v>46188</v>
      </c>
      <c r="B4718" s="95">
        <v>511578.08899999998</v>
      </c>
      <c r="C4718" s="95">
        <v>4786692.3219999997</v>
      </c>
      <c r="D4718" s="95">
        <v>41.411999999999999</v>
      </c>
      <c r="E4718" s="91" t="s">
        <v>167</v>
      </c>
    </row>
    <row r="4719" spans="1:5" x14ac:dyDescent="0.25">
      <c r="A4719" s="102">
        <v>46188</v>
      </c>
      <c r="B4719" s="95">
        <v>511580.10800000001</v>
      </c>
      <c r="C4719" s="95">
        <v>4786695.8499999996</v>
      </c>
      <c r="D4719" s="95">
        <v>41.073</v>
      </c>
      <c r="E4719" s="91" t="s">
        <v>168</v>
      </c>
    </row>
    <row r="4720" spans="1:5" x14ac:dyDescent="0.25">
      <c r="A4720" s="102">
        <v>46188</v>
      </c>
      <c r="B4720" s="95">
        <v>511576.19099999999</v>
      </c>
      <c r="C4720" s="95">
        <v>4786687.8229999999</v>
      </c>
      <c r="D4720" s="95">
        <v>39.143000000000001</v>
      </c>
      <c r="E4720" s="91" t="s">
        <v>169</v>
      </c>
    </row>
    <row r="4721" spans="1:5" x14ac:dyDescent="0.25">
      <c r="A4721" s="102">
        <v>46188</v>
      </c>
      <c r="B4721" s="95">
        <v>511580.81400000001</v>
      </c>
      <c r="C4721" s="95">
        <v>4786696.34</v>
      </c>
      <c r="D4721" s="95">
        <v>39.270000000000003</v>
      </c>
      <c r="E4721" s="91" t="s">
        <v>170</v>
      </c>
    </row>
    <row r="4722" spans="1:5" x14ac:dyDescent="0.25">
      <c r="A4722" s="102">
        <v>46188</v>
      </c>
      <c r="B4722" s="95">
        <v>511607.163</v>
      </c>
      <c r="C4722" s="95">
        <v>4786690.8380000005</v>
      </c>
      <c r="D4722" s="95">
        <v>41.314</v>
      </c>
      <c r="E4722" s="91" t="s">
        <v>139</v>
      </c>
    </row>
    <row r="4723" spans="1:5" x14ac:dyDescent="0.25">
      <c r="A4723" s="102">
        <v>46188</v>
      </c>
      <c r="B4723" s="95">
        <v>511614.96399999998</v>
      </c>
      <c r="C4723" s="95">
        <v>4786686.6040000003</v>
      </c>
      <c r="D4723" s="95">
        <v>41.441000000000003</v>
      </c>
      <c r="E4723" s="91" t="s">
        <v>140</v>
      </c>
    </row>
    <row r="4724" spans="1:5" x14ac:dyDescent="0.25">
      <c r="A4724" s="102">
        <v>46188</v>
      </c>
      <c r="B4724" s="95">
        <v>511628.81599999999</v>
      </c>
      <c r="C4724" s="95">
        <v>4786679.1390000004</v>
      </c>
      <c r="D4724" s="95">
        <v>41.375</v>
      </c>
      <c r="E4724" s="91" t="s">
        <v>141</v>
      </c>
    </row>
    <row r="4725" spans="1:5" x14ac:dyDescent="0.25">
      <c r="A4725" s="102">
        <v>46188</v>
      </c>
      <c r="B4725" s="95">
        <v>511641.98700000002</v>
      </c>
      <c r="C4725" s="95">
        <v>4786671.9419999998</v>
      </c>
      <c r="D4725" s="95">
        <v>41.511000000000003</v>
      </c>
      <c r="E4725" s="91" t="s">
        <v>142</v>
      </c>
    </row>
    <row r="4726" spans="1:5" x14ac:dyDescent="0.25">
      <c r="A4726" s="102">
        <v>46188</v>
      </c>
      <c r="B4726" s="95">
        <v>511648.76899999997</v>
      </c>
      <c r="C4726" s="95">
        <v>4786668.2640000004</v>
      </c>
      <c r="D4726" s="95">
        <v>41.308999999999997</v>
      </c>
      <c r="E4726" s="91" t="s">
        <v>143</v>
      </c>
    </row>
    <row r="4727" spans="1:5" x14ac:dyDescent="0.25">
      <c r="A4727" s="102">
        <v>46188</v>
      </c>
      <c r="B4727" s="95">
        <v>511606.83899999998</v>
      </c>
      <c r="C4727" s="95">
        <v>4786690.2850000001</v>
      </c>
      <c r="D4727" s="95">
        <v>38.317999999999998</v>
      </c>
      <c r="E4727" s="91" t="s">
        <v>158</v>
      </c>
    </row>
    <row r="4728" spans="1:5" x14ac:dyDescent="0.25">
      <c r="A4728" s="102">
        <v>46188</v>
      </c>
      <c r="B4728" s="95">
        <v>511614.462</v>
      </c>
      <c r="C4728" s="95">
        <v>4786685.9409999996</v>
      </c>
      <c r="D4728" s="95">
        <v>38.356000000000002</v>
      </c>
      <c r="E4728" s="91" t="s">
        <v>159</v>
      </c>
    </row>
    <row r="4729" spans="1:5" x14ac:dyDescent="0.25">
      <c r="A4729" s="102">
        <v>46188</v>
      </c>
      <c r="B4729" s="95">
        <v>511628.522</v>
      </c>
      <c r="C4729" s="95">
        <v>4786678.9220000003</v>
      </c>
      <c r="D4729" s="95">
        <v>38.332999999999998</v>
      </c>
      <c r="E4729" s="91" t="s">
        <v>160</v>
      </c>
    </row>
    <row r="4730" spans="1:5" x14ac:dyDescent="0.25">
      <c r="A4730" s="102">
        <v>46188</v>
      </c>
      <c r="B4730" s="95">
        <v>511641.74900000001</v>
      </c>
      <c r="C4730" s="95">
        <v>4786671.568</v>
      </c>
      <c r="D4730" s="95">
        <v>38.457999999999998</v>
      </c>
      <c r="E4730" s="91" t="s">
        <v>161</v>
      </c>
    </row>
    <row r="4731" spans="1:5" x14ac:dyDescent="0.25">
      <c r="A4731" s="102">
        <v>46188</v>
      </c>
      <c r="B4731" s="95">
        <v>511648.49099999998</v>
      </c>
      <c r="C4731" s="95">
        <v>4786667.9890000001</v>
      </c>
      <c r="D4731" s="95">
        <v>38.491999999999997</v>
      </c>
      <c r="E4731" s="91" t="s">
        <v>162</v>
      </c>
    </row>
    <row r="4732" spans="1:5" x14ac:dyDescent="0.25">
      <c r="A4732" s="102">
        <v>46188</v>
      </c>
      <c r="B4732" s="95">
        <v>511606.57199999999</v>
      </c>
      <c r="C4732" s="95">
        <v>4786689.7929999996</v>
      </c>
      <c r="D4732" s="95">
        <v>35.210999999999999</v>
      </c>
      <c r="E4732" s="91" t="s">
        <v>176</v>
      </c>
    </row>
    <row r="4733" spans="1:5" x14ac:dyDescent="0.25">
      <c r="A4733" s="102">
        <v>46188</v>
      </c>
      <c r="B4733" s="95">
        <v>511614.283</v>
      </c>
      <c r="C4733" s="95">
        <v>4786685.59</v>
      </c>
      <c r="D4733" s="95">
        <v>35.572000000000003</v>
      </c>
      <c r="E4733" s="91" t="s">
        <v>177</v>
      </c>
    </row>
    <row r="4734" spans="1:5" x14ac:dyDescent="0.25">
      <c r="A4734" s="102">
        <v>46188</v>
      </c>
      <c r="B4734" s="95">
        <v>511628.23200000002</v>
      </c>
      <c r="C4734" s="95">
        <v>4786678.5159999998</v>
      </c>
      <c r="D4734" s="95">
        <v>35.204000000000001</v>
      </c>
      <c r="E4734" s="91" t="s">
        <v>178</v>
      </c>
    </row>
    <row r="4735" spans="1:5" x14ac:dyDescent="0.25">
      <c r="A4735" s="102">
        <v>46188</v>
      </c>
      <c r="B4735" s="95">
        <v>511641.37599999999</v>
      </c>
      <c r="C4735" s="95">
        <v>4786671.1749999998</v>
      </c>
      <c r="D4735" s="95">
        <v>35.262</v>
      </c>
      <c r="E4735" s="91" t="s">
        <v>179</v>
      </c>
    </row>
    <row r="4736" spans="1:5" x14ac:dyDescent="0.25">
      <c r="A4736" s="102">
        <v>46188</v>
      </c>
      <c r="B4736" s="95">
        <v>511648.18699999998</v>
      </c>
      <c r="C4736" s="95">
        <v>4786667.4450000003</v>
      </c>
      <c r="D4736" s="95">
        <v>35.311</v>
      </c>
      <c r="E4736" s="91" t="s">
        <v>180</v>
      </c>
    </row>
    <row r="4737" spans="1:5" x14ac:dyDescent="0.25">
      <c r="A4737" s="102">
        <v>46189</v>
      </c>
      <c r="B4737" s="95">
        <v>511607.68300000002</v>
      </c>
      <c r="C4737" s="95">
        <v>4786691.409</v>
      </c>
      <c r="D4737" s="95">
        <v>43.944000000000003</v>
      </c>
      <c r="E4737" s="91" t="s">
        <v>112</v>
      </c>
    </row>
    <row r="4738" spans="1:5" x14ac:dyDescent="0.25">
      <c r="A4738" s="102">
        <v>46189</v>
      </c>
      <c r="B4738" s="95">
        <v>511615.23300000001</v>
      </c>
      <c r="C4738" s="95">
        <v>4786687.4239999996</v>
      </c>
      <c r="D4738" s="95">
        <v>48.44</v>
      </c>
      <c r="E4738" s="91" t="s">
        <v>103</v>
      </c>
    </row>
    <row r="4739" spans="1:5" x14ac:dyDescent="0.25">
      <c r="A4739" s="102">
        <v>46189</v>
      </c>
      <c r="B4739" s="95">
        <v>511615.20500000002</v>
      </c>
      <c r="C4739" s="95">
        <v>4786687.3459999999</v>
      </c>
      <c r="D4739" s="95">
        <v>45.933</v>
      </c>
      <c r="E4739" s="91" t="s">
        <v>104</v>
      </c>
    </row>
    <row r="4740" spans="1:5" x14ac:dyDescent="0.25">
      <c r="A4740" s="102">
        <v>46189</v>
      </c>
      <c r="B4740" s="95">
        <v>511615.158</v>
      </c>
      <c r="C4740" s="95">
        <v>4786687.37</v>
      </c>
      <c r="D4740" s="95">
        <v>43.957999999999998</v>
      </c>
      <c r="E4740" s="91" t="s">
        <v>110</v>
      </c>
    </row>
    <row r="4741" spans="1:5" x14ac:dyDescent="0.25">
      <c r="A4741" s="102">
        <v>46189</v>
      </c>
      <c r="B4741" s="95">
        <v>511629.16499999998</v>
      </c>
      <c r="C4741" s="95">
        <v>4786680.0580000002</v>
      </c>
      <c r="D4741" s="95">
        <v>48.459000000000003</v>
      </c>
      <c r="E4741" s="91" t="s">
        <v>105</v>
      </c>
    </row>
    <row r="4742" spans="1:5" x14ac:dyDescent="0.25">
      <c r="A4742" s="102">
        <v>46189</v>
      </c>
      <c r="B4742" s="95">
        <v>511629.288</v>
      </c>
      <c r="C4742" s="95">
        <v>4786680.0190000003</v>
      </c>
      <c r="D4742" s="95">
        <v>45.941000000000003</v>
      </c>
      <c r="E4742" s="91" t="s">
        <v>106</v>
      </c>
    </row>
    <row r="4743" spans="1:5" x14ac:dyDescent="0.25">
      <c r="A4743" s="102">
        <v>46189</v>
      </c>
      <c r="B4743" s="95">
        <v>511642.266</v>
      </c>
      <c r="C4743" s="95">
        <v>4786673.1210000003</v>
      </c>
      <c r="D4743" s="95">
        <v>48.44</v>
      </c>
      <c r="E4743" s="91" t="s">
        <v>107</v>
      </c>
    </row>
    <row r="4744" spans="1:5" x14ac:dyDescent="0.25">
      <c r="A4744" s="102">
        <v>46189</v>
      </c>
      <c r="B4744" s="95">
        <v>511642.42</v>
      </c>
      <c r="C4744" s="95">
        <v>4786673.01</v>
      </c>
      <c r="D4744" s="95">
        <v>45.935000000000002</v>
      </c>
      <c r="E4744" s="91" t="s">
        <v>108</v>
      </c>
    </row>
    <row r="4745" spans="1:5" x14ac:dyDescent="0.25">
      <c r="A4745" s="102">
        <v>46189</v>
      </c>
      <c r="B4745" s="95">
        <v>511649.11800000002</v>
      </c>
      <c r="C4745" s="95">
        <v>4786669.3949999996</v>
      </c>
      <c r="D4745" s="95">
        <v>43.947000000000003</v>
      </c>
      <c r="E4745" s="91" t="s">
        <v>113</v>
      </c>
    </row>
    <row r="4746" spans="1:5" x14ac:dyDescent="0.25">
      <c r="A4746" s="102">
        <v>46189</v>
      </c>
      <c r="B4746" s="95">
        <v>511678.29300000001</v>
      </c>
      <c r="C4746" s="95">
        <v>4786638.6119999997</v>
      </c>
      <c r="D4746" s="95">
        <v>41.316000000000003</v>
      </c>
      <c r="E4746" s="91" t="s">
        <v>171</v>
      </c>
    </row>
    <row r="4747" spans="1:5" x14ac:dyDescent="0.25">
      <c r="A4747" s="102">
        <v>46189</v>
      </c>
      <c r="B4747" s="95">
        <v>511673.81199999998</v>
      </c>
      <c r="C4747" s="95">
        <v>4786631.0789999999</v>
      </c>
      <c r="D4747" s="95">
        <v>40.164000000000001</v>
      </c>
      <c r="E4747" s="91" t="s">
        <v>147</v>
      </c>
    </row>
    <row r="4748" spans="1:5" x14ac:dyDescent="0.25">
      <c r="A4748" s="102">
        <v>46189</v>
      </c>
      <c r="B4748" s="95">
        <v>511681.67099999997</v>
      </c>
      <c r="C4748" s="95">
        <v>4786646.8260000004</v>
      </c>
      <c r="D4748" s="95">
        <v>38.523000000000003</v>
      </c>
      <c r="E4748" s="91" t="s">
        <v>172</v>
      </c>
    </row>
    <row r="4749" spans="1:5" x14ac:dyDescent="0.25">
      <c r="A4749" s="102">
        <v>46189</v>
      </c>
      <c r="B4749" s="95">
        <v>511680.23</v>
      </c>
      <c r="C4749" s="95">
        <v>4786643.57</v>
      </c>
      <c r="D4749" s="95">
        <v>38.494999999999997</v>
      </c>
      <c r="E4749" s="91" t="s">
        <v>173</v>
      </c>
    </row>
    <row r="4750" spans="1:5" x14ac:dyDescent="0.25">
      <c r="A4750" s="102">
        <v>46189</v>
      </c>
      <c r="B4750" s="95">
        <v>511675.49200000003</v>
      </c>
      <c r="C4750" s="95">
        <v>4786634.6310000001</v>
      </c>
      <c r="D4750" s="95">
        <v>38.655000000000001</v>
      </c>
      <c r="E4750" s="91" t="s">
        <v>174</v>
      </c>
    </row>
    <row r="4751" spans="1:5" x14ac:dyDescent="0.25">
      <c r="A4751" s="102">
        <v>46189</v>
      </c>
      <c r="B4751" s="95">
        <v>511673.58199999999</v>
      </c>
      <c r="C4751" s="95">
        <v>4786631.2460000003</v>
      </c>
      <c r="D4751" s="95">
        <v>38.642000000000003</v>
      </c>
      <c r="E4751" s="91" t="s">
        <v>175</v>
      </c>
    </row>
    <row r="4752" spans="1:5" x14ac:dyDescent="0.25">
      <c r="A4752" s="102">
        <v>46189</v>
      </c>
      <c r="B4752" s="95">
        <v>511573.39600000001</v>
      </c>
      <c r="C4752" s="95">
        <v>4786684.352</v>
      </c>
      <c r="D4752" s="95">
        <v>43.466999999999999</v>
      </c>
      <c r="E4752" s="91" t="s">
        <v>148</v>
      </c>
    </row>
    <row r="4753" spans="1:5" x14ac:dyDescent="0.25">
      <c r="A4753" s="102">
        <v>46189</v>
      </c>
      <c r="B4753" s="95">
        <v>511575.484</v>
      </c>
      <c r="C4753" s="95">
        <v>4786688.2240000004</v>
      </c>
      <c r="D4753" s="95">
        <v>43.427999999999997</v>
      </c>
      <c r="E4753" s="91" t="s">
        <v>149</v>
      </c>
    </row>
    <row r="4754" spans="1:5" x14ac:dyDescent="0.25">
      <c r="A4754" s="102">
        <v>46189</v>
      </c>
      <c r="B4754" s="95">
        <v>511577.68199999997</v>
      </c>
      <c r="C4754" s="95">
        <v>4786692.2779999999</v>
      </c>
      <c r="D4754" s="95">
        <v>43.616999999999997</v>
      </c>
      <c r="E4754" s="91" t="s">
        <v>150</v>
      </c>
    </row>
    <row r="4755" spans="1:5" x14ac:dyDescent="0.25">
      <c r="A4755" s="102">
        <v>46189</v>
      </c>
      <c r="B4755" s="95">
        <v>511579.78200000001</v>
      </c>
      <c r="C4755" s="95">
        <v>4786696.1950000003</v>
      </c>
      <c r="D4755" s="95">
        <v>43.688000000000002</v>
      </c>
      <c r="E4755" s="91" t="s">
        <v>151</v>
      </c>
    </row>
    <row r="4756" spans="1:5" x14ac:dyDescent="0.25">
      <c r="A4756" s="102">
        <v>46189</v>
      </c>
      <c r="B4756" s="95">
        <v>511574.14799999999</v>
      </c>
      <c r="C4756" s="95">
        <v>4786684.2609999999</v>
      </c>
      <c r="D4756" s="95">
        <v>41.219000000000001</v>
      </c>
      <c r="E4756" s="91" t="s">
        <v>165</v>
      </c>
    </row>
    <row r="4757" spans="1:5" x14ac:dyDescent="0.25">
      <c r="A4757" s="102">
        <v>46189</v>
      </c>
      <c r="B4757" s="95">
        <v>511576.02899999998</v>
      </c>
      <c r="C4757" s="95">
        <v>4786687.8679999998</v>
      </c>
      <c r="D4757" s="95">
        <v>41.055</v>
      </c>
      <c r="E4757" s="91" t="s">
        <v>166</v>
      </c>
    </row>
    <row r="4758" spans="1:5" x14ac:dyDescent="0.25">
      <c r="A4758" s="102">
        <v>46189</v>
      </c>
      <c r="B4758" s="95">
        <v>511578.09399999998</v>
      </c>
      <c r="C4758" s="95">
        <v>4786692.3210000005</v>
      </c>
      <c r="D4758" s="95">
        <v>41.411999999999999</v>
      </c>
      <c r="E4758" s="91" t="s">
        <v>167</v>
      </c>
    </row>
    <row r="4759" spans="1:5" x14ac:dyDescent="0.25">
      <c r="A4759" s="102">
        <v>46189</v>
      </c>
      <c r="B4759" s="95">
        <v>511580.11300000001</v>
      </c>
      <c r="C4759" s="95">
        <v>4786695.8490000004</v>
      </c>
      <c r="D4759" s="95">
        <v>41.075000000000003</v>
      </c>
      <c r="E4759" s="91" t="s">
        <v>168</v>
      </c>
    </row>
    <row r="4760" spans="1:5" x14ac:dyDescent="0.25">
      <c r="A4760" s="102">
        <v>46189</v>
      </c>
      <c r="B4760" s="95">
        <v>511576.196</v>
      </c>
      <c r="C4760" s="95">
        <v>4786687.8219999997</v>
      </c>
      <c r="D4760" s="95">
        <v>39.143999999999998</v>
      </c>
      <c r="E4760" s="91" t="s">
        <v>169</v>
      </c>
    </row>
    <row r="4761" spans="1:5" x14ac:dyDescent="0.25">
      <c r="A4761" s="102">
        <v>46189</v>
      </c>
      <c r="B4761" s="95">
        <v>511580.81800000003</v>
      </c>
      <c r="C4761" s="95">
        <v>4786696.34</v>
      </c>
      <c r="D4761" s="95">
        <v>39.271999999999998</v>
      </c>
      <c r="E4761" s="91" t="s">
        <v>170</v>
      </c>
    </row>
    <row r="4762" spans="1:5" x14ac:dyDescent="0.25">
      <c r="A4762" s="102">
        <v>46189</v>
      </c>
      <c r="B4762" s="95">
        <v>511607.16700000002</v>
      </c>
      <c r="C4762" s="95">
        <v>4786690.835</v>
      </c>
      <c r="D4762" s="95">
        <v>41.314999999999998</v>
      </c>
      <c r="E4762" s="91" t="s">
        <v>139</v>
      </c>
    </row>
    <row r="4763" spans="1:5" x14ac:dyDescent="0.25">
      <c r="A4763" s="102">
        <v>46189</v>
      </c>
      <c r="B4763" s="95">
        <v>511614.96899999998</v>
      </c>
      <c r="C4763" s="95">
        <v>4786686.602</v>
      </c>
      <c r="D4763" s="95">
        <v>41.442</v>
      </c>
      <c r="E4763" s="91" t="s">
        <v>140</v>
      </c>
    </row>
    <row r="4764" spans="1:5" x14ac:dyDescent="0.25">
      <c r="A4764" s="102">
        <v>46189</v>
      </c>
      <c r="B4764" s="95">
        <v>511628.821</v>
      </c>
      <c r="C4764" s="95">
        <v>4786679.1370000001</v>
      </c>
      <c r="D4764" s="95">
        <v>41.375999999999998</v>
      </c>
      <c r="E4764" s="91" t="s">
        <v>141</v>
      </c>
    </row>
    <row r="4765" spans="1:5" x14ac:dyDescent="0.25">
      <c r="A4765" s="102">
        <v>46189</v>
      </c>
      <c r="B4765" s="95">
        <v>511641.99099999998</v>
      </c>
      <c r="C4765" s="95">
        <v>4786671.9390000002</v>
      </c>
      <c r="D4765" s="95">
        <v>41.512999999999998</v>
      </c>
      <c r="E4765" s="91" t="s">
        <v>142</v>
      </c>
    </row>
    <row r="4766" spans="1:5" x14ac:dyDescent="0.25">
      <c r="A4766" s="102">
        <v>46189</v>
      </c>
      <c r="B4766" s="95">
        <v>511648.772</v>
      </c>
      <c r="C4766" s="95">
        <v>4786668.2609999999</v>
      </c>
      <c r="D4766" s="95">
        <v>41.31</v>
      </c>
      <c r="E4766" s="91" t="s">
        <v>143</v>
      </c>
    </row>
    <row r="4767" spans="1:5" x14ac:dyDescent="0.25">
      <c r="A4767" s="102">
        <v>46189</v>
      </c>
      <c r="B4767" s="95">
        <v>511606.84299999999</v>
      </c>
      <c r="C4767" s="95">
        <v>4786690.2819999997</v>
      </c>
      <c r="D4767" s="95">
        <v>38.32</v>
      </c>
      <c r="E4767" s="91" t="s">
        <v>158</v>
      </c>
    </row>
    <row r="4768" spans="1:5" x14ac:dyDescent="0.25">
      <c r="A4768" s="102">
        <v>46189</v>
      </c>
      <c r="B4768" s="95">
        <v>511614.46600000001</v>
      </c>
      <c r="C4768" s="95">
        <v>4786685.9380000001</v>
      </c>
      <c r="D4768" s="95">
        <v>38.357999999999997</v>
      </c>
      <c r="E4768" s="91" t="s">
        <v>159</v>
      </c>
    </row>
    <row r="4769" spans="1:5" x14ac:dyDescent="0.25">
      <c r="A4769" s="102">
        <v>46189</v>
      </c>
      <c r="B4769" s="95">
        <v>511628.52600000001</v>
      </c>
      <c r="C4769" s="95">
        <v>4786678.9189999998</v>
      </c>
      <c r="D4769" s="95">
        <v>38.334000000000003</v>
      </c>
      <c r="E4769" s="91" t="s">
        <v>160</v>
      </c>
    </row>
    <row r="4770" spans="1:5" x14ac:dyDescent="0.25">
      <c r="A4770" s="102">
        <v>46189</v>
      </c>
      <c r="B4770" s="95">
        <v>511641.75400000002</v>
      </c>
      <c r="C4770" s="95">
        <v>4786671.5650000004</v>
      </c>
      <c r="D4770" s="95">
        <v>38.459000000000003</v>
      </c>
      <c r="E4770" s="91" t="s">
        <v>161</v>
      </c>
    </row>
    <row r="4771" spans="1:5" x14ac:dyDescent="0.25">
      <c r="A4771" s="102">
        <v>46189</v>
      </c>
      <c r="B4771" s="95">
        <v>511648.49400000001</v>
      </c>
      <c r="C4771" s="95">
        <v>4786667.9869999997</v>
      </c>
      <c r="D4771" s="95">
        <v>38.493000000000002</v>
      </c>
      <c r="E4771" s="91" t="s">
        <v>162</v>
      </c>
    </row>
    <row r="4772" spans="1:5" x14ac:dyDescent="0.25">
      <c r="A4772" s="102">
        <v>46189</v>
      </c>
      <c r="B4772" s="95">
        <v>511606.576</v>
      </c>
      <c r="C4772" s="95">
        <v>4786689.7910000002</v>
      </c>
      <c r="D4772" s="95">
        <v>35.212000000000003</v>
      </c>
      <c r="E4772" s="91" t="s">
        <v>176</v>
      </c>
    </row>
    <row r="4773" spans="1:5" x14ac:dyDescent="0.25">
      <c r="A4773" s="102">
        <v>46189</v>
      </c>
      <c r="B4773" s="95">
        <v>511614.28700000001</v>
      </c>
      <c r="C4773" s="95">
        <v>4786685.5880000005</v>
      </c>
      <c r="D4773" s="95">
        <v>35.573</v>
      </c>
      <c r="E4773" s="91" t="s">
        <v>177</v>
      </c>
    </row>
    <row r="4774" spans="1:5" x14ac:dyDescent="0.25">
      <c r="A4774" s="102">
        <v>46189</v>
      </c>
      <c r="B4774" s="95">
        <v>511628.23700000002</v>
      </c>
      <c r="C4774" s="95">
        <v>4786678.5130000003</v>
      </c>
      <c r="D4774" s="95">
        <v>35.206000000000003</v>
      </c>
      <c r="E4774" s="91" t="s">
        <v>178</v>
      </c>
    </row>
    <row r="4775" spans="1:5" x14ac:dyDescent="0.25">
      <c r="A4775" s="102">
        <v>46189</v>
      </c>
      <c r="B4775" s="95">
        <v>511641.38</v>
      </c>
      <c r="C4775" s="95">
        <v>4786671.1720000003</v>
      </c>
      <c r="D4775" s="95">
        <v>35.262999999999998</v>
      </c>
      <c r="E4775" s="91" t="s">
        <v>179</v>
      </c>
    </row>
    <row r="4776" spans="1:5" x14ac:dyDescent="0.25">
      <c r="A4776" s="102">
        <v>46189</v>
      </c>
      <c r="B4776" s="95">
        <v>511648.19099999999</v>
      </c>
      <c r="C4776" s="95">
        <v>4786667.4419999998</v>
      </c>
      <c r="D4776" s="95">
        <v>35.311999999999998</v>
      </c>
      <c r="E4776" s="91" t="s">
        <v>180</v>
      </c>
    </row>
  </sheetData>
  <sortState xmlns:xlrd2="http://schemas.microsoft.com/office/spreadsheetml/2017/richdata2" ref="A2:E3600">
    <sortCondition ref="A2562:A3600"/>
  </sortState>
  <phoneticPr fontId="26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21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9EC2-403B-452D-A76D-A82CD4FF0110}">
  <dimension ref="A1:AX733"/>
  <sheetViews>
    <sheetView topLeftCell="A554" zoomScaleNormal="100" workbookViewId="0">
      <selection activeCell="C590" sqref="C589:C590"/>
    </sheetView>
  </sheetViews>
  <sheetFormatPr baseColWidth="10" defaultColWidth="11.42578125" defaultRowHeight="15" x14ac:dyDescent="0.25"/>
  <cols>
    <col min="1" max="1" width="15.85546875" style="86" customWidth="1"/>
    <col min="2" max="5" width="15.85546875" style="101" customWidth="1"/>
    <col min="6" max="6" width="15.85546875" style="88" customWidth="1"/>
    <col min="7" max="10" width="15.85546875" style="86" customWidth="1"/>
    <col min="11" max="11" width="15.85546875" style="88" customWidth="1"/>
    <col min="12" max="15" width="15.85546875" style="86" customWidth="1"/>
    <col min="16" max="16" width="15.85546875" style="88" customWidth="1"/>
    <col min="17" max="20" width="15.85546875" style="86" customWidth="1"/>
    <col min="21" max="21" width="15.85546875" style="88" customWidth="1"/>
    <col min="22" max="25" width="15.85546875" style="86" customWidth="1"/>
    <col min="26" max="26" width="15.85546875" style="88" customWidth="1"/>
    <col min="27" max="30" width="15.85546875" style="86" customWidth="1"/>
    <col min="31" max="31" width="15.85546875" style="88" customWidth="1"/>
    <col min="32" max="35" width="15.85546875" style="86" customWidth="1"/>
    <col min="36" max="36" width="15.85546875" style="88" customWidth="1"/>
    <col min="37" max="40" width="15.85546875" style="86" customWidth="1"/>
    <col min="41" max="41" width="15.85546875" style="88" customWidth="1"/>
    <col min="42" max="45" width="15.85546875" style="86" customWidth="1"/>
    <col min="46" max="46" width="15.85546875" style="88" customWidth="1"/>
    <col min="47" max="49" width="15.85546875" style="86" customWidth="1"/>
    <col min="50" max="50" width="11.42578125" style="86"/>
  </cols>
  <sheetData>
    <row r="1" spans="1:49" x14ac:dyDescent="0.25">
      <c r="A1" s="89" t="s">
        <v>17</v>
      </c>
      <c r="B1" s="100" t="s">
        <v>58</v>
      </c>
      <c r="C1" s="100" t="s">
        <v>59</v>
      </c>
      <c r="D1" s="100" t="s">
        <v>88</v>
      </c>
      <c r="E1" s="100" t="s">
        <v>61</v>
      </c>
      <c r="G1" s="87"/>
      <c r="H1" s="87"/>
      <c r="I1" s="87"/>
      <c r="J1" s="87"/>
      <c r="L1" s="87"/>
      <c r="M1" s="87"/>
      <c r="N1" s="87"/>
      <c r="O1" s="87"/>
      <c r="Q1" s="87"/>
      <c r="R1" s="87"/>
      <c r="S1" s="87"/>
      <c r="T1" s="87"/>
      <c r="V1" s="87"/>
      <c r="W1" s="87"/>
      <c r="X1" s="87"/>
      <c r="Y1" s="87"/>
      <c r="AA1" s="87"/>
      <c r="AB1" s="87"/>
      <c r="AC1" s="87"/>
      <c r="AD1" s="87"/>
      <c r="AF1" s="87"/>
      <c r="AG1" s="87"/>
      <c r="AH1" s="87"/>
      <c r="AI1" s="87"/>
      <c r="AK1" s="87"/>
      <c r="AL1" s="87"/>
      <c r="AM1" s="87"/>
      <c r="AN1" s="87"/>
      <c r="AP1" s="87"/>
      <c r="AQ1" s="87"/>
      <c r="AR1" s="87"/>
      <c r="AS1" s="87"/>
      <c r="AU1" s="87"/>
      <c r="AV1" s="87"/>
      <c r="AW1" s="87"/>
    </row>
    <row r="2" spans="1:49" x14ac:dyDescent="0.25">
      <c r="A2" s="84">
        <v>45894</v>
      </c>
      <c r="B2">
        <v>510882.65399999998</v>
      </c>
      <c r="C2">
        <v>4786829.9270000001</v>
      </c>
      <c r="D2">
        <v>54.499000000000002</v>
      </c>
      <c r="E2" t="s">
        <v>114</v>
      </c>
    </row>
    <row r="3" spans="1:49" x14ac:dyDescent="0.25">
      <c r="A3" s="84">
        <v>45894</v>
      </c>
      <c r="B3">
        <v>510892.86099999998</v>
      </c>
      <c r="C3">
        <v>4786830.5860000001</v>
      </c>
      <c r="D3">
        <v>55.081000000000003</v>
      </c>
      <c r="E3" t="s">
        <v>93</v>
      </c>
    </row>
    <row r="4" spans="1:49" x14ac:dyDescent="0.25">
      <c r="A4" s="84">
        <v>45894</v>
      </c>
      <c r="B4">
        <v>510903.79499999998</v>
      </c>
      <c r="C4">
        <v>4786831.307</v>
      </c>
      <c r="D4">
        <v>53.098999999999997</v>
      </c>
      <c r="E4" t="s">
        <v>115</v>
      </c>
    </row>
    <row r="5" spans="1:49" x14ac:dyDescent="0.25">
      <c r="A5" s="84">
        <v>45894</v>
      </c>
      <c r="B5">
        <v>510927.29100000003</v>
      </c>
      <c r="C5">
        <v>4786824.8</v>
      </c>
      <c r="D5">
        <v>53.061</v>
      </c>
      <c r="E5" t="s">
        <v>116</v>
      </c>
    </row>
    <row r="6" spans="1:49" x14ac:dyDescent="0.25">
      <c r="A6" s="84">
        <v>45894</v>
      </c>
      <c r="B6">
        <v>510899.701</v>
      </c>
      <c r="C6">
        <v>4786831.8190000001</v>
      </c>
      <c r="D6">
        <v>57.088000000000001</v>
      </c>
      <c r="E6" t="s">
        <v>117</v>
      </c>
    </row>
    <row r="7" spans="1:49" x14ac:dyDescent="0.25">
      <c r="A7" s="84">
        <v>45894</v>
      </c>
      <c r="B7">
        <v>510910.788</v>
      </c>
      <c r="C7">
        <v>4786832.182</v>
      </c>
      <c r="D7">
        <v>55.075000000000003</v>
      </c>
      <c r="E7" t="s">
        <v>118</v>
      </c>
    </row>
    <row r="8" spans="1:49" x14ac:dyDescent="0.25">
      <c r="A8" s="84">
        <v>45894</v>
      </c>
      <c r="B8">
        <v>510917.64899999998</v>
      </c>
      <c r="C8">
        <v>4786833</v>
      </c>
      <c r="D8">
        <v>57.014000000000003</v>
      </c>
      <c r="E8" t="s">
        <v>119</v>
      </c>
    </row>
    <row r="9" spans="1:49" x14ac:dyDescent="0.25">
      <c r="A9" s="84">
        <v>45894</v>
      </c>
      <c r="B9">
        <v>510923.92</v>
      </c>
      <c r="C9">
        <v>4786829.1960000005</v>
      </c>
      <c r="D9">
        <v>57.026000000000003</v>
      </c>
      <c r="E9" t="s">
        <v>120</v>
      </c>
    </row>
    <row r="10" spans="1:49" x14ac:dyDescent="0.25">
      <c r="A10" s="84">
        <v>45894</v>
      </c>
      <c r="B10">
        <v>510906.625</v>
      </c>
      <c r="C10">
        <v>4786833.017</v>
      </c>
      <c r="D10">
        <v>58.597999999999999</v>
      </c>
      <c r="E10" t="s">
        <v>121</v>
      </c>
    </row>
    <row r="11" spans="1:49" x14ac:dyDescent="0.25">
      <c r="A11" s="84">
        <v>45888</v>
      </c>
      <c r="B11">
        <v>510882.65399999998</v>
      </c>
      <c r="C11">
        <v>4786829.9270000001</v>
      </c>
      <c r="D11">
        <v>54.497999999999998</v>
      </c>
      <c r="E11" t="s">
        <v>114</v>
      </c>
    </row>
    <row r="12" spans="1:49" x14ac:dyDescent="0.25">
      <c r="A12" s="84">
        <v>45888</v>
      </c>
      <c r="B12">
        <v>510892.86</v>
      </c>
      <c r="C12">
        <v>4786830.5860000001</v>
      </c>
      <c r="D12">
        <v>55.08</v>
      </c>
      <c r="E12" t="s">
        <v>93</v>
      </c>
    </row>
    <row r="13" spans="1:49" x14ac:dyDescent="0.25">
      <c r="A13" s="84">
        <v>45888</v>
      </c>
      <c r="B13">
        <v>510903.79399999999</v>
      </c>
      <c r="C13">
        <v>4786831.3059999999</v>
      </c>
      <c r="D13">
        <v>53.098999999999997</v>
      </c>
      <c r="E13" t="s">
        <v>115</v>
      </c>
    </row>
    <row r="14" spans="1:49" x14ac:dyDescent="0.25">
      <c r="A14" s="84">
        <v>45888</v>
      </c>
      <c r="B14">
        <v>510927.29100000003</v>
      </c>
      <c r="C14">
        <v>4786824.7989999996</v>
      </c>
      <c r="D14">
        <v>53.063000000000002</v>
      </c>
      <c r="E14" t="s">
        <v>116</v>
      </c>
    </row>
    <row r="15" spans="1:49" x14ac:dyDescent="0.25">
      <c r="A15" s="84">
        <v>45888</v>
      </c>
      <c r="B15">
        <v>510899.701</v>
      </c>
      <c r="C15">
        <v>4786831.8190000001</v>
      </c>
      <c r="D15">
        <v>57.087000000000003</v>
      </c>
      <c r="E15" t="s">
        <v>117</v>
      </c>
    </row>
    <row r="16" spans="1:49" x14ac:dyDescent="0.25">
      <c r="A16" s="84">
        <v>45888</v>
      </c>
      <c r="B16">
        <v>510910.78700000001</v>
      </c>
      <c r="C16">
        <v>4786832.182</v>
      </c>
      <c r="D16">
        <v>55.075000000000003</v>
      </c>
      <c r="E16" t="s">
        <v>118</v>
      </c>
    </row>
    <row r="17" spans="1:5" x14ac:dyDescent="0.25">
      <c r="A17" s="84">
        <v>45888</v>
      </c>
      <c r="B17">
        <v>510917.64899999998</v>
      </c>
      <c r="C17">
        <v>4786833.0010000002</v>
      </c>
      <c r="D17">
        <v>57.012999999999998</v>
      </c>
      <c r="E17" t="s">
        <v>119</v>
      </c>
    </row>
    <row r="18" spans="1:5" x14ac:dyDescent="0.25">
      <c r="A18" s="84">
        <v>45888</v>
      </c>
      <c r="B18">
        <v>510923.91899999999</v>
      </c>
      <c r="C18">
        <v>4786829.1960000005</v>
      </c>
      <c r="D18">
        <v>57.026000000000003</v>
      </c>
      <c r="E18" t="s">
        <v>120</v>
      </c>
    </row>
    <row r="19" spans="1:5" x14ac:dyDescent="0.25">
      <c r="A19" s="84">
        <v>45888</v>
      </c>
      <c r="B19">
        <v>510906.62400000001</v>
      </c>
      <c r="C19">
        <v>4786833.017</v>
      </c>
      <c r="D19">
        <v>58.595999999999997</v>
      </c>
      <c r="E19" t="s">
        <v>121</v>
      </c>
    </row>
    <row r="20" spans="1:5" x14ac:dyDescent="0.25">
      <c r="A20" s="84">
        <v>45882</v>
      </c>
      <c r="B20">
        <v>510882.65299999999</v>
      </c>
      <c r="C20">
        <v>4786829.9270000001</v>
      </c>
      <c r="D20">
        <v>54.497</v>
      </c>
      <c r="E20" t="s">
        <v>114</v>
      </c>
    </row>
    <row r="21" spans="1:5" x14ac:dyDescent="0.25">
      <c r="A21" s="84">
        <v>45882</v>
      </c>
      <c r="B21">
        <v>510892.86</v>
      </c>
      <c r="C21">
        <v>4786830.5860000001</v>
      </c>
      <c r="D21">
        <v>55.079000000000001</v>
      </c>
      <c r="E21" t="s">
        <v>93</v>
      </c>
    </row>
    <row r="22" spans="1:5" x14ac:dyDescent="0.25">
      <c r="A22" s="84">
        <v>45882</v>
      </c>
      <c r="B22">
        <v>510903.79499999998</v>
      </c>
      <c r="C22">
        <v>4786831.307</v>
      </c>
      <c r="D22">
        <v>53.097999999999999</v>
      </c>
      <c r="E22" t="s">
        <v>115</v>
      </c>
    </row>
    <row r="23" spans="1:5" x14ac:dyDescent="0.25">
      <c r="A23" s="84">
        <v>45882</v>
      </c>
      <c r="B23">
        <v>510927.29100000003</v>
      </c>
      <c r="C23">
        <v>4786824.7989999996</v>
      </c>
      <c r="D23">
        <v>53.064</v>
      </c>
      <c r="E23" t="s">
        <v>116</v>
      </c>
    </row>
    <row r="24" spans="1:5" x14ac:dyDescent="0.25">
      <c r="A24" s="84">
        <v>45882</v>
      </c>
      <c r="B24">
        <v>510899.701</v>
      </c>
      <c r="C24">
        <v>4786831.82</v>
      </c>
      <c r="D24">
        <v>57.085999999999999</v>
      </c>
      <c r="E24" t="s">
        <v>117</v>
      </c>
    </row>
    <row r="25" spans="1:5" x14ac:dyDescent="0.25">
      <c r="A25" s="84">
        <v>45882</v>
      </c>
      <c r="B25">
        <v>510910.78700000001</v>
      </c>
      <c r="C25">
        <v>4786832.1830000002</v>
      </c>
      <c r="D25">
        <v>55.073999999999998</v>
      </c>
      <c r="E25" t="s">
        <v>118</v>
      </c>
    </row>
    <row r="26" spans="1:5" x14ac:dyDescent="0.25">
      <c r="A26" s="84">
        <v>45882</v>
      </c>
      <c r="B26">
        <v>510917.64899999998</v>
      </c>
      <c r="C26">
        <v>4786833.0010000002</v>
      </c>
      <c r="D26">
        <v>57.012</v>
      </c>
      <c r="E26" t="s">
        <v>119</v>
      </c>
    </row>
    <row r="27" spans="1:5" x14ac:dyDescent="0.25">
      <c r="A27" s="84">
        <v>45882</v>
      </c>
      <c r="B27">
        <v>510923.92</v>
      </c>
      <c r="C27">
        <v>4786829.1969999997</v>
      </c>
      <c r="D27">
        <v>57.024000000000001</v>
      </c>
      <c r="E27" t="s">
        <v>120</v>
      </c>
    </row>
    <row r="28" spans="1:5" x14ac:dyDescent="0.25">
      <c r="A28" s="84">
        <v>45882</v>
      </c>
      <c r="B28">
        <v>510906.62400000001</v>
      </c>
      <c r="C28">
        <v>4786833.0180000002</v>
      </c>
      <c r="D28">
        <v>58.595999999999997</v>
      </c>
      <c r="E28" t="s">
        <v>121</v>
      </c>
    </row>
    <row r="29" spans="1:5" x14ac:dyDescent="0.25">
      <c r="A29" s="84">
        <v>45874</v>
      </c>
      <c r="B29">
        <v>510882.65500000003</v>
      </c>
      <c r="C29">
        <v>4786829.9249999998</v>
      </c>
      <c r="D29">
        <v>54.499000000000002</v>
      </c>
      <c r="E29" t="s">
        <v>114</v>
      </c>
    </row>
    <row r="30" spans="1:5" x14ac:dyDescent="0.25">
      <c r="A30" s="84">
        <v>45874</v>
      </c>
      <c r="B30">
        <v>510892.86099999998</v>
      </c>
      <c r="C30">
        <v>4786830.585</v>
      </c>
      <c r="D30">
        <v>55.081000000000003</v>
      </c>
      <c r="E30" t="s">
        <v>93</v>
      </c>
    </row>
    <row r="31" spans="1:5" x14ac:dyDescent="0.25">
      <c r="A31" s="84">
        <v>45874</v>
      </c>
      <c r="B31">
        <v>510903.79599999997</v>
      </c>
      <c r="C31">
        <v>4786831.3049999997</v>
      </c>
      <c r="D31">
        <v>53.100999999999999</v>
      </c>
      <c r="E31" t="s">
        <v>115</v>
      </c>
    </row>
    <row r="32" spans="1:5" x14ac:dyDescent="0.25">
      <c r="A32" s="84">
        <v>45874</v>
      </c>
      <c r="B32">
        <v>510927.29100000003</v>
      </c>
      <c r="C32">
        <v>4786824.7989999996</v>
      </c>
      <c r="D32">
        <v>53.063000000000002</v>
      </c>
      <c r="E32" t="s">
        <v>116</v>
      </c>
    </row>
    <row r="33" spans="1:5" x14ac:dyDescent="0.25">
      <c r="A33" s="84">
        <v>45874</v>
      </c>
      <c r="B33">
        <v>510899.701</v>
      </c>
      <c r="C33">
        <v>4786831.818</v>
      </c>
      <c r="D33">
        <v>57.088000000000001</v>
      </c>
      <c r="E33" t="s">
        <v>117</v>
      </c>
    </row>
    <row r="34" spans="1:5" x14ac:dyDescent="0.25">
      <c r="A34" s="84">
        <v>45874</v>
      </c>
      <c r="B34">
        <v>510910.78700000001</v>
      </c>
      <c r="C34">
        <v>4786832.1809999999</v>
      </c>
      <c r="D34">
        <v>55.076000000000001</v>
      </c>
      <c r="E34" t="s">
        <v>118</v>
      </c>
    </row>
    <row r="35" spans="1:5" x14ac:dyDescent="0.25">
      <c r="A35" s="84">
        <v>45874</v>
      </c>
      <c r="B35">
        <v>510917.64899999998</v>
      </c>
      <c r="C35">
        <v>4786832.9989999998</v>
      </c>
      <c r="D35">
        <v>57.014000000000003</v>
      </c>
      <c r="E35" t="s">
        <v>119</v>
      </c>
    </row>
    <row r="36" spans="1:5" x14ac:dyDescent="0.25">
      <c r="A36" s="84">
        <v>45874</v>
      </c>
      <c r="B36">
        <v>510923.91899999999</v>
      </c>
      <c r="C36">
        <v>4786829.1950000003</v>
      </c>
      <c r="D36">
        <v>57.027000000000001</v>
      </c>
      <c r="E36" t="s">
        <v>120</v>
      </c>
    </row>
    <row r="37" spans="1:5" x14ac:dyDescent="0.25">
      <c r="A37" s="84">
        <v>45874</v>
      </c>
      <c r="B37">
        <v>510906.62400000001</v>
      </c>
      <c r="C37">
        <v>4786833.0159999998</v>
      </c>
      <c r="D37">
        <v>58.597999999999999</v>
      </c>
      <c r="E37" t="s">
        <v>121</v>
      </c>
    </row>
    <row r="38" spans="1:5" x14ac:dyDescent="0.25">
      <c r="A38" s="84">
        <v>45867</v>
      </c>
      <c r="B38">
        <v>510882.65500000003</v>
      </c>
      <c r="C38">
        <v>4786829.9249999998</v>
      </c>
      <c r="D38">
        <v>54.499000000000002</v>
      </c>
      <c r="E38" t="s">
        <v>114</v>
      </c>
    </row>
    <row r="39" spans="1:5" x14ac:dyDescent="0.25">
      <c r="A39" s="84">
        <v>45867</v>
      </c>
      <c r="B39">
        <v>510892.86099999998</v>
      </c>
      <c r="C39">
        <v>4786830.585</v>
      </c>
      <c r="D39">
        <v>55.08</v>
      </c>
      <c r="E39" t="s">
        <v>93</v>
      </c>
    </row>
    <row r="40" spans="1:5" x14ac:dyDescent="0.25">
      <c r="A40" s="84">
        <v>45867</v>
      </c>
      <c r="B40">
        <v>510903.79599999997</v>
      </c>
      <c r="C40">
        <v>4786831.3049999997</v>
      </c>
      <c r="D40">
        <v>53.098999999999997</v>
      </c>
      <c r="E40" t="s">
        <v>115</v>
      </c>
    </row>
    <row r="41" spans="1:5" x14ac:dyDescent="0.25">
      <c r="A41" s="84">
        <v>45867</v>
      </c>
      <c r="B41">
        <v>510927.29100000003</v>
      </c>
      <c r="C41">
        <v>4786824.7989999996</v>
      </c>
      <c r="D41">
        <v>53.064</v>
      </c>
      <c r="E41" t="s">
        <v>116</v>
      </c>
    </row>
    <row r="42" spans="1:5" x14ac:dyDescent="0.25">
      <c r="A42" s="84">
        <v>45867</v>
      </c>
      <c r="B42">
        <v>510899.70199999999</v>
      </c>
      <c r="C42">
        <v>4786831.8190000001</v>
      </c>
      <c r="D42">
        <v>57.088000000000001</v>
      </c>
      <c r="E42" t="s">
        <v>117</v>
      </c>
    </row>
    <row r="43" spans="1:5" x14ac:dyDescent="0.25">
      <c r="A43" s="84">
        <v>45867</v>
      </c>
      <c r="B43">
        <v>510910.788</v>
      </c>
      <c r="C43">
        <v>4786832.1809999999</v>
      </c>
      <c r="D43">
        <v>55.076000000000001</v>
      </c>
      <c r="E43" t="s">
        <v>118</v>
      </c>
    </row>
    <row r="44" spans="1:5" x14ac:dyDescent="0.25">
      <c r="A44" s="84">
        <v>45867</v>
      </c>
      <c r="B44">
        <v>510917.65</v>
      </c>
      <c r="C44">
        <v>4786832.9989999998</v>
      </c>
      <c r="D44">
        <v>57.014000000000003</v>
      </c>
      <c r="E44" t="s">
        <v>119</v>
      </c>
    </row>
    <row r="45" spans="1:5" x14ac:dyDescent="0.25">
      <c r="A45" s="84">
        <v>45867</v>
      </c>
      <c r="B45">
        <v>510923.92</v>
      </c>
      <c r="C45">
        <v>4786829.1950000003</v>
      </c>
      <c r="D45">
        <v>57.026000000000003</v>
      </c>
      <c r="E45" t="s">
        <v>120</v>
      </c>
    </row>
    <row r="46" spans="1:5" x14ac:dyDescent="0.25">
      <c r="A46" s="84">
        <v>45867</v>
      </c>
      <c r="B46">
        <v>510906.62400000001</v>
      </c>
      <c r="C46">
        <v>4786833.0149999997</v>
      </c>
      <c r="D46">
        <v>58.597999999999999</v>
      </c>
      <c r="E46" t="s">
        <v>121</v>
      </c>
    </row>
    <row r="47" spans="1:5" x14ac:dyDescent="0.25">
      <c r="A47" s="84">
        <v>45862</v>
      </c>
      <c r="B47">
        <v>510882.65500000003</v>
      </c>
      <c r="C47">
        <v>4786829.9249999998</v>
      </c>
      <c r="D47">
        <v>54.497999999999998</v>
      </c>
      <c r="E47" t="s">
        <v>114</v>
      </c>
    </row>
    <row r="48" spans="1:5" x14ac:dyDescent="0.25">
      <c r="A48" s="84">
        <v>45862</v>
      </c>
      <c r="B48">
        <v>510892.86099999998</v>
      </c>
      <c r="C48">
        <v>4786830.5839999998</v>
      </c>
      <c r="D48">
        <v>55.08</v>
      </c>
      <c r="E48" t="s">
        <v>93</v>
      </c>
    </row>
    <row r="49" spans="1:5" x14ac:dyDescent="0.25">
      <c r="A49" s="84">
        <v>45862</v>
      </c>
      <c r="B49">
        <v>510903.79599999997</v>
      </c>
      <c r="C49">
        <v>4786831.3049999997</v>
      </c>
      <c r="D49">
        <v>53.098999999999997</v>
      </c>
      <c r="E49" t="s">
        <v>115</v>
      </c>
    </row>
    <row r="50" spans="1:5" x14ac:dyDescent="0.25">
      <c r="A50" s="84">
        <v>45862</v>
      </c>
      <c r="B50">
        <v>510927.29100000003</v>
      </c>
      <c r="C50">
        <v>4786824.7989999996</v>
      </c>
      <c r="D50">
        <v>53.063000000000002</v>
      </c>
      <c r="E50" t="s">
        <v>116</v>
      </c>
    </row>
    <row r="51" spans="1:5" x14ac:dyDescent="0.25">
      <c r="A51" s="84">
        <v>45862</v>
      </c>
      <c r="B51">
        <v>510899.70199999999</v>
      </c>
      <c r="C51">
        <v>4786831.818</v>
      </c>
      <c r="D51">
        <v>57.087000000000003</v>
      </c>
      <c r="E51" t="s">
        <v>117</v>
      </c>
    </row>
    <row r="52" spans="1:5" x14ac:dyDescent="0.25">
      <c r="A52" s="84">
        <v>45862</v>
      </c>
      <c r="B52">
        <v>510910.78899999999</v>
      </c>
      <c r="C52">
        <v>4786832.1809999999</v>
      </c>
      <c r="D52">
        <v>55.075000000000003</v>
      </c>
      <c r="E52" t="s">
        <v>118</v>
      </c>
    </row>
    <row r="53" spans="1:5" x14ac:dyDescent="0.25">
      <c r="A53" s="84">
        <v>45862</v>
      </c>
      <c r="B53">
        <v>510917.65</v>
      </c>
      <c r="C53">
        <v>4786832.9989999998</v>
      </c>
      <c r="D53">
        <v>57.014000000000003</v>
      </c>
      <c r="E53" t="s">
        <v>119</v>
      </c>
    </row>
    <row r="54" spans="1:5" x14ac:dyDescent="0.25">
      <c r="A54" s="84">
        <v>45862</v>
      </c>
      <c r="B54">
        <v>510923.92</v>
      </c>
      <c r="C54">
        <v>4786829.1950000003</v>
      </c>
      <c r="D54">
        <v>57.027000000000001</v>
      </c>
      <c r="E54" t="s">
        <v>120</v>
      </c>
    </row>
    <row r="55" spans="1:5" x14ac:dyDescent="0.25">
      <c r="A55" s="84">
        <v>45862</v>
      </c>
      <c r="B55">
        <v>510906.62400000001</v>
      </c>
      <c r="C55">
        <v>4786833.0149999997</v>
      </c>
      <c r="D55">
        <v>58.597000000000001</v>
      </c>
      <c r="E55" t="s">
        <v>121</v>
      </c>
    </row>
    <row r="56" spans="1:5" x14ac:dyDescent="0.25">
      <c r="A56" s="84">
        <v>45859</v>
      </c>
      <c r="B56">
        <v>510882.65500000003</v>
      </c>
      <c r="C56">
        <v>4786829.9249999998</v>
      </c>
      <c r="D56">
        <v>54.499000000000002</v>
      </c>
      <c r="E56" t="s">
        <v>114</v>
      </c>
    </row>
    <row r="57" spans="1:5" x14ac:dyDescent="0.25">
      <c r="A57" s="84">
        <v>45859</v>
      </c>
      <c r="B57">
        <v>510892.86099999998</v>
      </c>
      <c r="C57">
        <v>4786830.5839999998</v>
      </c>
      <c r="D57">
        <v>55.081000000000003</v>
      </c>
      <c r="E57" t="s">
        <v>93</v>
      </c>
    </row>
    <row r="58" spans="1:5" x14ac:dyDescent="0.25">
      <c r="A58" s="84">
        <v>45859</v>
      </c>
      <c r="B58">
        <v>510903.79599999997</v>
      </c>
      <c r="C58">
        <v>4786831.3039999995</v>
      </c>
      <c r="D58">
        <v>53.100999999999999</v>
      </c>
      <c r="E58" t="s">
        <v>115</v>
      </c>
    </row>
    <row r="59" spans="1:5" x14ac:dyDescent="0.25">
      <c r="A59" s="84">
        <v>45859</v>
      </c>
      <c r="B59">
        <v>510927.29100000003</v>
      </c>
      <c r="C59">
        <v>4786824.7989999996</v>
      </c>
      <c r="D59">
        <v>53.063000000000002</v>
      </c>
      <c r="E59" t="s">
        <v>116</v>
      </c>
    </row>
    <row r="60" spans="1:5" x14ac:dyDescent="0.25">
      <c r="A60" s="84">
        <v>45859</v>
      </c>
      <c r="B60">
        <v>510899.70199999999</v>
      </c>
      <c r="C60">
        <v>4786831.8169999998</v>
      </c>
      <c r="D60">
        <v>57.088000000000001</v>
      </c>
      <c r="E60" t="s">
        <v>117</v>
      </c>
    </row>
    <row r="61" spans="1:5" x14ac:dyDescent="0.25">
      <c r="A61" s="84">
        <v>45859</v>
      </c>
      <c r="B61">
        <v>510910.788</v>
      </c>
      <c r="C61">
        <v>4786832.1809999999</v>
      </c>
      <c r="D61">
        <v>55.076000000000001</v>
      </c>
      <c r="E61" t="s">
        <v>118</v>
      </c>
    </row>
    <row r="62" spans="1:5" x14ac:dyDescent="0.25">
      <c r="A62" s="84">
        <v>45859</v>
      </c>
      <c r="B62">
        <v>510917.65</v>
      </c>
      <c r="C62">
        <v>4786832.9989999998</v>
      </c>
      <c r="D62">
        <v>57.014000000000003</v>
      </c>
      <c r="E62" t="s">
        <v>119</v>
      </c>
    </row>
    <row r="63" spans="1:5" x14ac:dyDescent="0.25">
      <c r="A63" s="84">
        <v>45859</v>
      </c>
      <c r="B63">
        <v>510923.92</v>
      </c>
      <c r="C63">
        <v>4786829.1950000003</v>
      </c>
      <c r="D63">
        <v>57.026000000000003</v>
      </c>
      <c r="E63" t="s">
        <v>120</v>
      </c>
    </row>
    <row r="64" spans="1:5" x14ac:dyDescent="0.25">
      <c r="A64" s="84">
        <v>45859</v>
      </c>
      <c r="B64">
        <v>510906.62599999999</v>
      </c>
      <c r="C64">
        <v>4786833.0149999997</v>
      </c>
      <c r="D64">
        <v>58.597999999999999</v>
      </c>
      <c r="E64" t="s">
        <v>121</v>
      </c>
    </row>
    <row r="65" spans="1:5" x14ac:dyDescent="0.25">
      <c r="A65" s="84">
        <v>45855</v>
      </c>
      <c r="B65">
        <v>510882.65500000003</v>
      </c>
      <c r="C65">
        <v>4786829.926</v>
      </c>
      <c r="D65">
        <v>54.497</v>
      </c>
      <c r="E65" t="s">
        <v>114</v>
      </c>
    </row>
    <row r="66" spans="1:5" x14ac:dyDescent="0.25">
      <c r="A66" s="84">
        <v>45855</v>
      </c>
      <c r="B66">
        <v>510892.86099999998</v>
      </c>
      <c r="C66">
        <v>4786830.5839999998</v>
      </c>
      <c r="D66">
        <v>55.08</v>
      </c>
      <c r="E66" t="s">
        <v>93</v>
      </c>
    </row>
    <row r="67" spans="1:5" x14ac:dyDescent="0.25">
      <c r="A67" s="84">
        <v>45855</v>
      </c>
      <c r="B67">
        <v>510903.79599999997</v>
      </c>
      <c r="C67">
        <v>4786831.3049999997</v>
      </c>
      <c r="D67">
        <v>53.098999999999997</v>
      </c>
      <c r="E67" t="s">
        <v>115</v>
      </c>
    </row>
    <row r="68" spans="1:5" x14ac:dyDescent="0.25">
      <c r="A68" s="84">
        <v>45855</v>
      </c>
      <c r="B68">
        <v>510927.29100000003</v>
      </c>
      <c r="C68">
        <v>4786824.7980000004</v>
      </c>
      <c r="D68">
        <v>53.063000000000002</v>
      </c>
      <c r="E68" t="s">
        <v>116</v>
      </c>
    </row>
    <row r="69" spans="1:5" x14ac:dyDescent="0.25">
      <c r="A69" s="84">
        <v>45855</v>
      </c>
      <c r="B69">
        <v>510899.70199999999</v>
      </c>
      <c r="C69">
        <v>4786831.8169999998</v>
      </c>
      <c r="D69">
        <v>57.087000000000003</v>
      </c>
      <c r="E69" t="s">
        <v>117</v>
      </c>
    </row>
    <row r="70" spans="1:5" x14ac:dyDescent="0.25">
      <c r="A70" s="84">
        <v>45855</v>
      </c>
      <c r="B70">
        <v>510910.788</v>
      </c>
      <c r="C70">
        <v>4786832.1809999999</v>
      </c>
      <c r="D70">
        <v>55.076000000000001</v>
      </c>
      <c r="E70" t="s">
        <v>118</v>
      </c>
    </row>
    <row r="71" spans="1:5" x14ac:dyDescent="0.25">
      <c r="A71" s="84">
        <v>45855</v>
      </c>
      <c r="B71">
        <v>510917.65</v>
      </c>
      <c r="C71">
        <v>4786832.9989999998</v>
      </c>
      <c r="D71">
        <v>57.012999999999998</v>
      </c>
      <c r="E71" t="s">
        <v>119</v>
      </c>
    </row>
    <row r="72" spans="1:5" x14ac:dyDescent="0.25">
      <c r="A72" s="84">
        <v>45855</v>
      </c>
      <c r="B72">
        <v>510923.91899999999</v>
      </c>
      <c r="C72">
        <v>4786829.1950000003</v>
      </c>
      <c r="D72">
        <v>57.027000000000001</v>
      </c>
      <c r="E72" t="s">
        <v>120</v>
      </c>
    </row>
    <row r="73" spans="1:5" x14ac:dyDescent="0.25">
      <c r="A73" s="84">
        <v>45855</v>
      </c>
      <c r="B73">
        <v>510906.625</v>
      </c>
      <c r="C73">
        <v>4786833.0149999997</v>
      </c>
      <c r="D73">
        <v>58.597000000000001</v>
      </c>
      <c r="E73" t="s">
        <v>121</v>
      </c>
    </row>
    <row r="74" spans="1:5" x14ac:dyDescent="0.25">
      <c r="A74" s="84">
        <v>45852</v>
      </c>
      <c r="B74">
        <v>510882.65500000003</v>
      </c>
      <c r="C74">
        <v>4786829.9249999998</v>
      </c>
      <c r="D74">
        <v>54.499000000000002</v>
      </c>
      <c r="E74" t="s">
        <v>114</v>
      </c>
    </row>
    <row r="75" spans="1:5" x14ac:dyDescent="0.25">
      <c r="A75" s="84">
        <v>45852</v>
      </c>
      <c r="B75">
        <v>510892.86099999998</v>
      </c>
      <c r="C75">
        <v>4786830.5839999998</v>
      </c>
      <c r="D75">
        <v>55.08</v>
      </c>
      <c r="E75" t="s">
        <v>93</v>
      </c>
    </row>
    <row r="76" spans="1:5" x14ac:dyDescent="0.25">
      <c r="A76" s="84">
        <v>45852</v>
      </c>
      <c r="B76">
        <v>510927.29100000003</v>
      </c>
      <c r="C76">
        <v>4786824.7989999996</v>
      </c>
      <c r="D76">
        <v>53.063000000000002</v>
      </c>
      <c r="E76" t="s">
        <v>116</v>
      </c>
    </row>
    <row r="77" spans="1:5" x14ac:dyDescent="0.25">
      <c r="A77" s="84">
        <v>45852</v>
      </c>
      <c r="B77">
        <v>510899.70199999999</v>
      </c>
      <c r="C77">
        <v>4786831.818</v>
      </c>
      <c r="D77">
        <v>57.087000000000003</v>
      </c>
      <c r="E77" t="s">
        <v>117</v>
      </c>
    </row>
    <row r="78" spans="1:5" x14ac:dyDescent="0.25">
      <c r="A78" s="84">
        <v>45852</v>
      </c>
      <c r="B78">
        <v>510910.788</v>
      </c>
      <c r="C78">
        <v>4786832.1809999999</v>
      </c>
      <c r="D78">
        <v>55.075000000000003</v>
      </c>
      <c r="E78" t="s">
        <v>118</v>
      </c>
    </row>
    <row r="79" spans="1:5" x14ac:dyDescent="0.25">
      <c r="A79" s="84">
        <v>45852</v>
      </c>
      <c r="B79">
        <v>510917.65</v>
      </c>
      <c r="C79">
        <v>4786832.9989999998</v>
      </c>
      <c r="D79">
        <v>57.014000000000003</v>
      </c>
      <c r="E79" t="s">
        <v>119</v>
      </c>
    </row>
    <row r="80" spans="1:5" x14ac:dyDescent="0.25">
      <c r="A80" s="84">
        <v>45852</v>
      </c>
      <c r="B80">
        <v>510923.92</v>
      </c>
      <c r="C80">
        <v>4786829.1950000003</v>
      </c>
      <c r="D80">
        <v>57.026000000000003</v>
      </c>
      <c r="E80" t="s">
        <v>120</v>
      </c>
    </row>
    <row r="81" spans="1:5" x14ac:dyDescent="0.25">
      <c r="A81" s="84">
        <v>45852</v>
      </c>
      <c r="B81">
        <v>510906.625</v>
      </c>
      <c r="C81">
        <v>4786833.0149999997</v>
      </c>
      <c r="D81">
        <v>58.597000000000001</v>
      </c>
      <c r="E81" t="s">
        <v>121</v>
      </c>
    </row>
    <row r="82" spans="1:5" x14ac:dyDescent="0.25">
      <c r="A82" s="84">
        <v>45848</v>
      </c>
      <c r="B82">
        <v>510882.65500000003</v>
      </c>
      <c r="C82">
        <v>4786829.9249999998</v>
      </c>
      <c r="D82">
        <v>54.497999999999998</v>
      </c>
      <c r="E82" t="s">
        <v>114</v>
      </c>
    </row>
    <row r="83" spans="1:5" x14ac:dyDescent="0.25">
      <c r="A83" s="84">
        <v>45848</v>
      </c>
      <c r="B83">
        <v>510892.86099999998</v>
      </c>
      <c r="C83">
        <v>4786830.5839999998</v>
      </c>
      <c r="D83">
        <v>55.08</v>
      </c>
      <c r="E83" t="s">
        <v>93</v>
      </c>
    </row>
    <row r="84" spans="1:5" x14ac:dyDescent="0.25">
      <c r="A84" s="84">
        <v>45848</v>
      </c>
      <c r="B84">
        <v>510903.79499999998</v>
      </c>
      <c r="C84">
        <v>4786831.3049999997</v>
      </c>
      <c r="D84">
        <v>53.098999999999997</v>
      </c>
      <c r="E84" t="s">
        <v>115</v>
      </c>
    </row>
    <row r="85" spans="1:5" x14ac:dyDescent="0.25">
      <c r="A85" s="84">
        <v>45848</v>
      </c>
      <c r="B85">
        <v>510927.29100000003</v>
      </c>
      <c r="C85">
        <v>4786824.7989999996</v>
      </c>
      <c r="D85">
        <v>53.064</v>
      </c>
      <c r="E85" t="s">
        <v>116</v>
      </c>
    </row>
    <row r="86" spans="1:5" x14ac:dyDescent="0.25">
      <c r="A86" s="84">
        <v>45848</v>
      </c>
      <c r="B86">
        <v>510899.70199999999</v>
      </c>
      <c r="C86">
        <v>4786831.8169999998</v>
      </c>
      <c r="D86">
        <v>57.087000000000003</v>
      </c>
      <c r="E86" t="s">
        <v>117</v>
      </c>
    </row>
    <row r="87" spans="1:5" x14ac:dyDescent="0.25">
      <c r="A87" s="84">
        <v>45848</v>
      </c>
      <c r="B87">
        <v>510910.788</v>
      </c>
      <c r="C87">
        <v>4786832.1809999999</v>
      </c>
      <c r="D87">
        <v>55.076000000000001</v>
      </c>
      <c r="E87" t="s">
        <v>118</v>
      </c>
    </row>
    <row r="88" spans="1:5" x14ac:dyDescent="0.25">
      <c r="A88" s="84">
        <v>45848</v>
      </c>
      <c r="B88">
        <v>510917.65</v>
      </c>
      <c r="C88">
        <v>4786832.9989999998</v>
      </c>
      <c r="D88">
        <v>57.014000000000003</v>
      </c>
      <c r="E88" t="s">
        <v>119</v>
      </c>
    </row>
    <row r="89" spans="1:5" x14ac:dyDescent="0.25">
      <c r="A89" s="84">
        <v>45848</v>
      </c>
      <c r="B89">
        <v>510923.92</v>
      </c>
      <c r="C89">
        <v>4786829.1950000003</v>
      </c>
      <c r="D89">
        <v>57.027000000000001</v>
      </c>
      <c r="E89" t="s">
        <v>120</v>
      </c>
    </row>
    <row r="90" spans="1:5" x14ac:dyDescent="0.25">
      <c r="A90" s="84">
        <v>45848</v>
      </c>
      <c r="B90">
        <v>510906.625</v>
      </c>
      <c r="C90">
        <v>4786833.0149999997</v>
      </c>
      <c r="D90">
        <v>58.597000000000001</v>
      </c>
      <c r="E90" t="s">
        <v>121</v>
      </c>
    </row>
    <row r="91" spans="1:5" x14ac:dyDescent="0.25">
      <c r="A91" s="84">
        <v>45845</v>
      </c>
      <c r="B91">
        <v>510882.65500000003</v>
      </c>
      <c r="C91">
        <v>4786829.9249999998</v>
      </c>
      <c r="D91">
        <v>54.499000000000002</v>
      </c>
      <c r="E91" t="s">
        <v>114</v>
      </c>
    </row>
    <row r="92" spans="1:5" x14ac:dyDescent="0.25">
      <c r="A92" s="84">
        <v>45845</v>
      </c>
      <c r="B92">
        <v>510892.86099999998</v>
      </c>
      <c r="C92">
        <v>4786830.5839999998</v>
      </c>
      <c r="D92">
        <v>55.081000000000003</v>
      </c>
      <c r="E92" t="s">
        <v>93</v>
      </c>
    </row>
    <row r="93" spans="1:5" x14ac:dyDescent="0.25">
      <c r="A93" s="84">
        <v>45845</v>
      </c>
      <c r="B93">
        <v>510903.79499999998</v>
      </c>
      <c r="C93">
        <v>4786831.3039999995</v>
      </c>
      <c r="D93">
        <v>53.100999999999999</v>
      </c>
      <c r="E93" t="s">
        <v>115</v>
      </c>
    </row>
    <row r="94" spans="1:5" x14ac:dyDescent="0.25">
      <c r="A94" s="84">
        <v>45845</v>
      </c>
      <c r="B94">
        <v>510927.29100000003</v>
      </c>
      <c r="C94">
        <v>4786824.7989999996</v>
      </c>
      <c r="D94">
        <v>53.064</v>
      </c>
      <c r="E94" t="s">
        <v>116</v>
      </c>
    </row>
    <row r="95" spans="1:5" x14ac:dyDescent="0.25">
      <c r="A95" s="84">
        <v>45845</v>
      </c>
      <c r="B95">
        <v>510899.70199999999</v>
      </c>
      <c r="C95">
        <v>4786831.818</v>
      </c>
      <c r="D95">
        <v>57.088000000000001</v>
      </c>
      <c r="E95" t="s">
        <v>117</v>
      </c>
    </row>
    <row r="96" spans="1:5" x14ac:dyDescent="0.25">
      <c r="A96" s="84">
        <v>45845</v>
      </c>
      <c r="B96">
        <v>510910.788</v>
      </c>
      <c r="C96">
        <v>4786832.1809999999</v>
      </c>
      <c r="D96">
        <v>55.076000000000001</v>
      </c>
      <c r="E96" t="s">
        <v>118</v>
      </c>
    </row>
    <row r="97" spans="1:5" x14ac:dyDescent="0.25">
      <c r="A97" s="84">
        <v>45845</v>
      </c>
      <c r="B97">
        <v>510917.65</v>
      </c>
      <c r="C97">
        <v>4786832.9989999998</v>
      </c>
      <c r="D97">
        <v>57.014000000000003</v>
      </c>
      <c r="E97" t="s">
        <v>119</v>
      </c>
    </row>
    <row r="98" spans="1:5" x14ac:dyDescent="0.25">
      <c r="A98" s="84">
        <v>45845</v>
      </c>
      <c r="B98">
        <v>510923.92</v>
      </c>
      <c r="C98">
        <v>4786829.1950000003</v>
      </c>
      <c r="D98">
        <v>57.027999999999999</v>
      </c>
      <c r="E98" t="s">
        <v>120</v>
      </c>
    </row>
    <row r="99" spans="1:5" x14ac:dyDescent="0.25">
      <c r="A99" s="84">
        <v>45845</v>
      </c>
      <c r="B99">
        <v>510906.625</v>
      </c>
      <c r="C99">
        <v>4786833.0149999997</v>
      </c>
      <c r="D99">
        <v>58.597999999999999</v>
      </c>
      <c r="E99" t="s">
        <v>121</v>
      </c>
    </row>
    <row r="100" spans="1:5" x14ac:dyDescent="0.25">
      <c r="A100" s="84">
        <v>45841</v>
      </c>
      <c r="B100">
        <v>510882.65600000002</v>
      </c>
      <c r="C100">
        <v>4786829.9249999998</v>
      </c>
      <c r="D100">
        <v>54.499000000000002</v>
      </c>
      <c r="E100" t="s">
        <v>114</v>
      </c>
    </row>
    <row r="101" spans="1:5" x14ac:dyDescent="0.25">
      <c r="A101" s="84">
        <v>45841</v>
      </c>
      <c r="B101">
        <v>510892.86099999998</v>
      </c>
      <c r="C101">
        <v>4786830.5839999998</v>
      </c>
      <c r="D101">
        <v>55.081000000000003</v>
      </c>
      <c r="E101" t="s">
        <v>93</v>
      </c>
    </row>
    <row r="102" spans="1:5" x14ac:dyDescent="0.25">
      <c r="A102" s="84">
        <v>45841</v>
      </c>
      <c r="B102">
        <v>510903.79499999998</v>
      </c>
      <c r="C102">
        <v>4786831.3049999997</v>
      </c>
      <c r="D102">
        <v>53.1</v>
      </c>
      <c r="E102" t="s">
        <v>115</v>
      </c>
    </row>
    <row r="103" spans="1:5" x14ac:dyDescent="0.25">
      <c r="A103" s="84">
        <v>45841</v>
      </c>
      <c r="B103">
        <v>510927.29100000003</v>
      </c>
      <c r="C103">
        <v>4786824.7989999996</v>
      </c>
      <c r="D103">
        <v>53.064999999999998</v>
      </c>
      <c r="E103" t="s">
        <v>116</v>
      </c>
    </row>
    <row r="104" spans="1:5" x14ac:dyDescent="0.25">
      <c r="A104" s="84">
        <v>45841</v>
      </c>
      <c r="B104">
        <v>510899.70199999999</v>
      </c>
      <c r="C104">
        <v>4786831.818</v>
      </c>
      <c r="D104">
        <v>57.088000000000001</v>
      </c>
      <c r="E104" t="s">
        <v>117</v>
      </c>
    </row>
    <row r="105" spans="1:5" x14ac:dyDescent="0.25">
      <c r="A105" s="84">
        <v>45841</v>
      </c>
      <c r="B105">
        <v>510910.788</v>
      </c>
      <c r="C105">
        <v>4786832.1809999999</v>
      </c>
      <c r="D105">
        <v>55.076000000000001</v>
      </c>
      <c r="E105" t="s">
        <v>118</v>
      </c>
    </row>
    <row r="106" spans="1:5" x14ac:dyDescent="0.25">
      <c r="A106" s="84">
        <v>45841</v>
      </c>
      <c r="B106">
        <v>510917.65</v>
      </c>
      <c r="C106">
        <v>4786832.9989999998</v>
      </c>
      <c r="D106">
        <v>57.014000000000003</v>
      </c>
      <c r="E106" t="s">
        <v>119</v>
      </c>
    </row>
    <row r="107" spans="1:5" x14ac:dyDescent="0.25">
      <c r="A107" s="84">
        <v>45841</v>
      </c>
      <c r="B107">
        <v>510923.92099999997</v>
      </c>
      <c r="C107">
        <v>4786829.1950000003</v>
      </c>
      <c r="D107">
        <v>57.027000000000001</v>
      </c>
      <c r="E107" t="s">
        <v>120</v>
      </c>
    </row>
    <row r="108" spans="1:5" x14ac:dyDescent="0.25">
      <c r="A108" s="84">
        <v>45841</v>
      </c>
      <c r="B108">
        <v>510906.62400000001</v>
      </c>
      <c r="C108">
        <v>4786833.0149999997</v>
      </c>
      <c r="D108">
        <v>58.597999999999999</v>
      </c>
      <c r="E108" t="s">
        <v>121</v>
      </c>
    </row>
    <row r="109" spans="1:5" x14ac:dyDescent="0.25">
      <c r="A109" s="84">
        <v>45838</v>
      </c>
      <c r="B109">
        <v>510882.65500000003</v>
      </c>
      <c r="C109">
        <v>4786829.926</v>
      </c>
      <c r="D109">
        <v>54.499000000000002</v>
      </c>
      <c r="E109" t="s">
        <v>114</v>
      </c>
    </row>
    <row r="110" spans="1:5" x14ac:dyDescent="0.25">
      <c r="A110" s="84">
        <v>45838</v>
      </c>
      <c r="B110">
        <v>510892.86099999998</v>
      </c>
      <c r="C110">
        <v>4786830.585</v>
      </c>
      <c r="D110">
        <v>55.081000000000003</v>
      </c>
      <c r="E110" t="s">
        <v>93</v>
      </c>
    </row>
    <row r="111" spans="1:5" x14ac:dyDescent="0.25">
      <c r="A111" s="84">
        <v>45838</v>
      </c>
      <c r="B111">
        <v>510903.79599999997</v>
      </c>
      <c r="C111">
        <v>4786831.3049999997</v>
      </c>
      <c r="D111">
        <v>53.1</v>
      </c>
      <c r="E111" t="s">
        <v>115</v>
      </c>
    </row>
    <row r="112" spans="1:5" x14ac:dyDescent="0.25">
      <c r="A112" s="84">
        <v>45838</v>
      </c>
      <c r="B112">
        <v>510927.29100000003</v>
      </c>
      <c r="C112">
        <v>4786824.7989999996</v>
      </c>
      <c r="D112">
        <v>53.064</v>
      </c>
      <c r="E112" t="s">
        <v>116</v>
      </c>
    </row>
    <row r="113" spans="1:5" x14ac:dyDescent="0.25">
      <c r="A113" s="84">
        <v>45838</v>
      </c>
      <c r="B113">
        <v>510899.70199999999</v>
      </c>
      <c r="C113">
        <v>4786831.8190000001</v>
      </c>
      <c r="D113">
        <v>57.088999999999999</v>
      </c>
      <c r="E113" t="s">
        <v>117</v>
      </c>
    </row>
    <row r="114" spans="1:5" x14ac:dyDescent="0.25">
      <c r="A114" s="84">
        <v>45838</v>
      </c>
      <c r="B114">
        <v>510910.788</v>
      </c>
      <c r="C114">
        <v>4786832.1809999999</v>
      </c>
      <c r="D114">
        <v>55.076999999999998</v>
      </c>
      <c r="E114" t="s">
        <v>118</v>
      </c>
    </row>
    <row r="115" spans="1:5" x14ac:dyDescent="0.25">
      <c r="A115" s="84">
        <v>45838</v>
      </c>
      <c r="B115">
        <v>510917.65</v>
      </c>
      <c r="C115">
        <v>4786833</v>
      </c>
      <c r="D115">
        <v>57.015000000000001</v>
      </c>
      <c r="E115" t="s">
        <v>119</v>
      </c>
    </row>
    <row r="116" spans="1:5" x14ac:dyDescent="0.25">
      <c r="A116" s="84">
        <v>45838</v>
      </c>
      <c r="B116">
        <v>510923.92</v>
      </c>
      <c r="C116">
        <v>4786829.1950000003</v>
      </c>
      <c r="D116">
        <v>57.027999999999999</v>
      </c>
      <c r="E116" t="s">
        <v>120</v>
      </c>
    </row>
    <row r="117" spans="1:5" x14ac:dyDescent="0.25">
      <c r="A117" s="84">
        <v>45838</v>
      </c>
      <c r="B117">
        <v>510906.625</v>
      </c>
      <c r="C117">
        <v>4786833.0149999997</v>
      </c>
      <c r="D117">
        <v>58.598999999999997</v>
      </c>
      <c r="E117" t="s">
        <v>121</v>
      </c>
    </row>
    <row r="118" spans="1:5" x14ac:dyDescent="0.25">
      <c r="A118" s="84">
        <v>45835</v>
      </c>
      <c r="B118">
        <v>510882.65500000003</v>
      </c>
      <c r="C118">
        <v>4786829.9249999998</v>
      </c>
      <c r="D118">
        <v>54.5</v>
      </c>
      <c r="E118" t="s">
        <v>114</v>
      </c>
    </row>
    <row r="119" spans="1:5" x14ac:dyDescent="0.25">
      <c r="A119" s="84">
        <v>45835</v>
      </c>
      <c r="B119">
        <v>510892.86099999998</v>
      </c>
      <c r="C119">
        <v>4786830.585</v>
      </c>
      <c r="D119">
        <v>55.081000000000003</v>
      </c>
      <c r="E119" t="s">
        <v>93</v>
      </c>
    </row>
    <row r="120" spans="1:5" x14ac:dyDescent="0.25">
      <c r="A120" s="84">
        <v>45835</v>
      </c>
      <c r="B120">
        <v>510903.79599999997</v>
      </c>
      <c r="C120">
        <v>4786831.3049999997</v>
      </c>
      <c r="D120">
        <v>53.100999999999999</v>
      </c>
      <c r="E120" t="s">
        <v>115</v>
      </c>
    </row>
    <row r="121" spans="1:5" x14ac:dyDescent="0.25">
      <c r="A121" s="84">
        <v>45835</v>
      </c>
      <c r="B121">
        <v>510927.29100000003</v>
      </c>
      <c r="C121">
        <v>4786824.7989999996</v>
      </c>
      <c r="D121">
        <v>53.064999999999998</v>
      </c>
      <c r="E121" t="s">
        <v>116</v>
      </c>
    </row>
    <row r="122" spans="1:5" x14ac:dyDescent="0.25">
      <c r="A122" s="84">
        <v>45835</v>
      </c>
      <c r="B122">
        <v>510899.70199999999</v>
      </c>
      <c r="C122">
        <v>4786831.8169999998</v>
      </c>
      <c r="D122">
        <v>57.088000000000001</v>
      </c>
      <c r="E122" t="s">
        <v>117</v>
      </c>
    </row>
    <row r="123" spans="1:5" x14ac:dyDescent="0.25">
      <c r="A123" s="84">
        <v>45835</v>
      </c>
      <c r="B123">
        <v>510910.788</v>
      </c>
      <c r="C123">
        <v>4786832.1809999999</v>
      </c>
      <c r="D123">
        <v>55.078000000000003</v>
      </c>
      <c r="E123" t="s">
        <v>118</v>
      </c>
    </row>
    <row r="124" spans="1:5" x14ac:dyDescent="0.25">
      <c r="A124" s="84">
        <v>45835</v>
      </c>
      <c r="B124">
        <v>510917.65</v>
      </c>
      <c r="C124">
        <v>4786833</v>
      </c>
      <c r="D124">
        <v>57.015000000000001</v>
      </c>
      <c r="E124" t="s">
        <v>119</v>
      </c>
    </row>
    <row r="125" spans="1:5" x14ac:dyDescent="0.25">
      <c r="A125" s="84">
        <v>45835</v>
      </c>
      <c r="B125">
        <v>510923.92</v>
      </c>
      <c r="C125">
        <v>4786829.1960000005</v>
      </c>
      <c r="D125">
        <v>57.027999999999999</v>
      </c>
      <c r="E125" t="s">
        <v>120</v>
      </c>
    </row>
    <row r="126" spans="1:5" x14ac:dyDescent="0.25">
      <c r="A126" s="84">
        <v>45835</v>
      </c>
      <c r="B126">
        <v>510906.625</v>
      </c>
      <c r="C126">
        <v>4786833.0149999997</v>
      </c>
      <c r="D126">
        <v>58.598999999999997</v>
      </c>
      <c r="E126" t="s">
        <v>121</v>
      </c>
    </row>
    <row r="127" spans="1:5" x14ac:dyDescent="0.25">
      <c r="A127" s="84">
        <v>45831</v>
      </c>
      <c r="B127">
        <v>510882.65500000003</v>
      </c>
      <c r="C127">
        <v>4786829.9249999998</v>
      </c>
      <c r="D127">
        <v>54.5</v>
      </c>
      <c r="E127" t="s">
        <v>114</v>
      </c>
    </row>
    <row r="128" spans="1:5" x14ac:dyDescent="0.25">
      <c r="A128" s="84">
        <v>45831</v>
      </c>
      <c r="B128">
        <v>510892.86099999998</v>
      </c>
      <c r="C128">
        <v>4786830.5839999998</v>
      </c>
      <c r="D128">
        <v>55.081000000000003</v>
      </c>
      <c r="E128" t="s">
        <v>93</v>
      </c>
    </row>
    <row r="129" spans="1:5" x14ac:dyDescent="0.25">
      <c r="A129" s="84">
        <v>45831</v>
      </c>
      <c r="B129">
        <v>510903.79599999997</v>
      </c>
      <c r="C129">
        <v>4786831.3049999997</v>
      </c>
      <c r="D129">
        <v>53.098999999999997</v>
      </c>
      <c r="E129" t="s">
        <v>115</v>
      </c>
    </row>
    <row r="130" spans="1:5" x14ac:dyDescent="0.25">
      <c r="A130" s="84">
        <v>45831</v>
      </c>
      <c r="B130">
        <v>510927.29100000003</v>
      </c>
      <c r="C130">
        <v>4786824.7980000004</v>
      </c>
      <c r="D130">
        <v>53.064999999999998</v>
      </c>
      <c r="E130" t="s">
        <v>116</v>
      </c>
    </row>
    <row r="131" spans="1:5" x14ac:dyDescent="0.25">
      <c r="A131" s="84">
        <v>45831</v>
      </c>
      <c r="B131">
        <v>510899.70199999999</v>
      </c>
      <c r="C131">
        <v>4786831.818</v>
      </c>
      <c r="D131">
        <v>57.088000000000001</v>
      </c>
      <c r="E131" t="s">
        <v>117</v>
      </c>
    </row>
    <row r="132" spans="1:5" x14ac:dyDescent="0.25">
      <c r="A132" s="84">
        <v>45831</v>
      </c>
      <c r="B132">
        <v>510910.788</v>
      </c>
      <c r="C132">
        <v>4786832.1809999999</v>
      </c>
      <c r="D132">
        <v>55.076999999999998</v>
      </c>
      <c r="E132" t="s">
        <v>118</v>
      </c>
    </row>
    <row r="133" spans="1:5" x14ac:dyDescent="0.25">
      <c r="A133" s="84">
        <v>45831</v>
      </c>
      <c r="B133">
        <v>510917.65</v>
      </c>
      <c r="C133">
        <v>4786832.9989999998</v>
      </c>
      <c r="D133">
        <v>57.015000000000001</v>
      </c>
      <c r="E133" t="s">
        <v>119</v>
      </c>
    </row>
    <row r="134" spans="1:5" x14ac:dyDescent="0.25">
      <c r="A134" s="84">
        <v>45831</v>
      </c>
      <c r="B134">
        <v>510923.91899999999</v>
      </c>
      <c r="C134">
        <v>4786829.1960000005</v>
      </c>
      <c r="D134">
        <v>57.027999999999999</v>
      </c>
      <c r="E134" t="s">
        <v>120</v>
      </c>
    </row>
    <row r="135" spans="1:5" x14ac:dyDescent="0.25">
      <c r="A135" s="84">
        <v>45831</v>
      </c>
      <c r="B135">
        <v>510906.625</v>
      </c>
      <c r="C135">
        <v>4786833.0149999997</v>
      </c>
      <c r="D135">
        <v>58.598999999999997</v>
      </c>
      <c r="E135" t="s">
        <v>121</v>
      </c>
    </row>
    <row r="136" spans="1:5" x14ac:dyDescent="0.25">
      <c r="A136" s="84">
        <v>45826</v>
      </c>
      <c r="B136">
        <v>510882.65500000003</v>
      </c>
      <c r="C136">
        <v>4786829.926</v>
      </c>
      <c r="D136">
        <v>54.497999999999998</v>
      </c>
      <c r="E136" t="s">
        <v>114</v>
      </c>
    </row>
    <row r="137" spans="1:5" x14ac:dyDescent="0.25">
      <c r="A137" s="84">
        <v>45826</v>
      </c>
      <c r="B137">
        <v>510892.86099999998</v>
      </c>
      <c r="C137">
        <v>4786830.5839999998</v>
      </c>
      <c r="D137">
        <v>55.082000000000001</v>
      </c>
      <c r="E137" t="s">
        <v>93</v>
      </c>
    </row>
    <row r="138" spans="1:5" x14ac:dyDescent="0.25">
      <c r="A138" s="84">
        <v>45826</v>
      </c>
      <c r="B138">
        <v>510903.79599999997</v>
      </c>
      <c r="C138">
        <v>4786831.3049999997</v>
      </c>
      <c r="D138">
        <v>53.1</v>
      </c>
      <c r="E138" t="s">
        <v>115</v>
      </c>
    </row>
    <row r="139" spans="1:5" x14ac:dyDescent="0.25">
      <c r="A139" s="84">
        <v>45826</v>
      </c>
      <c r="B139">
        <v>510927.29100000003</v>
      </c>
      <c r="C139">
        <v>4786824.7989999996</v>
      </c>
      <c r="D139">
        <v>53.064999999999998</v>
      </c>
      <c r="E139" t="s">
        <v>116</v>
      </c>
    </row>
    <row r="140" spans="1:5" x14ac:dyDescent="0.25">
      <c r="A140" s="84">
        <v>45826</v>
      </c>
      <c r="B140">
        <v>510899.70199999999</v>
      </c>
      <c r="C140">
        <v>4786831.818</v>
      </c>
      <c r="D140">
        <v>57.088000000000001</v>
      </c>
      <c r="E140" t="s">
        <v>117</v>
      </c>
    </row>
    <row r="141" spans="1:5" x14ac:dyDescent="0.25">
      <c r="A141" s="84">
        <v>45826</v>
      </c>
      <c r="B141">
        <v>510910.788</v>
      </c>
      <c r="C141">
        <v>4786832.182</v>
      </c>
      <c r="D141">
        <v>55.076000000000001</v>
      </c>
      <c r="E141" t="s">
        <v>118</v>
      </c>
    </row>
    <row r="142" spans="1:5" x14ac:dyDescent="0.25">
      <c r="A142" s="84">
        <v>45826</v>
      </c>
      <c r="B142">
        <v>510917.65</v>
      </c>
      <c r="C142">
        <v>4786833</v>
      </c>
      <c r="D142">
        <v>57.015000000000001</v>
      </c>
      <c r="E142" t="s">
        <v>119</v>
      </c>
    </row>
    <row r="143" spans="1:5" x14ac:dyDescent="0.25">
      <c r="A143" s="84">
        <v>45826</v>
      </c>
      <c r="B143">
        <v>510923.92099999997</v>
      </c>
      <c r="C143">
        <v>4786829.1960000005</v>
      </c>
      <c r="D143">
        <v>57.027999999999999</v>
      </c>
      <c r="E143" t="s">
        <v>120</v>
      </c>
    </row>
    <row r="144" spans="1:5" x14ac:dyDescent="0.25">
      <c r="A144" s="84">
        <v>45826</v>
      </c>
      <c r="B144">
        <v>510906.625</v>
      </c>
      <c r="C144">
        <v>4786833.0149999997</v>
      </c>
      <c r="D144">
        <v>58.597999999999999</v>
      </c>
      <c r="E144" t="s">
        <v>121</v>
      </c>
    </row>
    <row r="145" spans="1:5" x14ac:dyDescent="0.25">
      <c r="A145" s="84">
        <v>45824</v>
      </c>
      <c r="B145">
        <v>510882.65500000003</v>
      </c>
      <c r="C145">
        <v>4786829.9249999998</v>
      </c>
      <c r="D145">
        <v>54.499000000000002</v>
      </c>
      <c r="E145" t="s">
        <v>114</v>
      </c>
    </row>
    <row r="146" spans="1:5" x14ac:dyDescent="0.25">
      <c r="A146" s="84">
        <v>45824</v>
      </c>
      <c r="B146">
        <v>510903.79499999998</v>
      </c>
      <c r="C146">
        <v>4786831.3039999995</v>
      </c>
      <c r="D146">
        <v>53.100999999999999</v>
      </c>
      <c r="E146" t="s">
        <v>115</v>
      </c>
    </row>
    <row r="147" spans="1:5" x14ac:dyDescent="0.25">
      <c r="A147" s="84">
        <v>45824</v>
      </c>
      <c r="B147">
        <v>510927.29100000003</v>
      </c>
      <c r="C147">
        <v>4786824.801</v>
      </c>
      <c r="D147">
        <v>53.064</v>
      </c>
      <c r="E147" t="s">
        <v>116</v>
      </c>
    </row>
    <row r="148" spans="1:5" x14ac:dyDescent="0.25">
      <c r="A148" s="84">
        <v>45824</v>
      </c>
      <c r="B148">
        <v>510899.701</v>
      </c>
      <c r="C148">
        <v>4786831.8169999998</v>
      </c>
      <c r="D148">
        <v>57.088000000000001</v>
      </c>
      <c r="E148" t="s">
        <v>117</v>
      </c>
    </row>
    <row r="149" spans="1:5" x14ac:dyDescent="0.25">
      <c r="A149" s="84">
        <v>45824</v>
      </c>
      <c r="B149">
        <v>510910.788</v>
      </c>
      <c r="C149">
        <v>4786832.1809999999</v>
      </c>
      <c r="D149">
        <v>55.076999999999998</v>
      </c>
      <c r="E149" t="s">
        <v>118</v>
      </c>
    </row>
    <row r="150" spans="1:5" x14ac:dyDescent="0.25">
      <c r="A150" s="84">
        <v>45824</v>
      </c>
      <c r="B150">
        <v>510917.65</v>
      </c>
      <c r="C150">
        <v>4786832.9989999998</v>
      </c>
      <c r="D150">
        <v>57.015999999999998</v>
      </c>
      <c r="E150" t="s">
        <v>119</v>
      </c>
    </row>
    <row r="151" spans="1:5" x14ac:dyDescent="0.25">
      <c r="A151" s="84">
        <v>45824</v>
      </c>
      <c r="B151">
        <v>510923.92</v>
      </c>
      <c r="C151">
        <v>4786829.1960000005</v>
      </c>
      <c r="D151">
        <v>57.027999999999999</v>
      </c>
      <c r="E151" t="s">
        <v>120</v>
      </c>
    </row>
    <row r="152" spans="1:5" x14ac:dyDescent="0.25">
      <c r="A152" s="84">
        <v>45824</v>
      </c>
      <c r="B152">
        <v>510906.625</v>
      </c>
      <c r="C152">
        <v>4786833.0140000004</v>
      </c>
      <c r="D152">
        <v>58.598999999999997</v>
      </c>
      <c r="E152" t="s">
        <v>121</v>
      </c>
    </row>
    <row r="153" spans="1:5" x14ac:dyDescent="0.25">
      <c r="A153" s="84">
        <v>45820</v>
      </c>
      <c r="B153">
        <v>510882.65600000002</v>
      </c>
      <c r="C153">
        <v>4786829.926</v>
      </c>
      <c r="D153">
        <v>54.5</v>
      </c>
      <c r="E153" t="s">
        <v>114</v>
      </c>
    </row>
    <row r="154" spans="1:5" x14ac:dyDescent="0.25">
      <c r="A154" s="84">
        <v>45820</v>
      </c>
      <c r="B154">
        <v>510892.86099999998</v>
      </c>
      <c r="C154">
        <v>4786830.585</v>
      </c>
      <c r="D154">
        <v>55.081000000000003</v>
      </c>
      <c r="E154" t="s">
        <v>93</v>
      </c>
    </row>
    <row r="155" spans="1:5" x14ac:dyDescent="0.25">
      <c r="A155" s="84">
        <v>45820</v>
      </c>
      <c r="B155">
        <v>510903.79599999997</v>
      </c>
      <c r="C155">
        <v>4786831.3049999997</v>
      </c>
      <c r="D155">
        <v>53.1</v>
      </c>
      <c r="E155" t="s">
        <v>115</v>
      </c>
    </row>
    <row r="156" spans="1:5" x14ac:dyDescent="0.25">
      <c r="A156" s="84">
        <v>45820</v>
      </c>
      <c r="B156">
        <v>510927.29200000002</v>
      </c>
      <c r="C156">
        <v>4786824.7989999996</v>
      </c>
      <c r="D156">
        <v>53.064</v>
      </c>
      <c r="E156" t="s">
        <v>116</v>
      </c>
    </row>
    <row r="157" spans="1:5" x14ac:dyDescent="0.25">
      <c r="A157" s="84">
        <v>45820</v>
      </c>
      <c r="B157">
        <v>510899.70199999999</v>
      </c>
      <c r="C157">
        <v>4786831.8169999998</v>
      </c>
      <c r="D157">
        <v>57.088000000000001</v>
      </c>
      <c r="E157" t="s">
        <v>117</v>
      </c>
    </row>
    <row r="158" spans="1:5" x14ac:dyDescent="0.25">
      <c r="A158" s="84">
        <v>45820</v>
      </c>
      <c r="B158">
        <v>510910.788</v>
      </c>
      <c r="C158">
        <v>4786832.182</v>
      </c>
      <c r="D158">
        <v>55.076999999999998</v>
      </c>
      <c r="E158" t="s">
        <v>118</v>
      </c>
    </row>
    <row r="159" spans="1:5" x14ac:dyDescent="0.25">
      <c r="A159" s="84">
        <v>45820</v>
      </c>
      <c r="B159">
        <v>510917.65</v>
      </c>
      <c r="C159">
        <v>4786833</v>
      </c>
      <c r="D159">
        <v>57.015000000000001</v>
      </c>
      <c r="E159" t="s">
        <v>119</v>
      </c>
    </row>
    <row r="160" spans="1:5" x14ac:dyDescent="0.25">
      <c r="A160" s="84">
        <v>45820</v>
      </c>
      <c r="B160">
        <v>510923.92099999997</v>
      </c>
      <c r="C160">
        <v>4786829.1960000005</v>
      </c>
      <c r="D160">
        <v>57.027999999999999</v>
      </c>
      <c r="E160" t="s">
        <v>120</v>
      </c>
    </row>
    <row r="161" spans="1:5" x14ac:dyDescent="0.25">
      <c r="A161" s="84">
        <v>45820</v>
      </c>
      <c r="B161">
        <v>510906.625</v>
      </c>
      <c r="C161">
        <v>4786833.0149999997</v>
      </c>
      <c r="D161">
        <v>58.598999999999997</v>
      </c>
      <c r="E161" t="s">
        <v>121</v>
      </c>
    </row>
    <row r="162" spans="1:5" x14ac:dyDescent="0.25">
      <c r="A162" s="84">
        <v>45817</v>
      </c>
      <c r="B162">
        <v>510882.65600000002</v>
      </c>
      <c r="C162">
        <v>4786829.9249999998</v>
      </c>
      <c r="D162">
        <v>54.5</v>
      </c>
      <c r="E162" t="s">
        <v>114</v>
      </c>
    </row>
    <row r="163" spans="1:5" x14ac:dyDescent="0.25">
      <c r="A163" s="84">
        <v>45817</v>
      </c>
      <c r="B163">
        <v>510892.86099999998</v>
      </c>
      <c r="C163">
        <v>4786830.585</v>
      </c>
      <c r="D163">
        <v>55.082000000000001</v>
      </c>
      <c r="E163" t="s">
        <v>93</v>
      </c>
    </row>
    <row r="164" spans="1:5" x14ac:dyDescent="0.25">
      <c r="A164" s="84">
        <v>45817</v>
      </c>
      <c r="B164">
        <v>510903.79599999997</v>
      </c>
      <c r="C164">
        <v>4786831.3059999999</v>
      </c>
      <c r="D164">
        <v>53.100999999999999</v>
      </c>
      <c r="E164" t="s">
        <v>115</v>
      </c>
    </row>
    <row r="165" spans="1:5" x14ac:dyDescent="0.25">
      <c r="A165" s="84">
        <v>45817</v>
      </c>
      <c r="B165">
        <v>510927.29200000002</v>
      </c>
      <c r="C165">
        <v>4786824.8</v>
      </c>
      <c r="D165">
        <v>53.064</v>
      </c>
      <c r="E165" t="s">
        <v>116</v>
      </c>
    </row>
    <row r="166" spans="1:5" x14ac:dyDescent="0.25">
      <c r="A166" s="84">
        <v>45817</v>
      </c>
      <c r="B166">
        <v>510899.70199999999</v>
      </c>
      <c r="C166">
        <v>4786831.818</v>
      </c>
      <c r="D166">
        <v>57.088999999999999</v>
      </c>
      <c r="E166" t="s">
        <v>117</v>
      </c>
    </row>
    <row r="167" spans="1:5" x14ac:dyDescent="0.25">
      <c r="A167" s="84">
        <v>45817</v>
      </c>
      <c r="B167">
        <v>510910.78899999999</v>
      </c>
      <c r="C167">
        <v>4786832.1809999999</v>
      </c>
      <c r="D167">
        <v>55.078000000000003</v>
      </c>
      <c r="E167" t="s">
        <v>118</v>
      </c>
    </row>
    <row r="168" spans="1:5" x14ac:dyDescent="0.25">
      <c r="A168" s="84">
        <v>45817</v>
      </c>
      <c r="B168">
        <v>510917.65100000001</v>
      </c>
      <c r="C168">
        <v>4786832.9989999998</v>
      </c>
      <c r="D168">
        <v>57.015999999999998</v>
      </c>
      <c r="E168" t="s">
        <v>119</v>
      </c>
    </row>
    <row r="169" spans="1:5" x14ac:dyDescent="0.25">
      <c r="A169" s="84">
        <v>45817</v>
      </c>
      <c r="B169">
        <v>510923.92200000002</v>
      </c>
      <c r="C169">
        <v>4786829.1960000005</v>
      </c>
      <c r="D169">
        <v>57.027999999999999</v>
      </c>
      <c r="E169" t="s">
        <v>120</v>
      </c>
    </row>
    <row r="170" spans="1:5" x14ac:dyDescent="0.25">
      <c r="A170" s="84">
        <v>45817</v>
      </c>
      <c r="B170">
        <v>510906.625</v>
      </c>
      <c r="C170">
        <v>4786833.0149999997</v>
      </c>
      <c r="D170">
        <v>58.598999999999997</v>
      </c>
      <c r="E170" t="s">
        <v>121</v>
      </c>
    </row>
    <row r="171" spans="1:5" x14ac:dyDescent="0.25">
      <c r="A171" s="84">
        <v>45813</v>
      </c>
      <c r="B171">
        <v>510882.65500000003</v>
      </c>
      <c r="C171">
        <v>4786829.9249999998</v>
      </c>
      <c r="D171">
        <v>54.499000000000002</v>
      </c>
      <c r="E171" t="s">
        <v>114</v>
      </c>
    </row>
    <row r="172" spans="1:5" x14ac:dyDescent="0.25">
      <c r="A172" s="84">
        <v>45813</v>
      </c>
      <c r="B172">
        <v>510892.86099999998</v>
      </c>
      <c r="C172">
        <v>4786830.585</v>
      </c>
      <c r="D172">
        <v>55.081000000000003</v>
      </c>
      <c r="E172" t="s">
        <v>93</v>
      </c>
    </row>
    <row r="173" spans="1:5" x14ac:dyDescent="0.25">
      <c r="A173" s="84">
        <v>45813</v>
      </c>
      <c r="B173">
        <v>510903.79599999997</v>
      </c>
      <c r="C173">
        <v>4786831.3059999999</v>
      </c>
      <c r="D173">
        <v>53.1</v>
      </c>
      <c r="E173" t="s">
        <v>115</v>
      </c>
    </row>
    <row r="174" spans="1:5" x14ac:dyDescent="0.25">
      <c r="A174" s="84">
        <v>45813</v>
      </c>
      <c r="B174">
        <v>510927.29100000003</v>
      </c>
      <c r="C174">
        <v>4786824.8</v>
      </c>
      <c r="D174">
        <v>53.063000000000002</v>
      </c>
      <c r="E174" t="s">
        <v>116</v>
      </c>
    </row>
    <row r="175" spans="1:5" x14ac:dyDescent="0.25">
      <c r="A175" s="84">
        <v>45813</v>
      </c>
      <c r="B175">
        <v>510899.70199999999</v>
      </c>
      <c r="C175">
        <v>4786831.8190000001</v>
      </c>
      <c r="D175">
        <v>57.088000000000001</v>
      </c>
      <c r="E175" t="s">
        <v>117</v>
      </c>
    </row>
    <row r="176" spans="1:5" x14ac:dyDescent="0.25">
      <c r="A176" s="84">
        <v>45813</v>
      </c>
      <c r="B176">
        <v>510910.788</v>
      </c>
      <c r="C176">
        <v>4786832.182</v>
      </c>
      <c r="D176">
        <v>55.076999999999998</v>
      </c>
      <c r="E176" t="s">
        <v>118</v>
      </c>
    </row>
    <row r="177" spans="1:5" x14ac:dyDescent="0.25">
      <c r="A177" s="84">
        <v>45813</v>
      </c>
      <c r="B177">
        <v>510917.65</v>
      </c>
      <c r="C177">
        <v>4786833</v>
      </c>
      <c r="D177">
        <v>57.015999999999998</v>
      </c>
      <c r="E177" t="s">
        <v>119</v>
      </c>
    </row>
    <row r="178" spans="1:5" x14ac:dyDescent="0.25">
      <c r="A178" s="84">
        <v>45813</v>
      </c>
      <c r="B178">
        <v>510923.92099999997</v>
      </c>
      <c r="C178">
        <v>4786829.1969999997</v>
      </c>
      <c r="D178">
        <v>57.027999999999999</v>
      </c>
      <c r="E178" t="s">
        <v>120</v>
      </c>
    </row>
    <row r="179" spans="1:5" x14ac:dyDescent="0.25">
      <c r="A179" s="84">
        <v>45813</v>
      </c>
      <c r="B179">
        <v>510906.625</v>
      </c>
      <c r="C179">
        <v>4786833.0149999997</v>
      </c>
      <c r="D179">
        <v>58.598999999999997</v>
      </c>
      <c r="E179" t="s">
        <v>121</v>
      </c>
    </row>
    <row r="180" spans="1:5" x14ac:dyDescent="0.25">
      <c r="A180" s="84">
        <v>45810</v>
      </c>
      <c r="B180">
        <v>510882.65500000003</v>
      </c>
      <c r="C180">
        <v>4786829.9249999998</v>
      </c>
      <c r="D180">
        <v>54.5</v>
      </c>
      <c r="E180" t="s">
        <v>114</v>
      </c>
    </row>
    <row r="181" spans="1:5" x14ac:dyDescent="0.25">
      <c r="A181" s="84">
        <v>45810</v>
      </c>
      <c r="B181">
        <v>510892.86099999998</v>
      </c>
      <c r="C181">
        <v>4786830.585</v>
      </c>
      <c r="D181">
        <v>55.081000000000003</v>
      </c>
      <c r="E181" t="s">
        <v>93</v>
      </c>
    </row>
    <row r="182" spans="1:5" x14ac:dyDescent="0.25">
      <c r="A182" s="84">
        <v>45810</v>
      </c>
      <c r="B182">
        <v>510903.79599999997</v>
      </c>
      <c r="C182">
        <v>4786831.3059999999</v>
      </c>
      <c r="D182">
        <v>53.100999999999999</v>
      </c>
      <c r="E182" t="s">
        <v>115</v>
      </c>
    </row>
    <row r="183" spans="1:5" x14ac:dyDescent="0.25">
      <c r="A183" s="84">
        <v>45810</v>
      </c>
      <c r="B183">
        <v>510927.29200000002</v>
      </c>
      <c r="C183">
        <v>4786824.8</v>
      </c>
      <c r="D183">
        <v>53.064999999999998</v>
      </c>
      <c r="E183" t="s">
        <v>116</v>
      </c>
    </row>
    <row r="184" spans="1:5" x14ac:dyDescent="0.25">
      <c r="A184" s="84">
        <v>45810</v>
      </c>
      <c r="B184">
        <v>510899.70199999999</v>
      </c>
      <c r="C184">
        <v>4786831.818</v>
      </c>
      <c r="D184">
        <v>57.088000000000001</v>
      </c>
      <c r="E184" t="s">
        <v>117</v>
      </c>
    </row>
    <row r="185" spans="1:5" x14ac:dyDescent="0.25">
      <c r="A185" s="84">
        <v>45810</v>
      </c>
      <c r="B185">
        <v>510910.788</v>
      </c>
      <c r="C185">
        <v>4786832.182</v>
      </c>
      <c r="D185">
        <v>55.076999999999998</v>
      </c>
      <c r="E185" t="s">
        <v>118</v>
      </c>
    </row>
    <row r="186" spans="1:5" x14ac:dyDescent="0.25">
      <c r="A186" s="84">
        <v>45810</v>
      </c>
      <c r="B186">
        <v>510917.65</v>
      </c>
      <c r="C186">
        <v>4786833.0010000002</v>
      </c>
      <c r="D186">
        <v>57.015000000000001</v>
      </c>
      <c r="E186" t="s">
        <v>119</v>
      </c>
    </row>
    <row r="187" spans="1:5" x14ac:dyDescent="0.25">
      <c r="A187" s="84">
        <v>45810</v>
      </c>
      <c r="B187">
        <v>510923.92099999997</v>
      </c>
      <c r="C187">
        <v>4786829.1969999997</v>
      </c>
      <c r="D187">
        <v>57.027999999999999</v>
      </c>
      <c r="E187" t="s">
        <v>120</v>
      </c>
    </row>
    <row r="188" spans="1:5" x14ac:dyDescent="0.25">
      <c r="A188" s="84">
        <v>45810</v>
      </c>
      <c r="B188">
        <v>510906.625</v>
      </c>
      <c r="C188">
        <v>4786833.0149999997</v>
      </c>
      <c r="D188">
        <v>58.598999999999997</v>
      </c>
      <c r="E188" t="s">
        <v>121</v>
      </c>
    </row>
    <row r="189" spans="1:5" x14ac:dyDescent="0.25">
      <c r="A189" s="84">
        <v>45806</v>
      </c>
      <c r="B189">
        <v>510882.65600000002</v>
      </c>
      <c r="C189">
        <v>4786829.9249999998</v>
      </c>
      <c r="D189">
        <v>54.499000000000002</v>
      </c>
      <c r="E189" t="s">
        <v>114</v>
      </c>
    </row>
    <row r="190" spans="1:5" x14ac:dyDescent="0.25">
      <c r="A190" s="84">
        <v>45806</v>
      </c>
      <c r="B190">
        <v>510892.86099999998</v>
      </c>
      <c r="C190">
        <v>4786830.5839999998</v>
      </c>
      <c r="D190">
        <v>55.081000000000003</v>
      </c>
      <c r="E190" t="s">
        <v>93</v>
      </c>
    </row>
    <row r="191" spans="1:5" x14ac:dyDescent="0.25">
      <c r="A191" s="84">
        <v>45806</v>
      </c>
      <c r="B191">
        <v>510903.79599999997</v>
      </c>
      <c r="C191">
        <v>4786831.3049999997</v>
      </c>
      <c r="D191">
        <v>53.100999999999999</v>
      </c>
      <c r="E191" t="s">
        <v>115</v>
      </c>
    </row>
    <row r="192" spans="1:5" x14ac:dyDescent="0.25">
      <c r="A192" s="84">
        <v>45806</v>
      </c>
      <c r="B192">
        <v>510927.29100000003</v>
      </c>
      <c r="C192">
        <v>4786824.8</v>
      </c>
      <c r="D192">
        <v>53.064999999999998</v>
      </c>
      <c r="E192" t="s">
        <v>116</v>
      </c>
    </row>
    <row r="193" spans="1:5" x14ac:dyDescent="0.25">
      <c r="A193" s="84">
        <v>45806</v>
      </c>
      <c r="B193">
        <v>510899.70199999999</v>
      </c>
      <c r="C193">
        <v>4786831.818</v>
      </c>
      <c r="D193">
        <v>57.088000000000001</v>
      </c>
      <c r="E193" t="s">
        <v>117</v>
      </c>
    </row>
    <row r="194" spans="1:5" x14ac:dyDescent="0.25">
      <c r="A194" s="84">
        <v>45806</v>
      </c>
      <c r="B194">
        <v>510910.788</v>
      </c>
      <c r="C194">
        <v>4786832.182</v>
      </c>
      <c r="D194">
        <v>55.076999999999998</v>
      </c>
      <c r="E194" t="s">
        <v>118</v>
      </c>
    </row>
    <row r="195" spans="1:5" x14ac:dyDescent="0.25">
      <c r="A195" s="84">
        <v>45806</v>
      </c>
      <c r="B195">
        <v>510917.65</v>
      </c>
      <c r="C195">
        <v>4786833</v>
      </c>
      <c r="D195">
        <v>57.015999999999998</v>
      </c>
      <c r="E195" t="s">
        <v>119</v>
      </c>
    </row>
    <row r="196" spans="1:5" x14ac:dyDescent="0.25">
      <c r="A196" s="84">
        <v>45806</v>
      </c>
      <c r="B196">
        <v>510923.92099999997</v>
      </c>
      <c r="C196">
        <v>4786829.1979999999</v>
      </c>
      <c r="D196">
        <v>57.027999999999999</v>
      </c>
      <c r="E196" t="s">
        <v>120</v>
      </c>
    </row>
    <row r="197" spans="1:5" x14ac:dyDescent="0.25">
      <c r="A197" s="84">
        <v>45806</v>
      </c>
      <c r="B197">
        <v>510906.625</v>
      </c>
      <c r="C197">
        <v>4786833.0149999997</v>
      </c>
      <c r="D197">
        <v>58.598999999999997</v>
      </c>
      <c r="E197" t="s">
        <v>121</v>
      </c>
    </row>
    <row r="198" spans="1:5" x14ac:dyDescent="0.25">
      <c r="A198" s="84">
        <v>45804</v>
      </c>
      <c r="B198">
        <v>510882.65500000003</v>
      </c>
      <c r="C198">
        <v>4786829.9249999998</v>
      </c>
      <c r="D198">
        <v>54.499000000000002</v>
      </c>
      <c r="E198" t="s">
        <v>114</v>
      </c>
    </row>
    <row r="199" spans="1:5" x14ac:dyDescent="0.25">
      <c r="A199" s="84">
        <v>45804</v>
      </c>
      <c r="B199">
        <v>510892.86099999998</v>
      </c>
      <c r="C199">
        <v>4786830.585</v>
      </c>
      <c r="D199">
        <v>55.081000000000003</v>
      </c>
      <c r="E199" t="s">
        <v>93</v>
      </c>
    </row>
    <row r="200" spans="1:5" x14ac:dyDescent="0.25">
      <c r="A200" s="84">
        <v>45804</v>
      </c>
      <c r="B200">
        <v>510903.79599999997</v>
      </c>
      <c r="C200">
        <v>4786831.3059999999</v>
      </c>
      <c r="D200">
        <v>53.100999999999999</v>
      </c>
      <c r="E200" t="s">
        <v>115</v>
      </c>
    </row>
    <row r="201" spans="1:5" x14ac:dyDescent="0.25">
      <c r="A201" s="84">
        <v>45804</v>
      </c>
      <c r="B201">
        <v>510927.29100000003</v>
      </c>
      <c r="C201">
        <v>4786824.8</v>
      </c>
      <c r="D201">
        <v>53.064999999999998</v>
      </c>
      <c r="E201" t="s">
        <v>116</v>
      </c>
    </row>
    <row r="202" spans="1:5" x14ac:dyDescent="0.25">
      <c r="A202" s="84">
        <v>45804</v>
      </c>
      <c r="B202">
        <v>510899.70199999999</v>
      </c>
      <c r="C202">
        <v>4786831.818</v>
      </c>
      <c r="D202">
        <v>57.088000000000001</v>
      </c>
      <c r="E202" t="s">
        <v>117</v>
      </c>
    </row>
    <row r="203" spans="1:5" x14ac:dyDescent="0.25">
      <c r="A203" s="84">
        <v>45804</v>
      </c>
      <c r="B203">
        <v>510910.78899999999</v>
      </c>
      <c r="C203">
        <v>4786832.182</v>
      </c>
      <c r="D203">
        <v>55.076999999999998</v>
      </c>
      <c r="E203" t="s">
        <v>118</v>
      </c>
    </row>
    <row r="204" spans="1:5" x14ac:dyDescent="0.25">
      <c r="A204" s="84">
        <v>45804</v>
      </c>
      <c r="B204">
        <v>510917.65</v>
      </c>
      <c r="C204">
        <v>4786833</v>
      </c>
      <c r="D204">
        <v>57.015999999999998</v>
      </c>
      <c r="E204" t="s">
        <v>119</v>
      </c>
    </row>
    <row r="205" spans="1:5" x14ac:dyDescent="0.25">
      <c r="A205" s="84">
        <v>45804</v>
      </c>
      <c r="B205">
        <v>510923.92200000002</v>
      </c>
      <c r="C205">
        <v>4786829.1969999997</v>
      </c>
      <c r="D205">
        <v>57.029000000000003</v>
      </c>
      <c r="E205" t="s">
        <v>120</v>
      </c>
    </row>
    <row r="206" spans="1:5" x14ac:dyDescent="0.25">
      <c r="A206" s="84">
        <v>45804</v>
      </c>
      <c r="B206">
        <v>510906.625</v>
      </c>
      <c r="C206">
        <v>4786833.0149999997</v>
      </c>
      <c r="D206">
        <v>58.598999999999997</v>
      </c>
      <c r="E206" t="s">
        <v>121</v>
      </c>
    </row>
    <row r="207" spans="1:5" x14ac:dyDescent="0.25">
      <c r="A207" s="84">
        <v>45799</v>
      </c>
      <c r="B207">
        <v>510892.86099999998</v>
      </c>
      <c r="C207">
        <v>4786830.585</v>
      </c>
      <c r="D207">
        <v>55.082000000000001</v>
      </c>
      <c r="E207" t="s">
        <v>93</v>
      </c>
    </row>
    <row r="208" spans="1:5" x14ac:dyDescent="0.25">
      <c r="A208" s="84">
        <v>45799</v>
      </c>
      <c r="B208">
        <v>510903.79599999997</v>
      </c>
      <c r="C208">
        <v>4786831.3049999997</v>
      </c>
      <c r="D208">
        <v>53.101999999999997</v>
      </c>
      <c r="E208" t="s">
        <v>115</v>
      </c>
    </row>
    <row r="209" spans="1:5" x14ac:dyDescent="0.25">
      <c r="A209" s="84">
        <v>45799</v>
      </c>
      <c r="B209">
        <v>510927.29100000003</v>
      </c>
      <c r="C209">
        <v>4786824.8</v>
      </c>
      <c r="D209">
        <v>53.064999999999998</v>
      </c>
      <c r="E209" t="s">
        <v>116</v>
      </c>
    </row>
    <row r="210" spans="1:5" x14ac:dyDescent="0.25">
      <c r="A210" s="84">
        <v>45799</v>
      </c>
      <c r="B210">
        <v>510899.70199999999</v>
      </c>
      <c r="C210">
        <v>4786831.8190000001</v>
      </c>
      <c r="D210">
        <v>57.088999999999999</v>
      </c>
      <c r="E210" t="s">
        <v>117</v>
      </c>
    </row>
    <row r="211" spans="1:5" x14ac:dyDescent="0.25">
      <c r="A211" s="84">
        <v>45799</v>
      </c>
      <c r="B211">
        <v>510910.78899999999</v>
      </c>
      <c r="C211">
        <v>4786832.182</v>
      </c>
      <c r="D211">
        <v>55.078000000000003</v>
      </c>
      <c r="E211" t="s">
        <v>118</v>
      </c>
    </row>
    <row r="212" spans="1:5" x14ac:dyDescent="0.25">
      <c r="A212" s="84">
        <v>45799</v>
      </c>
      <c r="B212">
        <v>510917.65</v>
      </c>
      <c r="C212">
        <v>4786833</v>
      </c>
      <c r="D212">
        <v>57.017000000000003</v>
      </c>
      <c r="E212" t="s">
        <v>119</v>
      </c>
    </row>
    <row r="213" spans="1:5" x14ac:dyDescent="0.25">
      <c r="A213" s="84">
        <v>45799</v>
      </c>
      <c r="B213">
        <v>510923.92099999997</v>
      </c>
      <c r="C213">
        <v>4786829.1969999997</v>
      </c>
      <c r="D213">
        <v>57.029000000000003</v>
      </c>
      <c r="E213" t="s">
        <v>120</v>
      </c>
    </row>
    <row r="214" spans="1:5" x14ac:dyDescent="0.25">
      <c r="A214" s="84">
        <v>45799</v>
      </c>
      <c r="B214">
        <v>510906.625</v>
      </c>
      <c r="C214">
        <v>4786833.0149999997</v>
      </c>
      <c r="D214">
        <v>58.6</v>
      </c>
      <c r="E214" t="s">
        <v>121</v>
      </c>
    </row>
    <row r="215" spans="1:5" x14ac:dyDescent="0.25">
      <c r="A215" s="84">
        <v>45796</v>
      </c>
      <c r="B215">
        <v>510882.65600000002</v>
      </c>
      <c r="C215">
        <v>4786829.9249999998</v>
      </c>
      <c r="D215">
        <v>54.500999999999998</v>
      </c>
      <c r="E215" t="s">
        <v>114</v>
      </c>
    </row>
    <row r="216" spans="1:5" x14ac:dyDescent="0.25">
      <c r="A216" s="84">
        <v>45796</v>
      </c>
      <c r="B216">
        <v>510892.86099999998</v>
      </c>
      <c r="C216">
        <v>4786830.585</v>
      </c>
      <c r="D216">
        <v>55.082000000000001</v>
      </c>
      <c r="E216" t="s">
        <v>93</v>
      </c>
    </row>
    <row r="217" spans="1:5" x14ac:dyDescent="0.25">
      <c r="A217" s="84">
        <v>45796</v>
      </c>
      <c r="B217">
        <v>510903.79599999997</v>
      </c>
      <c r="C217">
        <v>4786831.3049999997</v>
      </c>
      <c r="D217">
        <v>53.100999999999999</v>
      </c>
      <c r="E217" t="s">
        <v>115</v>
      </c>
    </row>
    <row r="218" spans="1:5" x14ac:dyDescent="0.25">
      <c r="A218" s="84">
        <v>45796</v>
      </c>
      <c r="B218">
        <v>510927.29200000002</v>
      </c>
      <c r="C218">
        <v>4786824.8</v>
      </c>
      <c r="D218">
        <v>53.064999999999998</v>
      </c>
      <c r="E218" t="s">
        <v>116</v>
      </c>
    </row>
    <row r="219" spans="1:5" x14ac:dyDescent="0.25">
      <c r="A219" s="84">
        <v>45796</v>
      </c>
      <c r="B219">
        <v>510899.70199999999</v>
      </c>
      <c r="C219">
        <v>4786831.818</v>
      </c>
      <c r="D219">
        <v>57.088999999999999</v>
      </c>
      <c r="E219" t="s">
        <v>117</v>
      </c>
    </row>
    <row r="220" spans="1:5" x14ac:dyDescent="0.25">
      <c r="A220" s="84">
        <v>45796</v>
      </c>
      <c r="B220">
        <v>510910.78899999999</v>
      </c>
      <c r="C220">
        <v>4786832.182</v>
      </c>
      <c r="D220">
        <v>55.078000000000003</v>
      </c>
      <c r="E220" t="s">
        <v>118</v>
      </c>
    </row>
    <row r="221" spans="1:5" x14ac:dyDescent="0.25">
      <c r="A221" s="84">
        <v>45796</v>
      </c>
      <c r="B221">
        <v>510917.65</v>
      </c>
      <c r="C221">
        <v>4786833</v>
      </c>
      <c r="D221">
        <v>57.015999999999998</v>
      </c>
      <c r="E221" t="s">
        <v>119</v>
      </c>
    </row>
    <row r="222" spans="1:5" x14ac:dyDescent="0.25">
      <c r="A222" s="84">
        <v>45796</v>
      </c>
      <c r="B222">
        <v>510923.92200000002</v>
      </c>
      <c r="C222">
        <v>4786829.1979999999</v>
      </c>
      <c r="D222">
        <v>57.029000000000003</v>
      </c>
      <c r="E222" t="s">
        <v>120</v>
      </c>
    </row>
    <row r="223" spans="1:5" x14ac:dyDescent="0.25">
      <c r="A223" s="84">
        <v>45796</v>
      </c>
      <c r="B223">
        <v>510906.625</v>
      </c>
      <c r="C223">
        <v>4786833.0149999997</v>
      </c>
      <c r="D223">
        <v>58.6</v>
      </c>
      <c r="E223" t="s">
        <v>121</v>
      </c>
    </row>
    <row r="224" spans="1:5" x14ac:dyDescent="0.25">
      <c r="A224" s="84">
        <v>45792</v>
      </c>
      <c r="B224">
        <v>510882.65500000003</v>
      </c>
      <c r="C224">
        <v>4786829.9249999998</v>
      </c>
      <c r="D224">
        <v>54.500999999999998</v>
      </c>
      <c r="E224" t="s">
        <v>114</v>
      </c>
    </row>
    <row r="225" spans="1:5" x14ac:dyDescent="0.25">
      <c r="A225" s="84">
        <v>45792</v>
      </c>
      <c r="B225">
        <v>510892.86099999998</v>
      </c>
      <c r="C225">
        <v>4786830.585</v>
      </c>
      <c r="D225">
        <v>55.081000000000003</v>
      </c>
      <c r="E225" t="s">
        <v>93</v>
      </c>
    </row>
    <row r="226" spans="1:5" x14ac:dyDescent="0.25">
      <c r="A226" s="84">
        <v>45792</v>
      </c>
      <c r="B226">
        <v>510903.79599999997</v>
      </c>
      <c r="C226">
        <v>4786831.3059999999</v>
      </c>
      <c r="D226">
        <v>53.101999999999997</v>
      </c>
      <c r="E226" t="s">
        <v>115</v>
      </c>
    </row>
    <row r="227" spans="1:5" x14ac:dyDescent="0.25">
      <c r="A227" s="84">
        <v>45792</v>
      </c>
      <c r="B227">
        <v>510927.29399999999</v>
      </c>
      <c r="C227">
        <v>4786824.7980000004</v>
      </c>
      <c r="D227">
        <v>53.064999999999998</v>
      </c>
      <c r="E227" t="s">
        <v>116</v>
      </c>
    </row>
    <row r="228" spans="1:5" x14ac:dyDescent="0.25">
      <c r="A228" s="84">
        <v>45792</v>
      </c>
      <c r="B228">
        <v>510899.70199999999</v>
      </c>
      <c r="C228">
        <v>4786831.818</v>
      </c>
      <c r="D228">
        <v>57.088999999999999</v>
      </c>
      <c r="E228" t="s">
        <v>117</v>
      </c>
    </row>
    <row r="229" spans="1:5" x14ac:dyDescent="0.25">
      <c r="A229" s="84">
        <v>45792</v>
      </c>
      <c r="B229">
        <v>510910.788</v>
      </c>
      <c r="C229">
        <v>4786832.182</v>
      </c>
      <c r="D229">
        <v>55.078000000000003</v>
      </c>
      <c r="E229" t="s">
        <v>118</v>
      </c>
    </row>
    <row r="230" spans="1:5" x14ac:dyDescent="0.25">
      <c r="A230" s="84">
        <v>45792</v>
      </c>
      <c r="B230">
        <v>510917.65</v>
      </c>
      <c r="C230">
        <v>4786833</v>
      </c>
      <c r="D230">
        <v>57.017000000000003</v>
      </c>
      <c r="E230" t="s">
        <v>119</v>
      </c>
    </row>
    <row r="231" spans="1:5" x14ac:dyDescent="0.25">
      <c r="A231" s="84">
        <v>45792</v>
      </c>
      <c r="B231">
        <v>510923.92099999997</v>
      </c>
      <c r="C231">
        <v>4786829.1969999997</v>
      </c>
      <c r="D231">
        <v>57.029000000000003</v>
      </c>
      <c r="E231" t="s">
        <v>120</v>
      </c>
    </row>
    <row r="232" spans="1:5" x14ac:dyDescent="0.25">
      <c r="A232" s="84">
        <v>45792</v>
      </c>
      <c r="B232">
        <v>510906.625</v>
      </c>
      <c r="C232">
        <v>4786833.0149999997</v>
      </c>
      <c r="D232">
        <v>58.6</v>
      </c>
      <c r="E232" t="s">
        <v>121</v>
      </c>
    </row>
    <row r="233" spans="1:5" x14ac:dyDescent="0.25">
      <c r="A233" s="84">
        <v>45789</v>
      </c>
      <c r="B233">
        <v>510882.65600000002</v>
      </c>
      <c r="C233">
        <v>4786829.9249999998</v>
      </c>
      <c r="D233">
        <v>54.497999999999998</v>
      </c>
      <c r="E233" t="s">
        <v>114</v>
      </c>
    </row>
    <row r="234" spans="1:5" x14ac:dyDescent="0.25">
      <c r="A234" s="84">
        <v>45789</v>
      </c>
      <c r="B234">
        <v>510892.86099999998</v>
      </c>
      <c r="C234">
        <v>4786830.5839999998</v>
      </c>
      <c r="D234">
        <v>55.08</v>
      </c>
      <c r="E234" t="s">
        <v>93</v>
      </c>
    </row>
    <row r="235" spans="1:5" x14ac:dyDescent="0.25">
      <c r="A235" s="84">
        <v>45789</v>
      </c>
      <c r="B235">
        <v>510903.79599999997</v>
      </c>
      <c r="C235">
        <v>4786831.3049999997</v>
      </c>
      <c r="D235">
        <v>53.1</v>
      </c>
      <c r="E235" t="s">
        <v>115</v>
      </c>
    </row>
    <row r="236" spans="1:5" x14ac:dyDescent="0.25">
      <c r="A236" s="84">
        <v>45789</v>
      </c>
      <c r="B236">
        <v>510927.29399999999</v>
      </c>
      <c r="C236">
        <v>4786824.7980000004</v>
      </c>
      <c r="D236">
        <v>53.064999999999998</v>
      </c>
      <c r="E236" t="s">
        <v>116</v>
      </c>
    </row>
    <row r="237" spans="1:5" x14ac:dyDescent="0.25">
      <c r="A237" s="84">
        <v>45789</v>
      </c>
      <c r="B237">
        <v>510899.70199999999</v>
      </c>
      <c r="C237">
        <v>4786831.818</v>
      </c>
      <c r="D237">
        <v>57.088000000000001</v>
      </c>
      <c r="E237" t="s">
        <v>117</v>
      </c>
    </row>
    <row r="238" spans="1:5" x14ac:dyDescent="0.25">
      <c r="A238" s="84">
        <v>45789</v>
      </c>
      <c r="B238">
        <v>510910.78899999999</v>
      </c>
      <c r="C238">
        <v>4786832.182</v>
      </c>
      <c r="D238">
        <v>55.076999999999998</v>
      </c>
      <c r="E238" t="s">
        <v>118</v>
      </c>
    </row>
    <row r="239" spans="1:5" x14ac:dyDescent="0.25">
      <c r="A239" s="84">
        <v>45789</v>
      </c>
      <c r="B239">
        <v>510917.65</v>
      </c>
      <c r="C239">
        <v>4786833</v>
      </c>
      <c r="D239">
        <v>57.015999999999998</v>
      </c>
      <c r="E239" t="s">
        <v>119</v>
      </c>
    </row>
    <row r="240" spans="1:5" x14ac:dyDescent="0.25">
      <c r="A240" s="84">
        <v>45789</v>
      </c>
      <c r="B240">
        <v>510923.92099999997</v>
      </c>
      <c r="C240">
        <v>4786829.1979999999</v>
      </c>
      <c r="D240">
        <v>57.027000000000001</v>
      </c>
      <c r="E240" t="s">
        <v>120</v>
      </c>
    </row>
    <row r="241" spans="1:5" x14ac:dyDescent="0.25">
      <c r="A241" s="84">
        <v>45789</v>
      </c>
      <c r="B241">
        <v>510906.625</v>
      </c>
      <c r="C241">
        <v>4786833.0140000004</v>
      </c>
      <c r="D241">
        <v>58.597999999999999</v>
      </c>
      <c r="E241" t="s">
        <v>121</v>
      </c>
    </row>
    <row r="242" spans="1:5" x14ac:dyDescent="0.25">
      <c r="A242" s="84">
        <v>45785</v>
      </c>
      <c r="B242">
        <v>510882.65500000003</v>
      </c>
      <c r="C242">
        <v>4786829.9270000001</v>
      </c>
      <c r="D242">
        <v>54.5</v>
      </c>
      <c r="E242" t="s">
        <v>114</v>
      </c>
    </row>
    <row r="243" spans="1:5" x14ac:dyDescent="0.25">
      <c r="A243" s="84">
        <v>45785</v>
      </c>
      <c r="B243">
        <v>510892.86200000002</v>
      </c>
      <c r="C243">
        <v>4786830.5860000001</v>
      </c>
      <c r="D243">
        <v>55.081000000000003</v>
      </c>
      <c r="E243" t="s">
        <v>93</v>
      </c>
    </row>
    <row r="244" spans="1:5" x14ac:dyDescent="0.25">
      <c r="A244" s="84">
        <v>45785</v>
      </c>
      <c r="B244">
        <v>510903.79800000001</v>
      </c>
      <c r="C244">
        <v>4786831.307</v>
      </c>
      <c r="D244">
        <v>53.100999999999999</v>
      </c>
      <c r="E244" t="s">
        <v>115</v>
      </c>
    </row>
    <row r="245" spans="1:5" x14ac:dyDescent="0.25">
      <c r="A245" s="84">
        <v>45785</v>
      </c>
      <c r="B245">
        <v>510927.29300000001</v>
      </c>
      <c r="C245">
        <v>4786824.7989999996</v>
      </c>
      <c r="D245">
        <v>53.066000000000003</v>
      </c>
      <c r="E245" t="s">
        <v>116</v>
      </c>
    </row>
    <row r="246" spans="1:5" x14ac:dyDescent="0.25">
      <c r="A246" s="84">
        <v>45785</v>
      </c>
      <c r="B246">
        <v>510899.70299999998</v>
      </c>
      <c r="C246">
        <v>4786831.82</v>
      </c>
      <c r="D246">
        <v>57.088999999999999</v>
      </c>
      <c r="E246" t="s">
        <v>117</v>
      </c>
    </row>
    <row r="247" spans="1:5" x14ac:dyDescent="0.25">
      <c r="A247" s="84">
        <v>45785</v>
      </c>
      <c r="B247">
        <v>510910.79100000003</v>
      </c>
      <c r="C247">
        <v>4786832.1830000002</v>
      </c>
      <c r="D247">
        <v>55.076999999999998</v>
      </c>
      <c r="E247" t="s">
        <v>118</v>
      </c>
    </row>
    <row r="248" spans="1:5" x14ac:dyDescent="0.25">
      <c r="A248" s="84">
        <v>45785</v>
      </c>
      <c r="B248">
        <v>510917.65299999999</v>
      </c>
      <c r="C248">
        <v>4786833</v>
      </c>
      <c r="D248">
        <v>57.015999999999998</v>
      </c>
      <c r="E248" t="s">
        <v>119</v>
      </c>
    </row>
    <row r="249" spans="1:5" x14ac:dyDescent="0.25">
      <c r="A249" s="84">
        <v>45785</v>
      </c>
      <c r="B249">
        <v>510923.924</v>
      </c>
      <c r="C249">
        <v>4786829.1969999997</v>
      </c>
      <c r="D249">
        <v>57.027999999999999</v>
      </c>
      <c r="E249" t="s">
        <v>120</v>
      </c>
    </row>
    <row r="250" spans="1:5" x14ac:dyDescent="0.25">
      <c r="A250" s="84">
        <v>45785</v>
      </c>
      <c r="B250">
        <v>510906.62699999998</v>
      </c>
      <c r="C250">
        <v>4786833.0159999998</v>
      </c>
      <c r="D250">
        <v>58.6</v>
      </c>
      <c r="E250" t="s">
        <v>121</v>
      </c>
    </row>
    <row r="251" spans="1:5" x14ac:dyDescent="0.25">
      <c r="A251" s="84">
        <v>45782</v>
      </c>
      <c r="B251">
        <v>510882.65500000003</v>
      </c>
      <c r="C251">
        <v>4786829.9270000001</v>
      </c>
      <c r="D251">
        <v>54.500999999999998</v>
      </c>
      <c r="E251" t="s">
        <v>114</v>
      </c>
    </row>
    <row r="252" spans="1:5" x14ac:dyDescent="0.25">
      <c r="A252" s="84">
        <v>45782</v>
      </c>
      <c r="B252">
        <v>510892.86200000002</v>
      </c>
      <c r="C252">
        <v>4786830.5860000001</v>
      </c>
      <c r="D252">
        <v>55.082000000000001</v>
      </c>
      <c r="E252" t="s">
        <v>93</v>
      </c>
    </row>
    <row r="253" spans="1:5" x14ac:dyDescent="0.25">
      <c r="A253" s="84">
        <v>45782</v>
      </c>
      <c r="B253">
        <v>510903.79800000001</v>
      </c>
      <c r="C253">
        <v>4786831.3080000002</v>
      </c>
      <c r="D253">
        <v>53.101999999999997</v>
      </c>
      <c r="E253" t="s">
        <v>115</v>
      </c>
    </row>
    <row r="254" spans="1:5" x14ac:dyDescent="0.25">
      <c r="A254" s="84">
        <v>45782</v>
      </c>
      <c r="B254">
        <v>510927.29300000001</v>
      </c>
      <c r="C254">
        <v>4786824.8</v>
      </c>
      <c r="D254">
        <v>53.063000000000002</v>
      </c>
      <c r="E254" t="s">
        <v>116</v>
      </c>
    </row>
    <row r="255" spans="1:5" x14ac:dyDescent="0.25">
      <c r="A255" s="84">
        <v>45782</v>
      </c>
      <c r="B255">
        <v>510899.70299999998</v>
      </c>
      <c r="C255">
        <v>4786831.8190000001</v>
      </c>
      <c r="D255">
        <v>57.088999999999999</v>
      </c>
      <c r="E255" t="s">
        <v>117</v>
      </c>
    </row>
    <row r="256" spans="1:5" x14ac:dyDescent="0.25">
      <c r="A256" s="84">
        <v>45782</v>
      </c>
      <c r="B256">
        <v>510910.79</v>
      </c>
      <c r="C256">
        <v>4786832.182</v>
      </c>
      <c r="D256">
        <v>55.078000000000003</v>
      </c>
      <c r="E256" t="s">
        <v>118</v>
      </c>
    </row>
    <row r="257" spans="1:5" x14ac:dyDescent="0.25">
      <c r="A257" s="84">
        <v>45782</v>
      </c>
      <c r="B257">
        <v>510917.65299999999</v>
      </c>
      <c r="C257">
        <v>4786833</v>
      </c>
      <c r="D257">
        <v>57.017000000000003</v>
      </c>
      <c r="E257" t="s">
        <v>119</v>
      </c>
    </row>
    <row r="258" spans="1:5" x14ac:dyDescent="0.25">
      <c r="A258" s="84">
        <v>45782</v>
      </c>
      <c r="B258">
        <v>510923.924</v>
      </c>
      <c r="C258">
        <v>4786829.1969999997</v>
      </c>
      <c r="D258">
        <v>57.029000000000003</v>
      </c>
      <c r="E258" t="s">
        <v>120</v>
      </c>
    </row>
    <row r="259" spans="1:5" x14ac:dyDescent="0.25">
      <c r="A259" s="84">
        <v>45782</v>
      </c>
      <c r="B259">
        <v>510906.62699999998</v>
      </c>
      <c r="C259">
        <v>4786833.0149999997</v>
      </c>
      <c r="D259">
        <v>58.6</v>
      </c>
      <c r="E259" t="s">
        <v>121</v>
      </c>
    </row>
    <row r="260" spans="1:5" x14ac:dyDescent="0.25">
      <c r="A260" s="84">
        <v>45776</v>
      </c>
      <c r="B260">
        <v>510882.65500000003</v>
      </c>
      <c r="C260">
        <v>4786829.926</v>
      </c>
      <c r="D260">
        <v>54.5</v>
      </c>
      <c r="E260" t="s">
        <v>114</v>
      </c>
    </row>
    <row r="261" spans="1:5" x14ac:dyDescent="0.25">
      <c r="A261" s="84">
        <v>45776</v>
      </c>
      <c r="B261">
        <v>510892.86200000002</v>
      </c>
      <c r="C261">
        <v>4786830.585</v>
      </c>
      <c r="D261">
        <v>55.082000000000001</v>
      </c>
      <c r="E261" t="s">
        <v>93</v>
      </c>
    </row>
    <row r="262" spans="1:5" x14ac:dyDescent="0.25">
      <c r="A262" s="84">
        <v>45776</v>
      </c>
      <c r="B262">
        <v>510903.79700000002</v>
      </c>
      <c r="C262">
        <v>4786831.3059999999</v>
      </c>
      <c r="D262">
        <v>53.101999999999997</v>
      </c>
      <c r="E262" t="s">
        <v>115</v>
      </c>
    </row>
    <row r="263" spans="1:5" x14ac:dyDescent="0.25">
      <c r="A263" s="84">
        <v>45776</v>
      </c>
      <c r="B263">
        <v>510927.29499999998</v>
      </c>
      <c r="C263">
        <v>4786824.7980000004</v>
      </c>
      <c r="D263">
        <v>53.064999999999998</v>
      </c>
      <c r="E263" t="s">
        <v>116</v>
      </c>
    </row>
    <row r="264" spans="1:5" x14ac:dyDescent="0.25">
      <c r="A264" s="84">
        <v>45776</v>
      </c>
      <c r="B264">
        <v>510899.70299999998</v>
      </c>
      <c r="C264">
        <v>4786831.8190000001</v>
      </c>
      <c r="D264">
        <v>57.088999999999999</v>
      </c>
      <c r="E264" t="s">
        <v>117</v>
      </c>
    </row>
    <row r="265" spans="1:5" x14ac:dyDescent="0.25">
      <c r="A265" s="84">
        <v>45776</v>
      </c>
      <c r="B265">
        <v>510910.79</v>
      </c>
      <c r="C265">
        <v>4786832.182</v>
      </c>
      <c r="D265">
        <v>55.078000000000003</v>
      </c>
      <c r="E265" t="s">
        <v>118</v>
      </c>
    </row>
    <row r="266" spans="1:5" x14ac:dyDescent="0.25">
      <c r="A266" s="84">
        <v>45776</v>
      </c>
      <c r="B266">
        <v>510917.652</v>
      </c>
      <c r="C266">
        <v>4786833</v>
      </c>
      <c r="D266">
        <v>57.017000000000003</v>
      </c>
      <c r="E266" t="s">
        <v>119</v>
      </c>
    </row>
    <row r="267" spans="1:5" x14ac:dyDescent="0.25">
      <c r="A267" s="84">
        <v>45776</v>
      </c>
      <c r="B267">
        <v>510923.924</v>
      </c>
      <c r="C267">
        <v>4786829.1969999997</v>
      </c>
      <c r="D267">
        <v>57.029000000000003</v>
      </c>
      <c r="E267" t="s">
        <v>120</v>
      </c>
    </row>
    <row r="268" spans="1:5" x14ac:dyDescent="0.25">
      <c r="A268" s="84">
        <v>45776</v>
      </c>
      <c r="B268">
        <v>510906.62699999998</v>
      </c>
      <c r="C268">
        <v>4786833.0159999998</v>
      </c>
      <c r="D268">
        <v>58.6</v>
      </c>
      <c r="E268" t="s">
        <v>121</v>
      </c>
    </row>
    <row r="269" spans="1:5" x14ac:dyDescent="0.25">
      <c r="A269" s="84">
        <v>45771</v>
      </c>
      <c r="B269">
        <v>510882.65500000003</v>
      </c>
      <c r="C269">
        <v>4786829.926</v>
      </c>
      <c r="D269">
        <v>54.499000000000002</v>
      </c>
      <c r="E269" t="s">
        <v>114</v>
      </c>
    </row>
    <row r="270" spans="1:5" x14ac:dyDescent="0.25">
      <c r="A270" s="84">
        <v>45771</v>
      </c>
      <c r="B270">
        <v>510892.86099999998</v>
      </c>
      <c r="C270">
        <v>4786830.5860000001</v>
      </c>
      <c r="D270">
        <v>55.08</v>
      </c>
      <c r="E270" t="s">
        <v>93</v>
      </c>
    </row>
    <row r="271" spans="1:5" x14ac:dyDescent="0.25">
      <c r="A271" s="84">
        <v>45771</v>
      </c>
      <c r="B271">
        <v>510903.79599999997</v>
      </c>
      <c r="C271">
        <v>4786831.3059999999</v>
      </c>
      <c r="D271">
        <v>53.1</v>
      </c>
      <c r="E271" t="s">
        <v>115</v>
      </c>
    </row>
    <row r="272" spans="1:5" x14ac:dyDescent="0.25">
      <c r="A272" s="84">
        <v>45771</v>
      </c>
      <c r="B272">
        <v>510927.29499999998</v>
      </c>
      <c r="C272">
        <v>4786824.7970000003</v>
      </c>
      <c r="D272">
        <v>53.064999999999998</v>
      </c>
      <c r="E272" t="s">
        <v>116</v>
      </c>
    </row>
    <row r="273" spans="1:5" x14ac:dyDescent="0.25">
      <c r="A273" s="84">
        <v>45771</v>
      </c>
      <c r="B273">
        <v>510899.70199999999</v>
      </c>
      <c r="C273">
        <v>4786831.8190000001</v>
      </c>
      <c r="D273">
        <v>57.087000000000003</v>
      </c>
      <c r="E273" t="s">
        <v>117</v>
      </c>
    </row>
    <row r="274" spans="1:5" x14ac:dyDescent="0.25">
      <c r="A274" s="84">
        <v>45771</v>
      </c>
      <c r="B274">
        <v>510910.78899999999</v>
      </c>
      <c r="C274">
        <v>4786832.182</v>
      </c>
      <c r="D274">
        <v>55.076000000000001</v>
      </c>
      <c r="E274" t="s">
        <v>118</v>
      </c>
    </row>
    <row r="275" spans="1:5" x14ac:dyDescent="0.25">
      <c r="A275" s="84">
        <v>45771</v>
      </c>
      <c r="B275">
        <v>510917.65100000001</v>
      </c>
      <c r="C275">
        <v>4786833.0010000002</v>
      </c>
      <c r="D275">
        <v>57.015000000000001</v>
      </c>
      <c r="E275" t="s">
        <v>119</v>
      </c>
    </row>
    <row r="276" spans="1:5" x14ac:dyDescent="0.25">
      <c r="A276" s="84">
        <v>45771</v>
      </c>
      <c r="B276">
        <v>510923.92300000001</v>
      </c>
      <c r="C276">
        <v>4786829.1979999999</v>
      </c>
      <c r="D276">
        <v>57.027000000000001</v>
      </c>
      <c r="E276" t="s">
        <v>120</v>
      </c>
    </row>
    <row r="277" spans="1:5" x14ac:dyDescent="0.25">
      <c r="A277" s="84">
        <v>45771</v>
      </c>
      <c r="B277">
        <v>510906.62599999999</v>
      </c>
      <c r="C277">
        <v>4786833.0159999998</v>
      </c>
      <c r="D277">
        <v>58.597999999999999</v>
      </c>
      <c r="E277" t="s">
        <v>121</v>
      </c>
    </row>
    <row r="278" spans="1:5" x14ac:dyDescent="0.25">
      <c r="A278" s="84">
        <v>45769</v>
      </c>
      <c r="B278">
        <v>510882.65500000003</v>
      </c>
      <c r="C278">
        <v>4786829.9280000003</v>
      </c>
      <c r="D278">
        <v>54.5</v>
      </c>
      <c r="E278" t="s">
        <v>114</v>
      </c>
    </row>
    <row r="279" spans="1:5" x14ac:dyDescent="0.25">
      <c r="A279" s="84">
        <v>45769</v>
      </c>
      <c r="B279">
        <v>510892.86200000002</v>
      </c>
      <c r="C279">
        <v>4786830.5860000001</v>
      </c>
      <c r="D279">
        <v>55.082000000000001</v>
      </c>
      <c r="E279" t="s">
        <v>93</v>
      </c>
    </row>
    <row r="280" spans="1:5" x14ac:dyDescent="0.25">
      <c r="A280" s="84">
        <v>45769</v>
      </c>
      <c r="B280">
        <v>510903.79800000001</v>
      </c>
      <c r="C280">
        <v>4786831.307</v>
      </c>
      <c r="D280">
        <v>53.100999999999999</v>
      </c>
      <c r="E280" t="s">
        <v>115</v>
      </c>
    </row>
    <row r="281" spans="1:5" x14ac:dyDescent="0.25">
      <c r="A281" s="84">
        <v>45769</v>
      </c>
      <c r="B281">
        <v>510927.29499999998</v>
      </c>
      <c r="C281">
        <v>4786824.7980000004</v>
      </c>
      <c r="D281">
        <v>53.064999999999998</v>
      </c>
      <c r="E281" t="s">
        <v>116</v>
      </c>
    </row>
    <row r="282" spans="1:5" x14ac:dyDescent="0.25">
      <c r="A282" s="84">
        <v>45769</v>
      </c>
      <c r="B282">
        <v>510899.70400000003</v>
      </c>
      <c r="C282">
        <v>4786831.8190000001</v>
      </c>
      <c r="D282">
        <v>57.088999999999999</v>
      </c>
      <c r="E282" t="s">
        <v>117</v>
      </c>
    </row>
    <row r="283" spans="1:5" x14ac:dyDescent="0.25">
      <c r="A283" s="84">
        <v>45769</v>
      </c>
      <c r="B283">
        <v>510910.79100000003</v>
      </c>
      <c r="C283">
        <v>4786832.182</v>
      </c>
      <c r="D283">
        <v>55.076999999999998</v>
      </c>
      <c r="E283" t="s">
        <v>118</v>
      </c>
    </row>
    <row r="284" spans="1:5" x14ac:dyDescent="0.25">
      <c r="A284" s="84">
        <v>45769</v>
      </c>
      <c r="B284">
        <v>510917.652</v>
      </c>
      <c r="C284">
        <v>4786832.9989999998</v>
      </c>
      <c r="D284">
        <v>57.015999999999998</v>
      </c>
      <c r="E284" t="s">
        <v>119</v>
      </c>
    </row>
    <row r="285" spans="1:5" x14ac:dyDescent="0.25">
      <c r="A285" s="84">
        <v>45769</v>
      </c>
      <c r="B285">
        <v>510923.92499999999</v>
      </c>
      <c r="C285">
        <v>4786829.1969999997</v>
      </c>
      <c r="D285">
        <v>57.027999999999999</v>
      </c>
      <c r="E285" t="s">
        <v>120</v>
      </c>
    </row>
    <row r="286" spans="1:5" x14ac:dyDescent="0.25">
      <c r="A286" s="84">
        <v>45769</v>
      </c>
      <c r="B286">
        <v>510906.62699999998</v>
      </c>
      <c r="C286">
        <v>4786833.0149999997</v>
      </c>
      <c r="D286">
        <v>58.6</v>
      </c>
      <c r="E286" t="s">
        <v>121</v>
      </c>
    </row>
    <row r="287" spans="1:5" x14ac:dyDescent="0.25">
      <c r="A287" s="84">
        <v>45757</v>
      </c>
      <c r="B287">
        <v>510882.65600000002</v>
      </c>
      <c r="C287">
        <v>4786829.9270000001</v>
      </c>
      <c r="D287">
        <v>54.499000000000002</v>
      </c>
      <c r="E287" t="s">
        <v>114</v>
      </c>
    </row>
    <row r="288" spans="1:5" x14ac:dyDescent="0.25">
      <c r="A288" s="84">
        <v>45757</v>
      </c>
      <c r="B288">
        <v>510918.27399999998</v>
      </c>
      <c r="C288">
        <v>4786831.9239999996</v>
      </c>
      <c r="D288">
        <v>51.073999999999998</v>
      </c>
      <c r="E288" t="s">
        <v>122</v>
      </c>
    </row>
    <row r="289" spans="1:5" x14ac:dyDescent="0.25">
      <c r="A289" s="84">
        <v>45757</v>
      </c>
      <c r="B289">
        <v>510892.86300000001</v>
      </c>
      <c r="C289">
        <v>4786830.5860000001</v>
      </c>
      <c r="D289">
        <v>55.081000000000003</v>
      </c>
      <c r="E289" t="s">
        <v>93</v>
      </c>
    </row>
    <row r="290" spans="1:5" x14ac:dyDescent="0.25">
      <c r="A290" s="84">
        <v>45757</v>
      </c>
      <c r="B290">
        <v>510903.799</v>
      </c>
      <c r="C290">
        <v>4786831.3059999999</v>
      </c>
      <c r="D290">
        <v>53.100999999999999</v>
      </c>
      <c r="E290" t="s">
        <v>115</v>
      </c>
    </row>
    <row r="291" spans="1:5" x14ac:dyDescent="0.25">
      <c r="A291" s="84">
        <v>45757</v>
      </c>
      <c r="B291">
        <v>510927.29499999998</v>
      </c>
      <c r="C291">
        <v>4786824.7980000004</v>
      </c>
      <c r="D291">
        <v>53.064</v>
      </c>
      <c r="E291" t="s">
        <v>116</v>
      </c>
    </row>
    <row r="292" spans="1:5" x14ac:dyDescent="0.25">
      <c r="A292" s="84">
        <v>45757</v>
      </c>
      <c r="B292">
        <v>510899.70500000002</v>
      </c>
      <c r="C292">
        <v>4786831.8190000001</v>
      </c>
      <c r="D292">
        <v>57.088000000000001</v>
      </c>
      <c r="E292" t="s">
        <v>117</v>
      </c>
    </row>
    <row r="293" spans="1:5" x14ac:dyDescent="0.25">
      <c r="A293" s="84">
        <v>45757</v>
      </c>
      <c r="B293">
        <v>510910.79200000002</v>
      </c>
      <c r="C293">
        <v>4786832.1830000002</v>
      </c>
      <c r="D293">
        <v>55.076999999999998</v>
      </c>
      <c r="E293" t="s">
        <v>118</v>
      </c>
    </row>
    <row r="294" spans="1:5" x14ac:dyDescent="0.25">
      <c r="A294" s="84">
        <v>45757</v>
      </c>
      <c r="B294">
        <v>510917.65399999998</v>
      </c>
      <c r="C294">
        <v>4786832.9989999998</v>
      </c>
      <c r="D294">
        <v>57.015999999999998</v>
      </c>
      <c r="E294" t="s">
        <v>119</v>
      </c>
    </row>
    <row r="295" spans="1:5" x14ac:dyDescent="0.25">
      <c r="A295" s="84">
        <v>45757</v>
      </c>
      <c r="B295">
        <v>510923.92599999998</v>
      </c>
      <c r="C295">
        <v>4786829.1969999997</v>
      </c>
      <c r="D295">
        <v>57.027999999999999</v>
      </c>
      <c r="E295" t="s">
        <v>120</v>
      </c>
    </row>
    <row r="296" spans="1:5" x14ac:dyDescent="0.25">
      <c r="A296" s="84">
        <v>45757</v>
      </c>
      <c r="B296">
        <v>510906.62800000003</v>
      </c>
      <c r="C296">
        <v>4786833.0149999997</v>
      </c>
      <c r="D296">
        <v>58.598999999999997</v>
      </c>
      <c r="E296" t="s">
        <v>121</v>
      </c>
    </row>
    <row r="297" spans="1:5" x14ac:dyDescent="0.25">
      <c r="A297" s="84">
        <v>45754</v>
      </c>
      <c r="B297">
        <v>510882.65600000002</v>
      </c>
      <c r="C297">
        <v>4786829.9270000001</v>
      </c>
      <c r="D297">
        <v>54.5</v>
      </c>
      <c r="E297" t="s">
        <v>114</v>
      </c>
    </row>
    <row r="298" spans="1:5" x14ac:dyDescent="0.25">
      <c r="A298" s="84">
        <v>45754</v>
      </c>
      <c r="B298">
        <v>510918.27399999998</v>
      </c>
      <c r="C298">
        <v>4786831.9249999998</v>
      </c>
      <c r="D298">
        <v>51.075000000000003</v>
      </c>
      <c r="E298" t="s">
        <v>122</v>
      </c>
    </row>
    <row r="299" spans="1:5" x14ac:dyDescent="0.25">
      <c r="A299" s="84">
        <v>45754</v>
      </c>
      <c r="B299">
        <v>510892.86300000001</v>
      </c>
      <c r="C299">
        <v>4786830.5860000001</v>
      </c>
      <c r="D299">
        <v>55.082000000000001</v>
      </c>
      <c r="E299" t="s">
        <v>93</v>
      </c>
    </row>
    <row r="300" spans="1:5" x14ac:dyDescent="0.25">
      <c r="A300" s="84">
        <v>45754</v>
      </c>
      <c r="B300">
        <v>510903.79800000001</v>
      </c>
      <c r="C300">
        <v>4786831.3059999999</v>
      </c>
      <c r="D300">
        <v>53.101999999999997</v>
      </c>
      <c r="E300" t="s">
        <v>115</v>
      </c>
    </row>
    <row r="301" spans="1:5" x14ac:dyDescent="0.25">
      <c r="A301" s="84">
        <v>45754</v>
      </c>
      <c r="B301">
        <v>510927.29599999997</v>
      </c>
      <c r="C301">
        <v>4786824.7889999999</v>
      </c>
      <c r="D301">
        <v>53.064</v>
      </c>
      <c r="E301" t="s">
        <v>116</v>
      </c>
    </row>
    <row r="302" spans="1:5" x14ac:dyDescent="0.25">
      <c r="A302" s="84">
        <v>45754</v>
      </c>
      <c r="B302">
        <v>510899.70400000003</v>
      </c>
      <c r="C302">
        <v>4786831.818</v>
      </c>
      <c r="D302">
        <v>57.088999999999999</v>
      </c>
      <c r="E302" t="s">
        <v>117</v>
      </c>
    </row>
    <row r="303" spans="1:5" x14ac:dyDescent="0.25">
      <c r="A303" s="84">
        <v>45754</v>
      </c>
      <c r="B303">
        <v>510910.79100000003</v>
      </c>
      <c r="C303">
        <v>4786832.1830000002</v>
      </c>
      <c r="D303">
        <v>55.078000000000003</v>
      </c>
      <c r="E303" t="s">
        <v>118</v>
      </c>
    </row>
    <row r="304" spans="1:5" x14ac:dyDescent="0.25">
      <c r="A304" s="84">
        <v>45754</v>
      </c>
      <c r="B304">
        <v>510917.65399999998</v>
      </c>
      <c r="C304">
        <v>4786833.0010000002</v>
      </c>
      <c r="D304">
        <v>57.017000000000003</v>
      </c>
      <c r="E304" t="s">
        <v>119</v>
      </c>
    </row>
    <row r="305" spans="1:5" x14ac:dyDescent="0.25">
      <c r="A305" s="84">
        <v>45754</v>
      </c>
      <c r="B305">
        <v>510923.92599999998</v>
      </c>
      <c r="C305">
        <v>4786829.1969999997</v>
      </c>
      <c r="D305">
        <v>57.029000000000003</v>
      </c>
      <c r="E305" t="s">
        <v>120</v>
      </c>
    </row>
    <row r="306" spans="1:5" x14ac:dyDescent="0.25">
      <c r="A306" s="84">
        <v>45754</v>
      </c>
      <c r="B306">
        <v>510906.62699999998</v>
      </c>
      <c r="C306">
        <v>4786833.0159999998</v>
      </c>
      <c r="D306">
        <v>58.6</v>
      </c>
      <c r="E306" t="s">
        <v>121</v>
      </c>
    </row>
    <row r="307" spans="1:5" x14ac:dyDescent="0.25">
      <c r="A307" s="84">
        <v>45749</v>
      </c>
      <c r="B307">
        <v>510882.65700000001</v>
      </c>
      <c r="C307">
        <v>4786829.926</v>
      </c>
      <c r="D307">
        <v>54.497999999999998</v>
      </c>
      <c r="E307" t="s">
        <v>114</v>
      </c>
    </row>
    <row r="308" spans="1:5" x14ac:dyDescent="0.25">
      <c r="A308" s="84">
        <v>45749</v>
      </c>
      <c r="B308">
        <v>510918.27399999998</v>
      </c>
      <c r="C308">
        <v>4786831.926</v>
      </c>
      <c r="D308">
        <v>51.073999999999998</v>
      </c>
      <c r="E308" t="s">
        <v>122</v>
      </c>
    </row>
    <row r="309" spans="1:5" x14ac:dyDescent="0.25">
      <c r="A309" s="84">
        <v>45749</v>
      </c>
      <c r="B309">
        <v>510892.86300000001</v>
      </c>
      <c r="C309">
        <v>4786830.5870000003</v>
      </c>
      <c r="D309">
        <v>55.08</v>
      </c>
      <c r="E309" t="s">
        <v>93</v>
      </c>
    </row>
    <row r="310" spans="1:5" x14ac:dyDescent="0.25">
      <c r="A310" s="84">
        <v>45749</v>
      </c>
      <c r="B310">
        <v>510903.799</v>
      </c>
      <c r="C310">
        <v>4786831.307</v>
      </c>
      <c r="D310">
        <v>53.100999999999999</v>
      </c>
      <c r="E310" t="s">
        <v>115</v>
      </c>
    </row>
    <row r="311" spans="1:5" x14ac:dyDescent="0.25">
      <c r="A311" s="84">
        <v>45749</v>
      </c>
      <c r="B311">
        <v>510927.29800000001</v>
      </c>
      <c r="C311">
        <v>4786824.7910000002</v>
      </c>
      <c r="D311">
        <v>53.064</v>
      </c>
      <c r="E311" t="s">
        <v>116</v>
      </c>
    </row>
    <row r="312" spans="1:5" x14ac:dyDescent="0.25">
      <c r="A312" s="84">
        <v>45749</v>
      </c>
      <c r="B312">
        <v>510899.70400000003</v>
      </c>
      <c r="C312">
        <v>4786831.82</v>
      </c>
      <c r="D312">
        <v>57.087000000000003</v>
      </c>
      <c r="E312" t="s">
        <v>117</v>
      </c>
    </row>
    <row r="313" spans="1:5" x14ac:dyDescent="0.25">
      <c r="A313" s="84">
        <v>45749</v>
      </c>
      <c r="B313">
        <v>510910.79200000002</v>
      </c>
      <c r="C313">
        <v>4786832.1840000004</v>
      </c>
      <c r="D313">
        <v>55.076999999999998</v>
      </c>
      <c r="E313" t="s">
        <v>118</v>
      </c>
    </row>
    <row r="314" spans="1:5" x14ac:dyDescent="0.25">
      <c r="A314" s="84">
        <v>45749</v>
      </c>
      <c r="B314">
        <v>510917.65299999999</v>
      </c>
      <c r="C314">
        <v>4786833</v>
      </c>
      <c r="D314">
        <v>57.015999999999998</v>
      </c>
      <c r="E314" t="s">
        <v>119</v>
      </c>
    </row>
    <row r="315" spans="1:5" x14ac:dyDescent="0.25">
      <c r="A315" s="84">
        <v>45749</v>
      </c>
      <c r="B315">
        <v>510923.92599999998</v>
      </c>
      <c r="C315">
        <v>4786829.1979999999</v>
      </c>
      <c r="D315">
        <v>57.027999999999999</v>
      </c>
      <c r="E315" t="s">
        <v>120</v>
      </c>
    </row>
    <row r="316" spans="1:5" x14ac:dyDescent="0.25">
      <c r="A316" s="84">
        <v>45749</v>
      </c>
      <c r="B316">
        <v>510906.62800000003</v>
      </c>
      <c r="C316">
        <v>4786833.0159999998</v>
      </c>
      <c r="D316">
        <v>58.598999999999997</v>
      </c>
      <c r="E316" t="s">
        <v>121</v>
      </c>
    </row>
    <row r="317" spans="1:5" x14ac:dyDescent="0.25">
      <c r="A317" s="84">
        <v>45747</v>
      </c>
      <c r="B317">
        <v>510882.66</v>
      </c>
      <c r="C317">
        <v>4786829.9270000001</v>
      </c>
      <c r="D317">
        <v>54.497999999999998</v>
      </c>
      <c r="E317" t="s">
        <v>114</v>
      </c>
    </row>
    <row r="318" spans="1:5" x14ac:dyDescent="0.25">
      <c r="A318" s="84">
        <v>45747</v>
      </c>
      <c r="B318">
        <v>510918.27799999999</v>
      </c>
      <c r="C318">
        <v>4786831.92</v>
      </c>
      <c r="D318">
        <v>51.075000000000003</v>
      </c>
      <c r="E318" t="s">
        <v>122</v>
      </c>
    </row>
    <row r="319" spans="1:5" x14ac:dyDescent="0.25">
      <c r="A319" s="84">
        <v>45747</v>
      </c>
      <c r="B319">
        <v>510892.86599999998</v>
      </c>
      <c r="C319">
        <v>4786830.585</v>
      </c>
      <c r="D319">
        <v>55.08</v>
      </c>
      <c r="E319" t="s">
        <v>93</v>
      </c>
    </row>
    <row r="320" spans="1:5" x14ac:dyDescent="0.25">
      <c r="A320" s="84">
        <v>45747</v>
      </c>
      <c r="B320">
        <v>510903.80200000003</v>
      </c>
      <c r="C320">
        <v>4786831.3030000003</v>
      </c>
      <c r="D320">
        <v>53.100999999999999</v>
      </c>
      <c r="E320" t="s">
        <v>115</v>
      </c>
    </row>
    <row r="321" spans="1:5" x14ac:dyDescent="0.25">
      <c r="A321" s="84">
        <v>45747</v>
      </c>
      <c r="B321">
        <v>510927.29499999998</v>
      </c>
      <c r="C321">
        <v>4786824.7920000004</v>
      </c>
      <c r="D321">
        <v>53.063000000000002</v>
      </c>
      <c r="E321" t="s">
        <v>116</v>
      </c>
    </row>
    <row r="322" spans="1:5" x14ac:dyDescent="0.25">
      <c r="A322" s="84">
        <v>45747</v>
      </c>
      <c r="B322">
        <v>510899.70600000001</v>
      </c>
      <c r="C322">
        <v>4786831.8159999996</v>
      </c>
      <c r="D322">
        <v>57.087000000000003</v>
      </c>
      <c r="E322" t="s">
        <v>117</v>
      </c>
    </row>
    <row r="323" spans="1:5" x14ac:dyDescent="0.25">
      <c r="A323" s="84">
        <v>45747</v>
      </c>
      <c r="B323">
        <v>510910.79300000001</v>
      </c>
      <c r="C323">
        <v>4786832.1770000001</v>
      </c>
      <c r="D323">
        <v>55.076999999999998</v>
      </c>
      <c r="E323" t="s">
        <v>118</v>
      </c>
    </row>
    <row r="324" spans="1:5" x14ac:dyDescent="0.25">
      <c r="A324" s="84">
        <v>45747</v>
      </c>
      <c r="B324">
        <v>510917.65700000001</v>
      </c>
      <c r="C324">
        <v>4786832.9929999998</v>
      </c>
      <c r="D324">
        <v>57.017000000000003</v>
      </c>
      <c r="E324" t="s">
        <v>119</v>
      </c>
    </row>
    <row r="325" spans="1:5" x14ac:dyDescent="0.25">
      <c r="A325" s="84">
        <v>45747</v>
      </c>
      <c r="B325">
        <v>510923.929</v>
      </c>
      <c r="C325">
        <v>4786829.1900000004</v>
      </c>
      <c r="D325">
        <v>57.027999999999999</v>
      </c>
      <c r="E325" t="s">
        <v>120</v>
      </c>
    </row>
    <row r="326" spans="1:5" x14ac:dyDescent="0.25">
      <c r="A326" s="84">
        <v>45747</v>
      </c>
      <c r="B326">
        <v>510906.63099999999</v>
      </c>
      <c r="C326">
        <v>4786833.0109999999</v>
      </c>
      <c r="D326">
        <v>58.598999999999997</v>
      </c>
      <c r="E326" t="s">
        <v>121</v>
      </c>
    </row>
    <row r="327" spans="1:5" x14ac:dyDescent="0.25">
      <c r="A327" s="84">
        <v>45743</v>
      </c>
      <c r="B327">
        <v>510882.658</v>
      </c>
      <c r="C327">
        <v>4786829.9239999996</v>
      </c>
      <c r="D327">
        <v>54.499000000000002</v>
      </c>
      <c r="E327" t="s">
        <v>114</v>
      </c>
    </row>
    <row r="328" spans="1:5" x14ac:dyDescent="0.25">
      <c r="A328" s="84">
        <v>45743</v>
      </c>
      <c r="B328">
        <v>510918.27600000001</v>
      </c>
      <c r="C328">
        <v>4786831.92</v>
      </c>
      <c r="D328">
        <v>51.075000000000003</v>
      </c>
      <c r="E328" t="s">
        <v>122</v>
      </c>
    </row>
    <row r="329" spans="1:5" x14ac:dyDescent="0.25">
      <c r="A329" s="84">
        <v>45743</v>
      </c>
      <c r="B329">
        <v>510892.86499999999</v>
      </c>
      <c r="C329">
        <v>4786830.5839999998</v>
      </c>
      <c r="D329">
        <v>55.08</v>
      </c>
      <c r="E329" t="s">
        <v>93</v>
      </c>
    </row>
    <row r="330" spans="1:5" x14ac:dyDescent="0.25">
      <c r="A330" s="84">
        <v>45743</v>
      </c>
      <c r="B330">
        <v>510903.80099999998</v>
      </c>
      <c r="C330">
        <v>4786831.3030000003</v>
      </c>
      <c r="D330">
        <v>53.100999999999999</v>
      </c>
      <c r="E330" t="s">
        <v>115</v>
      </c>
    </row>
    <row r="331" spans="1:5" x14ac:dyDescent="0.25">
      <c r="A331" s="84">
        <v>45743</v>
      </c>
      <c r="B331">
        <v>510927.29599999997</v>
      </c>
      <c r="C331">
        <v>4786824.7929999996</v>
      </c>
      <c r="D331">
        <v>53.064</v>
      </c>
      <c r="E331" t="s">
        <v>116</v>
      </c>
    </row>
    <row r="332" spans="1:5" x14ac:dyDescent="0.25">
      <c r="A332" s="84">
        <v>45743</v>
      </c>
      <c r="B332">
        <v>510899.70699999999</v>
      </c>
      <c r="C332">
        <v>4786831.8150000004</v>
      </c>
      <c r="D332">
        <v>57.087000000000003</v>
      </c>
      <c r="E332" t="s">
        <v>117</v>
      </c>
    </row>
    <row r="333" spans="1:5" x14ac:dyDescent="0.25">
      <c r="A333" s="84">
        <v>45743</v>
      </c>
      <c r="B333">
        <v>510910.79399999999</v>
      </c>
      <c r="C333">
        <v>4786832.1770000001</v>
      </c>
      <c r="D333">
        <v>55.076999999999998</v>
      </c>
      <c r="E333" t="s">
        <v>118</v>
      </c>
    </row>
    <row r="334" spans="1:5" x14ac:dyDescent="0.25">
      <c r="A334" s="84">
        <v>45743</v>
      </c>
      <c r="B334">
        <v>510917.65600000002</v>
      </c>
      <c r="C334">
        <v>4786832.9929999998</v>
      </c>
      <c r="D334">
        <v>57.017000000000003</v>
      </c>
      <c r="E334" t="s">
        <v>119</v>
      </c>
    </row>
    <row r="335" spans="1:5" x14ac:dyDescent="0.25">
      <c r="A335" s="84">
        <v>45743</v>
      </c>
      <c r="B335">
        <v>510923.929</v>
      </c>
      <c r="C335">
        <v>4786829.1909999996</v>
      </c>
      <c r="D335">
        <v>57.027999999999999</v>
      </c>
      <c r="E335" t="s">
        <v>120</v>
      </c>
    </row>
    <row r="336" spans="1:5" x14ac:dyDescent="0.25">
      <c r="A336" s="84">
        <v>45743</v>
      </c>
      <c r="B336">
        <v>510906.63</v>
      </c>
      <c r="C336">
        <v>4786833.0109999999</v>
      </c>
      <c r="D336">
        <v>58.598999999999997</v>
      </c>
      <c r="E336" t="s">
        <v>121</v>
      </c>
    </row>
    <row r="337" spans="1:5" x14ac:dyDescent="0.25">
      <c r="A337" s="84">
        <v>45741</v>
      </c>
      <c r="B337">
        <v>510882.65700000001</v>
      </c>
      <c r="C337">
        <v>4786829.9249999998</v>
      </c>
      <c r="D337">
        <v>54.497</v>
      </c>
      <c r="E337" t="s">
        <v>114</v>
      </c>
    </row>
    <row r="338" spans="1:5" x14ac:dyDescent="0.25">
      <c r="A338" s="84">
        <v>45741</v>
      </c>
      <c r="B338">
        <v>510918.27399999998</v>
      </c>
      <c r="C338">
        <v>4786831.9210000001</v>
      </c>
      <c r="D338">
        <v>51.073999999999998</v>
      </c>
      <c r="E338" t="s">
        <v>122</v>
      </c>
    </row>
    <row r="339" spans="1:5" x14ac:dyDescent="0.25">
      <c r="A339" s="84">
        <v>45741</v>
      </c>
      <c r="B339">
        <v>510892.864</v>
      </c>
      <c r="C339">
        <v>4786830.585</v>
      </c>
      <c r="D339">
        <v>55.079000000000001</v>
      </c>
      <c r="E339" t="s">
        <v>93</v>
      </c>
    </row>
    <row r="340" spans="1:5" x14ac:dyDescent="0.25">
      <c r="A340" s="84">
        <v>45741</v>
      </c>
      <c r="B340">
        <v>510903.8</v>
      </c>
      <c r="C340">
        <v>4786831.3049999997</v>
      </c>
      <c r="D340">
        <v>53.1</v>
      </c>
      <c r="E340" t="s">
        <v>115</v>
      </c>
    </row>
    <row r="341" spans="1:5" x14ac:dyDescent="0.25">
      <c r="A341" s="84">
        <v>45741</v>
      </c>
      <c r="B341">
        <v>510927.29599999997</v>
      </c>
      <c r="C341">
        <v>4786824.7929999996</v>
      </c>
      <c r="D341">
        <v>53.064</v>
      </c>
      <c r="E341" t="s">
        <v>116</v>
      </c>
    </row>
    <row r="342" spans="1:5" x14ac:dyDescent="0.25">
      <c r="A342" s="84">
        <v>45741</v>
      </c>
      <c r="B342">
        <v>510899.70500000002</v>
      </c>
      <c r="C342">
        <v>4786831.8169999998</v>
      </c>
      <c r="D342">
        <v>57.085999999999999</v>
      </c>
      <c r="E342" t="s">
        <v>117</v>
      </c>
    </row>
    <row r="343" spans="1:5" x14ac:dyDescent="0.25">
      <c r="A343" s="84">
        <v>45741</v>
      </c>
      <c r="B343">
        <v>510910.79200000002</v>
      </c>
      <c r="C343">
        <v>4786832.1780000003</v>
      </c>
      <c r="D343">
        <v>55.076000000000001</v>
      </c>
      <c r="E343" t="s">
        <v>118</v>
      </c>
    </row>
    <row r="344" spans="1:5" x14ac:dyDescent="0.25">
      <c r="A344" s="84">
        <v>45741</v>
      </c>
      <c r="B344">
        <v>510917.65399999998</v>
      </c>
      <c r="C344">
        <v>4786832.9950000001</v>
      </c>
      <c r="D344">
        <v>57.015999999999998</v>
      </c>
      <c r="E344" t="s">
        <v>119</v>
      </c>
    </row>
    <row r="345" spans="1:5" x14ac:dyDescent="0.25">
      <c r="A345" s="84">
        <v>45741</v>
      </c>
      <c r="B345">
        <v>510923.92700000003</v>
      </c>
      <c r="C345">
        <v>4786829.1919999998</v>
      </c>
      <c r="D345">
        <v>57.026000000000003</v>
      </c>
      <c r="E345" t="s">
        <v>120</v>
      </c>
    </row>
    <row r="346" spans="1:5" x14ac:dyDescent="0.25">
      <c r="A346" s="84">
        <v>45741</v>
      </c>
      <c r="B346">
        <v>510906.62800000003</v>
      </c>
      <c r="C346">
        <v>4786833.0109999999</v>
      </c>
      <c r="D346">
        <v>58.597000000000001</v>
      </c>
      <c r="E346" t="s">
        <v>121</v>
      </c>
    </row>
    <row r="347" spans="1:5" x14ac:dyDescent="0.25">
      <c r="A347" s="84">
        <v>45737</v>
      </c>
      <c r="B347">
        <v>510882.658</v>
      </c>
      <c r="C347">
        <v>4786829.926</v>
      </c>
      <c r="D347">
        <v>54.497999999999998</v>
      </c>
      <c r="E347" t="s">
        <v>114</v>
      </c>
    </row>
    <row r="348" spans="1:5" x14ac:dyDescent="0.25">
      <c r="A348" s="84">
        <v>45737</v>
      </c>
      <c r="B348">
        <v>510918.27500000002</v>
      </c>
      <c r="C348">
        <v>4786831.9219999993</v>
      </c>
      <c r="D348">
        <v>51.073999999999998</v>
      </c>
      <c r="E348" t="s">
        <v>122</v>
      </c>
    </row>
    <row r="349" spans="1:5" x14ac:dyDescent="0.25">
      <c r="A349" s="84">
        <v>45737</v>
      </c>
      <c r="B349">
        <v>510892.86499999999</v>
      </c>
      <c r="C349">
        <v>4786830.585</v>
      </c>
      <c r="D349">
        <v>55.08</v>
      </c>
      <c r="E349" t="s">
        <v>93</v>
      </c>
    </row>
    <row r="350" spans="1:5" x14ac:dyDescent="0.25">
      <c r="A350" s="84">
        <v>45737</v>
      </c>
      <c r="B350">
        <v>510903.80099999998</v>
      </c>
      <c r="C350">
        <v>4786831.3049999997</v>
      </c>
      <c r="D350">
        <v>53.100999999999999</v>
      </c>
      <c r="E350" t="s">
        <v>115</v>
      </c>
    </row>
    <row r="351" spans="1:5" x14ac:dyDescent="0.25">
      <c r="A351" s="84">
        <v>45737</v>
      </c>
      <c r="B351">
        <v>510927.29399999999</v>
      </c>
      <c r="C351">
        <v>4786824.7910000002</v>
      </c>
      <c r="D351">
        <v>53.064</v>
      </c>
      <c r="E351" t="s">
        <v>116</v>
      </c>
    </row>
    <row r="352" spans="1:5" x14ac:dyDescent="0.25">
      <c r="A352" s="84">
        <v>45737</v>
      </c>
      <c r="B352">
        <v>510899.70600000001</v>
      </c>
      <c r="C352">
        <v>4786831.818</v>
      </c>
      <c r="D352">
        <v>57.088000000000001</v>
      </c>
      <c r="E352" t="s">
        <v>117</v>
      </c>
    </row>
    <row r="353" spans="1:5" x14ac:dyDescent="0.25">
      <c r="A353" s="84">
        <v>45737</v>
      </c>
      <c r="B353">
        <v>510910.79200000002</v>
      </c>
      <c r="C353">
        <v>4786832.1779999994</v>
      </c>
      <c r="D353">
        <v>55.076000000000001</v>
      </c>
      <c r="E353" t="s">
        <v>118</v>
      </c>
    </row>
    <row r="354" spans="1:5" x14ac:dyDescent="0.25">
      <c r="A354" s="84">
        <v>45737</v>
      </c>
      <c r="B354">
        <v>510917.65600000002</v>
      </c>
      <c r="C354">
        <v>4786832.9969999995</v>
      </c>
      <c r="D354">
        <v>57.017000000000003</v>
      </c>
      <c r="E354" t="s">
        <v>119</v>
      </c>
    </row>
    <row r="355" spans="1:5" x14ac:dyDescent="0.25">
      <c r="A355" s="84">
        <v>45737</v>
      </c>
      <c r="B355">
        <v>510923.92800000001</v>
      </c>
      <c r="C355">
        <v>4786829.193</v>
      </c>
      <c r="D355">
        <v>57.027999999999999</v>
      </c>
      <c r="E355" t="s">
        <v>120</v>
      </c>
    </row>
    <row r="356" spans="1:5" x14ac:dyDescent="0.25">
      <c r="A356" s="84">
        <v>45737</v>
      </c>
      <c r="B356">
        <v>510906.63</v>
      </c>
      <c r="C356">
        <v>4786833.0129999993</v>
      </c>
      <c r="D356">
        <v>58.598999999999997</v>
      </c>
      <c r="E356" t="s">
        <v>121</v>
      </c>
    </row>
    <row r="357" spans="1:5" x14ac:dyDescent="0.25">
      <c r="A357" s="84">
        <v>45734</v>
      </c>
      <c r="B357">
        <v>510882.658</v>
      </c>
      <c r="C357">
        <v>4786829.9239999996</v>
      </c>
      <c r="D357">
        <v>54.497999999999998</v>
      </c>
      <c r="E357" t="s">
        <v>114</v>
      </c>
    </row>
    <row r="358" spans="1:5" x14ac:dyDescent="0.25">
      <c r="A358" s="84">
        <v>45734</v>
      </c>
      <c r="B358">
        <v>510918.27399999998</v>
      </c>
      <c r="C358">
        <v>4786831.9220000003</v>
      </c>
      <c r="D358">
        <v>51.075000000000003</v>
      </c>
      <c r="E358" t="s">
        <v>122</v>
      </c>
    </row>
    <row r="359" spans="1:5" x14ac:dyDescent="0.25">
      <c r="A359" s="84">
        <v>45734</v>
      </c>
      <c r="B359">
        <v>510892.864</v>
      </c>
      <c r="C359">
        <v>4786830.5839999998</v>
      </c>
      <c r="D359">
        <v>55.08</v>
      </c>
      <c r="E359" t="s">
        <v>93</v>
      </c>
    </row>
    <row r="360" spans="1:5" x14ac:dyDescent="0.25">
      <c r="A360" s="84">
        <v>45734</v>
      </c>
      <c r="B360">
        <v>510903.8</v>
      </c>
      <c r="C360">
        <v>4786831.3039999995</v>
      </c>
      <c r="D360">
        <v>53.100999999999999</v>
      </c>
      <c r="E360" t="s">
        <v>115</v>
      </c>
    </row>
    <row r="361" spans="1:5" x14ac:dyDescent="0.25">
      <c r="A361" s="84">
        <v>45734</v>
      </c>
      <c r="B361">
        <v>510927.29599999997</v>
      </c>
      <c r="C361">
        <v>4786824.7929999996</v>
      </c>
      <c r="D361">
        <v>53.064</v>
      </c>
      <c r="E361" t="s">
        <v>116</v>
      </c>
    </row>
    <row r="362" spans="1:5" x14ac:dyDescent="0.25">
      <c r="A362" s="84">
        <v>45734</v>
      </c>
      <c r="B362">
        <v>510899.70500000002</v>
      </c>
      <c r="C362">
        <v>4786831.8159999996</v>
      </c>
      <c r="D362">
        <v>57.087000000000003</v>
      </c>
      <c r="E362" t="s">
        <v>117</v>
      </c>
    </row>
    <row r="363" spans="1:5" x14ac:dyDescent="0.25">
      <c r="A363" s="84">
        <v>45734</v>
      </c>
      <c r="B363">
        <v>510910.79300000001</v>
      </c>
      <c r="C363">
        <v>4786832.18</v>
      </c>
      <c r="D363">
        <v>55.076999999999998</v>
      </c>
      <c r="E363" t="s">
        <v>118</v>
      </c>
    </row>
    <row r="364" spans="1:5" x14ac:dyDescent="0.25">
      <c r="A364" s="84">
        <v>45734</v>
      </c>
      <c r="B364">
        <v>510917.65500000003</v>
      </c>
      <c r="C364">
        <v>4786832.9960000003</v>
      </c>
      <c r="D364">
        <v>57.017000000000003</v>
      </c>
      <c r="E364" t="s">
        <v>119</v>
      </c>
    </row>
    <row r="365" spans="1:5" x14ac:dyDescent="0.25">
      <c r="A365" s="84">
        <v>45734</v>
      </c>
      <c r="B365">
        <v>510923.92700000003</v>
      </c>
      <c r="C365">
        <v>4786829.193</v>
      </c>
      <c r="D365">
        <v>57.027999999999999</v>
      </c>
      <c r="E365" t="s">
        <v>120</v>
      </c>
    </row>
    <row r="366" spans="1:5" x14ac:dyDescent="0.25">
      <c r="A366" s="84">
        <v>45734</v>
      </c>
      <c r="B366">
        <v>510906.62900000002</v>
      </c>
      <c r="C366">
        <v>4786833.0120000001</v>
      </c>
      <c r="D366">
        <v>58.598999999999997</v>
      </c>
      <c r="E366" t="s">
        <v>121</v>
      </c>
    </row>
    <row r="367" spans="1:5" x14ac:dyDescent="0.25">
      <c r="A367" s="84">
        <v>45730</v>
      </c>
      <c r="B367">
        <v>510882.65600000002</v>
      </c>
      <c r="C367">
        <v>4786829.9239999996</v>
      </c>
      <c r="D367">
        <v>54.499000000000002</v>
      </c>
      <c r="E367" t="s">
        <v>114</v>
      </c>
    </row>
    <row r="368" spans="1:5" x14ac:dyDescent="0.25">
      <c r="A368" s="84">
        <v>45730</v>
      </c>
      <c r="B368">
        <v>510918.27299999999</v>
      </c>
      <c r="C368">
        <v>4786831.92</v>
      </c>
      <c r="D368">
        <v>51.076000000000001</v>
      </c>
      <c r="E368" t="s">
        <v>122</v>
      </c>
    </row>
    <row r="369" spans="1:5" x14ac:dyDescent="0.25">
      <c r="A369" s="84">
        <v>45730</v>
      </c>
      <c r="B369">
        <v>510892.86300000001</v>
      </c>
      <c r="C369">
        <v>4786830.5839999998</v>
      </c>
      <c r="D369">
        <v>55.081000000000003</v>
      </c>
      <c r="E369" t="s">
        <v>93</v>
      </c>
    </row>
    <row r="370" spans="1:5" x14ac:dyDescent="0.25">
      <c r="A370" s="84">
        <v>45730</v>
      </c>
      <c r="B370">
        <v>510903.799</v>
      </c>
      <c r="C370">
        <v>4786831.3030000003</v>
      </c>
      <c r="D370">
        <v>53.100999999999999</v>
      </c>
      <c r="E370" t="s">
        <v>115</v>
      </c>
    </row>
    <row r="371" spans="1:5" x14ac:dyDescent="0.25">
      <c r="A371" s="84">
        <v>45730</v>
      </c>
      <c r="B371">
        <v>510927.29599999997</v>
      </c>
      <c r="C371">
        <v>4786824.7929999996</v>
      </c>
      <c r="D371">
        <v>53.061999999999998</v>
      </c>
      <c r="E371" t="s">
        <v>116</v>
      </c>
    </row>
    <row r="372" spans="1:5" x14ac:dyDescent="0.25">
      <c r="A372" s="84">
        <v>45730</v>
      </c>
      <c r="B372">
        <v>510899.70400000003</v>
      </c>
      <c r="C372">
        <v>4786831.8159999996</v>
      </c>
      <c r="D372">
        <v>57.088000000000001</v>
      </c>
      <c r="E372" t="s">
        <v>117</v>
      </c>
    </row>
    <row r="373" spans="1:5" x14ac:dyDescent="0.25">
      <c r="A373" s="84">
        <v>45730</v>
      </c>
      <c r="B373">
        <v>510910.79200000002</v>
      </c>
      <c r="C373">
        <v>4786832.1789999995</v>
      </c>
      <c r="D373">
        <v>55.078000000000003</v>
      </c>
      <c r="E373" t="s">
        <v>118</v>
      </c>
    </row>
    <row r="374" spans="1:5" x14ac:dyDescent="0.25">
      <c r="A374" s="84">
        <v>45730</v>
      </c>
      <c r="B374">
        <v>510917.65299999999</v>
      </c>
      <c r="C374">
        <v>4786832.9939999999</v>
      </c>
      <c r="D374">
        <v>57.017000000000003</v>
      </c>
      <c r="E374" t="s">
        <v>119</v>
      </c>
    </row>
    <row r="375" spans="1:5" x14ac:dyDescent="0.25">
      <c r="A375" s="84">
        <v>45730</v>
      </c>
      <c r="B375">
        <v>510923.92700000003</v>
      </c>
      <c r="C375">
        <v>4786829.1909999996</v>
      </c>
      <c r="D375">
        <v>57.027999999999999</v>
      </c>
      <c r="E375" t="s">
        <v>120</v>
      </c>
    </row>
    <row r="376" spans="1:5" x14ac:dyDescent="0.25">
      <c r="A376" s="84">
        <v>45730</v>
      </c>
      <c r="B376">
        <v>510906.62800000003</v>
      </c>
      <c r="C376">
        <v>4786833.0120000001</v>
      </c>
      <c r="D376">
        <v>58.598999999999997</v>
      </c>
      <c r="E376" t="s">
        <v>121</v>
      </c>
    </row>
    <row r="377" spans="1:5" x14ac:dyDescent="0.25">
      <c r="A377" s="84">
        <v>45728</v>
      </c>
      <c r="B377">
        <v>510882.66</v>
      </c>
      <c r="C377">
        <v>4786829.9270000001</v>
      </c>
      <c r="D377">
        <v>54.497999999999998</v>
      </c>
      <c r="E377" t="s">
        <v>114</v>
      </c>
    </row>
    <row r="378" spans="1:5" x14ac:dyDescent="0.25">
      <c r="A378" s="84">
        <v>45728</v>
      </c>
      <c r="B378">
        <v>510918.27600000001</v>
      </c>
      <c r="C378">
        <v>4786831.9230000004</v>
      </c>
      <c r="D378">
        <v>51.075000000000003</v>
      </c>
      <c r="E378" t="s">
        <v>122</v>
      </c>
    </row>
    <row r="379" spans="1:5" x14ac:dyDescent="0.25">
      <c r="A379" s="84">
        <v>45728</v>
      </c>
      <c r="B379">
        <v>510892.86599999998</v>
      </c>
      <c r="C379">
        <v>4786830.5860000001</v>
      </c>
      <c r="D379">
        <v>55.08</v>
      </c>
      <c r="E379" t="s">
        <v>93</v>
      </c>
    </row>
    <row r="380" spans="1:5" x14ac:dyDescent="0.25">
      <c r="A380" s="84">
        <v>45728</v>
      </c>
      <c r="B380">
        <v>510903.80200000003</v>
      </c>
      <c r="C380">
        <v>4786831.3049999997</v>
      </c>
      <c r="D380">
        <v>53.100999999999999</v>
      </c>
      <c r="E380" t="s">
        <v>115</v>
      </c>
    </row>
    <row r="381" spans="1:5" x14ac:dyDescent="0.25">
      <c r="A381" s="84">
        <v>45728</v>
      </c>
      <c r="B381">
        <v>510927.29599999997</v>
      </c>
      <c r="C381">
        <v>4786824.7910000002</v>
      </c>
      <c r="D381">
        <v>53.064</v>
      </c>
      <c r="E381" t="s">
        <v>116</v>
      </c>
    </row>
    <row r="382" spans="1:5" x14ac:dyDescent="0.25">
      <c r="A382" s="84">
        <v>45728</v>
      </c>
      <c r="B382">
        <v>510899.70799999998</v>
      </c>
      <c r="C382">
        <v>4786831.8190000001</v>
      </c>
      <c r="D382">
        <v>57.088000000000001</v>
      </c>
      <c r="E382" t="s">
        <v>117</v>
      </c>
    </row>
    <row r="383" spans="1:5" x14ac:dyDescent="0.25">
      <c r="A383" s="84">
        <v>45728</v>
      </c>
      <c r="B383">
        <v>510910.79399999999</v>
      </c>
      <c r="C383">
        <v>4786832.18</v>
      </c>
      <c r="D383">
        <v>55.076999999999998</v>
      </c>
      <c r="E383" t="s">
        <v>118</v>
      </c>
    </row>
    <row r="384" spans="1:5" x14ac:dyDescent="0.25">
      <c r="A384" s="84">
        <v>45728</v>
      </c>
      <c r="B384">
        <v>510917.65600000002</v>
      </c>
      <c r="C384">
        <v>4786832.9960000003</v>
      </c>
      <c r="D384">
        <v>57.017000000000003</v>
      </c>
      <c r="E384" t="s">
        <v>119</v>
      </c>
    </row>
    <row r="385" spans="1:5" x14ac:dyDescent="0.25">
      <c r="A385" s="84">
        <v>45728</v>
      </c>
      <c r="B385">
        <v>510923.929</v>
      </c>
      <c r="C385">
        <v>4786829.193</v>
      </c>
      <c r="D385">
        <v>57.027999999999999</v>
      </c>
      <c r="E385" t="s">
        <v>120</v>
      </c>
    </row>
    <row r="386" spans="1:5" x14ac:dyDescent="0.25">
      <c r="A386" s="84">
        <v>45728</v>
      </c>
      <c r="B386">
        <v>510906.63099999999</v>
      </c>
      <c r="C386">
        <v>4786833.0130000003</v>
      </c>
      <c r="D386">
        <v>58.598999999999997</v>
      </c>
      <c r="E386" t="s">
        <v>121</v>
      </c>
    </row>
    <row r="387" spans="1:5" x14ac:dyDescent="0.25">
      <c r="A387" s="84">
        <v>45726</v>
      </c>
      <c r="B387">
        <v>510882.65700000001</v>
      </c>
      <c r="C387">
        <v>4786829.9239999996</v>
      </c>
      <c r="D387">
        <v>54.497</v>
      </c>
      <c r="E387" t="s">
        <v>114</v>
      </c>
    </row>
    <row r="388" spans="1:5" x14ac:dyDescent="0.25">
      <c r="A388" s="84">
        <v>45726</v>
      </c>
      <c r="B388">
        <v>510918.27500000002</v>
      </c>
      <c r="C388">
        <v>4786831.9230000004</v>
      </c>
      <c r="D388">
        <v>51.073999999999998</v>
      </c>
      <c r="E388" t="s">
        <v>122</v>
      </c>
    </row>
    <row r="389" spans="1:5" x14ac:dyDescent="0.25">
      <c r="A389" s="84">
        <v>45726</v>
      </c>
      <c r="B389">
        <v>510892.864</v>
      </c>
      <c r="C389">
        <v>4786830.5839999998</v>
      </c>
      <c r="D389">
        <v>55.079000000000001</v>
      </c>
      <c r="E389" t="s">
        <v>93</v>
      </c>
    </row>
    <row r="390" spans="1:5" x14ac:dyDescent="0.25">
      <c r="A390" s="84">
        <v>45726</v>
      </c>
      <c r="B390">
        <v>510903.799</v>
      </c>
      <c r="C390">
        <v>4786831.3030000003</v>
      </c>
      <c r="D390">
        <v>53.098999999999997</v>
      </c>
      <c r="E390" t="s">
        <v>115</v>
      </c>
    </row>
    <row r="391" spans="1:5" x14ac:dyDescent="0.25">
      <c r="A391" s="84">
        <v>45726</v>
      </c>
      <c r="B391">
        <v>510927.29700000002</v>
      </c>
      <c r="C391">
        <v>4786824.7929999996</v>
      </c>
      <c r="D391">
        <v>53.064</v>
      </c>
      <c r="E391" t="s">
        <v>116</v>
      </c>
    </row>
    <row r="392" spans="1:5" x14ac:dyDescent="0.25">
      <c r="A392" s="84">
        <v>45726</v>
      </c>
      <c r="B392">
        <v>510899.70500000002</v>
      </c>
      <c r="C392">
        <v>4786831.8169999998</v>
      </c>
      <c r="D392">
        <v>57.085999999999999</v>
      </c>
      <c r="E392" t="s">
        <v>117</v>
      </c>
    </row>
    <row r="393" spans="1:5" x14ac:dyDescent="0.25">
      <c r="A393" s="84">
        <v>45726</v>
      </c>
      <c r="B393">
        <v>510910.79300000001</v>
      </c>
      <c r="C393">
        <v>4786832.18</v>
      </c>
      <c r="D393">
        <v>55.076000000000001</v>
      </c>
      <c r="E393" t="s">
        <v>118</v>
      </c>
    </row>
    <row r="394" spans="1:5" x14ac:dyDescent="0.25">
      <c r="A394" s="84">
        <v>45726</v>
      </c>
      <c r="B394">
        <v>510917.65399999998</v>
      </c>
      <c r="C394">
        <v>4786832.9960000003</v>
      </c>
      <c r="D394">
        <v>57.015999999999998</v>
      </c>
      <c r="E394" t="s">
        <v>119</v>
      </c>
    </row>
    <row r="395" spans="1:5" x14ac:dyDescent="0.25">
      <c r="A395" s="84">
        <v>45726</v>
      </c>
      <c r="B395">
        <v>510923.92700000003</v>
      </c>
      <c r="C395">
        <v>4786829.193</v>
      </c>
      <c r="D395">
        <v>57.026000000000003</v>
      </c>
      <c r="E395" t="s">
        <v>120</v>
      </c>
    </row>
    <row r="396" spans="1:5" x14ac:dyDescent="0.25">
      <c r="A396" s="84">
        <v>45726</v>
      </c>
      <c r="B396">
        <v>510906.62800000003</v>
      </c>
      <c r="C396">
        <v>4786833.0130000003</v>
      </c>
      <c r="D396">
        <v>58.597000000000001</v>
      </c>
      <c r="E396" t="s">
        <v>121</v>
      </c>
    </row>
    <row r="397" spans="1:5" x14ac:dyDescent="0.25">
      <c r="A397" s="84">
        <v>45723</v>
      </c>
      <c r="B397">
        <v>510882.65700000001</v>
      </c>
      <c r="C397">
        <v>4786829.9239999996</v>
      </c>
      <c r="D397">
        <v>54.497</v>
      </c>
      <c r="E397" t="s">
        <v>114</v>
      </c>
    </row>
    <row r="398" spans="1:5" x14ac:dyDescent="0.25">
      <c r="A398" s="84">
        <v>45723</v>
      </c>
      <c r="B398">
        <v>510918.27600000001</v>
      </c>
      <c r="C398">
        <v>4786831.9220000003</v>
      </c>
      <c r="D398">
        <v>51.073999999999998</v>
      </c>
      <c r="E398" t="s">
        <v>122</v>
      </c>
    </row>
    <row r="399" spans="1:5" x14ac:dyDescent="0.25">
      <c r="A399" s="84">
        <v>45723</v>
      </c>
      <c r="B399">
        <v>510892.864</v>
      </c>
      <c r="C399">
        <v>4786830.5839999998</v>
      </c>
      <c r="D399">
        <v>55.079000000000001</v>
      </c>
      <c r="E399" t="s">
        <v>93</v>
      </c>
    </row>
    <row r="400" spans="1:5" x14ac:dyDescent="0.25">
      <c r="A400" s="84">
        <v>45723</v>
      </c>
      <c r="B400">
        <v>510903.8</v>
      </c>
      <c r="C400">
        <v>4786831.3030000003</v>
      </c>
      <c r="D400">
        <v>53.1</v>
      </c>
      <c r="E400" t="s">
        <v>115</v>
      </c>
    </row>
    <row r="401" spans="1:5" x14ac:dyDescent="0.25">
      <c r="A401" s="84">
        <v>45723</v>
      </c>
      <c r="B401">
        <v>510927.29499999998</v>
      </c>
      <c r="C401">
        <v>4786824.7939999998</v>
      </c>
      <c r="D401">
        <v>53.063000000000002</v>
      </c>
      <c r="E401" t="s">
        <v>116</v>
      </c>
    </row>
    <row r="402" spans="1:5" x14ac:dyDescent="0.25">
      <c r="A402" s="84">
        <v>45723</v>
      </c>
      <c r="B402">
        <v>510899.70600000001</v>
      </c>
      <c r="C402">
        <v>4786831.8159999996</v>
      </c>
      <c r="D402">
        <v>57.087000000000003</v>
      </c>
      <c r="E402" t="s">
        <v>117</v>
      </c>
    </row>
    <row r="403" spans="1:5" x14ac:dyDescent="0.25">
      <c r="A403" s="84">
        <v>45723</v>
      </c>
      <c r="B403">
        <v>510910.79300000001</v>
      </c>
      <c r="C403">
        <v>4786832.1789999995</v>
      </c>
      <c r="D403">
        <v>55.076999999999998</v>
      </c>
      <c r="E403" t="s">
        <v>118</v>
      </c>
    </row>
    <row r="404" spans="1:5" x14ac:dyDescent="0.25">
      <c r="A404" s="84">
        <v>45723</v>
      </c>
      <c r="B404">
        <v>510917.65500000003</v>
      </c>
      <c r="C404">
        <v>4786832.9950000001</v>
      </c>
      <c r="D404">
        <v>57.015999999999998</v>
      </c>
      <c r="E404" t="s">
        <v>119</v>
      </c>
    </row>
    <row r="405" spans="1:5" x14ac:dyDescent="0.25">
      <c r="A405" s="84">
        <v>45723</v>
      </c>
      <c r="B405">
        <v>510923.92800000001</v>
      </c>
      <c r="C405">
        <v>4786829.1909999996</v>
      </c>
      <c r="D405">
        <v>57.027999999999999</v>
      </c>
      <c r="E405" t="s">
        <v>120</v>
      </c>
    </row>
    <row r="406" spans="1:5" x14ac:dyDescent="0.25">
      <c r="A406" s="84">
        <v>45723</v>
      </c>
      <c r="B406">
        <v>510906.62900000002</v>
      </c>
      <c r="C406">
        <v>4786833.0109999999</v>
      </c>
      <c r="D406">
        <v>58.597999999999999</v>
      </c>
      <c r="E406" t="s">
        <v>121</v>
      </c>
    </row>
    <row r="407" spans="1:5" x14ac:dyDescent="0.25">
      <c r="A407" s="84">
        <v>45721</v>
      </c>
      <c r="B407">
        <v>510882.65899999999</v>
      </c>
      <c r="C407">
        <v>4786829.9249999998</v>
      </c>
      <c r="D407">
        <v>54.497999999999998</v>
      </c>
      <c r="E407" t="s">
        <v>114</v>
      </c>
    </row>
    <row r="408" spans="1:5" x14ac:dyDescent="0.25">
      <c r="A408" s="84">
        <v>45721</v>
      </c>
      <c r="B408">
        <v>510918.27600000001</v>
      </c>
      <c r="C408">
        <v>4786831.9230000004</v>
      </c>
      <c r="D408">
        <v>51.075000000000003</v>
      </c>
      <c r="E408" t="s">
        <v>122</v>
      </c>
    </row>
    <row r="409" spans="1:5" x14ac:dyDescent="0.25">
      <c r="A409" s="84">
        <v>45721</v>
      </c>
      <c r="B409">
        <v>510892.864</v>
      </c>
      <c r="C409">
        <v>4786830.5820000004</v>
      </c>
      <c r="D409">
        <v>55.079000000000001</v>
      </c>
      <c r="E409" t="s">
        <v>93</v>
      </c>
    </row>
    <row r="410" spans="1:5" x14ac:dyDescent="0.25">
      <c r="A410" s="84">
        <v>45721</v>
      </c>
      <c r="B410">
        <v>510903.80099999998</v>
      </c>
      <c r="C410">
        <v>4786831.3039999995</v>
      </c>
      <c r="D410">
        <v>53.1</v>
      </c>
      <c r="E410" t="s">
        <v>115</v>
      </c>
    </row>
    <row r="411" spans="1:5" x14ac:dyDescent="0.25">
      <c r="A411" s="84">
        <v>45721</v>
      </c>
      <c r="B411">
        <v>510927.29200000002</v>
      </c>
      <c r="C411">
        <v>4786824.8</v>
      </c>
      <c r="D411">
        <v>53.061999999999998</v>
      </c>
      <c r="E411" t="s">
        <v>116</v>
      </c>
    </row>
    <row r="412" spans="1:5" x14ac:dyDescent="0.25">
      <c r="A412" s="84">
        <v>45721</v>
      </c>
      <c r="B412">
        <v>510899.70699999999</v>
      </c>
      <c r="C412">
        <v>4786831.8159999996</v>
      </c>
      <c r="D412">
        <v>57.087000000000003</v>
      </c>
      <c r="E412" t="s">
        <v>117</v>
      </c>
    </row>
    <row r="413" spans="1:5" x14ac:dyDescent="0.25">
      <c r="A413" s="84">
        <v>45721</v>
      </c>
      <c r="B413">
        <v>510910.79399999999</v>
      </c>
      <c r="C413">
        <v>4786832.18</v>
      </c>
      <c r="D413">
        <v>55.076999999999998</v>
      </c>
      <c r="E413" t="s">
        <v>118</v>
      </c>
    </row>
    <row r="414" spans="1:5" x14ac:dyDescent="0.25">
      <c r="A414" s="84">
        <v>45721</v>
      </c>
      <c r="B414">
        <v>510917.65500000003</v>
      </c>
      <c r="C414">
        <v>4786832.9960000003</v>
      </c>
      <c r="D414">
        <v>57.017000000000003</v>
      </c>
      <c r="E414" t="s">
        <v>119</v>
      </c>
    </row>
    <row r="415" spans="1:5" x14ac:dyDescent="0.25">
      <c r="A415" s="84">
        <v>45721</v>
      </c>
      <c r="B415">
        <v>510923.929</v>
      </c>
      <c r="C415">
        <v>4786829.1940000001</v>
      </c>
      <c r="D415">
        <v>57.027999999999999</v>
      </c>
      <c r="E415" t="s">
        <v>120</v>
      </c>
    </row>
    <row r="416" spans="1:5" x14ac:dyDescent="0.25">
      <c r="A416" s="84">
        <v>45721</v>
      </c>
      <c r="B416">
        <v>510906.63</v>
      </c>
      <c r="C416">
        <v>4786833.0120000001</v>
      </c>
      <c r="D416">
        <v>58.597999999999999</v>
      </c>
      <c r="E416" t="s">
        <v>121</v>
      </c>
    </row>
    <row r="417" spans="1:5" x14ac:dyDescent="0.25">
      <c r="A417" s="84">
        <v>45716</v>
      </c>
      <c r="B417">
        <v>510882.65700000001</v>
      </c>
      <c r="C417">
        <v>4786829.9249999998</v>
      </c>
      <c r="D417">
        <v>54.497999999999998</v>
      </c>
      <c r="E417" t="s">
        <v>114</v>
      </c>
    </row>
    <row r="418" spans="1:5" x14ac:dyDescent="0.25">
      <c r="A418" s="84">
        <v>45716</v>
      </c>
      <c r="B418">
        <v>510918.27399999998</v>
      </c>
      <c r="C418">
        <v>4786831.9230000004</v>
      </c>
      <c r="D418">
        <v>51.073999999999998</v>
      </c>
      <c r="E418" t="s">
        <v>122</v>
      </c>
    </row>
    <row r="419" spans="1:5" x14ac:dyDescent="0.25">
      <c r="A419" s="84">
        <v>45716</v>
      </c>
      <c r="B419">
        <v>510892.864</v>
      </c>
      <c r="C419">
        <v>4786830.585</v>
      </c>
      <c r="D419">
        <v>55.079000000000001</v>
      </c>
      <c r="E419" t="s">
        <v>93</v>
      </c>
    </row>
    <row r="420" spans="1:5" x14ac:dyDescent="0.25">
      <c r="A420" s="84">
        <v>45716</v>
      </c>
      <c r="B420">
        <v>510903.8</v>
      </c>
      <c r="C420">
        <v>4786831.3049999997</v>
      </c>
      <c r="D420">
        <v>53.1</v>
      </c>
      <c r="E420" t="s">
        <v>115</v>
      </c>
    </row>
    <row r="421" spans="1:5" x14ac:dyDescent="0.25">
      <c r="A421" s="84">
        <v>45716</v>
      </c>
      <c r="B421">
        <v>510927.29100000003</v>
      </c>
      <c r="C421">
        <v>4786824.8</v>
      </c>
      <c r="D421">
        <v>53.061999999999998</v>
      </c>
      <c r="E421" t="s">
        <v>116</v>
      </c>
    </row>
    <row r="422" spans="1:5" x14ac:dyDescent="0.25">
      <c r="A422" s="84">
        <v>45716</v>
      </c>
      <c r="B422">
        <v>510899.70500000002</v>
      </c>
      <c r="C422">
        <v>4786831.8169999998</v>
      </c>
      <c r="D422">
        <v>57.087000000000003</v>
      </c>
      <c r="E422" t="s">
        <v>117</v>
      </c>
    </row>
    <row r="423" spans="1:5" x14ac:dyDescent="0.25">
      <c r="A423" s="84">
        <v>45716</v>
      </c>
      <c r="B423">
        <v>510910.79300000001</v>
      </c>
      <c r="C423">
        <v>4786832.18</v>
      </c>
      <c r="D423">
        <v>55.076999999999998</v>
      </c>
      <c r="E423" t="s">
        <v>118</v>
      </c>
    </row>
    <row r="424" spans="1:5" x14ac:dyDescent="0.25">
      <c r="A424" s="84">
        <v>45716</v>
      </c>
      <c r="B424">
        <v>510917.65500000003</v>
      </c>
      <c r="C424">
        <v>4786832.9970000004</v>
      </c>
      <c r="D424">
        <v>57.015999999999998</v>
      </c>
      <c r="E424" t="s">
        <v>119</v>
      </c>
    </row>
    <row r="425" spans="1:5" x14ac:dyDescent="0.25">
      <c r="A425" s="84">
        <v>45716</v>
      </c>
      <c r="B425">
        <v>510923.92700000003</v>
      </c>
      <c r="C425">
        <v>4786829.1940000001</v>
      </c>
      <c r="D425">
        <v>57.027000000000001</v>
      </c>
      <c r="E425" t="s">
        <v>120</v>
      </c>
    </row>
    <row r="426" spans="1:5" x14ac:dyDescent="0.25">
      <c r="A426" s="84">
        <v>45716</v>
      </c>
      <c r="B426">
        <v>510906.62900000002</v>
      </c>
      <c r="C426">
        <v>4786833.0140000004</v>
      </c>
      <c r="D426">
        <v>58.598999999999997</v>
      </c>
      <c r="E426" t="s">
        <v>121</v>
      </c>
    </row>
    <row r="427" spans="1:5" x14ac:dyDescent="0.25">
      <c r="A427" s="84">
        <v>45715</v>
      </c>
      <c r="B427">
        <v>510882.65600000002</v>
      </c>
      <c r="C427">
        <v>4786829.926</v>
      </c>
      <c r="D427">
        <v>54.497999999999998</v>
      </c>
      <c r="E427" t="s">
        <v>114</v>
      </c>
    </row>
    <row r="428" spans="1:5" x14ac:dyDescent="0.25">
      <c r="A428" s="84">
        <v>45715</v>
      </c>
      <c r="B428">
        <v>510918.27299999999</v>
      </c>
      <c r="C428">
        <v>4786831.926</v>
      </c>
      <c r="D428">
        <v>51.075000000000003</v>
      </c>
      <c r="E428" t="s">
        <v>122</v>
      </c>
    </row>
    <row r="429" spans="1:5" x14ac:dyDescent="0.25">
      <c r="A429" s="84">
        <v>45715</v>
      </c>
      <c r="B429">
        <v>510892.86200000002</v>
      </c>
      <c r="C429">
        <v>4786830.5860000001</v>
      </c>
      <c r="D429">
        <v>55.079000000000001</v>
      </c>
      <c r="E429" t="s">
        <v>93</v>
      </c>
    </row>
    <row r="430" spans="1:5" x14ac:dyDescent="0.25">
      <c r="A430" s="84">
        <v>45715</v>
      </c>
      <c r="B430">
        <v>510903.799</v>
      </c>
      <c r="C430">
        <v>4786831.3080000002</v>
      </c>
      <c r="D430">
        <v>53.100999999999999</v>
      </c>
      <c r="E430" t="s">
        <v>115</v>
      </c>
    </row>
    <row r="431" spans="1:5" x14ac:dyDescent="0.25">
      <c r="A431" s="84">
        <v>45715</v>
      </c>
      <c r="B431">
        <v>510927.29499999998</v>
      </c>
      <c r="C431">
        <v>4786824.7960000001</v>
      </c>
      <c r="D431">
        <v>53.064</v>
      </c>
      <c r="E431" t="s">
        <v>116</v>
      </c>
    </row>
    <row r="432" spans="1:5" x14ac:dyDescent="0.25">
      <c r="A432" s="84">
        <v>45715</v>
      </c>
      <c r="B432">
        <v>510899.70400000003</v>
      </c>
      <c r="C432">
        <v>4786831.8190000001</v>
      </c>
      <c r="D432">
        <v>57.087000000000003</v>
      </c>
      <c r="E432" t="s">
        <v>117</v>
      </c>
    </row>
    <row r="433" spans="1:5" x14ac:dyDescent="0.25">
      <c r="A433" s="84">
        <v>45715</v>
      </c>
      <c r="B433">
        <v>510910.79100000003</v>
      </c>
      <c r="C433">
        <v>4786832.1830000002</v>
      </c>
      <c r="D433">
        <v>55.076999999999998</v>
      </c>
      <c r="E433" t="s">
        <v>118</v>
      </c>
    </row>
    <row r="434" spans="1:5" x14ac:dyDescent="0.25">
      <c r="A434" s="84">
        <v>45715</v>
      </c>
      <c r="B434">
        <v>510917.65299999999</v>
      </c>
      <c r="C434">
        <v>4786832.9989999998</v>
      </c>
      <c r="D434">
        <v>57.017000000000003</v>
      </c>
      <c r="E434" t="s">
        <v>119</v>
      </c>
    </row>
    <row r="435" spans="1:5" x14ac:dyDescent="0.25">
      <c r="A435" s="84">
        <v>45715</v>
      </c>
      <c r="B435">
        <v>510923.92599999998</v>
      </c>
      <c r="C435">
        <v>4786829.1969999997</v>
      </c>
      <c r="D435">
        <v>57.027999999999999</v>
      </c>
      <c r="E435" t="s">
        <v>120</v>
      </c>
    </row>
    <row r="436" spans="1:5" x14ac:dyDescent="0.25">
      <c r="A436" s="84">
        <v>45715</v>
      </c>
      <c r="B436">
        <v>510906.62800000003</v>
      </c>
      <c r="C436">
        <v>4786833.0149999997</v>
      </c>
      <c r="D436">
        <v>58.598999999999997</v>
      </c>
      <c r="E436" t="s">
        <v>121</v>
      </c>
    </row>
    <row r="437" spans="1:5" x14ac:dyDescent="0.25">
      <c r="A437" s="84">
        <v>45904</v>
      </c>
      <c r="B437">
        <v>510927.29200000002</v>
      </c>
      <c r="C437">
        <v>4786824.8</v>
      </c>
      <c r="D437">
        <v>53.064</v>
      </c>
      <c r="E437" t="s">
        <v>116</v>
      </c>
    </row>
    <row r="438" spans="1:5" x14ac:dyDescent="0.25">
      <c r="A438" s="84">
        <v>45904</v>
      </c>
      <c r="B438">
        <v>510923.91899999999</v>
      </c>
      <c r="C438">
        <v>4786829.1960000005</v>
      </c>
      <c r="D438">
        <v>57.027999999999999</v>
      </c>
      <c r="E438" t="s">
        <v>120</v>
      </c>
    </row>
    <row r="439" spans="1:5" x14ac:dyDescent="0.25">
      <c r="A439" s="84">
        <v>45904</v>
      </c>
      <c r="B439">
        <v>510917.64899999998</v>
      </c>
      <c r="C439">
        <v>4786833.0010000002</v>
      </c>
      <c r="D439">
        <v>57.015000000000001</v>
      </c>
      <c r="E439" t="s">
        <v>119</v>
      </c>
    </row>
    <row r="440" spans="1:5" x14ac:dyDescent="0.25">
      <c r="A440" s="84">
        <v>45904</v>
      </c>
      <c r="B440">
        <v>510882.65299999999</v>
      </c>
      <c r="C440">
        <v>4786829.9270000001</v>
      </c>
      <c r="D440">
        <v>54.5</v>
      </c>
      <c r="E440" t="s">
        <v>114</v>
      </c>
    </row>
    <row r="441" spans="1:5" x14ac:dyDescent="0.25">
      <c r="A441" s="84">
        <v>45904</v>
      </c>
      <c r="B441">
        <v>510892.86</v>
      </c>
      <c r="C441">
        <v>4786830.5870000003</v>
      </c>
      <c r="D441">
        <v>55.082000000000001</v>
      </c>
      <c r="E441" t="s">
        <v>93</v>
      </c>
    </row>
    <row r="442" spans="1:5" x14ac:dyDescent="0.25">
      <c r="A442" s="84">
        <v>45904</v>
      </c>
      <c r="B442">
        <v>510899.701</v>
      </c>
      <c r="C442">
        <v>4786831.8190000001</v>
      </c>
      <c r="D442">
        <v>57.088999999999999</v>
      </c>
      <c r="E442" t="s">
        <v>117</v>
      </c>
    </row>
    <row r="443" spans="1:5" x14ac:dyDescent="0.25">
      <c r="A443" s="84">
        <v>45904</v>
      </c>
      <c r="B443">
        <v>510903.79399999999</v>
      </c>
      <c r="C443">
        <v>4786831.307</v>
      </c>
      <c r="D443">
        <v>53.100999999999999</v>
      </c>
      <c r="E443" t="s">
        <v>115</v>
      </c>
    </row>
    <row r="444" spans="1:5" x14ac:dyDescent="0.25">
      <c r="A444" s="84">
        <v>45904</v>
      </c>
      <c r="B444">
        <v>510906.62400000001</v>
      </c>
      <c r="C444">
        <v>4786833.017</v>
      </c>
      <c r="D444">
        <v>58.597999999999999</v>
      </c>
      <c r="E444" t="s">
        <v>121</v>
      </c>
    </row>
    <row r="445" spans="1:5" x14ac:dyDescent="0.25">
      <c r="A445" s="84">
        <v>45904</v>
      </c>
      <c r="B445">
        <v>510910.788</v>
      </c>
      <c r="C445">
        <v>4786832.1830000002</v>
      </c>
      <c r="D445">
        <v>55.076000000000001</v>
      </c>
      <c r="E445" t="s">
        <v>118</v>
      </c>
    </row>
    <row r="446" spans="1:5" x14ac:dyDescent="0.25">
      <c r="A446" s="84">
        <v>45910</v>
      </c>
      <c r="B446">
        <v>510927.29100000003</v>
      </c>
      <c r="C446">
        <v>4786824.8</v>
      </c>
      <c r="D446">
        <v>53.064</v>
      </c>
      <c r="E446" t="s">
        <v>116</v>
      </c>
    </row>
    <row r="447" spans="1:5" x14ac:dyDescent="0.25">
      <c r="A447" s="84">
        <v>45910</v>
      </c>
      <c r="B447">
        <v>510923.91899999999</v>
      </c>
      <c r="C447">
        <v>4786829.1960000005</v>
      </c>
      <c r="D447">
        <v>57.027999999999999</v>
      </c>
      <c r="E447" t="s">
        <v>120</v>
      </c>
    </row>
    <row r="448" spans="1:5" x14ac:dyDescent="0.25">
      <c r="A448" s="84">
        <v>45910</v>
      </c>
      <c r="B448">
        <v>510917.64899999998</v>
      </c>
      <c r="C448">
        <v>4786833</v>
      </c>
      <c r="D448">
        <v>57.015000000000001</v>
      </c>
      <c r="E448" t="s">
        <v>119</v>
      </c>
    </row>
    <row r="449" spans="1:5" x14ac:dyDescent="0.25">
      <c r="A449" s="84">
        <v>45910</v>
      </c>
      <c r="B449">
        <v>510910.788</v>
      </c>
      <c r="C449">
        <v>4786832.182</v>
      </c>
      <c r="D449">
        <v>55.076000000000001</v>
      </c>
      <c r="E449" t="s">
        <v>118</v>
      </c>
    </row>
    <row r="450" spans="1:5" x14ac:dyDescent="0.25">
      <c r="A450" s="84">
        <v>45910</v>
      </c>
      <c r="B450">
        <v>510906.62400000001</v>
      </c>
      <c r="C450">
        <v>4786833.0159999998</v>
      </c>
      <c r="D450">
        <v>58.597999999999999</v>
      </c>
      <c r="E450" t="s">
        <v>121</v>
      </c>
    </row>
    <row r="451" spans="1:5" x14ac:dyDescent="0.25">
      <c r="A451" s="84">
        <v>45910</v>
      </c>
      <c r="B451">
        <v>510903.79499999998</v>
      </c>
      <c r="C451">
        <v>4786831.3059999999</v>
      </c>
      <c r="D451">
        <v>53.100999999999999</v>
      </c>
      <c r="E451" t="s">
        <v>115</v>
      </c>
    </row>
    <row r="452" spans="1:5" x14ac:dyDescent="0.25">
      <c r="A452" s="84">
        <v>45910</v>
      </c>
      <c r="B452">
        <v>510899.701</v>
      </c>
      <c r="C452">
        <v>4786831.8190000001</v>
      </c>
      <c r="D452">
        <v>57.088999999999999</v>
      </c>
      <c r="E452" t="s">
        <v>117</v>
      </c>
    </row>
    <row r="453" spans="1:5" x14ac:dyDescent="0.25">
      <c r="A453" s="84">
        <v>45910</v>
      </c>
      <c r="B453">
        <v>510892.86</v>
      </c>
      <c r="C453">
        <v>4786830.5860000001</v>
      </c>
      <c r="D453">
        <v>55.082000000000001</v>
      </c>
      <c r="E453" t="s">
        <v>93</v>
      </c>
    </row>
    <row r="454" spans="1:5" x14ac:dyDescent="0.25">
      <c r="A454" s="84">
        <v>45910</v>
      </c>
      <c r="B454">
        <v>510882.65399999998</v>
      </c>
      <c r="C454">
        <v>4786829.9270000001</v>
      </c>
      <c r="D454">
        <v>54.5</v>
      </c>
      <c r="E454" t="s">
        <v>114</v>
      </c>
    </row>
    <row r="455" spans="1:5" x14ac:dyDescent="0.25">
      <c r="A455" s="84">
        <v>45917</v>
      </c>
      <c r="B455">
        <v>510927.29100000003</v>
      </c>
      <c r="C455">
        <v>4786824.8</v>
      </c>
      <c r="D455">
        <v>53.061999999999998</v>
      </c>
      <c r="E455" t="s">
        <v>116</v>
      </c>
    </row>
    <row r="456" spans="1:5" x14ac:dyDescent="0.25">
      <c r="A456" s="84">
        <v>45917</v>
      </c>
      <c r="B456">
        <v>510923.91899999999</v>
      </c>
      <c r="C456">
        <v>4786829.1960000005</v>
      </c>
      <c r="D456">
        <v>57.026000000000003</v>
      </c>
      <c r="E456" t="s">
        <v>120</v>
      </c>
    </row>
    <row r="457" spans="1:5" x14ac:dyDescent="0.25">
      <c r="A457" s="84">
        <v>45917</v>
      </c>
      <c r="B457">
        <v>510917.64899999998</v>
      </c>
      <c r="C457">
        <v>4786833</v>
      </c>
      <c r="D457">
        <v>57.014000000000003</v>
      </c>
      <c r="E457" t="s">
        <v>119</v>
      </c>
    </row>
    <row r="458" spans="1:5" x14ac:dyDescent="0.25">
      <c r="A458" s="84">
        <v>45917</v>
      </c>
      <c r="B458">
        <v>510910.78700000001</v>
      </c>
      <c r="C458">
        <v>4786832.182</v>
      </c>
      <c r="D458">
        <v>55.073999999999998</v>
      </c>
      <c r="E458" t="s">
        <v>118</v>
      </c>
    </row>
    <row r="459" spans="1:5" x14ac:dyDescent="0.25">
      <c r="A459" s="84">
        <v>45917</v>
      </c>
      <c r="B459">
        <v>510906.62400000001</v>
      </c>
      <c r="C459">
        <v>4786833.017</v>
      </c>
      <c r="D459">
        <v>58.597000000000001</v>
      </c>
      <c r="E459" t="s">
        <v>121</v>
      </c>
    </row>
    <row r="460" spans="1:5" x14ac:dyDescent="0.25">
      <c r="A460" s="84">
        <v>45917</v>
      </c>
      <c r="B460">
        <v>510903.79399999999</v>
      </c>
      <c r="C460">
        <v>4786831.307</v>
      </c>
      <c r="D460">
        <v>53.098999999999997</v>
      </c>
      <c r="E460" t="s">
        <v>115</v>
      </c>
    </row>
    <row r="461" spans="1:5" x14ac:dyDescent="0.25">
      <c r="A461" s="84">
        <v>45917</v>
      </c>
      <c r="B461">
        <v>510899.701</v>
      </c>
      <c r="C461">
        <v>4786831.8190000001</v>
      </c>
      <c r="D461">
        <v>57.087000000000003</v>
      </c>
      <c r="E461" t="s">
        <v>117</v>
      </c>
    </row>
    <row r="462" spans="1:5" x14ac:dyDescent="0.25">
      <c r="A462" s="84">
        <v>45917</v>
      </c>
      <c r="B462">
        <v>510892.86</v>
      </c>
      <c r="C462">
        <v>4786830.5860000001</v>
      </c>
      <c r="D462">
        <v>55.08</v>
      </c>
      <c r="E462" t="s">
        <v>93</v>
      </c>
    </row>
    <row r="463" spans="1:5" x14ac:dyDescent="0.25">
      <c r="A463" s="84">
        <v>45917</v>
      </c>
      <c r="B463">
        <v>510882.65399999998</v>
      </c>
      <c r="C463">
        <v>4786829.9270000001</v>
      </c>
      <c r="D463">
        <v>54.497999999999998</v>
      </c>
      <c r="E463" t="s">
        <v>114</v>
      </c>
    </row>
    <row r="464" spans="1:5" x14ac:dyDescent="0.25">
      <c r="A464" s="84">
        <v>45923</v>
      </c>
      <c r="B464">
        <v>510927.29100000003</v>
      </c>
      <c r="C464">
        <v>4786824.8</v>
      </c>
      <c r="D464">
        <v>53.061999999999998</v>
      </c>
      <c r="E464" t="s">
        <v>116</v>
      </c>
    </row>
    <row r="465" spans="1:5" x14ac:dyDescent="0.25">
      <c r="A465" s="84">
        <v>45923</v>
      </c>
      <c r="B465">
        <v>510923.91899999999</v>
      </c>
      <c r="C465">
        <v>4786829.1960000005</v>
      </c>
      <c r="D465">
        <v>57.026000000000003</v>
      </c>
      <c r="E465" t="s">
        <v>120</v>
      </c>
    </row>
    <row r="466" spans="1:5" x14ac:dyDescent="0.25">
      <c r="A466" s="84">
        <v>45923</v>
      </c>
      <c r="B466">
        <v>510917.64899999998</v>
      </c>
      <c r="C466">
        <v>4786833</v>
      </c>
      <c r="D466">
        <v>57.012999999999998</v>
      </c>
      <c r="E466" t="s">
        <v>119</v>
      </c>
    </row>
    <row r="467" spans="1:5" x14ac:dyDescent="0.25">
      <c r="A467" s="84">
        <v>45923</v>
      </c>
      <c r="B467">
        <v>510910.78700000001</v>
      </c>
      <c r="C467">
        <v>4786832.182</v>
      </c>
      <c r="D467">
        <v>55.075000000000003</v>
      </c>
      <c r="E467" t="s">
        <v>118</v>
      </c>
    </row>
    <row r="468" spans="1:5" x14ac:dyDescent="0.25">
      <c r="A468" s="84">
        <v>45923</v>
      </c>
      <c r="B468">
        <v>510906.62400000001</v>
      </c>
      <c r="C468">
        <v>4786833.0159999998</v>
      </c>
      <c r="D468">
        <v>58.597000000000001</v>
      </c>
      <c r="E468" t="s">
        <v>121</v>
      </c>
    </row>
    <row r="469" spans="1:5" x14ac:dyDescent="0.25">
      <c r="A469" s="84">
        <v>45923</v>
      </c>
      <c r="B469">
        <v>510903.79399999999</v>
      </c>
      <c r="C469">
        <v>4786831.307</v>
      </c>
      <c r="D469">
        <v>53.098999999999997</v>
      </c>
      <c r="E469" t="s">
        <v>115</v>
      </c>
    </row>
    <row r="470" spans="1:5" x14ac:dyDescent="0.25">
      <c r="A470" s="84">
        <v>45923</v>
      </c>
      <c r="B470">
        <v>510899.701</v>
      </c>
      <c r="C470">
        <v>4786831.8190000001</v>
      </c>
      <c r="D470">
        <v>57.087000000000003</v>
      </c>
      <c r="E470" t="s">
        <v>117</v>
      </c>
    </row>
    <row r="471" spans="1:5" x14ac:dyDescent="0.25">
      <c r="A471" s="84">
        <v>45923</v>
      </c>
      <c r="B471">
        <v>510892.86</v>
      </c>
      <c r="C471">
        <v>4786830.585</v>
      </c>
      <c r="D471">
        <v>55.08</v>
      </c>
      <c r="E471" t="s">
        <v>93</v>
      </c>
    </row>
    <row r="472" spans="1:5" x14ac:dyDescent="0.25">
      <c r="A472" s="84">
        <v>45923</v>
      </c>
      <c r="B472">
        <v>510882.65399999998</v>
      </c>
      <c r="C472">
        <v>4786829.9270000001</v>
      </c>
      <c r="D472">
        <v>54.497999999999998</v>
      </c>
      <c r="E472" t="s">
        <v>114</v>
      </c>
    </row>
    <row r="473" spans="1:5" x14ac:dyDescent="0.25">
      <c r="A473" s="84">
        <v>45931</v>
      </c>
      <c r="B473">
        <v>510927.29100000003</v>
      </c>
      <c r="C473">
        <v>4786824.8</v>
      </c>
      <c r="D473">
        <v>53.063000000000002</v>
      </c>
      <c r="E473" t="s">
        <v>116</v>
      </c>
    </row>
    <row r="474" spans="1:5" x14ac:dyDescent="0.25">
      <c r="A474" s="84">
        <v>45931</v>
      </c>
      <c r="B474">
        <v>510923.91899999999</v>
      </c>
      <c r="C474">
        <v>4786829.1950000003</v>
      </c>
      <c r="D474">
        <v>57.026000000000003</v>
      </c>
      <c r="E474" t="s">
        <v>120</v>
      </c>
    </row>
    <row r="475" spans="1:5" x14ac:dyDescent="0.25">
      <c r="A475" s="84">
        <v>45931</v>
      </c>
      <c r="B475">
        <v>510917.64899999998</v>
      </c>
      <c r="C475">
        <v>4786832.9989999998</v>
      </c>
      <c r="D475">
        <v>57.012999999999998</v>
      </c>
      <c r="E475" t="s">
        <v>119</v>
      </c>
    </row>
    <row r="476" spans="1:5" x14ac:dyDescent="0.25">
      <c r="A476" s="84">
        <v>45931</v>
      </c>
      <c r="B476">
        <v>510910.78700000001</v>
      </c>
      <c r="C476">
        <v>4786832.182</v>
      </c>
      <c r="D476">
        <v>55.075000000000003</v>
      </c>
      <c r="E476" t="s">
        <v>118</v>
      </c>
    </row>
    <row r="477" spans="1:5" x14ac:dyDescent="0.25">
      <c r="A477" s="84">
        <v>45931</v>
      </c>
      <c r="B477">
        <v>510906.62400000001</v>
      </c>
      <c r="C477">
        <v>4786833.017</v>
      </c>
      <c r="D477">
        <v>58.597000000000001</v>
      </c>
      <c r="E477" t="s">
        <v>121</v>
      </c>
    </row>
    <row r="478" spans="1:5" x14ac:dyDescent="0.25">
      <c r="A478" s="84">
        <v>45931</v>
      </c>
      <c r="B478">
        <v>510903.79399999999</v>
      </c>
      <c r="C478">
        <v>4786831.3059999999</v>
      </c>
      <c r="D478">
        <v>53.098999999999997</v>
      </c>
      <c r="E478" t="s">
        <v>115</v>
      </c>
    </row>
    <row r="479" spans="1:5" x14ac:dyDescent="0.25">
      <c r="A479" s="84">
        <v>45931</v>
      </c>
      <c r="B479">
        <v>510899.701</v>
      </c>
      <c r="C479">
        <v>4786831.818</v>
      </c>
      <c r="D479">
        <v>57.087000000000003</v>
      </c>
      <c r="E479" t="s">
        <v>117</v>
      </c>
    </row>
    <row r="480" spans="1:5" x14ac:dyDescent="0.25">
      <c r="A480" s="84">
        <v>45931</v>
      </c>
      <c r="B480">
        <v>510892.86</v>
      </c>
      <c r="C480">
        <v>4786830.585</v>
      </c>
      <c r="D480">
        <v>55.08</v>
      </c>
      <c r="E480" t="s">
        <v>93</v>
      </c>
    </row>
    <row r="481" spans="1:5" x14ac:dyDescent="0.25">
      <c r="A481" s="84">
        <v>45943</v>
      </c>
      <c r="B481">
        <v>510892.86</v>
      </c>
      <c r="C481">
        <v>4786830.5860000001</v>
      </c>
      <c r="D481">
        <v>55.079000000000001</v>
      </c>
      <c r="E481" t="s">
        <v>93</v>
      </c>
    </row>
    <row r="482" spans="1:5" x14ac:dyDescent="0.25">
      <c r="A482" s="84">
        <v>45943</v>
      </c>
      <c r="B482">
        <v>510899.701</v>
      </c>
      <c r="C482">
        <v>4786831.8190000001</v>
      </c>
      <c r="D482">
        <v>57.085000000000001</v>
      </c>
      <c r="E482" t="s">
        <v>117</v>
      </c>
    </row>
    <row r="483" spans="1:5" x14ac:dyDescent="0.25">
      <c r="A483" s="84">
        <v>45943</v>
      </c>
      <c r="B483">
        <v>510903.79399999999</v>
      </c>
      <c r="C483">
        <v>4786831.3059999999</v>
      </c>
      <c r="D483">
        <v>53.097999999999999</v>
      </c>
      <c r="E483" t="s">
        <v>115</v>
      </c>
    </row>
    <row r="484" spans="1:5" x14ac:dyDescent="0.25">
      <c r="A484" s="84">
        <v>45943</v>
      </c>
      <c r="B484">
        <v>510906.62400000001</v>
      </c>
      <c r="C484">
        <v>4786833.017</v>
      </c>
      <c r="D484">
        <v>58.594999999999999</v>
      </c>
      <c r="E484" t="s">
        <v>121</v>
      </c>
    </row>
    <row r="485" spans="1:5" x14ac:dyDescent="0.25">
      <c r="A485" s="84">
        <v>45943</v>
      </c>
      <c r="B485">
        <v>510910.78700000001</v>
      </c>
      <c r="C485">
        <v>4786832.182</v>
      </c>
      <c r="D485">
        <v>55.073</v>
      </c>
      <c r="E485" t="s">
        <v>118</v>
      </c>
    </row>
    <row r="486" spans="1:5" x14ac:dyDescent="0.25">
      <c r="A486" s="84">
        <v>45943</v>
      </c>
      <c r="B486">
        <v>510917.64899999998</v>
      </c>
      <c r="C486">
        <v>4786833</v>
      </c>
      <c r="D486">
        <v>57.012</v>
      </c>
      <c r="E486" t="s">
        <v>119</v>
      </c>
    </row>
    <row r="487" spans="1:5" x14ac:dyDescent="0.25">
      <c r="A487" s="84">
        <v>45943</v>
      </c>
      <c r="B487">
        <v>510923.91899999999</v>
      </c>
      <c r="C487">
        <v>4786829.1960000005</v>
      </c>
      <c r="D487">
        <v>57.024000000000001</v>
      </c>
      <c r="E487" t="s">
        <v>120</v>
      </c>
    </row>
    <row r="488" spans="1:5" x14ac:dyDescent="0.25">
      <c r="A488" s="84">
        <v>45943</v>
      </c>
      <c r="B488">
        <v>510927.29100000003</v>
      </c>
      <c r="C488">
        <v>4786824.8</v>
      </c>
      <c r="D488">
        <v>53.061</v>
      </c>
      <c r="E488" t="s">
        <v>116</v>
      </c>
    </row>
    <row r="489" spans="1:5" x14ac:dyDescent="0.25">
      <c r="A489" s="84">
        <v>45957</v>
      </c>
      <c r="B489">
        <v>510927.29100000003</v>
      </c>
      <c r="C489">
        <v>4786824.8</v>
      </c>
      <c r="D489">
        <v>53.063000000000002</v>
      </c>
      <c r="E489" t="s">
        <v>116</v>
      </c>
    </row>
    <row r="490" spans="1:5" x14ac:dyDescent="0.25">
      <c r="A490" s="84">
        <v>45957</v>
      </c>
      <c r="B490">
        <v>510923.91899999999</v>
      </c>
      <c r="C490">
        <v>4786829.1960000005</v>
      </c>
      <c r="D490">
        <v>57.027000000000001</v>
      </c>
      <c r="E490" t="s">
        <v>120</v>
      </c>
    </row>
    <row r="491" spans="1:5" x14ac:dyDescent="0.25">
      <c r="A491" s="84">
        <v>45957</v>
      </c>
      <c r="B491">
        <v>510917.64899999998</v>
      </c>
      <c r="C491">
        <v>4786833</v>
      </c>
      <c r="D491">
        <v>57.014000000000003</v>
      </c>
      <c r="E491" t="s">
        <v>119</v>
      </c>
    </row>
    <row r="492" spans="1:5" x14ac:dyDescent="0.25">
      <c r="A492" s="84">
        <v>45957</v>
      </c>
      <c r="B492">
        <v>510910.78700000001</v>
      </c>
      <c r="C492">
        <v>4786832.182</v>
      </c>
      <c r="D492">
        <v>55.075000000000003</v>
      </c>
      <c r="E492" t="s">
        <v>118</v>
      </c>
    </row>
    <row r="493" spans="1:5" x14ac:dyDescent="0.25">
      <c r="A493" s="84">
        <v>45957</v>
      </c>
      <c r="B493">
        <v>510906.62400000001</v>
      </c>
      <c r="C493">
        <v>4786833.017</v>
      </c>
      <c r="D493">
        <v>58.597000000000001</v>
      </c>
      <c r="E493" t="s">
        <v>121</v>
      </c>
    </row>
    <row r="494" spans="1:5" x14ac:dyDescent="0.25">
      <c r="A494" s="84">
        <v>45957</v>
      </c>
      <c r="B494">
        <v>510903.79499999998</v>
      </c>
      <c r="C494">
        <v>4786831.3059999999</v>
      </c>
      <c r="D494">
        <v>53.100999999999999</v>
      </c>
      <c r="E494" t="s">
        <v>115</v>
      </c>
    </row>
    <row r="495" spans="1:5" x14ac:dyDescent="0.25">
      <c r="A495" s="84">
        <v>45957</v>
      </c>
      <c r="B495">
        <v>510899.701</v>
      </c>
      <c r="C495">
        <v>4786831.8190000001</v>
      </c>
      <c r="D495">
        <v>57.088000000000001</v>
      </c>
      <c r="E495" t="s">
        <v>117</v>
      </c>
    </row>
    <row r="496" spans="1:5" x14ac:dyDescent="0.25">
      <c r="A496" s="84">
        <v>45957</v>
      </c>
      <c r="B496">
        <v>510892.86</v>
      </c>
      <c r="C496">
        <v>4786830.585</v>
      </c>
      <c r="D496">
        <v>55.081000000000003</v>
      </c>
      <c r="E496" t="s">
        <v>93</v>
      </c>
    </row>
    <row r="497" spans="1:5" x14ac:dyDescent="0.25">
      <c r="A497" s="84">
        <v>45964</v>
      </c>
      <c r="B497">
        <v>510927.29100000003</v>
      </c>
      <c r="C497">
        <v>4786824.8</v>
      </c>
      <c r="D497">
        <v>53.061999999999998</v>
      </c>
      <c r="E497" t="s">
        <v>116</v>
      </c>
    </row>
    <row r="498" spans="1:5" x14ac:dyDescent="0.25">
      <c r="A498" s="84">
        <v>45964</v>
      </c>
      <c r="B498">
        <v>510923.91800000001</v>
      </c>
      <c r="C498">
        <v>4786829.1950000003</v>
      </c>
      <c r="D498">
        <v>57.024999999999999</v>
      </c>
      <c r="E498" t="s">
        <v>120</v>
      </c>
    </row>
    <row r="499" spans="1:5" x14ac:dyDescent="0.25">
      <c r="A499" s="84">
        <v>45964</v>
      </c>
      <c r="B499">
        <v>510917.64899999998</v>
      </c>
      <c r="C499">
        <v>4786833</v>
      </c>
      <c r="D499">
        <v>57.012999999999998</v>
      </c>
      <c r="E499" t="s">
        <v>119</v>
      </c>
    </row>
    <row r="500" spans="1:5" x14ac:dyDescent="0.25">
      <c r="A500" s="84">
        <v>45964</v>
      </c>
      <c r="B500">
        <v>510910.78700000001</v>
      </c>
      <c r="C500">
        <v>4786832.182</v>
      </c>
      <c r="D500">
        <v>55.073999999999998</v>
      </c>
      <c r="E500" t="s">
        <v>118</v>
      </c>
    </row>
    <row r="501" spans="1:5" x14ac:dyDescent="0.25">
      <c r="A501" s="84">
        <v>45964</v>
      </c>
      <c r="B501">
        <v>510906.62400000001</v>
      </c>
      <c r="C501">
        <v>4786833.017</v>
      </c>
      <c r="D501">
        <v>58.597000000000001</v>
      </c>
      <c r="E501" t="s">
        <v>121</v>
      </c>
    </row>
    <row r="502" spans="1:5" x14ac:dyDescent="0.25">
      <c r="A502" s="84">
        <v>45964</v>
      </c>
      <c r="B502">
        <v>510903.79399999999</v>
      </c>
      <c r="C502">
        <v>4786831.3059999999</v>
      </c>
      <c r="D502">
        <v>53.097999999999999</v>
      </c>
      <c r="E502" t="s">
        <v>115</v>
      </c>
    </row>
    <row r="503" spans="1:5" x14ac:dyDescent="0.25">
      <c r="A503" s="84">
        <v>45964</v>
      </c>
      <c r="B503">
        <v>510899.7</v>
      </c>
      <c r="C503">
        <v>4786831.8190000001</v>
      </c>
      <c r="D503">
        <v>57.085999999999999</v>
      </c>
      <c r="E503" t="s">
        <v>117</v>
      </c>
    </row>
    <row r="504" spans="1:5" x14ac:dyDescent="0.25">
      <c r="A504" s="84">
        <v>45964</v>
      </c>
      <c r="B504">
        <v>510892.859</v>
      </c>
      <c r="C504">
        <v>4786830.585</v>
      </c>
      <c r="D504">
        <v>55.08</v>
      </c>
      <c r="E504" t="s">
        <v>93</v>
      </c>
    </row>
    <row r="505" spans="1:5" x14ac:dyDescent="0.25">
      <c r="A505" s="84">
        <v>45978</v>
      </c>
      <c r="B505">
        <v>510892.86</v>
      </c>
      <c r="C505">
        <v>4786830.585</v>
      </c>
      <c r="D505">
        <v>55.08</v>
      </c>
      <c r="E505" t="s">
        <v>93</v>
      </c>
    </row>
    <row r="506" spans="1:5" x14ac:dyDescent="0.25">
      <c r="A506" s="84">
        <v>45978</v>
      </c>
      <c r="B506">
        <v>510899.701</v>
      </c>
      <c r="C506">
        <v>4786831.8190000001</v>
      </c>
      <c r="D506">
        <v>57.085999999999999</v>
      </c>
      <c r="E506" t="s">
        <v>117</v>
      </c>
    </row>
    <row r="507" spans="1:5" x14ac:dyDescent="0.25">
      <c r="A507" s="84">
        <v>45978</v>
      </c>
      <c r="B507">
        <v>510903.79399999999</v>
      </c>
      <c r="C507">
        <v>4786831.3059999999</v>
      </c>
      <c r="D507">
        <v>53.098999999999997</v>
      </c>
      <c r="E507" t="s">
        <v>115</v>
      </c>
    </row>
    <row r="508" spans="1:5" x14ac:dyDescent="0.25">
      <c r="A508" s="84">
        <v>45978</v>
      </c>
      <c r="B508">
        <v>510906.62400000001</v>
      </c>
      <c r="C508">
        <v>4786833.017</v>
      </c>
      <c r="D508">
        <v>58.595999999999997</v>
      </c>
      <c r="E508" t="s">
        <v>121</v>
      </c>
    </row>
    <row r="509" spans="1:5" x14ac:dyDescent="0.25">
      <c r="A509" s="84">
        <v>45978</v>
      </c>
      <c r="B509">
        <v>510910.78700000001</v>
      </c>
      <c r="C509">
        <v>4786832.182</v>
      </c>
      <c r="D509">
        <v>55.073999999999998</v>
      </c>
      <c r="E509" t="s">
        <v>118</v>
      </c>
    </row>
    <row r="510" spans="1:5" x14ac:dyDescent="0.25">
      <c r="A510" s="84">
        <v>45978</v>
      </c>
      <c r="B510">
        <v>510917.64799999999</v>
      </c>
      <c r="C510">
        <v>4786832.9989999998</v>
      </c>
      <c r="D510">
        <v>57.012</v>
      </c>
      <c r="E510" t="s">
        <v>119</v>
      </c>
    </row>
    <row r="511" spans="1:5" x14ac:dyDescent="0.25">
      <c r="A511" s="84">
        <v>45978</v>
      </c>
      <c r="B511">
        <v>510923.91800000001</v>
      </c>
      <c r="C511">
        <v>4786829.1960000005</v>
      </c>
      <c r="D511">
        <v>57.024999999999999</v>
      </c>
      <c r="E511" t="s">
        <v>120</v>
      </c>
    </row>
    <row r="512" spans="1:5" x14ac:dyDescent="0.25">
      <c r="A512" s="84">
        <v>45978</v>
      </c>
      <c r="B512">
        <v>510927.29</v>
      </c>
      <c r="C512">
        <v>4786824.8</v>
      </c>
      <c r="D512">
        <v>53.061999999999998</v>
      </c>
      <c r="E512" t="s">
        <v>116</v>
      </c>
    </row>
    <row r="513" spans="1:5" x14ac:dyDescent="0.25">
      <c r="A513" s="84">
        <v>45992</v>
      </c>
      <c r="B513">
        <v>510927.29</v>
      </c>
      <c r="C513">
        <v>4786824.7989999996</v>
      </c>
      <c r="D513">
        <v>53.06</v>
      </c>
      <c r="E513" t="s">
        <v>116</v>
      </c>
    </row>
    <row r="514" spans="1:5" x14ac:dyDescent="0.25">
      <c r="A514" s="84">
        <v>45992</v>
      </c>
      <c r="B514">
        <v>510923.91800000001</v>
      </c>
      <c r="C514">
        <v>4786829.1950000003</v>
      </c>
      <c r="D514">
        <v>57.024000000000001</v>
      </c>
      <c r="E514" t="s">
        <v>120</v>
      </c>
    </row>
    <row r="515" spans="1:5" x14ac:dyDescent="0.25">
      <c r="A515" s="84">
        <v>45992</v>
      </c>
      <c r="B515">
        <v>510917.64899999998</v>
      </c>
      <c r="C515">
        <v>4786833</v>
      </c>
      <c r="D515">
        <v>57.012</v>
      </c>
      <c r="E515" t="s">
        <v>119</v>
      </c>
    </row>
    <row r="516" spans="1:5" x14ac:dyDescent="0.25">
      <c r="A516" s="84">
        <v>45992</v>
      </c>
      <c r="B516">
        <v>510910.78700000001</v>
      </c>
      <c r="C516">
        <v>4786832.1809999999</v>
      </c>
      <c r="D516">
        <v>55.073</v>
      </c>
      <c r="E516" t="s">
        <v>118</v>
      </c>
    </row>
    <row r="517" spans="1:5" x14ac:dyDescent="0.25">
      <c r="A517" s="84">
        <v>45992</v>
      </c>
      <c r="B517">
        <v>510906.62400000001</v>
      </c>
      <c r="C517">
        <v>4786833.0149999997</v>
      </c>
      <c r="D517">
        <v>58.594999999999999</v>
      </c>
      <c r="E517" t="s">
        <v>121</v>
      </c>
    </row>
    <row r="518" spans="1:5" x14ac:dyDescent="0.25">
      <c r="A518" s="84">
        <v>45992</v>
      </c>
      <c r="B518">
        <v>510903.79499999998</v>
      </c>
      <c r="C518">
        <v>4786831.3059999999</v>
      </c>
      <c r="D518">
        <v>53.097999999999999</v>
      </c>
      <c r="E518" t="s">
        <v>115</v>
      </c>
    </row>
    <row r="519" spans="1:5" x14ac:dyDescent="0.25">
      <c r="A519" s="84">
        <v>45992</v>
      </c>
      <c r="B519">
        <v>510899.701</v>
      </c>
      <c r="C519">
        <v>4786831.818</v>
      </c>
      <c r="D519">
        <v>57.085000000000001</v>
      </c>
      <c r="E519" t="s">
        <v>117</v>
      </c>
    </row>
    <row r="520" spans="1:5" x14ac:dyDescent="0.25">
      <c r="A520" s="84">
        <v>45992</v>
      </c>
      <c r="B520">
        <v>510892.86</v>
      </c>
      <c r="C520">
        <v>4786830.5839999998</v>
      </c>
      <c r="D520">
        <v>55.079000000000001</v>
      </c>
      <c r="E520" t="s">
        <v>93</v>
      </c>
    </row>
    <row r="521" spans="1:5" x14ac:dyDescent="0.25">
      <c r="A521" s="84">
        <v>46006</v>
      </c>
      <c r="B521">
        <v>510927.29100000003</v>
      </c>
      <c r="C521">
        <v>4786824.8</v>
      </c>
      <c r="D521">
        <v>53.061</v>
      </c>
      <c r="E521" t="s">
        <v>116</v>
      </c>
    </row>
    <row r="522" spans="1:5" x14ac:dyDescent="0.25">
      <c r="A522" s="84">
        <v>46006</v>
      </c>
      <c r="B522">
        <v>510923.91899999999</v>
      </c>
      <c r="C522">
        <v>4786829.1950000003</v>
      </c>
      <c r="D522">
        <v>57.024000000000001</v>
      </c>
      <c r="E522" t="s">
        <v>120</v>
      </c>
    </row>
    <row r="523" spans="1:5" x14ac:dyDescent="0.25">
      <c r="A523" s="84">
        <v>46006</v>
      </c>
      <c r="B523">
        <v>510917.64899999998</v>
      </c>
      <c r="C523">
        <v>4786833</v>
      </c>
      <c r="D523">
        <v>57.012</v>
      </c>
      <c r="E523" t="s">
        <v>119</v>
      </c>
    </row>
    <row r="524" spans="1:5" x14ac:dyDescent="0.25">
      <c r="A524" s="84">
        <v>46006</v>
      </c>
      <c r="B524">
        <v>510910.78700000001</v>
      </c>
      <c r="C524">
        <v>4786832.1809999999</v>
      </c>
      <c r="D524">
        <v>55.073</v>
      </c>
      <c r="E524" t="s">
        <v>118</v>
      </c>
    </row>
    <row r="525" spans="1:5" x14ac:dyDescent="0.25">
      <c r="A525" s="84">
        <v>46006</v>
      </c>
      <c r="B525">
        <v>510906.62400000001</v>
      </c>
      <c r="C525">
        <v>4786833.0159999998</v>
      </c>
      <c r="D525">
        <v>58.595999999999997</v>
      </c>
      <c r="E525" t="s">
        <v>121</v>
      </c>
    </row>
    <row r="526" spans="1:5" x14ac:dyDescent="0.25">
      <c r="A526" s="84">
        <v>46006</v>
      </c>
      <c r="B526">
        <v>510899.701</v>
      </c>
      <c r="C526">
        <v>4786831.818</v>
      </c>
      <c r="D526">
        <v>57.085999999999999</v>
      </c>
      <c r="E526" t="s">
        <v>117</v>
      </c>
    </row>
    <row r="527" spans="1:5" x14ac:dyDescent="0.25">
      <c r="A527" s="84">
        <v>46006</v>
      </c>
      <c r="B527">
        <v>510892.86</v>
      </c>
      <c r="C527">
        <v>4786830.5839999998</v>
      </c>
      <c r="D527">
        <v>55.079000000000001</v>
      </c>
      <c r="E527" t="s">
        <v>93</v>
      </c>
    </row>
    <row r="528" spans="1:5" x14ac:dyDescent="0.25">
      <c r="A528" s="84">
        <v>46035</v>
      </c>
      <c r="B528">
        <v>510927.29100000003</v>
      </c>
      <c r="C528">
        <v>4786824.8</v>
      </c>
      <c r="D528">
        <v>53.064</v>
      </c>
      <c r="E528" t="s">
        <v>116</v>
      </c>
    </row>
    <row r="529" spans="1:5" x14ac:dyDescent="0.25">
      <c r="A529" s="84">
        <v>46035</v>
      </c>
      <c r="B529">
        <v>510923.91899999999</v>
      </c>
      <c r="C529">
        <v>4786829.1960000005</v>
      </c>
      <c r="D529">
        <v>57.027000000000001</v>
      </c>
      <c r="E529" t="s">
        <v>120</v>
      </c>
    </row>
    <row r="530" spans="1:5" x14ac:dyDescent="0.25">
      <c r="A530" s="84">
        <v>46035</v>
      </c>
      <c r="B530">
        <v>510917.64899999998</v>
      </c>
      <c r="C530">
        <v>4786833</v>
      </c>
      <c r="D530">
        <v>57.014000000000003</v>
      </c>
      <c r="E530" t="s">
        <v>119</v>
      </c>
    </row>
    <row r="531" spans="1:5" x14ac:dyDescent="0.25">
      <c r="A531" s="84">
        <v>46035</v>
      </c>
      <c r="B531">
        <v>510910.78700000001</v>
      </c>
      <c r="C531">
        <v>4786832.1809999999</v>
      </c>
      <c r="D531">
        <v>55.076000000000001</v>
      </c>
      <c r="E531" t="s">
        <v>118</v>
      </c>
    </row>
    <row r="532" spans="1:5" x14ac:dyDescent="0.25">
      <c r="A532" s="84">
        <v>46035</v>
      </c>
      <c r="B532">
        <v>510906.62400000001</v>
      </c>
      <c r="C532">
        <v>4786833.0149999997</v>
      </c>
      <c r="D532">
        <v>58.597999999999999</v>
      </c>
      <c r="E532" t="s">
        <v>121</v>
      </c>
    </row>
    <row r="533" spans="1:5" x14ac:dyDescent="0.25">
      <c r="A533" s="84">
        <v>46035</v>
      </c>
      <c r="B533">
        <v>510903.79399999999</v>
      </c>
      <c r="C533">
        <v>4786831.3049999997</v>
      </c>
      <c r="D533">
        <v>53.100999999999999</v>
      </c>
      <c r="E533" t="s">
        <v>115</v>
      </c>
    </row>
    <row r="534" spans="1:5" x14ac:dyDescent="0.25">
      <c r="A534" s="84">
        <v>46035</v>
      </c>
      <c r="B534">
        <v>510899.701</v>
      </c>
      <c r="C534">
        <v>4786831.8169999998</v>
      </c>
      <c r="D534">
        <v>57.088000000000001</v>
      </c>
      <c r="E534" t="s">
        <v>117</v>
      </c>
    </row>
    <row r="535" spans="1:5" x14ac:dyDescent="0.25">
      <c r="A535" s="84">
        <v>46035</v>
      </c>
      <c r="B535">
        <v>510892.86</v>
      </c>
      <c r="C535">
        <v>4786830.5829999996</v>
      </c>
      <c r="D535">
        <v>55.082000000000001</v>
      </c>
      <c r="E535" t="s">
        <v>93</v>
      </c>
    </row>
    <row r="536" spans="1:5" x14ac:dyDescent="0.25">
      <c r="A536" s="84">
        <v>46048</v>
      </c>
      <c r="B536">
        <v>510927.29100000003</v>
      </c>
      <c r="C536">
        <v>4786824.801</v>
      </c>
      <c r="D536">
        <v>53.064</v>
      </c>
      <c r="E536" t="s">
        <v>116</v>
      </c>
    </row>
    <row r="537" spans="1:5" x14ac:dyDescent="0.25">
      <c r="A537" s="84">
        <v>46048</v>
      </c>
      <c r="B537">
        <v>510923.91800000001</v>
      </c>
      <c r="C537">
        <v>4786829.1950000003</v>
      </c>
      <c r="D537">
        <v>57.027999999999999</v>
      </c>
      <c r="E537" t="s">
        <v>120</v>
      </c>
    </row>
    <row r="538" spans="1:5" x14ac:dyDescent="0.25">
      <c r="A538" s="84">
        <v>46048</v>
      </c>
      <c r="B538">
        <v>510917.64899999998</v>
      </c>
      <c r="C538">
        <v>4786833</v>
      </c>
      <c r="D538">
        <v>57.015000000000001</v>
      </c>
      <c r="E538" t="s">
        <v>119</v>
      </c>
    </row>
    <row r="539" spans="1:5" x14ac:dyDescent="0.25">
      <c r="A539" s="84">
        <v>46048</v>
      </c>
      <c r="B539">
        <v>510910.78700000001</v>
      </c>
      <c r="C539">
        <v>4786832.1809999999</v>
      </c>
      <c r="D539">
        <v>55.076999999999998</v>
      </c>
      <c r="E539" t="s">
        <v>118</v>
      </c>
    </row>
    <row r="540" spans="1:5" x14ac:dyDescent="0.25">
      <c r="A540" s="84">
        <v>46048</v>
      </c>
      <c r="B540">
        <v>510906.62400000001</v>
      </c>
      <c r="C540">
        <v>4786833.0140000004</v>
      </c>
      <c r="D540">
        <v>58.598999999999997</v>
      </c>
      <c r="E540" t="s">
        <v>121</v>
      </c>
    </row>
    <row r="541" spans="1:5" x14ac:dyDescent="0.25">
      <c r="A541" s="84">
        <v>46048</v>
      </c>
      <c r="B541">
        <v>510903.79499999998</v>
      </c>
      <c r="C541">
        <v>4786831.3059999999</v>
      </c>
      <c r="D541">
        <v>53.101999999999997</v>
      </c>
      <c r="E541" t="s">
        <v>115</v>
      </c>
    </row>
    <row r="542" spans="1:5" x14ac:dyDescent="0.25">
      <c r="A542" s="84">
        <v>46048</v>
      </c>
      <c r="B542">
        <v>510899.701</v>
      </c>
      <c r="C542">
        <v>4786831.8169999998</v>
      </c>
      <c r="D542">
        <v>57.088999999999999</v>
      </c>
      <c r="E542" t="s">
        <v>117</v>
      </c>
    </row>
    <row r="543" spans="1:5" x14ac:dyDescent="0.25">
      <c r="A543" s="84">
        <v>46048</v>
      </c>
      <c r="B543">
        <v>510892.86</v>
      </c>
      <c r="C543">
        <v>4786830.5829999996</v>
      </c>
      <c r="D543">
        <v>55.082000000000001</v>
      </c>
      <c r="E543" t="s">
        <v>93</v>
      </c>
    </row>
    <row r="544" spans="1:5" x14ac:dyDescent="0.25">
      <c r="A544" s="84">
        <v>46065</v>
      </c>
      <c r="B544">
        <v>510892.86</v>
      </c>
      <c r="C544">
        <v>4786830.5829999996</v>
      </c>
      <c r="D544">
        <v>55.081000000000003</v>
      </c>
      <c r="E544" t="s">
        <v>93</v>
      </c>
    </row>
    <row r="545" spans="1:5" x14ac:dyDescent="0.25">
      <c r="A545" s="84">
        <v>46065</v>
      </c>
      <c r="B545">
        <v>510899.701</v>
      </c>
      <c r="C545">
        <v>4786831.8169999998</v>
      </c>
      <c r="D545">
        <v>57.088000000000001</v>
      </c>
      <c r="E545" t="s">
        <v>117</v>
      </c>
    </row>
    <row r="546" spans="1:5" x14ac:dyDescent="0.25">
      <c r="A546" s="84">
        <v>46065</v>
      </c>
      <c r="B546">
        <v>510903.79499999998</v>
      </c>
      <c r="C546">
        <v>4786831.3049999997</v>
      </c>
      <c r="D546">
        <v>53.1</v>
      </c>
      <c r="E546" t="s">
        <v>115</v>
      </c>
    </row>
    <row r="547" spans="1:5" x14ac:dyDescent="0.25">
      <c r="A547" s="84">
        <v>46065</v>
      </c>
      <c r="B547">
        <v>510906.62400000001</v>
      </c>
      <c r="C547">
        <v>4786833.0149999997</v>
      </c>
      <c r="D547">
        <v>58.597999999999999</v>
      </c>
      <c r="E547" t="s">
        <v>121</v>
      </c>
    </row>
    <row r="548" spans="1:5" x14ac:dyDescent="0.25">
      <c r="A548" s="84">
        <v>46065</v>
      </c>
      <c r="B548">
        <v>510910.78700000001</v>
      </c>
      <c r="C548">
        <v>4786832.1809999999</v>
      </c>
      <c r="D548">
        <v>55.075000000000003</v>
      </c>
      <c r="E548" t="s">
        <v>118</v>
      </c>
    </row>
    <row r="549" spans="1:5" x14ac:dyDescent="0.25">
      <c r="A549" s="84">
        <v>46065</v>
      </c>
      <c r="B549">
        <v>510917.64899999998</v>
      </c>
      <c r="C549">
        <v>4786833</v>
      </c>
      <c r="D549">
        <v>57.012999999999998</v>
      </c>
      <c r="E549" t="s">
        <v>119</v>
      </c>
    </row>
    <row r="550" spans="1:5" x14ac:dyDescent="0.25">
      <c r="A550" s="84">
        <v>46065</v>
      </c>
      <c r="B550">
        <v>510923.91800000001</v>
      </c>
      <c r="C550">
        <v>4786829.1950000003</v>
      </c>
      <c r="D550">
        <v>57.026000000000003</v>
      </c>
      <c r="E550" t="s">
        <v>120</v>
      </c>
    </row>
    <row r="551" spans="1:5" x14ac:dyDescent="0.25">
      <c r="A551" s="84">
        <v>46065</v>
      </c>
      <c r="B551">
        <v>510927.29100000003</v>
      </c>
      <c r="C551">
        <v>4786824.8</v>
      </c>
      <c r="D551">
        <v>53.061999999999998</v>
      </c>
      <c r="E551" t="s">
        <v>116</v>
      </c>
    </row>
    <row r="552" spans="1:5" x14ac:dyDescent="0.25">
      <c r="A552" s="84">
        <v>46090</v>
      </c>
      <c r="B552">
        <v>510927.29100000003</v>
      </c>
      <c r="C552">
        <v>4786824.8</v>
      </c>
      <c r="D552">
        <v>53.064</v>
      </c>
      <c r="E552" t="s">
        <v>116</v>
      </c>
    </row>
    <row r="553" spans="1:5" x14ac:dyDescent="0.25">
      <c r="A553" s="84">
        <v>46090</v>
      </c>
      <c r="B553">
        <v>510923.91800000001</v>
      </c>
      <c r="C553">
        <v>4786829.1950000003</v>
      </c>
      <c r="D553">
        <v>57.027000000000001</v>
      </c>
      <c r="E553" t="s">
        <v>120</v>
      </c>
    </row>
    <row r="554" spans="1:5" x14ac:dyDescent="0.25">
      <c r="A554" s="84">
        <v>46090</v>
      </c>
      <c r="B554">
        <v>510917.64899999998</v>
      </c>
      <c r="C554">
        <v>4786832.9989999998</v>
      </c>
      <c r="D554">
        <v>57.015000000000001</v>
      </c>
      <c r="E554" t="s">
        <v>119</v>
      </c>
    </row>
    <row r="555" spans="1:5" x14ac:dyDescent="0.25">
      <c r="A555" s="84">
        <v>46090</v>
      </c>
      <c r="B555">
        <v>510910.78700000001</v>
      </c>
      <c r="C555">
        <v>4786832.18</v>
      </c>
      <c r="D555">
        <v>55.076000000000001</v>
      </c>
      <c r="E555" t="s">
        <v>118</v>
      </c>
    </row>
    <row r="556" spans="1:5" x14ac:dyDescent="0.25">
      <c r="A556" s="84">
        <v>46090</v>
      </c>
      <c r="B556">
        <v>510906.62400000001</v>
      </c>
      <c r="C556">
        <v>4786833.0130000003</v>
      </c>
      <c r="D556">
        <v>58.598999999999997</v>
      </c>
      <c r="E556" t="s">
        <v>121</v>
      </c>
    </row>
    <row r="557" spans="1:5" x14ac:dyDescent="0.25">
      <c r="A557" s="84">
        <v>46090</v>
      </c>
      <c r="B557">
        <v>510903.79399999999</v>
      </c>
      <c r="C557">
        <v>4786831.3049999997</v>
      </c>
      <c r="D557">
        <v>53.100999999999999</v>
      </c>
      <c r="E557" t="s">
        <v>115</v>
      </c>
    </row>
    <row r="558" spans="1:5" x14ac:dyDescent="0.25">
      <c r="A558" s="84">
        <v>46090</v>
      </c>
      <c r="B558">
        <v>510899.701</v>
      </c>
      <c r="C558">
        <v>4786831.8159999996</v>
      </c>
      <c r="D558">
        <v>57.088999999999999</v>
      </c>
      <c r="E558" t="s">
        <v>117</v>
      </c>
    </row>
    <row r="559" spans="1:5" x14ac:dyDescent="0.25">
      <c r="A559" s="84">
        <v>46090</v>
      </c>
      <c r="B559">
        <v>510892.86</v>
      </c>
      <c r="C559">
        <v>4786830.5820000004</v>
      </c>
      <c r="D559">
        <v>55.082000000000001</v>
      </c>
      <c r="E559" t="s">
        <v>93</v>
      </c>
    </row>
    <row r="560" spans="1:5" x14ac:dyDescent="0.25">
      <c r="A560" s="84">
        <v>46111</v>
      </c>
      <c r="B560" s="101">
        <v>510892.86</v>
      </c>
      <c r="C560" s="101">
        <v>4786830.5820000004</v>
      </c>
      <c r="D560" s="101">
        <v>55.082000000000001</v>
      </c>
      <c r="E560" s="101" t="s">
        <v>93</v>
      </c>
    </row>
    <row r="561" spans="1:5" x14ac:dyDescent="0.25">
      <c r="A561" s="84">
        <v>46111</v>
      </c>
      <c r="B561" s="101">
        <v>510903.79499999998</v>
      </c>
      <c r="C561" s="101">
        <v>4786831.3049999997</v>
      </c>
      <c r="D561" s="101">
        <v>53.100999999999999</v>
      </c>
      <c r="E561" s="101" t="s">
        <v>115</v>
      </c>
    </row>
    <row r="562" spans="1:5" x14ac:dyDescent="0.25">
      <c r="A562" s="84">
        <v>46111</v>
      </c>
      <c r="B562" s="101">
        <v>510927.29100000003</v>
      </c>
      <c r="C562" s="101">
        <v>4786824.8</v>
      </c>
      <c r="D562" s="101">
        <v>53.064</v>
      </c>
      <c r="E562" s="101" t="s">
        <v>116</v>
      </c>
    </row>
    <row r="563" spans="1:5" x14ac:dyDescent="0.25">
      <c r="A563" s="84">
        <v>46111</v>
      </c>
      <c r="B563" s="101">
        <v>510899.701</v>
      </c>
      <c r="C563" s="101">
        <v>4786831.8169999998</v>
      </c>
      <c r="D563" s="101">
        <v>57.088999999999999</v>
      </c>
      <c r="E563" s="101" t="s">
        <v>117</v>
      </c>
    </row>
    <row r="564" spans="1:5" x14ac:dyDescent="0.25">
      <c r="A564" s="84">
        <v>46111</v>
      </c>
      <c r="B564" s="101">
        <v>510910.788</v>
      </c>
      <c r="C564" s="101">
        <v>4786832.1809999999</v>
      </c>
      <c r="D564" s="101">
        <v>55.076999999999998</v>
      </c>
      <c r="E564" s="101" t="s">
        <v>118</v>
      </c>
    </row>
    <row r="565" spans="1:5" x14ac:dyDescent="0.25">
      <c r="A565" s="84">
        <v>46111</v>
      </c>
      <c r="B565" s="101">
        <v>510917.65</v>
      </c>
      <c r="C565" s="101">
        <v>4786832.9989999998</v>
      </c>
      <c r="D565" s="101">
        <v>57.015000000000001</v>
      </c>
      <c r="E565" s="101" t="s">
        <v>119</v>
      </c>
    </row>
    <row r="566" spans="1:5" x14ac:dyDescent="0.25">
      <c r="A566" s="84">
        <v>46111</v>
      </c>
      <c r="B566" s="101">
        <v>510923.91899999999</v>
      </c>
      <c r="C566" s="101">
        <v>4786829.1950000003</v>
      </c>
      <c r="D566" s="101">
        <v>57.027999999999999</v>
      </c>
      <c r="E566" s="101" t="s">
        <v>120</v>
      </c>
    </row>
    <row r="567" spans="1:5" x14ac:dyDescent="0.25">
      <c r="A567" s="84">
        <v>46111</v>
      </c>
      <c r="B567" s="101">
        <v>510906.625</v>
      </c>
      <c r="C567" s="101">
        <v>4786833.0140000004</v>
      </c>
      <c r="D567" s="101">
        <v>58.598999999999997</v>
      </c>
      <c r="E567" s="101" t="s">
        <v>121</v>
      </c>
    </row>
    <row r="568" spans="1:5" x14ac:dyDescent="0.25">
      <c r="A568" s="84">
        <v>46126</v>
      </c>
      <c r="B568" s="101">
        <v>510892.86</v>
      </c>
      <c r="C568" s="101">
        <v>4786830.5829999996</v>
      </c>
      <c r="D568" s="101">
        <v>55.081000000000003</v>
      </c>
      <c r="E568" s="101" t="s">
        <v>93</v>
      </c>
    </row>
    <row r="569" spans="1:5" x14ac:dyDescent="0.25">
      <c r="A569" s="84">
        <v>46126</v>
      </c>
      <c r="B569" s="101">
        <v>510903.79499999998</v>
      </c>
      <c r="C569" s="101">
        <v>4786831.3049999997</v>
      </c>
      <c r="D569" s="101">
        <v>53.098999999999997</v>
      </c>
      <c r="E569" s="101" t="s">
        <v>115</v>
      </c>
    </row>
    <row r="570" spans="1:5" x14ac:dyDescent="0.25">
      <c r="A570" s="84">
        <v>46126</v>
      </c>
      <c r="B570" s="101">
        <v>510927.29100000003</v>
      </c>
      <c r="C570" s="101">
        <v>4786824.8</v>
      </c>
      <c r="D570" s="101">
        <v>53.061</v>
      </c>
      <c r="E570" s="101" t="s">
        <v>116</v>
      </c>
    </row>
    <row r="571" spans="1:5" x14ac:dyDescent="0.25">
      <c r="A571" s="84">
        <v>46126</v>
      </c>
      <c r="B571" s="101">
        <v>510927.29100000003</v>
      </c>
      <c r="C571" s="101">
        <v>4786824.8</v>
      </c>
      <c r="D571" s="101">
        <v>53.064</v>
      </c>
      <c r="E571" s="101" t="s">
        <v>116</v>
      </c>
    </row>
    <row r="572" spans="1:5" x14ac:dyDescent="0.25">
      <c r="A572" s="84">
        <v>46126</v>
      </c>
      <c r="B572" s="101">
        <v>510899.701</v>
      </c>
      <c r="C572" s="101">
        <v>4786831.8169999998</v>
      </c>
      <c r="D572" s="101">
        <v>57.088000000000001</v>
      </c>
      <c r="E572" s="101" t="s">
        <v>117</v>
      </c>
    </row>
    <row r="573" spans="1:5" x14ac:dyDescent="0.25">
      <c r="A573" s="84">
        <v>46126</v>
      </c>
      <c r="B573" s="101">
        <v>510910.788</v>
      </c>
      <c r="C573" s="101">
        <v>4786832.1809999999</v>
      </c>
      <c r="D573" s="101">
        <v>55.076000000000001</v>
      </c>
      <c r="E573" s="101" t="s">
        <v>118</v>
      </c>
    </row>
    <row r="574" spans="1:5" x14ac:dyDescent="0.25">
      <c r="A574" s="84">
        <v>46126</v>
      </c>
      <c r="B574" s="101">
        <v>510917.65</v>
      </c>
      <c r="C574" s="101">
        <v>4786833</v>
      </c>
      <c r="D574" s="101">
        <v>57.014000000000003</v>
      </c>
      <c r="E574" s="101" t="s">
        <v>119</v>
      </c>
    </row>
    <row r="575" spans="1:5" x14ac:dyDescent="0.25">
      <c r="A575" s="84">
        <v>46126</v>
      </c>
      <c r="B575" s="101">
        <v>510923.91899999999</v>
      </c>
      <c r="C575" s="101">
        <v>4786829.1950000003</v>
      </c>
      <c r="D575" s="101">
        <v>57.027000000000001</v>
      </c>
      <c r="E575" s="101" t="s">
        <v>120</v>
      </c>
    </row>
    <row r="576" spans="1:5" x14ac:dyDescent="0.25">
      <c r="A576" s="84">
        <v>46126</v>
      </c>
      <c r="B576" s="101">
        <v>510906.625</v>
      </c>
      <c r="C576" s="101">
        <v>4786833.0140000004</v>
      </c>
      <c r="D576" s="101">
        <v>58.597999999999999</v>
      </c>
      <c r="E576" s="101" t="s">
        <v>121</v>
      </c>
    </row>
    <row r="577" spans="1:5" x14ac:dyDescent="0.25">
      <c r="A577" s="84">
        <v>46160</v>
      </c>
      <c r="B577" s="101">
        <v>510892.86</v>
      </c>
      <c r="C577" s="86">
        <v>4786830.5820000004</v>
      </c>
      <c r="D577" s="86">
        <v>55.082000000000001</v>
      </c>
      <c r="E577" s="86" t="s">
        <v>93</v>
      </c>
    </row>
    <row r="578" spans="1:5" x14ac:dyDescent="0.25">
      <c r="A578" s="84">
        <v>46160</v>
      </c>
      <c r="B578" s="101">
        <v>510903.79499999998</v>
      </c>
      <c r="C578" s="86">
        <v>4786831.3049999997</v>
      </c>
      <c r="D578" s="86">
        <v>53.1</v>
      </c>
      <c r="E578" s="86" t="s">
        <v>115</v>
      </c>
    </row>
    <row r="579" spans="1:5" x14ac:dyDescent="0.25">
      <c r="A579" s="84">
        <v>46160</v>
      </c>
      <c r="B579" s="101">
        <v>510927.29100000003</v>
      </c>
      <c r="C579" s="86">
        <v>4786824.8</v>
      </c>
      <c r="D579" s="86">
        <v>53.064999999999998</v>
      </c>
      <c r="E579" s="86" t="s">
        <v>116</v>
      </c>
    </row>
    <row r="580" spans="1:5" x14ac:dyDescent="0.25">
      <c r="A580" s="84">
        <v>46160</v>
      </c>
      <c r="B580" s="101">
        <v>510899.701</v>
      </c>
      <c r="C580" s="86">
        <v>4786831.8169999998</v>
      </c>
      <c r="D580" s="86">
        <v>57.088999999999999</v>
      </c>
      <c r="E580" s="86" t="s">
        <v>117</v>
      </c>
    </row>
    <row r="581" spans="1:5" x14ac:dyDescent="0.25">
      <c r="A581" s="84">
        <v>46160</v>
      </c>
      <c r="B581" s="101">
        <v>510910.788</v>
      </c>
      <c r="C581" s="86">
        <v>4786832.1809999999</v>
      </c>
      <c r="D581" s="86">
        <v>55.076999999999998</v>
      </c>
      <c r="E581" s="86" t="s">
        <v>118</v>
      </c>
    </row>
    <row r="582" spans="1:5" x14ac:dyDescent="0.25">
      <c r="A582" s="84">
        <v>46160</v>
      </c>
      <c r="B582" s="101">
        <v>510917.64899999998</v>
      </c>
      <c r="C582" s="86">
        <v>4786833</v>
      </c>
      <c r="D582" s="86">
        <v>57.015000000000001</v>
      </c>
      <c r="E582" s="86" t="s">
        <v>119</v>
      </c>
    </row>
    <row r="583" spans="1:5" x14ac:dyDescent="0.25">
      <c r="A583" s="84">
        <v>46160</v>
      </c>
      <c r="B583" s="101">
        <v>510923.91899999999</v>
      </c>
      <c r="C583" s="86">
        <v>4786829.1950000003</v>
      </c>
      <c r="D583" s="86">
        <v>57.027999999999999</v>
      </c>
      <c r="E583" s="86" t="s">
        <v>120</v>
      </c>
    </row>
    <row r="584" spans="1:5" x14ac:dyDescent="0.25">
      <c r="A584" s="84">
        <v>46160</v>
      </c>
      <c r="B584" s="101">
        <v>510906.62400000001</v>
      </c>
      <c r="C584" s="86">
        <v>4786833.0140000004</v>
      </c>
      <c r="D584" s="86">
        <v>58.598999999999997</v>
      </c>
      <c r="E584" s="86" t="s">
        <v>121</v>
      </c>
    </row>
    <row r="585" spans="1:5" x14ac:dyDescent="0.25">
      <c r="A585" s="84"/>
      <c r="B585"/>
      <c r="C585"/>
      <c r="D585"/>
      <c r="E585"/>
    </row>
    <row r="586" spans="1:5" x14ac:dyDescent="0.25">
      <c r="A586" s="84"/>
      <c r="B586"/>
      <c r="C586"/>
      <c r="D586"/>
      <c r="E586"/>
    </row>
    <row r="587" spans="1:5" x14ac:dyDescent="0.25">
      <c r="A587" s="84"/>
      <c r="B587"/>
      <c r="C587"/>
      <c r="D587"/>
      <c r="E587"/>
    </row>
    <row r="588" spans="1:5" x14ac:dyDescent="0.25">
      <c r="A588" s="84"/>
      <c r="B588"/>
      <c r="C588"/>
      <c r="D588"/>
      <c r="E588"/>
    </row>
    <row r="589" spans="1:5" x14ac:dyDescent="0.25">
      <c r="A589" s="84"/>
      <c r="B589"/>
      <c r="C589"/>
      <c r="D589"/>
      <c r="E589"/>
    </row>
    <row r="590" spans="1:5" x14ac:dyDescent="0.25">
      <c r="A590" s="84"/>
      <c r="B590"/>
      <c r="C590"/>
      <c r="D590"/>
      <c r="E590"/>
    </row>
    <row r="591" spans="1:5" x14ac:dyDescent="0.25">
      <c r="A591" s="84"/>
      <c r="B591"/>
      <c r="C591"/>
      <c r="D591"/>
      <c r="E591"/>
    </row>
    <row r="592" spans="1:5" x14ac:dyDescent="0.25">
      <c r="A592" s="84"/>
      <c r="B592"/>
      <c r="C592"/>
      <c r="D592"/>
      <c r="E592"/>
    </row>
    <row r="593" spans="1:5" x14ac:dyDescent="0.25">
      <c r="A593" s="84"/>
      <c r="B593"/>
      <c r="C593"/>
      <c r="D593"/>
      <c r="E593"/>
    </row>
    <row r="594" spans="1:5" x14ac:dyDescent="0.25">
      <c r="A594" s="84"/>
      <c r="B594"/>
      <c r="C594"/>
      <c r="D594"/>
      <c r="E594"/>
    </row>
    <row r="595" spans="1:5" x14ac:dyDescent="0.25">
      <c r="A595" s="84"/>
      <c r="B595"/>
      <c r="C595"/>
      <c r="D595"/>
      <c r="E595"/>
    </row>
    <row r="596" spans="1:5" x14ac:dyDescent="0.25">
      <c r="A596" s="84"/>
      <c r="B596"/>
      <c r="C596"/>
      <c r="D596"/>
      <c r="E596"/>
    </row>
    <row r="597" spans="1:5" x14ac:dyDescent="0.25">
      <c r="A597" s="84"/>
      <c r="B597"/>
      <c r="C597"/>
      <c r="D597"/>
      <c r="E597"/>
    </row>
    <row r="598" spans="1:5" x14ac:dyDescent="0.25">
      <c r="A598" s="84"/>
      <c r="B598"/>
      <c r="C598"/>
      <c r="D598"/>
      <c r="E598"/>
    </row>
    <row r="599" spans="1:5" x14ac:dyDescent="0.25">
      <c r="A599" s="84"/>
      <c r="B599"/>
      <c r="C599"/>
      <c r="D599"/>
      <c r="E599"/>
    </row>
    <row r="600" spans="1:5" x14ac:dyDescent="0.25">
      <c r="A600" s="84"/>
      <c r="B600"/>
      <c r="C600"/>
      <c r="D600"/>
      <c r="E600"/>
    </row>
    <row r="601" spans="1:5" x14ac:dyDescent="0.25">
      <c r="A601" s="84"/>
      <c r="B601"/>
      <c r="C601"/>
      <c r="D601"/>
      <c r="E601"/>
    </row>
    <row r="602" spans="1:5" x14ac:dyDescent="0.25">
      <c r="A602" s="84"/>
      <c r="B602"/>
      <c r="C602"/>
      <c r="D602"/>
      <c r="E602"/>
    </row>
    <row r="603" spans="1:5" x14ac:dyDescent="0.25">
      <c r="A603" s="84"/>
      <c r="B603"/>
      <c r="C603"/>
      <c r="D603"/>
      <c r="E603"/>
    </row>
    <row r="604" spans="1:5" x14ac:dyDescent="0.25">
      <c r="A604" s="84"/>
      <c r="B604"/>
      <c r="C604"/>
      <c r="D604"/>
      <c r="E604"/>
    </row>
    <row r="605" spans="1:5" x14ac:dyDescent="0.25">
      <c r="A605" s="84"/>
      <c r="B605"/>
      <c r="C605"/>
      <c r="D605"/>
      <c r="E605"/>
    </row>
    <row r="606" spans="1:5" x14ac:dyDescent="0.25">
      <c r="A606" s="84"/>
      <c r="B606"/>
      <c r="C606"/>
      <c r="D606"/>
      <c r="E606"/>
    </row>
    <row r="607" spans="1:5" x14ac:dyDescent="0.25">
      <c r="A607" s="84"/>
      <c r="B607"/>
      <c r="C607"/>
      <c r="D607"/>
      <c r="E607"/>
    </row>
    <row r="608" spans="1:5" x14ac:dyDescent="0.25">
      <c r="A608" s="84"/>
      <c r="B608"/>
      <c r="C608"/>
      <c r="D608"/>
      <c r="E608"/>
    </row>
    <row r="609" spans="1:5" x14ac:dyDescent="0.25">
      <c r="A609" s="84"/>
      <c r="B609"/>
      <c r="C609"/>
      <c r="D609"/>
      <c r="E609"/>
    </row>
    <row r="610" spans="1:5" x14ac:dyDescent="0.25">
      <c r="A610" s="84"/>
      <c r="B610"/>
      <c r="C610"/>
      <c r="D610"/>
      <c r="E610"/>
    </row>
    <row r="611" spans="1:5" x14ac:dyDescent="0.25">
      <c r="A611" s="84"/>
      <c r="B611"/>
      <c r="C611"/>
      <c r="D611"/>
      <c r="E611"/>
    </row>
    <row r="612" spans="1:5" x14ac:dyDescent="0.25">
      <c r="A612" s="84"/>
      <c r="B612"/>
      <c r="C612"/>
      <c r="D612"/>
      <c r="E612"/>
    </row>
    <row r="613" spans="1:5" x14ac:dyDescent="0.25">
      <c r="A613" s="84"/>
      <c r="B613"/>
      <c r="C613"/>
      <c r="D613"/>
      <c r="E613"/>
    </row>
    <row r="614" spans="1:5" x14ac:dyDescent="0.25">
      <c r="A614" s="84"/>
      <c r="B614"/>
      <c r="C614"/>
      <c r="D614"/>
      <c r="E614"/>
    </row>
    <row r="615" spans="1:5" x14ac:dyDescent="0.25">
      <c r="A615" s="84"/>
      <c r="B615"/>
      <c r="C615"/>
      <c r="D615"/>
      <c r="E615"/>
    </row>
    <row r="616" spans="1:5" x14ac:dyDescent="0.25">
      <c r="A616" s="84"/>
      <c r="B616"/>
      <c r="C616"/>
      <c r="D616"/>
      <c r="E616"/>
    </row>
    <row r="617" spans="1:5" x14ac:dyDescent="0.25">
      <c r="A617" s="84"/>
      <c r="B617"/>
      <c r="C617"/>
      <c r="D617"/>
      <c r="E617"/>
    </row>
    <row r="618" spans="1:5" x14ac:dyDescent="0.25">
      <c r="A618" s="84"/>
      <c r="B618"/>
      <c r="C618"/>
      <c r="D618"/>
      <c r="E618"/>
    </row>
    <row r="619" spans="1:5" x14ac:dyDescent="0.25">
      <c r="A619" s="84"/>
      <c r="B619"/>
      <c r="C619"/>
      <c r="D619"/>
      <c r="E619"/>
    </row>
    <row r="620" spans="1:5" x14ac:dyDescent="0.25">
      <c r="A620" s="84"/>
      <c r="B620"/>
      <c r="C620"/>
      <c r="D620"/>
      <c r="E620"/>
    </row>
    <row r="621" spans="1:5" x14ac:dyDescent="0.25">
      <c r="A621" s="84"/>
      <c r="B621"/>
      <c r="C621"/>
      <c r="D621"/>
      <c r="E621"/>
    </row>
    <row r="622" spans="1:5" x14ac:dyDescent="0.25">
      <c r="A622" s="84"/>
      <c r="B622"/>
      <c r="C622"/>
      <c r="D622"/>
      <c r="E622"/>
    </row>
    <row r="623" spans="1:5" x14ac:dyDescent="0.25">
      <c r="A623" s="84"/>
      <c r="B623"/>
      <c r="C623"/>
      <c r="D623"/>
      <c r="E623"/>
    </row>
    <row r="624" spans="1:5" x14ac:dyDescent="0.25">
      <c r="A624" s="84"/>
      <c r="B624"/>
      <c r="C624"/>
      <c r="D624"/>
      <c r="E624"/>
    </row>
    <row r="625" spans="1:5" x14ac:dyDescent="0.25">
      <c r="A625" s="84"/>
      <c r="B625"/>
      <c r="C625"/>
      <c r="D625"/>
      <c r="E625"/>
    </row>
    <row r="626" spans="1:5" x14ac:dyDescent="0.25">
      <c r="A626" s="84"/>
      <c r="B626"/>
      <c r="C626"/>
      <c r="D626"/>
      <c r="E626"/>
    </row>
    <row r="627" spans="1:5" x14ac:dyDescent="0.25">
      <c r="A627" s="84"/>
      <c r="B627"/>
      <c r="C627"/>
      <c r="D627"/>
      <c r="E627"/>
    </row>
    <row r="628" spans="1:5" x14ac:dyDescent="0.25">
      <c r="A628" s="84"/>
      <c r="B628"/>
      <c r="C628"/>
      <c r="D628"/>
      <c r="E628"/>
    </row>
    <row r="629" spans="1:5" x14ac:dyDescent="0.25">
      <c r="A629" s="84"/>
      <c r="B629"/>
      <c r="C629"/>
      <c r="D629"/>
      <c r="E629"/>
    </row>
    <row r="630" spans="1:5" x14ac:dyDescent="0.25">
      <c r="A630" s="84"/>
      <c r="B630"/>
      <c r="C630"/>
      <c r="D630"/>
      <c r="E630"/>
    </row>
    <row r="631" spans="1:5" x14ac:dyDescent="0.25">
      <c r="A631" s="84"/>
      <c r="B631"/>
      <c r="C631"/>
      <c r="D631"/>
      <c r="E631"/>
    </row>
    <row r="632" spans="1:5" x14ac:dyDescent="0.25">
      <c r="A632" s="84"/>
      <c r="B632"/>
      <c r="C632"/>
      <c r="D632"/>
      <c r="E632"/>
    </row>
    <row r="633" spans="1:5" x14ac:dyDescent="0.25">
      <c r="A633" s="84"/>
      <c r="B633"/>
      <c r="C633"/>
      <c r="D633"/>
      <c r="E633"/>
    </row>
    <row r="634" spans="1:5" x14ac:dyDescent="0.25">
      <c r="A634" s="84"/>
      <c r="B634"/>
      <c r="C634"/>
      <c r="D634"/>
      <c r="E634"/>
    </row>
    <row r="635" spans="1:5" x14ac:dyDescent="0.25">
      <c r="A635" s="84"/>
      <c r="B635"/>
      <c r="C635"/>
      <c r="D635"/>
      <c r="E635"/>
    </row>
    <row r="636" spans="1:5" x14ac:dyDescent="0.25">
      <c r="A636" s="84"/>
      <c r="B636"/>
      <c r="C636"/>
      <c r="D636"/>
      <c r="E636"/>
    </row>
    <row r="637" spans="1:5" x14ac:dyDescent="0.25">
      <c r="A637" s="84"/>
      <c r="B637"/>
      <c r="C637"/>
      <c r="D637"/>
      <c r="E637"/>
    </row>
    <row r="638" spans="1:5" x14ac:dyDescent="0.25">
      <c r="A638" s="84"/>
      <c r="B638"/>
      <c r="C638"/>
      <c r="D638"/>
      <c r="E638"/>
    </row>
    <row r="639" spans="1:5" x14ac:dyDescent="0.25">
      <c r="A639" s="84"/>
      <c r="B639"/>
      <c r="C639"/>
      <c r="D639"/>
      <c r="E639"/>
    </row>
    <row r="640" spans="1:5" x14ac:dyDescent="0.25">
      <c r="A640" s="84"/>
      <c r="B640"/>
      <c r="C640"/>
      <c r="D640"/>
      <c r="E640"/>
    </row>
    <row r="641" spans="1:5" x14ac:dyDescent="0.25">
      <c r="A641" s="84"/>
      <c r="B641"/>
      <c r="C641"/>
      <c r="D641"/>
      <c r="E641"/>
    </row>
    <row r="642" spans="1:5" x14ac:dyDescent="0.25">
      <c r="A642" s="84"/>
      <c r="B642"/>
      <c r="C642"/>
      <c r="D642"/>
      <c r="E642"/>
    </row>
    <row r="643" spans="1:5" x14ac:dyDescent="0.25">
      <c r="A643" s="84"/>
      <c r="B643"/>
      <c r="C643"/>
      <c r="D643"/>
      <c r="E643"/>
    </row>
    <row r="644" spans="1:5" x14ac:dyDescent="0.25">
      <c r="A644" s="84"/>
      <c r="B644"/>
      <c r="C644"/>
      <c r="D644"/>
      <c r="E644"/>
    </row>
    <row r="645" spans="1:5" x14ac:dyDescent="0.25">
      <c r="A645" s="84"/>
      <c r="B645"/>
      <c r="C645"/>
      <c r="D645"/>
      <c r="E645"/>
    </row>
    <row r="646" spans="1:5" x14ac:dyDescent="0.25">
      <c r="A646" s="84"/>
      <c r="B646"/>
      <c r="C646"/>
      <c r="D646"/>
      <c r="E646"/>
    </row>
    <row r="647" spans="1:5" x14ac:dyDescent="0.25">
      <c r="A647" s="84"/>
      <c r="B647"/>
      <c r="C647"/>
      <c r="D647"/>
      <c r="E647"/>
    </row>
    <row r="648" spans="1:5" x14ac:dyDescent="0.25">
      <c r="A648" s="84"/>
      <c r="B648"/>
      <c r="C648"/>
      <c r="D648"/>
      <c r="E648"/>
    </row>
    <row r="649" spans="1:5" x14ac:dyDescent="0.25">
      <c r="A649" s="84"/>
      <c r="B649"/>
      <c r="C649"/>
      <c r="D649"/>
      <c r="E649"/>
    </row>
    <row r="650" spans="1:5" x14ac:dyDescent="0.25">
      <c r="A650" s="84"/>
      <c r="B650"/>
      <c r="C650"/>
      <c r="D650"/>
      <c r="E650"/>
    </row>
    <row r="651" spans="1:5" x14ac:dyDescent="0.25">
      <c r="A651" s="84"/>
      <c r="B651"/>
      <c r="C651"/>
      <c r="D651"/>
      <c r="E651"/>
    </row>
    <row r="652" spans="1:5" x14ac:dyDescent="0.25">
      <c r="A652" s="84"/>
      <c r="B652"/>
      <c r="C652"/>
      <c r="D652"/>
      <c r="E652"/>
    </row>
    <row r="653" spans="1:5" x14ac:dyDescent="0.25">
      <c r="A653" s="84"/>
      <c r="B653"/>
      <c r="C653"/>
      <c r="D653"/>
      <c r="E653"/>
    </row>
    <row r="654" spans="1:5" x14ac:dyDescent="0.25">
      <c r="A654" s="84"/>
      <c r="B654"/>
      <c r="C654"/>
      <c r="D654"/>
      <c r="E654"/>
    </row>
    <row r="655" spans="1:5" x14ac:dyDescent="0.25">
      <c r="A655" s="84"/>
      <c r="B655"/>
      <c r="C655"/>
      <c r="D655"/>
      <c r="E655"/>
    </row>
    <row r="656" spans="1:5" x14ac:dyDescent="0.25">
      <c r="A656" s="84"/>
      <c r="B656"/>
      <c r="C656"/>
      <c r="D656"/>
      <c r="E656"/>
    </row>
    <row r="657" spans="1:5" x14ac:dyDescent="0.25">
      <c r="A657" s="84"/>
      <c r="B657"/>
      <c r="C657"/>
      <c r="D657"/>
      <c r="E657"/>
    </row>
    <row r="658" spans="1:5" x14ac:dyDescent="0.25">
      <c r="A658" s="84"/>
      <c r="B658"/>
      <c r="C658"/>
      <c r="D658"/>
      <c r="E658"/>
    </row>
    <row r="659" spans="1:5" x14ac:dyDescent="0.25">
      <c r="A659" s="84"/>
      <c r="B659"/>
      <c r="C659"/>
      <c r="D659"/>
      <c r="E659"/>
    </row>
    <row r="660" spans="1:5" x14ac:dyDescent="0.25">
      <c r="A660" s="84"/>
      <c r="B660"/>
      <c r="C660"/>
      <c r="D660"/>
      <c r="E660"/>
    </row>
    <row r="661" spans="1:5" x14ac:dyDescent="0.25">
      <c r="A661" s="84"/>
      <c r="B661"/>
      <c r="C661"/>
      <c r="D661"/>
      <c r="E661"/>
    </row>
    <row r="662" spans="1:5" x14ac:dyDescent="0.25">
      <c r="A662" s="84"/>
      <c r="B662"/>
      <c r="C662"/>
      <c r="D662"/>
      <c r="E662"/>
    </row>
    <row r="663" spans="1:5" x14ac:dyDescent="0.25">
      <c r="A663" s="84"/>
      <c r="B663"/>
      <c r="C663"/>
      <c r="D663"/>
      <c r="E663"/>
    </row>
    <row r="664" spans="1:5" x14ac:dyDescent="0.25">
      <c r="A664" s="84"/>
      <c r="B664"/>
      <c r="C664"/>
      <c r="D664"/>
      <c r="E664"/>
    </row>
    <row r="665" spans="1:5" x14ac:dyDescent="0.25">
      <c r="A665" s="84"/>
      <c r="B665"/>
      <c r="C665"/>
      <c r="D665"/>
      <c r="E665"/>
    </row>
    <row r="666" spans="1:5" x14ac:dyDescent="0.25">
      <c r="A666" s="84"/>
      <c r="B666"/>
      <c r="C666"/>
      <c r="D666"/>
      <c r="E666"/>
    </row>
    <row r="667" spans="1:5" x14ac:dyDescent="0.25">
      <c r="A667" s="84"/>
      <c r="B667"/>
      <c r="C667"/>
      <c r="D667"/>
      <c r="E667"/>
    </row>
    <row r="668" spans="1:5" x14ac:dyDescent="0.25">
      <c r="A668" s="84"/>
      <c r="B668"/>
      <c r="C668"/>
      <c r="D668"/>
      <c r="E668"/>
    </row>
    <row r="669" spans="1:5" x14ac:dyDescent="0.25">
      <c r="A669" s="84"/>
      <c r="B669"/>
      <c r="C669"/>
      <c r="D669"/>
      <c r="E669"/>
    </row>
    <row r="670" spans="1:5" x14ac:dyDescent="0.25">
      <c r="A670" s="84"/>
      <c r="B670"/>
      <c r="C670"/>
      <c r="D670"/>
      <c r="E670"/>
    </row>
    <row r="671" spans="1:5" x14ac:dyDescent="0.25">
      <c r="A671" s="84"/>
      <c r="B671"/>
      <c r="C671"/>
      <c r="D671"/>
      <c r="E671"/>
    </row>
    <row r="672" spans="1:5" x14ac:dyDescent="0.25">
      <c r="A672" s="84"/>
      <c r="B672"/>
      <c r="C672"/>
      <c r="D672"/>
      <c r="E672"/>
    </row>
    <row r="673" spans="1:5" x14ac:dyDescent="0.25">
      <c r="A673" s="84"/>
      <c r="B673"/>
      <c r="C673"/>
      <c r="D673"/>
      <c r="E673"/>
    </row>
    <row r="674" spans="1:5" x14ac:dyDescent="0.25">
      <c r="A674" s="84"/>
      <c r="B674"/>
      <c r="C674"/>
      <c r="D674"/>
      <c r="E674"/>
    </row>
    <row r="675" spans="1:5" x14ac:dyDescent="0.25">
      <c r="A675" s="84"/>
      <c r="B675"/>
      <c r="C675"/>
      <c r="D675"/>
      <c r="E675"/>
    </row>
    <row r="676" spans="1:5" x14ac:dyDescent="0.25">
      <c r="A676" s="84"/>
      <c r="B676"/>
      <c r="C676"/>
      <c r="D676"/>
      <c r="E676"/>
    </row>
    <row r="677" spans="1:5" x14ac:dyDescent="0.25">
      <c r="A677" s="84"/>
      <c r="B677"/>
      <c r="C677"/>
      <c r="D677"/>
      <c r="E677"/>
    </row>
    <row r="678" spans="1:5" x14ac:dyDescent="0.25">
      <c r="A678" s="84"/>
      <c r="B678"/>
      <c r="C678"/>
      <c r="D678"/>
      <c r="E678"/>
    </row>
    <row r="679" spans="1:5" x14ac:dyDescent="0.25">
      <c r="A679" s="84"/>
      <c r="B679"/>
      <c r="C679"/>
      <c r="D679"/>
      <c r="E679"/>
    </row>
    <row r="680" spans="1:5" x14ac:dyDescent="0.25">
      <c r="A680" s="84"/>
      <c r="B680"/>
      <c r="C680"/>
      <c r="D680"/>
      <c r="E680"/>
    </row>
    <row r="681" spans="1:5" x14ac:dyDescent="0.25">
      <c r="A681" s="84"/>
      <c r="B681"/>
      <c r="C681"/>
      <c r="D681"/>
      <c r="E681"/>
    </row>
    <row r="682" spans="1:5" x14ac:dyDescent="0.25">
      <c r="A682" s="84"/>
      <c r="B682"/>
      <c r="C682"/>
      <c r="D682"/>
      <c r="E682"/>
    </row>
    <row r="683" spans="1:5" x14ac:dyDescent="0.25">
      <c r="A683" s="84"/>
      <c r="B683"/>
      <c r="C683"/>
      <c r="D683"/>
      <c r="E683"/>
    </row>
    <row r="684" spans="1:5" x14ac:dyDescent="0.25">
      <c r="A684" s="84"/>
      <c r="B684"/>
      <c r="C684"/>
      <c r="D684"/>
      <c r="E684"/>
    </row>
    <row r="685" spans="1:5" x14ac:dyDescent="0.25">
      <c r="A685" s="84"/>
      <c r="B685"/>
      <c r="C685"/>
      <c r="D685"/>
      <c r="E685"/>
    </row>
    <row r="686" spans="1:5" x14ac:dyDescent="0.25">
      <c r="A686" s="84"/>
      <c r="B686"/>
      <c r="C686"/>
      <c r="D686"/>
      <c r="E686"/>
    </row>
    <row r="687" spans="1:5" x14ac:dyDescent="0.25">
      <c r="A687" s="84"/>
      <c r="B687"/>
      <c r="C687"/>
      <c r="D687"/>
      <c r="E687"/>
    </row>
    <row r="688" spans="1:5" x14ac:dyDescent="0.25">
      <c r="A688" s="84"/>
      <c r="B688"/>
      <c r="C688"/>
      <c r="D688"/>
      <c r="E688"/>
    </row>
    <row r="689" spans="1:5" x14ac:dyDescent="0.25">
      <c r="A689" s="84"/>
      <c r="B689"/>
      <c r="C689"/>
      <c r="D689"/>
      <c r="E689"/>
    </row>
    <row r="690" spans="1:5" x14ac:dyDescent="0.25">
      <c r="A690" s="84"/>
      <c r="B690"/>
      <c r="C690"/>
      <c r="D690"/>
      <c r="E690"/>
    </row>
    <row r="691" spans="1:5" x14ac:dyDescent="0.25">
      <c r="A691" s="84"/>
      <c r="B691"/>
      <c r="C691"/>
      <c r="D691"/>
      <c r="E691"/>
    </row>
    <row r="692" spans="1:5" x14ac:dyDescent="0.25">
      <c r="A692" s="84"/>
      <c r="B692"/>
      <c r="C692"/>
      <c r="D692"/>
      <c r="E692"/>
    </row>
    <row r="693" spans="1:5" x14ac:dyDescent="0.25">
      <c r="A693" s="84"/>
      <c r="B693"/>
      <c r="C693"/>
      <c r="D693"/>
      <c r="E693"/>
    </row>
    <row r="694" spans="1:5" x14ac:dyDescent="0.25">
      <c r="A694" s="84"/>
      <c r="B694"/>
      <c r="C694"/>
      <c r="D694"/>
      <c r="E694"/>
    </row>
    <row r="695" spans="1:5" x14ac:dyDescent="0.25">
      <c r="A695" s="84"/>
      <c r="B695"/>
      <c r="C695"/>
      <c r="D695"/>
      <c r="E695"/>
    </row>
    <row r="696" spans="1:5" x14ac:dyDescent="0.25">
      <c r="A696" s="84"/>
      <c r="B696"/>
      <c r="C696"/>
      <c r="D696"/>
      <c r="E696"/>
    </row>
    <row r="697" spans="1:5" x14ac:dyDescent="0.25">
      <c r="A697" s="84"/>
      <c r="B697"/>
      <c r="C697"/>
      <c r="D697"/>
      <c r="E697"/>
    </row>
    <row r="698" spans="1:5" x14ac:dyDescent="0.25">
      <c r="A698" s="84"/>
      <c r="B698"/>
      <c r="C698"/>
      <c r="D698"/>
      <c r="E698"/>
    </row>
    <row r="699" spans="1:5" x14ac:dyDescent="0.25">
      <c r="A699" s="84"/>
      <c r="B699"/>
      <c r="C699"/>
      <c r="D699"/>
      <c r="E699"/>
    </row>
    <row r="700" spans="1:5" x14ac:dyDescent="0.25">
      <c r="A700" s="84"/>
      <c r="B700"/>
      <c r="C700"/>
      <c r="D700"/>
      <c r="E700"/>
    </row>
    <row r="701" spans="1:5" x14ac:dyDescent="0.25">
      <c r="A701" s="84"/>
      <c r="B701"/>
      <c r="C701"/>
      <c r="D701"/>
      <c r="E701"/>
    </row>
    <row r="702" spans="1:5" x14ac:dyDescent="0.25">
      <c r="A702" s="84"/>
      <c r="B702"/>
      <c r="C702"/>
      <c r="D702"/>
      <c r="E702"/>
    </row>
    <row r="703" spans="1:5" x14ac:dyDescent="0.25">
      <c r="A703" s="84"/>
      <c r="B703"/>
      <c r="C703"/>
      <c r="D703"/>
      <c r="E703"/>
    </row>
    <row r="704" spans="1:5" x14ac:dyDescent="0.25">
      <c r="A704" s="84"/>
      <c r="B704"/>
      <c r="C704"/>
      <c r="D704"/>
      <c r="E704"/>
    </row>
    <row r="705" spans="1:5" x14ac:dyDescent="0.25">
      <c r="A705" s="84"/>
      <c r="B705"/>
      <c r="C705"/>
      <c r="D705"/>
      <c r="E705"/>
    </row>
    <row r="706" spans="1:5" x14ac:dyDescent="0.25">
      <c r="A706" s="84"/>
      <c r="B706"/>
      <c r="C706"/>
      <c r="D706"/>
      <c r="E706"/>
    </row>
    <row r="707" spans="1:5" x14ac:dyDescent="0.25">
      <c r="A707" s="84"/>
      <c r="B707"/>
      <c r="C707"/>
      <c r="D707"/>
      <c r="E707"/>
    </row>
    <row r="708" spans="1:5" x14ac:dyDescent="0.25">
      <c r="A708" s="84"/>
      <c r="B708"/>
      <c r="C708"/>
      <c r="D708"/>
      <c r="E708"/>
    </row>
    <row r="709" spans="1:5" x14ac:dyDescent="0.25">
      <c r="A709" s="84"/>
      <c r="B709"/>
      <c r="C709"/>
      <c r="D709"/>
      <c r="E709"/>
    </row>
    <row r="710" spans="1:5" x14ac:dyDescent="0.25">
      <c r="A710" s="84"/>
      <c r="B710"/>
      <c r="C710"/>
      <c r="D710"/>
      <c r="E710"/>
    </row>
    <row r="711" spans="1:5" x14ac:dyDescent="0.25">
      <c r="A711" s="84"/>
      <c r="B711"/>
      <c r="C711"/>
      <c r="D711"/>
      <c r="E711"/>
    </row>
    <row r="712" spans="1:5" x14ac:dyDescent="0.25">
      <c r="A712" s="84"/>
      <c r="B712"/>
      <c r="C712"/>
      <c r="D712"/>
      <c r="E712"/>
    </row>
    <row r="713" spans="1:5" x14ac:dyDescent="0.25">
      <c r="A713" s="84"/>
      <c r="B713"/>
      <c r="C713"/>
      <c r="D713"/>
      <c r="E713"/>
    </row>
    <row r="714" spans="1:5" x14ac:dyDescent="0.25">
      <c r="A714" s="84"/>
      <c r="B714"/>
      <c r="C714"/>
      <c r="D714"/>
      <c r="E714"/>
    </row>
    <row r="715" spans="1:5" x14ac:dyDescent="0.25">
      <c r="A715" s="84"/>
      <c r="B715"/>
      <c r="C715"/>
      <c r="D715"/>
      <c r="E715"/>
    </row>
    <row r="716" spans="1:5" x14ac:dyDescent="0.25">
      <c r="A716" s="84"/>
      <c r="B716"/>
      <c r="C716"/>
      <c r="D716"/>
      <c r="E716"/>
    </row>
    <row r="717" spans="1:5" x14ac:dyDescent="0.25">
      <c r="A717" s="84"/>
      <c r="B717"/>
      <c r="C717"/>
      <c r="D717"/>
      <c r="E717"/>
    </row>
    <row r="718" spans="1:5" x14ac:dyDescent="0.25">
      <c r="A718" s="84"/>
      <c r="B718"/>
      <c r="C718"/>
      <c r="D718"/>
      <c r="E718"/>
    </row>
    <row r="719" spans="1:5" x14ac:dyDescent="0.25">
      <c r="A719" s="84"/>
      <c r="B719"/>
      <c r="C719"/>
      <c r="D719"/>
      <c r="E719"/>
    </row>
    <row r="720" spans="1:5" x14ac:dyDescent="0.25">
      <c r="A720" s="84"/>
      <c r="B720"/>
      <c r="C720"/>
      <c r="D720"/>
      <c r="E720"/>
    </row>
    <row r="721" spans="1:5" x14ac:dyDescent="0.25">
      <c r="A721" s="84"/>
      <c r="B721"/>
      <c r="C721"/>
      <c r="D721"/>
      <c r="E721"/>
    </row>
    <row r="722" spans="1:5" x14ac:dyDescent="0.25">
      <c r="A722" s="84"/>
      <c r="B722"/>
      <c r="C722"/>
      <c r="D722"/>
      <c r="E722"/>
    </row>
    <row r="723" spans="1:5" x14ac:dyDescent="0.25">
      <c r="A723" s="84"/>
      <c r="B723"/>
      <c r="C723"/>
      <c r="D723"/>
      <c r="E723"/>
    </row>
    <row r="724" spans="1:5" x14ac:dyDescent="0.25">
      <c r="A724" s="84"/>
      <c r="B724"/>
      <c r="C724"/>
      <c r="D724"/>
      <c r="E724"/>
    </row>
    <row r="725" spans="1:5" x14ac:dyDescent="0.25">
      <c r="A725" s="84"/>
      <c r="B725"/>
      <c r="C725"/>
      <c r="D725"/>
      <c r="E725"/>
    </row>
    <row r="726" spans="1:5" x14ac:dyDescent="0.25">
      <c r="A726" s="84"/>
      <c r="B726"/>
      <c r="C726"/>
      <c r="D726"/>
      <c r="E726"/>
    </row>
    <row r="727" spans="1:5" x14ac:dyDescent="0.25">
      <c r="A727" s="84"/>
      <c r="B727"/>
      <c r="C727"/>
      <c r="D727"/>
      <c r="E727"/>
    </row>
    <row r="728" spans="1:5" x14ac:dyDescent="0.25">
      <c r="A728" s="84"/>
      <c r="B728"/>
      <c r="C728"/>
      <c r="D728"/>
      <c r="E728"/>
    </row>
    <row r="729" spans="1:5" x14ac:dyDescent="0.25">
      <c r="A729" s="84"/>
      <c r="B729"/>
      <c r="C729"/>
      <c r="D729"/>
      <c r="E729"/>
    </row>
    <row r="730" spans="1:5" x14ac:dyDescent="0.25">
      <c r="A730" s="84"/>
      <c r="B730"/>
      <c r="C730"/>
      <c r="D730"/>
      <c r="E730"/>
    </row>
    <row r="731" spans="1:5" x14ac:dyDescent="0.25">
      <c r="A731" s="84"/>
      <c r="B731"/>
      <c r="C731"/>
      <c r="D731"/>
      <c r="E731"/>
    </row>
    <row r="732" spans="1:5" x14ac:dyDescent="0.25">
      <c r="A732" s="84"/>
      <c r="B732"/>
      <c r="C732"/>
      <c r="D732"/>
      <c r="E732"/>
    </row>
    <row r="733" spans="1:5" x14ac:dyDescent="0.25">
      <c r="A733" s="84"/>
      <c r="B733"/>
      <c r="C733"/>
      <c r="D733"/>
      <c r="E733"/>
    </row>
  </sheetData>
  <sortState xmlns:xlrd2="http://schemas.microsoft.com/office/spreadsheetml/2017/richdata2" ref="A1:I437">
    <sortCondition descending="1" ref="A419:A437"/>
  </sortState>
  <phoneticPr fontId="2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8EF4-579D-4FFA-BB74-2956506B99F4}">
  <dimension ref="A1:P269"/>
  <sheetViews>
    <sheetView topLeftCell="A239" workbookViewId="0">
      <selection activeCell="L269" sqref="L269"/>
    </sheetView>
  </sheetViews>
  <sheetFormatPr baseColWidth="10" defaultColWidth="11.42578125" defaultRowHeight="15" x14ac:dyDescent="0.25"/>
  <cols>
    <col min="2" max="4" width="11.42578125" style="92"/>
    <col min="5" max="5" width="16.5703125" customWidth="1"/>
  </cols>
  <sheetData>
    <row r="1" spans="1:5" x14ac:dyDescent="0.25">
      <c r="A1" s="90" t="s">
        <v>17</v>
      </c>
      <c r="B1" s="99" t="s">
        <v>58</v>
      </c>
      <c r="C1" s="99" t="s">
        <v>59</v>
      </c>
      <c r="D1" s="99" t="s">
        <v>60</v>
      </c>
      <c r="E1" s="90" t="s">
        <v>61</v>
      </c>
    </row>
    <row r="2" spans="1:5" x14ac:dyDescent="0.25">
      <c r="A2" s="93">
        <v>45972</v>
      </c>
      <c r="B2" s="92">
        <v>513197.13099999999</v>
      </c>
      <c r="C2" s="92">
        <v>4786421.0779999997</v>
      </c>
      <c r="D2" s="92">
        <v>88.254000000000005</v>
      </c>
      <c r="E2" t="s">
        <v>123</v>
      </c>
    </row>
    <row r="3" spans="1:5" x14ac:dyDescent="0.25">
      <c r="A3" s="93">
        <v>45972</v>
      </c>
      <c r="B3" s="92">
        <v>513205.81</v>
      </c>
      <c r="C3" s="92">
        <v>4786413.5029999996</v>
      </c>
      <c r="D3" s="92">
        <v>88.210999999999999</v>
      </c>
      <c r="E3" t="s">
        <v>124</v>
      </c>
    </row>
    <row r="4" spans="1:5" x14ac:dyDescent="0.25">
      <c r="A4" s="93">
        <v>45972</v>
      </c>
      <c r="B4" s="92">
        <v>513218.07400000002</v>
      </c>
      <c r="C4" s="92">
        <v>4786429.0539999995</v>
      </c>
      <c r="D4" s="92">
        <v>85.57</v>
      </c>
      <c r="E4" t="s">
        <v>152</v>
      </c>
    </row>
    <row r="5" spans="1:5" x14ac:dyDescent="0.25">
      <c r="A5" s="93">
        <v>45972</v>
      </c>
      <c r="B5" s="92">
        <v>513235.12199999997</v>
      </c>
      <c r="C5" s="92">
        <v>4786410.7759999996</v>
      </c>
      <c r="D5" s="92">
        <v>88.566999999999993</v>
      </c>
      <c r="E5" t="s">
        <v>137</v>
      </c>
    </row>
    <row r="6" spans="1:5" x14ac:dyDescent="0.25">
      <c r="A6" s="93">
        <v>45972</v>
      </c>
      <c r="B6" s="92">
        <v>513225.32799999998</v>
      </c>
      <c r="C6" s="92">
        <v>4786398.26</v>
      </c>
      <c r="D6" s="92">
        <v>88.313000000000002</v>
      </c>
      <c r="E6" t="s">
        <v>138</v>
      </c>
    </row>
    <row r="7" spans="1:5" x14ac:dyDescent="0.25">
      <c r="A7" s="93">
        <v>45974</v>
      </c>
      <c r="B7" s="92">
        <v>513197.13</v>
      </c>
      <c r="C7" s="92">
        <v>4786421.0769999996</v>
      </c>
      <c r="D7" s="92">
        <v>88.253</v>
      </c>
      <c r="E7" t="s">
        <v>123</v>
      </c>
    </row>
    <row r="8" spans="1:5" x14ac:dyDescent="0.25">
      <c r="A8" s="93">
        <v>45974</v>
      </c>
      <c r="B8" s="92">
        <v>513205.80900000001</v>
      </c>
      <c r="C8" s="92">
        <v>4786413.5020000003</v>
      </c>
      <c r="D8" s="92">
        <v>88.21</v>
      </c>
      <c r="E8" t="s">
        <v>124</v>
      </c>
    </row>
    <row r="9" spans="1:5" x14ac:dyDescent="0.25">
      <c r="A9" s="93">
        <v>45974</v>
      </c>
      <c r="B9" s="92">
        <v>513210.185</v>
      </c>
      <c r="C9" s="92">
        <v>4786435.9989999998</v>
      </c>
      <c r="D9" s="92">
        <v>85.686000000000007</v>
      </c>
      <c r="E9" t="s">
        <v>125</v>
      </c>
    </row>
    <row r="10" spans="1:5" x14ac:dyDescent="0.25">
      <c r="A10" s="93">
        <v>45974</v>
      </c>
      <c r="B10" s="92">
        <v>513218.07199999999</v>
      </c>
      <c r="C10" s="92">
        <v>4786429.0549999997</v>
      </c>
      <c r="D10" s="92">
        <v>85.570999999999998</v>
      </c>
      <c r="E10" t="s">
        <v>152</v>
      </c>
    </row>
    <row r="11" spans="1:5" x14ac:dyDescent="0.25">
      <c r="A11" s="93">
        <v>45974</v>
      </c>
      <c r="B11" s="92">
        <v>513220.87</v>
      </c>
      <c r="C11" s="92">
        <v>4786425.8260000004</v>
      </c>
      <c r="D11" s="92">
        <v>88.716999999999999</v>
      </c>
      <c r="E11" t="s">
        <v>136</v>
      </c>
    </row>
    <row r="12" spans="1:5" x14ac:dyDescent="0.25">
      <c r="A12" s="93">
        <v>45974</v>
      </c>
      <c r="B12" s="92">
        <v>513235.12099999998</v>
      </c>
      <c r="C12" s="92">
        <v>4786410.7769999998</v>
      </c>
      <c r="D12" s="92">
        <v>88.566999999999993</v>
      </c>
      <c r="E12" t="s">
        <v>137</v>
      </c>
    </row>
    <row r="13" spans="1:5" x14ac:dyDescent="0.25">
      <c r="A13" s="93">
        <v>45974</v>
      </c>
      <c r="B13" s="92">
        <v>513225.32699999999</v>
      </c>
      <c r="C13" s="92">
        <v>4786398.2620000001</v>
      </c>
      <c r="D13" s="92">
        <v>88.313000000000002</v>
      </c>
      <c r="E13" t="s">
        <v>138</v>
      </c>
    </row>
    <row r="14" spans="1:5" x14ac:dyDescent="0.25">
      <c r="A14" s="93">
        <v>45975</v>
      </c>
      <c r="B14" s="92">
        <v>513197.13</v>
      </c>
      <c r="C14" s="92">
        <v>4786421.0779999997</v>
      </c>
      <c r="D14" s="92">
        <v>88.253</v>
      </c>
      <c r="E14" t="s">
        <v>123</v>
      </c>
    </row>
    <row r="15" spans="1:5" x14ac:dyDescent="0.25">
      <c r="A15" s="93">
        <v>45975</v>
      </c>
      <c r="B15" s="92">
        <v>513205.80900000001</v>
      </c>
      <c r="C15" s="92">
        <v>4786413.5029999996</v>
      </c>
      <c r="D15" s="92">
        <v>88.21</v>
      </c>
      <c r="E15" t="s">
        <v>124</v>
      </c>
    </row>
    <row r="16" spans="1:5" x14ac:dyDescent="0.25">
      <c r="A16" s="93">
        <v>45975</v>
      </c>
      <c r="B16" s="92">
        <v>513210.185</v>
      </c>
      <c r="C16" s="92">
        <v>4786435.9979999997</v>
      </c>
      <c r="D16" s="92">
        <v>85.686000000000007</v>
      </c>
      <c r="E16" t="s">
        <v>125</v>
      </c>
    </row>
    <row r="17" spans="1:5" x14ac:dyDescent="0.25">
      <c r="A17" s="93">
        <v>45975</v>
      </c>
      <c r="B17" s="92">
        <v>513218.07199999999</v>
      </c>
      <c r="C17" s="92">
        <v>4786429.0549999997</v>
      </c>
      <c r="D17" s="92">
        <v>85.57</v>
      </c>
      <c r="E17" t="s">
        <v>152</v>
      </c>
    </row>
    <row r="18" spans="1:5" x14ac:dyDescent="0.25">
      <c r="A18" s="93">
        <v>45975</v>
      </c>
      <c r="B18" s="92">
        <v>513220.87</v>
      </c>
      <c r="C18" s="92">
        <v>4786425.8250000002</v>
      </c>
      <c r="D18" s="92">
        <v>88.716999999999999</v>
      </c>
      <c r="E18" t="s">
        <v>136</v>
      </c>
    </row>
    <row r="19" spans="1:5" x14ac:dyDescent="0.25">
      <c r="A19" s="93">
        <v>45975</v>
      </c>
      <c r="B19" s="92">
        <v>513235.12199999997</v>
      </c>
      <c r="C19" s="92">
        <v>4786410.7759999996</v>
      </c>
      <c r="D19" s="92">
        <v>88.566000000000003</v>
      </c>
      <c r="E19" t="s">
        <v>137</v>
      </c>
    </row>
    <row r="20" spans="1:5" x14ac:dyDescent="0.25">
      <c r="A20" s="93">
        <v>45975</v>
      </c>
      <c r="B20" s="92">
        <v>513225.32699999999</v>
      </c>
      <c r="C20" s="92">
        <v>4786398.2609999999</v>
      </c>
      <c r="D20" s="92">
        <v>88.311999999999998</v>
      </c>
      <c r="E20" t="s">
        <v>138</v>
      </c>
    </row>
    <row r="21" spans="1:5" x14ac:dyDescent="0.25">
      <c r="A21" s="93">
        <v>45978</v>
      </c>
      <c r="B21" s="92">
        <v>513197.13099999999</v>
      </c>
      <c r="C21" s="92">
        <v>4786421.0779999997</v>
      </c>
      <c r="D21" s="92">
        <v>88.251000000000005</v>
      </c>
      <c r="E21" t="s">
        <v>123</v>
      </c>
    </row>
    <row r="22" spans="1:5" x14ac:dyDescent="0.25">
      <c r="A22" s="93">
        <v>45978</v>
      </c>
      <c r="B22" s="92">
        <v>513205.80900000001</v>
      </c>
      <c r="C22" s="92">
        <v>4786413.5039999997</v>
      </c>
      <c r="D22" s="92">
        <v>88.207999999999998</v>
      </c>
      <c r="E22" t="s">
        <v>124</v>
      </c>
    </row>
    <row r="23" spans="1:5" x14ac:dyDescent="0.25">
      <c r="A23" s="93">
        <v>45978</v>
      </c>
      <c r="B23" s="92">
        <v>513210.18599999999</v>
      </c>
      <c r="C23" s="92">
        <v>4786435.9979999997</v>
      </c>
      <c r="D23" s="92">
        <v>85.685000000000002</v>
      </c>
      <c r="E23" t="s">
        <v>125</v>
      </c>
    </row>
    <row r="24" spans="1:5" x14ac:dyDescent="0.25">
      <c r="A24" s="93">
        <v>45978</v>
      </c>
      <c r="B24" s="92">
        <v>513218.07199999999</v>
      </c>
      <c r="C24" s="92">
        <v>4786429.0549999997</v>
      </c>
      <c r="D24" s="92">
        <v>85.569000000000003</v>
      </c>
      <c r="E24" t="s">
        <v>152</v>
      </c>
    </row>
    <row r="25" spans="1:5" x14ac:dyDescent="0.25">
      <c r="A25" s="93">
        <v>45978</v>
      </c>
      <c r="B25" s="92">
        <v>513220.87099999998</v>
      </c>
      <c r="C25" s="92">
        <v>4786425.8250000002</v>
      </c>
      <c r="D25" s="92">
        <v>88.715999999999994</v>
      </c>
      <c r="E25" t="s">
        <v>136</v>
      </c>
    </row>
    <row r="26" spans="1:5" x14ac:dyDescent="0.25">
      <c r="A26" s="93">
        <v>45978</v>
      </c>
      <c r="B26" s="92">
        <v>513235.12099999998</v>
      </c>
      <c r="C26" s="92">
        <v>4786410.7759999996</v>
      </c>
      <c r="D26" s="92">
        <v>88.566000000000003</v>
      </c>
      <c r="E26" t="s">
        <v>137</v>
      </c>
    </row>
    <row r="27" spans="1:5" x14ac:dyDescent="0.25">
      <c r="A27" s="93">
        <v>45978</v>
      </c>
      <c r="B27" s="92">
        <v>513225.32799999998</v>
      </c>
      <c r="C27" s="92">
        <v>4786398.2620000001</v>
      </c>
      <c r="D27" s="92">
        <v>88.311000000000007</v>
      </c>
      <c r="E27" t="s">
        <v>138</v>
      </c>
    </row>
    <row r="28" spans="1:5" x14ac:dyDescent="0.25">
      <c r="A28" s="93">
        <v>45982</v>
      </c>
      <c r="B28" s="92">
        <v>513197.13099999999</v>
      </c>
      <c r="C28" s="92">
        <v>4786421.0769999996</v>
      </c>
      <c r="D28" s="92">
        <v>88.248999999999995</v>
      </c>
      <c r="E28" t="s">
        <v>123</v>
      </c>
    </row>
    <row r="29" spans="1:5" x14ac:dyDescent="0.25">
      <c r="A29" s="93">
        <v>45982</v>
      </c>
      <c r="B29" s="92">
        <v>513205.80900000001</v>
      </c>
      <c r="C29" s="92">
        <v>4786413.5010000002</v>
      </c>
      <c r="D29" s="92">
        <v>88.206000000000003</v>
      </c>
      <c r="E29" t="s">
        <v>124</v>
      </c>
    </row>
    <row r="30" spans="1:5" x14ac:dyDescent="0.25">
      <c r="A30" s="93">
        <v>45982</v>
      </c>
      <c r="B30" s="92">
        <v>513210.18800000002</v>
      </c>
      <c r="C30" s="92">
        <v>4786436</v>
      </c>
      <c r="D30" s="92">
        <v>85.683000000000007</v>
      </c>
      <c r="E30" t="s">
        <v>125</v>
      </c>
    </row>
    <row r="31" spans="1:5" x14ac:dyDescent="0.25">
      <c r="A31" s="93">
        <v>45982</v>
      </c>
      <c r="B31" s="92">
        <v>513218.07400000002</v>
      </c>
      <c r="C31" s="92">
        <v>4786429.057</v>
      </c>
      <c r="D31" s="92">
        <v>85.567999999999998</v>
      </c>
      <c r="E31" t="s">
        <v>152</v>
      </c>
    </row>
    <row r="32" spans="1:5" x14ac:dyDescent="0.25">
      <c r="A32" s="93">
        <v>45982</v>
      </c>
      <c r="B32" s="92">
        <v>513220.87199999997</v>
      </c>
      <c r="C32" s="92">
        <v>4786425.8269999996</v>
      </c>
      <c r="D32" s="92">
        <v>88.715000000000003</v>
      </c>
      <c r="E32" t="s">
        <v>136</v>
      </c>
    </row>
    <row r="33" spans="1:5" x14ac:dyDescent="0.25">
      <c r="A33" s="93">
        <v>45982</v>
      </c>
      <c r="B33" s="92">
        <v>513235.12199999997</v>
      </c>
      <c r="C33" s="92">
        <v>4786410.7769999998</v>
      </c>
      <c r="D33" s="92">
        <v>88.564999999999998</v>
      </c>
      <c r="E33" t="s">
        <v>137</v>
      </c>
    </row>
    <row r="34" spans="1:5" x14ac:dyDescent="0.25">
      <c r="A34" s="93">
        <v>45982</v>
      </c>
      <c r="B34" s="92">
        <v>513225.32799999998</v>
      </c>
      <c r="C34" s="92">
        <v>4786398.2630000003</v>
      </c>
      <c r="D34" s="92">
        <v>88.311000000000007</v>
      </c>
      <c r="E34" t="s">
        <v>138</v>
      </c>
    </row>
    <row r="35" spans="1:5" x14ac:dyDescent="0.25">
      <c r="A35" s="93">
        <v>45987</v>
      </c>
      <c r="B35" s="92">
        <v>513197.13</v>
      </c>
      <c r="C35" s="92">
        <v>4786421.0789999999</v>
      </c>
      <c r="D35" s="92">
        <v>88.25</v>
      </c>
      <c r="E35" t="s">
        <v>123</v>
      </c>
    </row>
    <row r="36" spans="1:5" x14ac:dyDescent="0.25">
      <c r="A36" s="93">
        <v>45987</v>
      </c>
      <c r="B36" s="92">
        <v>513205.80900000001</v>
      </c>
      <c r="C36" s="92">
        <v>4786413.5039999997</v>
      </c>
      <c r="D36" s="92">
        <v>88.206999999999994</v>
      </c>
      <c r="E36" t="s">
        <v>124</v>
      </c>
    </row>
    <row r="37" spans="1:5" x14ac:dyDescent="0.25">
      <c r="A37" s="93">
        <v>45987</v>
      </c>
      <c r="B37" s="92">
        <v>513210.18699999998</v>
      </c>
      <c r="C37" s="92">
        <v>4786435.9979999997</v>
      </c>
      <c r="D37" s="92">
        <v>85.683999999999997</v>
      </c>
      <c r="E37" t="s">
        <v>125</v>
      </c>
    </row>
    <row r="38" spans="1:5" x14ac:dyDescent="0.25">
      <c r="A38" s="93">
        <v>45987</v>
      </c>
      <c r="B38" s="92">
        <v>513218.07299999997</v>
      </c>
      <c r="C38" s="92">
        <v>4786429.0539999995</v>
      </c>
      <c r="D38" s="92">
        <v>85.569000000000003</v>
      </c>
      <c r="E38" t="s">
        <v>152</v>
      </c>
    </row>
    <row r="39" spans="1:5" x14ac:dyDescent="0.25">
      <c r="A39" s="93">
        <v>45987</v>
      </c>
      <c r="B39" s="92">
        <v>513220.87</v>
      </c>
      <c r="C39" s="92">
        <v>4786425.8250000002</v>
      </c>
      <c r="D39" s="92">
        <v>88.715000000000003</v>
      </c>
      <c r="E39" t="s">
        <v>136</v>
      </c>
    </row>
    <row r="40" spans="1:5" x14ac:dyDescent="0.25">
      <c r="A40" s="93">
        <v>45987</v>
      </c>
      <c r="B40" s="92">
        <v>513235.12</v>
      </c>
      <c r="C40" s="92">
        <v>4786410.7759999996</v>
      </c>
      <c r="D40" s="92">
        <v>88.566000000000003</v>
      </c>
      <c r="E40" t="s">
        <v>137</v>
      </c>
    </row>
    <row r="41" spans="1:5" x14ac:dyDescent="0.25">
      <c r="A41" s="93">
        <v>45987</v>
      </c>
      <c r="B41" s="92">
        <v>513225.326</v>
      </c>
      <c r="C41" s="92">
        <v>4786398.2609999999</v>
      </c>
      <c r="D41" s="92">
        <v>88.311999999999998</v>
      </c>
      <c r="E41" t="s">
        <v>138</v>
      </c>
    </row>
    <row r="42" spans="1:5" x14ac:dyDescent="0.25">
      <c r="A42" s="93">
        <v>45993</v>
      </c>
      <c r="B42" s="92">
        <v>513197.13099999999</v>
      </c>
      <c r="C42" s="92">
        <v>4786421.08</v>
      </c>
      <c r="D42" s="92">
        <v>88.25</v>
      </c>
      <c r="E42" t="s">
        <v>123</v>
      </c>
    </row>
    <row r="43" spans="1:5" x14ac:dyDescent="0.25">
      <c r="A43" s="93">
        <v>45993</v>
      </c>
      <c r="B43" s="92">
        <v>513205.81</v>
      </c>
      <c r="C43" s="92">
        <v>4786413.5039999997</v>
      </c>
      <c r="D43" s="92">
        <v>88.206000000000003</v>
      </c>
      <c r="E43" t="s">
        <v>124</v>
      </c>
    </row>
    <row r="44" spans="1:5" x14ac:dyDescent="0.25">
      <c r="A44" s="93">
        <v>45993</v>
      </c>
      <c r="B44" s="92">
        <v>513210.18599999999</v>
      </c>
      <c r="C44" s="92">
        <v>4786435.9989999998</v>
      </c>
      <c r="D44" s="92">
        <v>85.686000000000007</v>
      </c>
      <c r="E44" t="s">
        <v>125</v>
      </c>
    </row>
    <row r="45" spans="1:5" x14ac:dyDescent="0.25">
      <c r="A45" s="93">
        <v>45993</v>
      </c>
      <c r="B45" s="92">
        <v>513218.07299999997</v>
      </c>
      <c r="C45" s="92">
        <v>4786429.0549999997</v>
      </c>
      <c r="D45" s="92">
        <v>85.567999999999998</v>
      </c>
      <c r="E45" t="s">
        <v>152</v>
      </c>
    </row>
    <row r="46" spans="1:5" x14ac:dyDescent="0.25">
      <c r="A46" s="93">
        <v>45993</v>
      </c>
      <c r="B46" s="92">
        <v>513220.87099999998</v>
      </c>
      <c r="C46" s="92">
        <v>4786425.8250000002</v>
      </c>
      <c r="D46" s="92">
        <v>88.718000000000004</v>
      </c>
      <c r="E46" t="s">
        <v>136</v>
      </c>
    </row>
    <row r="47" spans="1:5" x14ac:dyDescent="0.25">
      <c r="A47" s="93">
        <v>45993</v>
      </c>
      <c r="B47" s="92">
        <v>513235.12199999997</v>
      </c>
      <c r="C47" s="92">
        <v>4786410.7759999996</v>
      </c>
      <c r="D47" s="92">
        <v>88.563999999999993</v>
      </c>
      <c r="E47" t="s">
        <v>137</v>
      </c>
    </row>
    <row r="48" spans="1:5" x14ac:dyDescent="0.25">
      <c r="A48" s="93">
        <v>45993</v>
      </c>
      <c r="B48" s="92">
        <v>513225.32699999999</v>
      </c>
      <c r="C48" s="92">
        <v>4786398.2609999999</v>
      </c>
      <c r="D48" s="92">
        <v>88.31</v>
      </c>
      <c r="E48" t="s">
        <v>138</v>
      </c>
    </row>
    <row r="49" spans="1:12" x14ac:dyDescent="0.25">
      <c r="A49" s="93">
        <v>45996</v>
      </c>
      <c r="B49" s="92">
        <v>513197.13</v>
      </c>
      <c r="C49" s="92">
        <v>4786421.0769999996</v>
      </c>
      <c r="D49" s="92">
        <v>88.25</v>
      </c>
      <c r="E49" t="s">
        <v>123</v>
      </c>
      <c r="J49" s="92"/>
      <c r="K49" s="92"/>
      <c r="L49" s="92"/>
    </row>
    <row r="50" spans="1:12" x14ac:dyDescent="0.25">
      <c r="A50" s="93">
        <v>45996</v>
      </c>
      <c r="B50" s="92">
        <v>513205.80900000001</v>
      </c>
      <c r="C50" s="92">
        <v>4786413.5029999996</v>
      </c>
      <c r="D50" s="92">
        <v>88.206999999999994</v>
      </c>
      <c r="E50" t="s">
        <v>124</v>
      </c>
      <c r="J50" s="92"/>
      <c r="K50" s="92"/>
      <c r="L50" s="92"/>
    </row>
    <row r="51" spans="1:12" x14ac:dyDescent="0.25">
      <c r="A51" s="93">
        <v>45996</v>
      </c>
      <c r="B51" s="92">
        <v>513210.18599999999</v>
      </c>
      <c r="C51" s="92">
        <v>4786435.9989999998</v>
      </c>
      <c r="D51" s="92">
        <v>85.683999999999997</v>
      </c>
      <c r="E51" t="s">
        <v>125</v>
      </c>
      <c r="J51" s="92"/>
      <c r="K51" s="92"/>
      <c r="L51" s="92"/>
    </row>
    <row r="52" spans="1:12" x14ac:dyDescent="0.25">
      <c r="A52" s="93">
        <v>45996</v>
      </c>
      <c r="B52" s="92">
        <v>513218.07199999999</v>
      </c>
      <c r="C52" s="92">
        <v>4786429.0559999999</v>
      </c>
      <c r="D52" s="92">
        <v>85.567999999999998</v>
      </c>
      <c r="E52" t="s">
        <v>152</v>
      </c>
      <c r="J52" s="92"/>
      <c r="K52" s="92"/>
      <c r="L52" s="92"/>
    </row>
    <row r="53" spans="1:12" x14ac:dyDescent="0.25">
      <c r="A53" s="93">
        <v>45996</v>
      </c>
      <c r="B53" s="92">
        <v>513220.87099999998</v>
      </c>
      <c r="C53" s="92">
        <v>4786425.8260000004</v>
      </c>
      <c r="D53" s="92">
        <v>88.715000000000003</v>
      </c>
      <c r="E53" t="s">
        <v>136</v>
      </c>
      <c r="J53" s="92"/>
      <c r="K53" s="92"/>
      <c r="L53" s="92"/>
    </row>
    <row r="54" spans="1:12" x14ac:dyDescent="0.25">
      <c r="A54" s="93">
        <v>45996</v>
      </c>
      <c r="B54" s="92">
        <v>513235.12099999998</v>
      </c>
      <c r="C54" s="92">
        <v>4786410.7769999998</v>
      </c>
      <c r="D54" s="92">
        <v>88.564999999999998</v>
      </c>
      <c r="E54" t="s">
        <v>137</v>
      </c>
      <c r="J54" s="92"/>
      <c r="K54" s="92"/>
      <c r="L54" s="92"/>
    </row>
    <row r="55" spans="1:12" x14ac:dyDescent="0.25">
      <c r="A55" s="93">
        <v>45996</v>
      </c>
      <c r="B55" s="92">
        <v>513225.32699999999</v>
      </c>
      <c r="C55" s="92">
        <v>4786398.2620000001</v>
      </c>
      <c r="D55" s="92">
        <v>88.311000000000007</v>
      </c>
      <c r="E55" t="s">
        <v>138</v>
      </c>
      <c r="J55" s="92"/>
      <c r="K55" s="92"/>
      <c r="L55" s="92"/>
    </row>
    <row r="56" spans="1:12" x14ac:dyDescent="0.25">
      <c r="A56" s="93">
        <v>46000</v>
      </c>
      <c r="B56" s="92">
        <v>513197.13099999999</v>
      </c>
      <c r="C56" s="92">
        <v>4786421.0789999999</v>
      </c>
      <c r="D56" s="92">
        <v>88.251000000000005</v>
      </c>
      <c r="E56" t="s">
        <v>123</v>
      </c>
      <c r="J56" s="92"/>
      <c r="K56" s="92"/>
      <c r="L56" s="92"/>
    </row>
    <row r="57" spans="1:12" x14ac:dyDescent="0.25">
      <c r="A57" s="93">
        <v>46000</v>
      </c>
      <c r="B57" s="92">
        <v>513205.81</v>
      </c>
      <c r="C57" s="92">
        <v>4786413.5029999996</v>
      </c>
      <c r="D57" s="92">
        <v>88.206999999999994</v>
      </c>
      <c r="E57" t="s">
        <v>124</v>
      </c>
      <c r="J57" s="92"/>
      <c r="K57" s="92"/>
      <c r="L57" s="92"/>
    </row>
    <row r="58" spans="1:12" x14ac:dyDescent="0.25">
      <c r="A58" s="93">
        <v>46000</v>
      </c>
      <c r="B58" s="92">
        <v>513210.18699999998</v>
      </c>
      <c r="C58" s="92">
        <v>4786435.9979999997</v>
      </c>
      <c r="D58" s="92">
        <v>85.685000000000002</v>
      </c>
      <c r="E58" t="s">
        <v>125</v>
      </c>
      <c r="J58" s="92"/>
      <c r="K58" s="92"/>
      <c r="L58" s="92"/>
    </row>
    <row r="59" spans="1:12" x14ac:dyDescent="0.25">
      <c r="A59" s="93">
        <v>46000</v>
      </c>
      <c r="B59" s="92">
        <v>513218.07400000002</v>
      </c>
      <c r="C59" s="92">
        <v>4786429.0549999997</v>
      </c>
      <c r="D59" s="92">
        <v>85.569000000000003</v>
      </c>
      <c r="E59" t="s">
        <v>152</v>
      </c>
      <c r="J59" s="92"/>
      <c r="K59" s="92"/>
      <c r="L59" s="92"/>
    </row>
    <row r="60" spans="1:12" x14ac:dyDescent="0.25">
      <c r="A60" s="93">
        <v>46000</v>
      </c>
      <c r="B60" s="92">
        <v>513220.87300000002</v>
      </c>
      <c r="C60" s="92">
        <v>4786425.8250000002</v>
      </c>
      <c r="D60" s="92">
        <v>88.715999999999994</v>
      </c>
      <c r="E60" t="s">
        <v>136</v>
      </c>
      <c r="J60" s="92"/>
      <c r="K60" s="92"/>
      <c r="L60" s="92"/>
    </row>
    <row r="61" spans="1:12" x14ac:dyDescent="0.25">
      <c r="A61" s="93">
        <v>46000</v>
      </c>
      <c r="B61" s="92">
        <v>513235.12300000002</v>
      </c>
      <c r="C61" s="92">
        <v>4786410.7759999996</v>
      </c>
      <c r="D61" s="92">
        <v>88.564999999999998</v>
      </c>
      <c r="E61" t="s">
        <v>137</v>
      </c>
      <c r="J61" s="92"/>
      <c r="K61" s="92"/>
      <c r="L61" s="92"/>
    </row>
    <row r="62" spans="1:12" x14ac:dyDescent="0.25">
      <c r="A62" s="93">
        <v>46000</v>
      </c>
      <c r="B62" s="92">
        <v>513225.32900000003</v>
      </c>
      <c r="C62" s="92">
        <v>4786398.2620000001</v>
      </c>
      <c r="D62" s="92">
        <v>88.311000000000007</v>
      </c>
      <c r="E62" t="s">
        <v>138</v>
      </c>
      <c r="J62" s="92"/>
      <c r="K62" s="92"/>
      <c r="L62" s="92"/>
    </row>
    <row r="63" spans="1:12" x14ac:dyDescent="0.25">
      <c r="A63" s="93">
        <v>46002</v>
      </c>
      <c r="B63" s="92">
        <v>513197.13</v>
      </c>
      <c r="C63" s="92">
        <v>4786421.0789999999</v>
      </c>
      <c r="D63" s="92">
        <v>88.25</v>
      </c>
      <c r="E63" t="s">
        <v>123</v>
      </c>
      <c r="J63" s="92"/>
      <c r="K63" s="92"/>
      <c r="L63" s="92"/>
    </row>
    <row r="64" spans="1:12" x14ac:dyDescent="0.25">
      <c r="A64" s="93">
        <v>46002</v>
      </c>
      <c r="B64" s="92">
        <v>513205.81</v>
      </c>
      <c r="C64" s="92">
        <v>4786413.5039999997</v>
      </c>
      <c r="D64" s="92">
        <v>88.206999999999994</v>
      </c>
      <c r="E64" t="s">
        <v>124</v>
      </c>
      <c r="J64" s="92"/>
      <c r="K64" s="92"/>
      <c r="L64" s="92"/>
    </row>
    <row r="65" spans="1:12" x14ac:dyDescent="0.25">
      <c r="A65" s="93">
        <v>46002</v>
      </c>
      <c r="B65" s="92">
        <v>513210.18699999998</v>
      </c>
      <c r="C65" s="92">
        <v>4786435.9979999997</v>
      </c>
      <c r="D65" s="92">
        <v>85.685000000000002</v>
      </c>
      <c r="E65" t="s">
        <v>125</v>
      </c>
      <c r="J65" s="92"/>
      <c r="K65" s="92"/>
      <c r="L65" s="92"/>
    </row>
    <row r="66" spans="1:12" x14ac:dyDescent="0.25">
      <c r="A66" s="93">
        <v>46002</v>
      </c>
      <c r="B66" s="92">
        <v>513218.07400000002</v>
      </c>
      <c r="C66" s="92">
        <v>4786429.0539999995</v>
      </c>
      <c r="D66" s="92">
        <v>85.569000000000003</v>
      </c>
      <c r="E66" t="s">
        <v>152</v>
      </c>
      <c r="J66" s="92"/>
      <c r="K66" s="92"/>
      <c r="L66" s="92"/>
    </row>
    <row r="67" spans="1:12" x14ac:dyDescent="0.25">
      <c r="A67" s="93">
        <v>46002</v>
      </c>
      <c r="B67" s="92">
        <v>513220.87300000002</v>
      </c>
      <c r="C67" s="92">
        <v>4786425.824</v>
      </c>
      <c r="D67" s="92">
        <v>88.715000000000003</v>
      </c>
      <c r="E67" t="s">
        <v>136</v>
      </c>
      <c r="J67" s="92"/>
      <c r="K67" s="92"/>
      <c r="L67" s="92"/>
    </row>
    <row r="68" spans="1:12" x14ac:dyDescent="0.25">
      <c r="A68" s="93">
        <v>46002</v>
      </c>
      <c r="B68" s="92">
        <v>513235.12199999997</v>
      </c>
      <c r="C68" s="92">
        <v>4786410.7750000004</v>
      </c>
      <c r="D68" s="92">
        <v>88.564999999999998</v>
      </c>
      <c r="E68" t="s">
        <v>137</v>
      </c>
      <c r="J68" s="92"/>
      <c r="K68" s="92"/>
      <c r="L68" s="92"/>
    </row>
    <row r="69" spans="1:12" x14ac:dyDescent="0.25">
      <c r="A69" s="93">
        <v>46002</v>
      </c>
      <c r="B69" s="92">
        <v>513225.32900000003</v>
      </c>
      <c r="C69" s="92">
        <v>4786398.26</v>
      </c>
      <c r="D69" s="92">
        <v>88.311000000000007</v>
      </c>
      <c r="E69" t="s">
        <v>138</v>
      </c>
      <c r="J69" s="92"/>
      <c r="K69" s="92"/>
      <c r="L69" s="92"/>
    </row>
    <row r="70" spans="1:12" x14ac:dyDescent="0.25">
      <c r="A70" s="93">
        <v>46006</v>
      </c>
      <c r="B70" s="92">
        <v>513197.13099999999</v>
      </c>
      <c r="C70" s="92">
        <v>4786421.0779999997</v>
      </c>
      <c r="D70" s="92">
        <v>88.25</v>
      </c>
      <c r="E70" t="s">
        <v>123</v>
      </c>
    </row>
    <row r="71" spans="1:12" x14ac:dyDescent="0.25">
      <c r="A71" s="93">
        <v>46006</v>
      </c>
      <c r="B71" s="92">
        <v>513205.80900000001</v>
      </c>
      <c r="C71" s="92">
        <v>4786413.5029999996</v>
      </c>
      <c r="D71" s="92">
        <v>88.206000000000003</v>
      </c>
      <c r="E71" t="s">
        <v>124</v>
      </c>
    </row>
    <row r="72" spans="1:12" x14ac:dyDescent="0.25">
      <c r="A72" s="93">
        <v>46006</v>
      </c>
      <c r="B72" s="92">
        <v>513210.18699999998</v>
      </c>
      <c r="C72" s="92">
        <v>4786435.9989999998</v>
      </c>
      <c r="D72" s="92">
        <v>85.685000000000002</v>
      </c>
      <c r="E72" t="s">
        <v>125</v>
      </c>
    </row>
    <row r="73" spans="1:12" x14ac:dyDescent="0.25">
      <c r="A73" s="93">
        <v>46006</v>
      </c>
      <c r="B73" s="92">
        <v>513218.07199999999</v>
      </c>
      <c r="C73" s="92">
        <v>4786429.0559999999</v>
      </c>
      <c r="D73" s="92">
        <v>85.569000000000003</v>
      </c>
      <c r="E73" t="s">
        <v>152</v>
      </c>
    </row>
    <row r="74" spans="1:12" x14ac:dyDescent="0.25">
      <c r="A74" s="93">
        <v>46006</v>
      </c>
      <c r="B74" s="92">
        <v>513220.87099999998</v>
      </c>
      <c r="C74" s="92">
        <v>4786425.8260000004</v>
      </c>
      <c r="D74" s="92">
        <v>88.715999999999994</v>
      </c>
      <c r="E74" t="s">
        <v>136</v>
      </c>
    </row>
    <row r="75" spans="1:12" x14ac:dyDescent="0.25">
      <c r="A75" s="93">
        <v>46006</v>
      </c>
      <c r="B75" s="92">
        <v>513235.12099999998</v>
      </c>
      <c r="C75" s="92">
        <v>4786410.7769999998</v>
      </c>
      <c r="D75" s="92">
        <v>88.566000000000003</v>
      </c>
      <c r="E75" t="s">
        <v>137</v>
      </c>
    </row>
    <row r="76" spans="1:12" x14ac:dyDescent="0.25">
      <c r="A76" s="93">
        <v>46006</v>
      </c>
      <c r="B76" s="92">
        <v>513225.32699999999</v>
      </c>
      <c r="C76" s="92">
        <v>4786398.2609999999</v>
      </c>
      <c r="D76" s="92">
        <v>88.311999999999998</v>
      </c>
      <c r="E76" t="s">
        <v>138</v>
      </c>
    </row>
    <row r="77" spans="1:12" x14ac:dyDescent="0.25">
      <c r="A77" s="93">
        <v>46029</v>
      </c>
      <c r="B77" s="92">
        <v>513197.13</v>
      </c>
      <c r="C77" s="92">
        <v>4786421.0779999997</v>
      </c>
      <c r="D77" s="92">
        <v>88.251000000000005</v>
      </c>
      <c r="E77" t="s">
        <v>123</v>
      </c>
    </row>
    <row r="78" spans="1:12" x14ac:dyDescent="0.25">
      <c r="A78" s="93">
        <v>46029</v>
      </c>
      <c r="B78" s="92">
        <v>513205.80900000001</v>
      </c>
      <c r="C78" s="92">
        <v>4786413.5029999996</v>
      </c>
      <c r="D78" s="92">
        <v>88.206999999999994</v>
      </c>
      <c r="E78" t="s">
        <v>124</v>
      </c>
    </row>
    <row r="79" spans="1:12" x14ac:dyDescent="0.25">
      <c r="A79" s="93">
        <v>46029</v>
      </c>
      <c r="B79" s="92">
        <v>513210.18800000002</v>
      </c>
      <c r="C79" s="92">
        <v>4786435.9979999997</v>
      </c>
      <c r="D79" s="92">
        <v>85.683000000000007</v>
      </c>
      <c r="E79" t="s">
        <v>125</v>
      </c>
    </row>
    <row r="80" spans="1:12" x14ac:dyDescent="0.25">
      <c r="A80" s="93">
        <v>46029</v>
      </c>
      <c r="B80" s="92">
        <v>513218.07299999997</v>
      </c>
      <c r="C80" s="92">
        <v>4786429.0549999997</v>
      </c>
      <c r="D80" s="92">
        <v>85.566999999999993</v>
      </c>
      <c r="E80" t="s">
        <v>152</v>
      </c>
    </row>
    <row r="81" spans="1:5" x14ac:dyDescent="0.25">
      <c r="A81" s="93">
        <v>46029</v>
      </c>
      <c r="B81" s="92">
        <v>513220.87199999997</v>
      </c>
      <c r="C81" s="92">
        <v>4786425.8250000002</v>
      </c>
      <c r="D81" s="92">
        <v>88.713999999999999</v>
      </c>
      <c r="E81" t="s">
        <v>136</v>
      </c>
    </row>
    <row r="82" spans="1:5" x14ac:dyDescent="0.25">
      <c r="A82" s="93">
        <v>46029</v>
      </c>
      <c r="B82" s="92">
        <v>513235.11900000001</v>
      </c>
      <c r="C82" s="92">
        <v>4786410.7759999996</v>
      </c>
      <c r="D82" s="92">
        <v>88.561000000000007</v>
      </c>
      <c r="E82" t="s">
        <v>137</v>
      </c>
    </row>
    <row r="83" spans="1:5" x14ac:dyDescent="0.25">
      <c r="A83" s="93">
        <v>46029</v>
      </c>
      <c r="B83" s="92">
        <v>513225.32799999998</v>
      </c>
      <c r="C83" s="92">
        <v>4786398.2620000001</v>
      </c>
      <c r="D83" s="92">
        <v>88.308999999999997</v>
      </c>
      <c r="E83" t="s">
        <v>138</v>
      </c>
    </row>
    <row r="84" spans="1:5" x14ac:dyDescent="0.25">
      <c r="A84" s="93">
        <v>46034</v>
      </c>
      <c r="B84">
        <v>513197.13</v>
      </c>
      <c r="C84">
        <v>4786421.0779999997</v>
      </c>
      <c r="D84">
        <v>88.248999999999995</v>
      </c>
      <c r="E84" t="s">
        <v>123</v>
      </c>
    </row>
    <row r="85" spans="1:5" x14ac:dyDescent="0.25">
      <c r="A85" s="93">
        <v>46034</v>
      </c>
      <c r="B85">
        <v>513205.80800000002</v>
      </c>
      <c r="C85">
        <v>4786413.5020000003</v>
      </c>
      <c r="D85">
        <v>88.206000000000003</v>
      </c>
      <c r="E85" t="s">
        <v>124</v>
      </c>
    </row>
    <row r="86" spans="1:5" x14ac:dyDescent="0.25">
      <c r="A86" s="93">
        <v>46034</v>
      </c>
      <c r="B86">
        <v>513210.18400000001</v>
      </c>
      <c r="C86">
        <v>4786436.0010000002</v>
      </c>
      <c r="D86">
        <v>85.685000000000002</v>
      </c>
      <c r="E86" t="s">
        <v>125</v>
      </c>
    </row>
    <row r="87" spans="1:5" x14ac:dyDescent="0.25">
      <c r="A87" s="93">
        <v>46034</v>
      </c>
      <c r="B87">
        <v>513218.07199999999</v>
      </c>
      <c r="C87">
        <v>4786429.057</v>
      </c>
      <c r="D87">
        <v>85.569000000000003</v>
      </c>
      <c r="E87" t="s">
        <v>152</v>
      </c>
    </row>
    <row r="88" spans="1:5" x14ac:dyDescent="0.25">
      <c r="A88" s="93">
        <v>46034</v>
      </c>
      <c r="B88">
        <v>513220.87</v>
      </c>
      <c r="C88">
        <v>4786425.8269999996</v>
      </c>
      <c r="D88">
        <v>88.715000000000003</v>
      </c>
      <c r="E88" t="s">
        <v>136</v>
      </c>
    </row>
    <row r="89" spans="1:5" x14ac:dyDescent="0.25">
      <c r="A89" s="93">
        <v>46034</v>
      </c>
      <c r="B89">
        <v>513235.12</v>
      </c>
      <c r="C89">
        <v>4786410.7790000001</v>
      </c>
      <c r="D89">
        <v>88.564999999999998</v>
      </c>
      <c r="E89" t="s">
        <v>137</v>
      </c>
    </row>
    <row r="90" spans="1:5" x14ac:dyDescent="0.25">
      <c r="A90" s="93">
        <v>46034</v>
      </c>
      <c r="B90">
        <v>513225.32799999998</v>
      </c>
      <c r="C90">
        <v>4786398.2640000004</v>
      </c>
      <c r="D90">
        <v>88.311000000000007</v>
      </c>
      <c r="E90" t="s">
        <v>138</v>
      </c>
    </row>
    <row r="91" spans="1:5" x14ac:dyDescent="0.25">
      <c r="A91" s="93">
        <v>46038</v>
      </c>
      <c r="B91" s="92">
        <v>513197.12900000002</v>
      </c>
      <c r="C91" s="92">
        <v>4786421.0760000004</v>
      </c>
      <c r="D91" s="92">
        <v>88.248999999999995</v>
      </c>
      <c r="E91" t="s">
        <v>123</v>
      </c>
    </row>
    <row r="92" spans="1:5" x14ac:dyDescent="0.25">
      <c r="A92" s="93">
        <v>46038</v>
      </c>
      <c r="B92" s="92">
        <v>513205.80900000001</v>
      </c>
      <c r="C92" s="92">
        <v>4786413.5020000003</v>
      </c>
      <c r="D92" s="92">
        <v>88.206000000000003</v>
      </c>
      <c r="E92" t="s">
        <v>124</v>
      </c>
    </row>
    <row r="93" spans="1:5" x14ac:dyDescent="0.25">
      <c r="A93" s="93">
        <v>46038</v>
      </c>
      <c r="B93" s="92">
        <v>513210.18599999999</v>
      </c>
      <c r="C93" s="92">
        <v>4786435.9979999997</v>
      </c>
      <c r="D93" s="92">
        <v>85.685000000000002</v>
      </c>
      <c r="E93" t="s">
        <v>125</v>
      </c>
    </row>
    <row r="94" spans="1:5" x14ac:dyDescent="0.25">
      <c r="A94" s="93">
        <v>46038</v>
      </c>
      <c r="B94" s="92">
        <v>513218.071</v>
      </c>
      <c r="C94" s="92">
        <v>4786429.0549999997</v>
      </c>
      <c r="D94" s="92">
        <v>85.569000000000003</v>
      </c>
      <c r="E94" t="s">
        <v>152</v>
      </c>
    </row>
    <row r="95" spans="1:5" x14ac:dyDescent="0.25">
      <c r="A95" s="93">
        <v>46038</v>
      </c>
      <c r="B95" s="92">
        <v>513220.87099999998</v>
      </c>
      <c r="C95" s="92">
        <v>4786425.8250000002</v>
      </c>
      <c r="D95" s="92">
        <v>88.715000000000003</v>
      </c>
      <c r="E95" t="s">
        <v>136</v>
      </c>
    </row>
    <row r="96" spans="1:5" x14ac:dyDescent="0.25">
      <c r="A96" s="93">
        <v>46038</v>
      </c>
      <c r="B96" s="92">
        <v>513235.12099999998</v>
      </c>
      <c r="C96" s="92">
        <v>4786410.7759999996</v>
      </c>
      <c r="D96" s="92">
        <v>88.564999999999998</v>
      </c>
      <c r="E96" t="s">
        <v>137</v>
      </c>
    </row>
    <row r="97" spans="1:5" x14ac:dyDescent="0.25">
      <c r="A97" s="93">
        <v>46038</v>
      </c>
      <c r="B97" s="92">
        <v>513225.32799999998</v>
      </c>
      <c r="C97" s="92">
        <v>4786398.2609999999</v>
      </c>
      <c r="D97" s="92">
        <v>88.31</v>
      </c>
      <c r="E97" t="s">
        <v>138</v>
      </c>
    </row>
    <row r="98" spans="1:5" x14ac:dyDescent="0.25">
      <c r="A98" s="93">
        <v>46041</v>
      </c>
      <c r="B98" s="92">
        <v>513197.13099999999</v>
      </c>
      <c r="C98" s="92">
        <v>4786421.0789999999</v>
      </c>
      <c r="D98" s="92">
        <v>88.248999999999995</v>
      </c>
      <c r="E98" t="s">
        <v>123</v>
      </c>
    </row>
    <row r="99" spans="1:5" x14ac:dyDescent="0.25">
      <c r="A99" s="93">
        <v>46041</v>
      </c>
      <c r="B99" s="92">
        <v>513205.80900000001</v>
      </c>
      <c r="C99" s="92">
        <v>4786413.5029999996</v>
      </c>
      <c r="D99" s="92">
        <v>88.204999999999998</v>
      </c>
      <c r="E99" t="s">
        <v>124</v>
      </c>
    </row>
    <row r="100" spans="1:5" x14ac:dyDescent="0.25">
      <c r="A100" s="93">
        <v>46041</v>
      </c>
      <c r="B100" s="92">
        <v>513210.18800000002</v>
      </c>
      <c r="C100" s="92">
        <v>4786435.9979999997</v>
      </c>
      <c r="D100" s="92">
        <v>85.685000000000002</v>
      </c>
      <c r="E100" t="s">
        <v>125</v>
      </c>
    </row>
    <row r="101" spans="1:5" x14ac:dyDescent="0.25">
      <c r="A101" s="93">
        <v>46041</v>
      </c>
      <c r="B101" s="92">
        <v>513218.07400000002</v>
      </c>
      <c r="C101" s="92">
        <v>4786429.0539999995</v>
      </c>
      <c r="D101" s="92">
        <v>85.569000000000003</v>
      </c>
      <c r="E101" t="s">
        <v>152</v>
      </c>
    </row>
    <row r="102" spans="1:5" x14ac:dyDescent="0.25">
      <c r="A102" s="93">
        <v>46041</v>
      </c>
      <c r="B102" s="92">
        <v>513220.87300000002</v>
      </c>
      <c r="C102" s="92">
        <v>4786425.824</v>
      </c>
      <c r="D102" s="92">
        <v>88.715000000000003</v>
      </c>
      <c r="E102" t="s">
        <v>136</v>
      </c>
    </row>
    <row r="103" spans="1:5" x14ac:dyDescent="0.25">
      <c r="A103" s="93">
        <v>46041</v>
      </c>
      <c r="B103" s="92">
        <v>513235.12199999997</v>
      </c>
      <c r="C103" s="92">
        <v>4786410.7759999996</v>
      </c>
      <c r="D103" s="92">
        <v>88.564999999999998</v>
      </c>
      <c r="E103" t="s">
        <v>137</v>
      </c>
    </row>
    <row r="104" spans="1:5" x14ac:dyDescent="0.25">
      <c r="A104" s="93">
        <v>46041</v>
      </c>
      <c r="B104" s="92">
        <v>513225.32900000003</v>
      </c>
      <c r="C104" s="92">
        <v>4786398.2609999999</v>
      </c>
      <c r="D104" s="92">
        <v>88.31</v>
      </c>
      <c r="E104" t="s">
        <v>138</v>
      </c>
    </row>
    <row r="105" spans="1:5" x14ac:dyDescent="0.25">
      <c r="A105" s="93">
        <v>46043</v>
      </c>
      <c r="B105" s="92">
        <v>513197.13099999999</v>
      </c>
      <c r="C105" s="92">
        <v>4786421.0779999997</v>
      </c>
      <c r="D105" s="92">
        <v>88.248999999999995</v>
      </c>
      <c r="E105" t="s">
        <v>123</v>
      </c>
    </row>
    <row r="106" spans="1:5" x14ac:dyDescent="0.25">
      <c r="A106" s="93">
        <v>46043</v>
      </c>
      <c r="B106" s="92">
        <v>513205.80900000001</v>
      </c>
      <c r="C106" s="92">
        <v>4786413.5029999996</v>
      </c>
      <c r="D106" s="92">
        <v>88.204999999999998</v>
      </c>
      <c r="E106" t="s">
        <v>124</v>
      </c>
    </row>
    <row r="107" spans="1:5" x14ac:dyDescent="0.25">
      <c r="A107" s="93">
        <v>46043</v>
      </c>
      <c r="B107" s="92">
        <v>513210.18900000001</v>
      </c>
      <c r="C107" s="92">
        <v>4786435.9979999997</v>
      </c>
      <c r="D107" s="92">
        <v>85.685000000000002</v>
      </c>
      <c r="E107" t="s">
        <v>125</v>
      </c>
    </row>
    <row r="108" spans="1:5" x14ac:dyDescent="0.25">
      <c r="A108" s="93">
        <v>46043</v>
      </c>
      <c r="B108" s="92">
        <v>513218.07400000002</v>
      </c>
      <c r="C108" s="92">
        <v>4786429.0559999999</v>
      </c>
      <c r="D108" s="92">
        <v>85.569000000000003</v>
      </c>
      <c r="E108" t="s">
        <v>152</v>
      </c>
    </row>
    <row r="109" spans="1:5" x14ac:dyDescent="0.25">
      <c r="A109" s="93">
        <v>46043</v>
      </c>
      <c r="B109" s="92">
        <v>513220.87199999997</v>
      </c>
      <c r="C109" s="92">
        <v>4786425.8250000002</v>
      </c>
      <c r="D109" s="92">
        <v>88.715999999999994</v>
      </c>
      <c r="E109" t="s">
        <v>136</v>
      </c>
    </row>
    <row r="110" spans="1:5" x14ac:dyDescent="0.25">
      <c r="A110" s="93">
        <v>46043</v>
      </c>
      <c r="B110" s="92">
        <v>513235.12199999997</v>
      </c>
      <c r="C110" s="92">
        <v>4786410.7759999996</v>
      </c>
      <c r="D110" s="92">
        <v>88.564999999999998</v>
      </c>
      <c r="E110" t="s">
        <v>137</v>
      </c>
    </row>
    <row r="111" spans="1:5" x14ac:dyDescent="0.25">
      <c r="A111" s="93">
        <v>46043</v>
      </c>
      <c r="B111" s="92">
        <v>513225.32900000003</v>
      </c>
      <c r="C111" s="92">
        <v>4786398.2620000001</v>
      </c>
      <c r="D111" s="92">
        <v>88.311000000000007</v>
      </c>
      <c r="E111" t="s">
        <v>138</v>
      </c>
    </row>
    <row r="112" spans="1:5" x14ac:dyDescent="0.25">
      <c r="A112" s="93">
        <v>46050</v>
      </c>
      <c r="B112" s="92">
        <v>513197.13099999999</v>
      </c>
      <c r="C112" s="92">
        <v>4786421.0789999999</v>
      </c>
      <c r="D112" s="92">
        <v>88.248999999999995</v>
      </c>
      <c r="E112" t="s">
        <v>123</v>
      </c>
    </row>
    <row r="113" spans="1:8" x14ac:dyDescent="0.25">
      <c r="A113" s="93">
        <v>46050</v>
      </c>
      <c r="B113" s="92">
        <v>513205.80900000001</v>
      </c>
      <c r="C113" s="92">
        <v>4786413.5039999997</v>
      </c>
      <c r="D113" s="92">
        <v>88.204999999999998</v>
      </c>
      <c r="E113" t="s">
        <v>124</v>
      </c>
    </row>
    <row r="114" spans="1:8" x14ac:dyDescent="0.25">
      <c r="A114" s="93">
        <v>46050</v>
      </c>
      <c r="B114" s="92">
        <v>513210.18599999999</v>
      </c>
      <c r="C114" s="92">
        <v>4786435.9989999998</v>
      </c>
      <c r="D114" s="92">
        <v>85.683999999999997</v>
      </c>
      <c r="E114" t="s">
        <v>125</v>
      </c>
    </row>
    <row r="115" spans="1:8" x14ac:dyDescent="0.25">
      <c r="A115" s="93">
        <v>46050</v>
      </c>
      <c r="B115" s="92">
        <v>513218.07199999999</v>
      </c>
      <c r="C115" s="92">
        <v>4786429.0549999997</v>
      </c>
      <c r="D115" s="92">
        <v>85.567999999999998</v>
      </c>
      <c r="E115" t="s">
        <v>152</v>
      </c>
    </row>
    <row r="116" spans="1:8" x14ac:dyDescent="0.25">
      <c r="A116" s="93">
        <v>46050</v>
      </c>
      <c r="B116" s="92">
        <v>513220.87099999998</v>
      </c>
      <c r="C116" s="92">
        <v>4786425.8250000002</v>
      </c>
      <c r="D116" s="92">
        <v>88.715000000000003</v>
      </c>
      <c r="E116" t="s">
        <v>136</v>
      </c>
    </row>
    <row r="117" spans="1:8" x14ac:dyDescent="0.25">
      <c r="A117" s="93">
        <v>46050</v>
      </c>
      <c r="B117" s="92">
        <v>513235.12099999998</v>
      </c>
      <c r="C117" s="92">
        <v>4786410.7759999996</v>
      </c>
      <c r="D117" s="92">
        <v>88.563999999999993</v>
      </c>
      <c r="E117" t="s">
        <v>137</v>
      </c>
    </row>
    <row r="118" spans="1:8" x14ac:dyDescent="0.25">
      <c r="A118" s="93">
        <v>46050</v>
      </c>
      <c r="B118" s="92">
        <v>513225.32799999998</v>
      </c>
      <c r="C118" s="92">
        <v>4786398.2620000001</v>
      </c>
      <c r="D118" s="92">
        <v>88.31</v>
      </c>
      <c r="E118" t="s">
        <v>138</v>
      </c>
    </row>
    <row r="119" spans="1:8" x14ac:dyDescent="0.25">
      <c r="A119" s="93">
        <v>46055</v>
      </c>
      <c r="B119" s="92">
        <v>513197.12900000002</v>
      </c>
      <c r="C119" s="92">
        <v>4786421.0769999996</v>
      </c>
      <c r="D119" s="92">
        <v>88.248999999999995</v>
      </c>
      <c r="E119" t="s">
        <v>123</v>
      </c>
      <c r="F119" s="92"/>
      <c r="G119" s="92"/>
      <c r="H119" s="92"/>
    </row>
    <row r="120" spans="1:8" x14ac:dyDescent="0.25">
      <c r="A120" s="93">
        <v>46055</v>
      </c>
      <c r="B120" s="92">
        <v>513205.80900000001</v>
      </c>
      <c r="C120" s="92">
        <v>4786413.5020000003</v>
      </c>
      <c r="D120" s="92">
        <v>88.204999999999998</v>
      </c>
      <c r="E120" t="s">
        <v>124</v>
      </c>
      <c r="F120" s="92"/>
      <c r="G120" s="92"/>
      <c r="H120" s="92"/>
    </row>
    <row r="121" spans="1:8" x14ac:dyDescent="0.25">
      <c r="A121" s="93">
        <v>46055</v>
      </c>
      <c r="B121" s="92">
        <v>513210.18699999998</v>
      </c>
      <c r="C121" s="92">
        <v>4786435.9979999997</v>
      </c>
      <c r="D121" s="92">
        <v>85.685000000000002</v>
      </c>
      <c r="E121" t="s">
        <v>125</v>
      </c>
      <c r="F121" s="92"/>
      <c r="G121" s="92"/>
      <c r="H121" s="92"/>
    </row>
    <row r="122" spans="1:8" x14ac:dyDescent="0.25">
      <c r="A122" s="93">
        <v>46055</v>
      </c>
      <c r="B122" s="92">
        <v>513218.07299999997</v>
      </c>
      <c r="C122" s="92">
        <v>4786429.0549999997</v>
      </c>
      <c r="D122" s="92">
        <v>85.569000000000003</v>
      </c>
      <c r="E122" t="s">
        <v>152</v>
      </c>
      <c r="F122" s="92"/>
      <c r="G122" s="92"/>
      <c r="H122" s="92"/>
    </row>
    <row r="123" spans="1:8" x14ac:dyDescent="0.25">
      <c r="A123" s="93">
        <v>46055</v>
      </c>
      <c r="B123" s="92">
        <v>513220.87099999998</v>
      </c>
      <c r="C123" s="92">
        <v>4786425.8250000002</v>
      </c>
      <c r="D123" s="92">
        <v>88.715000000000003</v>
      </c>
      <c r="E123" t="s">
        <v>136</v>
      </c>
      <c r="F123" s="92"/>
      <c r="G123" s="92"/>
      <c r="H123" s="92"/>
    </row>
    <row r="124" spans="1:8" x14ac:dyDescent="0.25">
      <c r="A124" s="93">
        <v>46055</v>
      </c>
      <c r="B124" s="92">
        <v>513235.12199999997</v>
      </c>
      <c r="C124" s="92">
        <v>4786410.7759999996</v>
      </c>
      <c r="D124" s="92">
        <v>88.563999999999993</v>
      </c>
      <c r="E124" t="s">
        <v>137</v>
      </c>
      <c r="F124" s="92"/>
      <c r="G124" s="92"/>
      <c r="H124" s="92"/>
    </row>
    <row r="125" spans="1:8" x14ac:dyDescent="0.25">
      <c r="A125" s="93">
        <v>46055</v>
      </c>
      <c r="B125" s="92">
        <v>513225.32799999998</v>
      </c>
      <c r="C125" s="92">
        <v>4786398.2609999999</v>
      </c>
      <c r="D125" s="92">
        <v>88.31</v>
      </c>
      <c r="E125" t="s">
        <v>138</v>
      </c>
      <c r="F125" s="92"/>
      <c r="G125" s="92"/>
      <c r="H125" s="92"/>
    </row>
    <row r="126" spans="1:8" x14ac:dyDescent="0.25">
      <c r="A126" s="93">
        <v>46057</v>
      </c>
      <c r="B126" s="92">
        <v>513197.13</v>
      </c>
      <c r="C126" s="92">
        <v>4786421.0769999996</v>
      </c>
      <c r="D126" s="92">
        <v>88.248999999999995</v>
      </c>
      <c r="E126" t="s">
        <v>123</v>
      </c>
    </row>
    <row r="127" spans="1:8" x14ac:dyDescent="0.25">
      <c r="A127" s="93">
        <v>46057</v>
      </c>
      <c r="B127" s="92">
        <v>513205.80900000001</v>
      </c>
      <c r="C127" s="92">
        <v>4786413.5020000003</v>
      </c>
      <c r="D127" s="92">
        <v>88.206000000000003</v>
      </c>
      <c r="E127" t="s">
        <v>124</v>
      </c>
    </row>
    <row r="128" spans="1:8" x14ac:dyDescent="0.25">
      <c r="A128" s="93">
        <v>46057</v>
      </c>
      <c r="B128" s="92">
        <v>513210.18800000002</v>
      </c>
      <c r="C128" s="92">
        <v>4786435.9979999997</v>
      </c>
      <c r="D128" s="92">
        <v>85.685000000000002</v>
      </c>
      <c r="E128" t="s">
        <v>125</v>
      </c>
    </row>
    <row r="129" spans="1:8" x14ac:dyDescent="0.25">
      <c r="A129" s="93">
        <v>46057</v>
      </c>
      <c r="B129" s="92">
        <v>513218.07400000002</v>
      </c>
      <c r="C129" s="92">
        <v>4786429.0549999997</v>
      </c>
      <c r="D129" s="92">
        <v>85.57</v>
      </c>
      <c r="E129" t="s">
        <v>152</v>
      </c>
    </row>
    <row r="130" spans="1:8" x14ac:dyDescent="0.25">
      <c r="A130" s="93">
        <v>46057</v>
      </c>
      <c r="B130" s="92">
        <v>513220.87300000002</v>
      </c>
      <c r="C130" s="92">
        <v>4786425.8250000002</v>
      </c>
      <c r="D130" s="92">
        <v>88.715999999999994</v>
      </c>
      <c r="E130" t="s">
        <v>136</v>
      </c>
    </row>
    <row r="131" spans="1:8" x14ac:dyDescent="0.25">
      <c r="A131" s="93">
        <v>46057</v>
      </c>
      <c r="B131" s="92">
        <v>513235.12300000002</v>
      </c>
      <c r="C131" s="92">
        <v>4786410.7759999996</v>
      </c>
      <c r="D131" s="92">
        <v>88.564999999999998</v>
      </c>
      <c r="E131" t="s">
        <v>137</v>
      </c>
    </row>
    <row r="132" spans="1:8" x14ac:dyDescent="0.25">
      <c r="A132" s="93">
        <v>46057</v>
      </c>
      <c r="B132" s="92">
        <v>513225.33100000001</v>
      </c>
      <c r="C132" s="92">
        <v>4786398.2620000001</v>
      </c>
      <c r="D132" s="92">
        <v>88.31</v>
      </c>
      <c r="E132" t="s">
        <v>138</v>
      </c>
    </row>
    <row r="133" spans="1:8" x14ac:dyDescent="0.25">
      <c r="A133" s="93">
        <v>46062</v>
      </c>
      <c r="B133" s="92">
        <v>513197.13</v>
      </c>
      <c r="C133" s="92">
        <v>4786421.0779999997</v>
      </c>
      <c r="D133" s="92">
        <v>88.248999999999995</v>
      </c>
      <c r="E133" t="s">
        <v>123</v>
      </c>
    </row>
    <row r="134" spans="1:8" x14ac:dyDescent="0.25">
      <c r="A134" s="93">
        <v>46062</v>
      </c>
      <c r="B134" s="92">
        <v>513205.80699999997</v>
      </c>
      <c r="C134" s="92">
        <v>4786413.5010000002</v>
      </c>
      <c r="D134" s="92">
        <v>88.204999999999998</v>
      </c>
      <c r="E134" t="s">
        <v>124</v>
      </c>
    </row>
    <row r="135" spans="1:8" x14ac:dyDescent="0.25">
      <c r="A135" s="93">
        <v>46062</v>
      </c>
      <c r="B135" s="92">
        <v>513210.18699999998</v>
      </c>
      <c r="C135" s="92">
        <v>4786435.9989999998</v>
      </c>
      <c r="D135" s="92">
        <v>85.685000000000002</v>
      </c>
      <c r="E135" t="s">
        <v>125</v>
      </c>
    </row>
    <row r="136" spans="1:8" x14ac:dyDescent="0.25">
      <c r="A136" s="93">
        <v>46062</v>
      </c>
      <c r="B136" s="92">
        <v>513218.07299999997</v>
      </c>
      <c r="C136" s="92">
        <v>4786429.0559999999</v>
      </c>
      <c r="D136" s="92">
        <v>85.569000000000003</v>
      </c>
      <c r="E136" t="s">
        <v>152</v>
      </c>
    </row>
    <row r="137" spans="1:8" x14ac:dyDescent="0.25">
      <c r="A137" s="93">
        <v>46062</v>
      </c>
      <c r="B137" s="92">
        <v>513220.87199999997</v>
      </c>
      <c r="C137" s="92">
        <v>4786425.8250000002</v>
      </c>
      <c r="D137" s="92">
        <v>88.715999999999994</v>
      </c>
      <c r="E137" t="s">
        <v>136</v>
      </c>
    </row>
    <row r="138" spans="1:8" x14ac:dyDescent="0.25">
      <c r="A138" s="93">
        <v>46062</v>
      </c>
      <c r="B138" s="92">
        <v>513235.12099999998</v>
      </c>
      <c r="C138" s="92">
        <v>4786410.7759999996</v>
      </c>
      <c r="D138" s="92">
        <v>88.564999999999998</v>
      </c>
      <c r="E138" t="s">
        <v>137</v>
      </c>
    </row>
    <row r="139" spans="1:8" x14ac:dyDescent="0.25">
      <c r="A139" s="93">
        <v>46062</v>
      </c>
      <c r="B139" s="92">
        <v>513225.32799999998</v>
      </c>
      <c r="C139" s="92">
        <v>4786398.2620000001</v>
      </c>
      <c r="D139" s="92">
        <v>88.31</v>
      </c>
      <c r="E139" t="s">
        <v>138</v>
      </c>
    </row>
    <row r="140" spans="1:8" x14ac:dyDescent="0.25">
      <c r="A140" s="93">
        <v>46070</v>
      </c>
      <c r="B140" s="92">
        <v>513197.13</v>
      </c>
      <c r="C140" s="92">
        <v>4786421.0760000004</v>
      </c>
      <c r="D140" s="92">
        <v>88.254000000000005</v>
      </c>
      <c r="E140" t="s">
        <v>123</v>
      </c>
      <c r="F140" s="92"/>
      <c r="G140" s="92"/>
      <c r="H140" s="92"/>
    </row>
    <row r="141" spans="1:8" x14ac:dyDescent="0.25">
      <c r="A141" s="93">
        <v>46070</v>
      </c>
      <c r="B141" s="92">
        <v>513205.80800000002</v>
      </c>
      <c r="C141" s="92">
        <v>4786413.5010000002</v>
      </c>
      <c r="D141" s="92">
        <v>88.210999999999999</v>
      </c>
      <c r="E141" t="s">
        <v>124</v>
      </c>
      <c r="F141" s="92"/>
      <c r="G141" s="92"/>
      <c r="H141" s="92"/>
    </row>
    <row r="142" spans="1:8" x14ac:dyDescent="0.25">
      <c r="A142" s="93">
        <v>46070</v>
      </c>
      <c r="B142" s="92">
        <v>513210.18900000001</v>
      </c>
      <c r="C142" s="92">
        <v>4786435.9970000004</v>
      </c>
      <c r="D142" s="92">
        <v>85.685000000000002</v>
      </c>
      <c r="E142" t="s">
        <v>125</v>
      </c>
      <c r="F142" s="92"/>
      <c r="G142" s="92"/>
      <c r="H142" s="92"/>
    </row>
    <row r="143" spans="1:8" x14ac:dyDescent="0.25">
      <c r="A143" s="93">
        <v>46070</v>
      </c>
      <c r="B143" s="92">
        <v>513218.07299999997</v>
      </c>
      <c r="C143" s="92">
        <v>4786429.0539999995</v>
      </c>
      <c r="D143" s="92">
        <v>85.57</v>
      </c>
      <c r="E143" t="s">
        <v>152</v>
      </c>
      <c r="F143" s="92"/>
      <c r="G143" s="92"/>
      <c r="H143" s="92"/>
    </row>
    <row r="144" spans="1:8" x14ac:dyDescent="0.25">
      <c r="A144" s="93">
        <v>46070</v>
      </c>
      <c r="B144" s="92">
        <v>513220.87300000002</v>
      </c>
      <c r="C144" s="92">
        <v>4786425.8229999999</v>
      </c>
      <c r="D144" s="92">
        <v>88.715000000000003</v>
      </c>
      <c r="E144" t="s">
        <v>136</v>
      </c>
      <c r="F144" s="92"/>
      <c r="G144" s="92"/>
      <c r="H144" s="92"/>
    </row>
    <row r="145" spans="1:8" x14ac:dyDescent="0.25">
      <c r="A145" s="93">
        <v>46070</v>
      </c>
      <c r="B145" s="92">
        <v>513235.12199999997</v>
      </c>
      <c r="C145" s="92">
        <v>4786410.7740000002</v>
      </c>
      <c r="D145" s="92">
        <v>88.564999999999998</v>
      </c>
      <c r="E145" t="s">
        <v>137</v>
      </c>
      <c r="F145" s="92"/>
      <c r="G145" s="92"/>
      <c r="H145" s="92"/>
    </row>
    <row r="146" spans="1:8" x14ac:dyDescent="0.25">
      <c r="A146" s="93">
        <v>46070</v>
      </c>
      <c r="B146" s="92">
        <v>513225.32900000003</v>
      </c>
      <c r="C146" s="92">
        <v>4786398.26</v>
      </c>
      <c r="D146" s="92">
        <v>88.31</v>
      </c>
      <c r="E146" t="s">
        <v>138</v>
      </c>
      <c r="F146" s="92"/>
      <c r="G146" s="92"/>
      <c r="H146" s="92"/>
    </row>
    <row r="147" spans="1:8" x14ac:dyDescent="0.25">
      <c r="A147" s="93">
        <v>46079</v>
      </c>
      <c r="B147" s="92">
        <v>513197.13099999999</v>
      </c>
      <c r="C147" s="92">
        <v>4786421.0769999996</v>
      </c>
      <c r="D147" s="92">
        <v>88.254000000000005</v>
      </c>
      <c r="E147" t="s">
        <v>123</v>
      </c>
    </row>
    <row r="148" spans="1:8" x14ac:dyDescent="0.25">
      <c r="A148" s="93">
        <v>46079</v>
      </c>
      <c r="B148" s="92">
        <v>513205.81099999999</v>
      </c>
      <c r="C148" s="92">
        <v>4786413.5010000002</v>
      </c>
      <c r="D148" s="92">
        <v>88.210999999999999</v>
      </c>
      <c r="E148" t="s">
        <v>124</v>
      </c>
    </row>
    <row r="149" spans="1:8" x14ac:dyDescent="0.25">
      <c r="A149" s="93">
        <v>46079</v>
      </c>
      <c r="B149" s="92">
        <v>513210.18699999998</v>
      </c>
      <c r="C149" s="92">
        <v>4786435.9970000004</v>
      </c>
      <c r="D149" s="92">
        <v>85.688000000000002</v>
      </c>
      <c r="E149" t="s">
        <v>125</v>
      </c>
    </row>
    <row r="150" spans="1:8" x14ac:dyDescent="0.25">
      <c r="A150" s="93">
        <v>46079</v>
      </c>
      <c r="B150" s="92">
        <v>513218.07299999997</v>
      </c>
      <c r="C150" s="92">
        <v>4786429.0539999995</v>
      </c>
      <c r="D150" s="92">
        <v>85.572000000000003</v>
      </c>
      <c r="E150" t="s">
        <v>152</v>
      </c>
    </row>
    <row r="151" spans="1:8" x14ac:dyDescent="0.25">
      <c r="A151" s="93">
        <v>46079</v>
      </c>
      <c r="B151" s="92">
        <v>513220.87199999997</v>
      </c>
      <c r="C151" s="92">
        <v>4786425.824</v>
      </c>
      <c r="D151" s="92">
        <v>88.718000000000004</v>
      </c>
      <c r="E151" t="s">
        <v>136</v>
      </c>
    </row>
    <row r="152" spans="1:8" x14ac:dyDescent="0.25">
      <c r="A152" s="93">
        <v>46079</v>
      </c>
      <c r="B152" s="92">
        <v>513235.12199999997</v>
      </c>
      <c r="C152" s="92">
        <v>4786410.7759999996</v>
      </c>
      <c r="D152" s="92">
        <v>88.566999999999993</v>
      </c>
      <c r="E152" t="s">
        <v>137</v>
      </c>
    </row>
    <row r="153" spans="1:8" x14ac:dyDescent="0.25">
      <c r="A153" s="93">
        <v>46079</v>
      </c>
      <c r="B153" s="92">
        <v>513225.32799999998</v>
      </c>
      <c r="C153" s="92">
        <v>4786398.26</v>
      </c>
      <c r="D153" s="92">
        <v>88.313000000000002</v>
      </c>
      <c r="E153" t="s">
        <v>138</v>
      </c>
    </row>
    <row r="154" spans="1:8" x14ac:dyDescent="0.25">
      <c r="A154" s="93">
        <v>46094</v>
      </c>
      <c r="B154" s="92">
        <v>513197.13099999999</v>
      </c>
      <c r="C154" s="92">
        <v>4786421.0750000002</v>
      </c>
      <c r="D154" s="92">
        <v>88.253</v>
      </c>
      <c r="E154" t="s">
        <v>123</v>
      </c>
    </row>
    <row r="155" spans="1:8" x14ac:dyDescent="0.25">
      <c r="A155" s="93">
        <v>46094</v>
      </c>
      <c r="B155" s="92">
        <v>513205.81099999999</v>
      </c>
      <c r="C155" s="92">
        <v>4786413.5010000002</v>
      </c>
      <c r="D155" s="92">
        <v>88.209000000000003</v>
      </c>
      <c r="E155" t="s">
        <v>124</v>
      </c>
    </row>
    <row r="156" spans="1:8" x14ac:dyDescent="0.25">
      <c r="A156" s="93">
        <v>46094</v>
      </c>
      <c r="B156" s="92">
        <v>513210.18900000001</v>
      </c>
      <c r="C156" s="92">
        <v>4786435.9970000004</v>
      </c>
      <c r="D156" s="92">
        <v>85.688000000000002</v>
      </c>
      <c r="E156" t="s">
        <v>125</v>
      </c>
    </row>
    <row r="157" spans="1:8" x14ac:dyDescent="0.25">
      <c r="A157" s="93">
        <v>46094</v>
      </c>
      <c r="B157" s="92">
        <v>513218.07400000002</v>
      </c>
      <c r="C157" s="92">
        <v>4786429.0539999995</v>
      </c>
      <c r="D157" s="92">
        <v>85.572000000000003</v>
      </c>
      <c r="E157" t="s">
        <v>152</v>
      </c>
    </row>
    <row r="158" spans="1:8" x14ac:dyDescent="0.25">
      <c r="A158" s="93">
        <v>46094</v>
      </c>
      <c r="B158" s="92">
        <v>513220.87400000001</v>
      </c>
      <c r="C158" s="92">
        <v>4786425.824</v>
      </c>
      <c r="D158" s="92">
        <v>88.718000000000004</v>
      </c>
      <c r="E158" t="s">
        <v>136</v>
      </c>
    </row>
    <row r="159" spans="1:8" x14ac:dyDescent="0.25">
      <c r="A159" s="93">
        <v>46094</v>
      </c>
      <c r="B159" s="92">
        <v>513235.12300000002</v>
      </c>
      <c r="C159" s="92">
        <v>4786410.7750000004</v>
      </c>
      <c r="D159" s="92">
        <v>88.566999999999993</v>
      </c>
      <c r="E159" t="s">
        <v>137</v>
      </c>
    </row>
    <row r="160" spans="1:8" x14ac:dyDescent="0.25">
      <c r="A160" s="93">
        <v>46094</v>
      </c>
      <c r="B160" s="92">
        <v>513225.32900000003</v>
      </c>
      <c r="C160" s="92">
        <v>4786398.26</v>
      </c>
      <c r="D160" s="92">
        <v>88.311999999999998</v>
      </c>
      <c r="E160" t="s">
        <v>138</v>
      </c>
    </row>
    <row r="161" spans="1:8" x14ac:dyDescent="0.25">
      <c r="A161" s="93">
        <v>46125</v>
      </c>
      <c r="B161" s="92">
        <v>513232.85200000001</v>
      </c>
      <c r="C161" s="92">
        <v>4786371.926</v>
      </c>
      <c r="D161" s="92">
        <v>79.971000000000004</v>
      </c>
      <c r="E161" t="s">
        <v>153</v>
      </c>
    </row>
    <row r="162" spans="1:8" x14ac:dyDescent="0.25">
      <c r="A162" s="93">
        <v>46125</v>
      </c>
      <c r="B162" s="92">
        <v>513229.26500000001</v>
      </c>
      <c r="C162" s="92">
        <v>4786375.32</v>
      </c>
      <c r="D162" s="92">
        <v>80.013000000000005</v>
      </c>
      <c r="E162" t="s">
        <v>154</v>
      </c>
    </row>
    <row r="163" spans="1:8" x14ac:dyDescent="0.25">
      <c r="A163" s="93">
        <v>46125</v>
      </c>
      <c r="B163" s="92">
        <v>513226.36599999998</v>
      </c>
      <c r="C163" s="92">
        <v>4786374.4129999997</v>
      </c>
      <c r="D163" s="92">
        <v>80.001000000000005</v>
      </c>
      <c r="E163" t="s">
        <v>155</v>
      </c>
    </row>
    <row r="164" spans="1:8" x14ac:dyDescent="0.25">
      <c r="A164" s="93">
        <v>46125</v>
      </c>
      <c r="B164" s="92">
        <v>513217.53899999999</v>
      </c>
      <c r="C164" s="92">
        <v>4786371.5939999996</v>
      </c>
      <c r="D164" s="92">
        <v>80.17</v>
      </c>
      <c r="E164" t="s">
        <v>156</v>
      </c>
    </row>
    <row r="165" spans="1:8" x14ac:dyDescent="0.25">
      <c r="A165" s="93">
        <v>46125</v>
      </c>
      <c r="B165" s="92">
        <v>513207.06300000002</v>
      </c>
      <c r="C165" s="92">
        <v>4786368.0719999997</v>
      </c>
      <c r="D165" s="92">
        <v>80.262</v>
      </c>
      <c r="E165" t="s">
        <v>157</v>
      </c>
    </row>
    <row r="166" spans="1:8" x14ac:dyDescent="0.25">
      <c r="A166" s="93">
        <v>46125</v>
      </c>
      <c r="B166" s="92">
        <v>513197.12800000003</v>
      </c>
      <c r="C166" s="92">
        <v>4786421.0769999996</v>
      </c>
      <c r="D166" s="92">
        <v>88.254000000000005</v>
      </c>
      <c r="E166" t="s">
        <v>123</v>
      </c>
    </row>
    <row r="167" spans="1:8" x14ac:dyDescent="0.25">
      <c r="A167" s="93">
        <v>46125</v>
      </c>
      <c r="B167" s="92">
        <v>513205.80900000001</v>
      </c>
      <c r="C167" s="92">
        <v>4786413.5029999996</v>
      </c>
      <c r="D167" s="92">
        <v>88.21</v>
      </c>
      <c r="E167" t="s">
        <v>124</v>
      </c>
    </row>
    <row r="168" spans="1:8" x14ac:dyDescent="0.25">
      <c r="A168" s="93">
        <v>46125</v>
      </c>
      <c r="B168" s="92">
        <v>513210.18699999998</v>
      </c>
      <c r="C168" s="92">
        <v>4786435.9970000004</v>
      </c>
      <c r="D168" s="92">
        <v>85.688000000000002</v>
      </c>
      <c r="E168" t="s">
        <v>125</v>
      </c>
    </row>
    <row r="169" spans="1:8" x14ac:dyDescent="0.25">
      <c r="A169" s="93">
        <v>46125</v>
      </c>
      <c r="B169" s="92">
        <v>513218.07299999997</v>
      </c>
      <c r="C169" s="92">
        <v>4786429.0539999995</v>
      </c>
      <c r="D169" s="92">
        <v>85.572000000000003</v>
      </c>
      <c r="E169" t="s">
        <v>152</v>
      </c>
    </row>
    <row r="170" spans="1:8" x14ac:dyDescent="0.25">
      <c r="A170" s="93">
        <v>46125</v>
      </c>
      <c r="B170" s="92">
        <v>513220.87099999998</v>
      </c>
      <c r="C170" s="92">
        <v>4786425.8250000002</v>
      </c>
      <c r="D170" s="92">
        <v>88.718000000000004</v>
      </c>
      <c r="E170" t="s">
        <v>136</v>
      </c>
    </row>
    <row r="171" spans="1:8" x14ac:dyDescent="0.25">
      <c r="A171" s="93">
        <v>46125</v>
      </c>
      <c r="B171" s="92">
        <v>513235.12199999997</v>
      </c>
      <c r="C171" s="92">
        <v>4786410.7750000004</v>
      </c>
      <c r="D171" s="92">
        <v>88.566999999999993</v>
      </c>
      <c r="E171" t="s">
        <v>137</v>
      </c>
    </row>
    <row r="172" spans="1:8" x14ac:dyDescent="0.25">
      <c r="A172" s="93">
        <v>46125</v>
      </c>
      <c r="B172" s="92">
        <v>513225.32699999999</v>
      </c>
      <c r="C172" s="92">
        <v>4786398.26</v>
      </c>
      <c r="D172" s="92">
        <v>88.313000000000002</v>
      </c>
      <c r="E172" t="s">
        <v>138</v>
      </c>
    </row>
    <row r="173" spans="1:8" x14ac:dyDescent="0.25">
      <c r="A173" s="93">
        <v>46140</v>
      </c>
      <c r="B173" s="92">
        <v>513232.85100000002</v>
      </c>
      <c r="C173" s="92">
        <v>4786371.9230000004</v>
      </c>
      <c r="D173" s="92">
        <v>79.971000000000004</v>
      </c>
      <c r="E173" t="s">
        <v>153</v>
      </c>
      <c r="F173" s="92"/>
      <c r="G173" s="92"/>
      <c r="H173" s="92"/>
    </row>
    <row r="174" spans="1:8" x14ac:dyDescent="0.25">
      <c r="A174" s="93">
        <v>46140</v>
      </c>
      <c r="B174" s="92">
        <v>513229.26699999999</v>
      </c>
      <c r="C174" s="92">
        <v>4786375.3169999998</v>
      </c>
      <c r="D174" s="92">
        <v>80.013999999999996</v>
      </c>
      <c r="E174" t="s">
        <v>154</v>
      </c>
      <c r="F174" s="92"/>
      <c r="G174" s="92"/>
      <c r="H174" s="92"/>
    </row>
    <row r="175" spans="1:8" x14ac:dyDescent="0.25">
      <c r="A175" s="93">
        <v>46140</v>
      </c>
      <c r="B175" s="92">
        <v>513226.36700000003</v>
      </c>
      <c r="C175" s="92">
        <v>4786374.41</v>
      </c>
      <c r="D175" s="92">
        <v>80.001999999999995</v>
      </c>
      <c r="E175" t="s">
        <v>155</v>
      </c>
      <c r="F175" s="92"/>
      <c r="G175" s="92"/>
      <c r="H175" s="92"/>
    </row>
    <row r="176" spans="1:8" x14ac:dyDescent="0.25">
      <c r="A176" s="93">
        <v>46140</v>
      </c>
      <c r="B176" s="92">
        <v>513217.54</v>
      </c>
      <c r="C176" s="92">
        <v>4786371.5920000002</v>
      </c>
      <c r="D176" s="92">
        <v>80.17</v>
      </c>
      <c r="E176" t="s">
        <v>156</v>
      </c>
      <c r="F176" s="92"/>
      <c r="G176" s="92"/>
      <c r="H176" s="92"/>
    </row>
    <row r="177" spans="1:8" x14ac:dyDescent="0.25">
      <c r="A177" s="93">
        <v>46140</v>
      </c>
      <c r="B177" s="92">
        <v>513207.06300000002</v>
      </c>
      <c r="C177" s="92">
        <v>4786368.07</v>
      </c>
      <c r="D177" s="92">
        <v>80.262</v>
      </c>
      <c r="E177" t="s">
        <v>157</v>
      </c>
      <c r="F177" s="92"/>
      <c r="G177" s="92"/>
      <c r="H177" s="92"/>
    </row>
    <row r="178" spans="1:8" x14ac:dyDescent="0.25">
      <c r="A178" s="93">
        <v>46140</v>
      </c>
      <c r="B178" s="92">
        <v>513197.13099999999</v>
      </c>
      <c r="C178" s="92">
        <v>4786421.0769999996</v>
      </c>
      <c r="D178" s="92">
        <v>88.253</v>
      </c>
      <c r="E178" t="s">
        <v>123</v>
      </c>
      <c r="F178" s="92"/>
      <c r="G178" s="92"/>
      <c r="H178" s="92"/>
    </row>
    <row r="179" spans="1:8" x14ac:dyDescent="0.25">
      <c r="A179" s="93">
        <v>46140</v>
      </c>
      <c r="B179" s="92">
        <v>513205.81</v>
      </c>
      <c r="C179" s="92">
        <v>4786413.4989999998</v>
      </c>
      <c r="D179" s="92">
        <v>88.209000000000003</v>
      </c>
      <c r="E179" t="s">
        <v>124</v>
      </c>
      <c r="F179" s="92"/>
      <c r="G179" s="92"/>
      <c r="H179" s="92"/>
    </row>
    <row r="180" spans="1:8" x14ac:dyDescent="0.25">
      <c r="A180" s="93">
        <v>46140</v>
      </c>
      <c r="B180" s="92">
        <v>513210.185</v>
      </c>
      <c r="C180" s="92">
        <v>4786435.9960000003</v>
      </c>
      <c r="D180" s="92">
        <v>85.688000000000002</v>
      </c>
      <c r="E180" t="s">
        <v>125</v>
      </c>
      <c r="F180" s="92"/>
      <c r="G180" s="92"/>
      <c r="H180" s="92"/>
    </row>
    <row r="181" spans="1:8" x14ac:dyDescent="0.25">
      <c r="A181" s="93">
        <v>46140</v>
      </c>
      <c r="B181" s="92">
        <v>513218.07299999997</v>
      </c>
      <c r="C181" s="92">
        <v>4786429.0520000001</v>
      </c>
      <c r="D181" s="92">
        <v>85.572000000000003</v>
      </c>
      <c r="E181" t="s">
        <v>152</v>
      </c>
      <c r="F181" s="92"/>
      <c r="G181" s="92"/>
      <c r="H181" s="92"/>
    </row>
    <row r="182" spans="1:8" x14ac:dyDescent="0.25">
      <c r="A182" s="93">
        <v>46140</v>
      </c>
      <c r="B182" s="92">
        <v>513220.87199999997</v>
      </c>
      <c r="C182" s="92">
        <v>4786425.8229999999</v>
      </c>
      <c r="D182" s="92">
        <v>88.718999999999994</v>
      </c>
      <c r="E182" t="s">
        <v>136</v>
      </c>
      <c r="F182" s="92"/>
      <c r="G182" s="92"/>
      <c r="H182" s="92"/>
    </row>
    <row r="183" spans="1:8" x14ac:dyDescent="0.25">
      <c r="A183" s="93">
        <v>46140</v>
      </c>
      <c r="B183" s="92">
        <v>513235.12199999997</v>
      </c>
      <c r="C183" s="92">
        <v>4786410.7740000002</v>
      </c>
      <c r="D183" s="92">
        <v>88.566999999999993</v>
      </c>
      <c r="E183" t="s">
        <v>137</v>
      </c>
      <c r="F183" s="92"/>
      <c r="G183" s="92"/>
      <c r="H183" s="92"/>
    </row>
    <row r="184" spans="1:8" x14ac:dyDescent="0.25">
      <c r="A184" s="93">
        <v>46140</v>
      </c>
      <c r="B184" s="92">
        <v>513225.32799999998</v>
      </c>
      <c r="C184" s="92">
        <v>4786398.2580000004</v>
      </c>
      <c r="D184" s="92">
        <v>88.311999999999998</v>
      </c>
      <c r="E184" t="s">
        <v>138</v>
      </c>
      <c r="F184" s="92"/>
      <c r="G184" s="92"/>
      <c r="H184" s="92"/>
    </row>
    <row r="185" spans="1:8" x14ac:dyDescent="0.25">
      <c r="A185" s="93">
        <v>46147</v>
      </c>
      <c r="B185">
        <v>513232.853</v>
      </c>
      <c r="C185">
        <v>4786371.9249999998</v>
      </c>
      <c r="D185">
        <v>79.971000000000004</v>
      </c>
      <c r="E185" t="s">
        <v>153</v>
      </c>
    </row>
    <row r="186" spans="1:8" x14ac:dyDescent="0.25">
      <c r="A186" s="93">
        <v>46147</v>
      </c>
      <c r="B186">
        <v>513229.26799999998</v>
      </c>
      <c r="C186">
        <v>4786375.3159999996</v>
      </c>
      <c r="D186">
        <v>80.013999999999996</v>
      </c>
      <c r="E186" t="s">
        <v>154</v>
      </c>
    </row>
    <row r="187" spans="1:8" x14ac:dyDescent="0.25">
      <c r="A187" s="93">
        <v>46147</v>
      </c>
      <c r="B187">
        <v>513226.36900000001</v>
      </c>
      <c r="C187">
        <v>4786374.409</v>
      </c>
      <c r="D187">
        <v>80.001000000000005</v>
      </c>
      <c r="E187" t="s">
        <v>155</v>
      </c>
    </row>
    <row r="188" spans="1:8" x14ac:dyDescent="0.25">
      <c r="A188" s="93">
        <v>46147</v>
      </c>
      <c r="B188">
        <v>513217.54100000003</v>
      </c>
      <c r="C188">
        <v>4786371.591</v>
      </c>
      <c r="D188">
        <v>80.17</v>
      </c>
      <c r="E188" t="s">
        <v>156</v>
      </c>
    </row>
    <row r="189" spans="1:8" x14ac:dyDescent="0.25">
      <c r="A189" s="93">
        <v>46147</v>
      </c>
      <c r="B189">
        <v>513207.065</v>
      </c>
      <c r="C189">
        <v>4786368.0719999997</v>
      </c>
      <c r="D189">
        <v>80.260999999999996</v>
      </c>
      <c r="E189" t="s">
        <v>157</v>
      </c>
    </row>
    <row r="190" spans="1:8" x14ac:dyDescent="0.25">
      <c r="A190" s="93">
        <v>46147</v>
      </c>
      <c r="B190">
        <v>513197.13099999999</v>
      </c>
      <c r="C190">
        <v>4786421.0779999997</v>
      </c>
      <c r="D190">
        <v>88.253</v>
      </c>
      <c r="E190" t="s">
        <v>123</v>
      </c>
    </row>
    <row r="191" spans="1:8" x14ac:dyDescent="0.25">
      <c r="A191" s="93">
        <v>46147</v>
      </c>
      <c r="B191">
        <v>513205.80900000001</v>
      </c>
      <c r="C191">
        <v>4786413.5</v>
      </c>
      <c r="D191">
        <v>88.206999999999994</v>
      </c>
      <c r="E191" t="s">
        <v>124</v>
      </c>
    </row>
    <row r="192" spans="1:8" x14ac:dyDescent="0.25">
      <c r="A192" s="93">
        <v>46147</v>
      </c>
      <c r="B192">
        <v>513210.18800000002</v>
      </c>
      <c r="C192">
        <v>4786435.9979999997</v>
      </c>
      <c r="D192">
        <v>85.686999999999998</v>
      </c>
      <c r="E192" t="s">
        <v>125</v>
      </c>
    </row>
    <row r="193" spans="1:5" x14ac:dyDescent="0.25">
      <c r="A193" s="93">
        <v>46147</v>
      </c>
      <c r="B193">
        <v>513218.07500000001</v>
      </c>
      <c r="C193">
        <v>4786429.0539999995</v>
      </c>
      <c r="D193">
        <v>85.570999999999998</v>
      </c>
      <c r="E193" t="s">
        <v>152</v>
      </c>
    </row>
    <row r="194" spans="1:5" x14ac:dyDescent="0.25">
      <c r="A194" s="93">
        <v>46147</v>
      </c>
      <c r="B194">
        <v>513220.87199999997</v>
      </c>
      <c r="C194">
        <v>4786425.8250000002</v>
      </c>
      <c r="D194">
        <v>88.718000000000004</v>
      </c>
      <c r="E194" t="s">
        <v>136</v>
      </c>
    </row>
    <row r="195" spans="1:5" x14ac:dyDescent="0.25">
      <c r="A195" s="93">
        <v>46147</v>
      </c>
      <c r="B195">
        <v>513235.12099999998</v>
      </c>
      <c r="C195">
        <v>4786410.7750000004</v>
      </c>
      <c r="D195">
        <v>88.566999999999993</v>
      </c>
      <c r="E195" t="s">
        <v>137</v>
      </c>
    </row>
    <row r="196" spans="1:5" x14ac:dyDescent="0.25">
      <c r="A196" s="93">
        <v>46147</v>
      </c>
      <c r="B196">
        <v>513225.32900000003</v>
      </c>
      <c r="C196">
        <v>4786398.2589999996</v>
      </c>
      <c r="D196">
        <v>88.311999999999998</v>
      </c>
      <c r="E196" t="s">
        <v>138</v>
      </c>
    </row>
    <row r="197" spans="1:5" x14ac:dyDescent="0.25">
      <c r="A197" s="93">
        <v>46149</v>
      </c>
      <c r="B197" s="92">
        <v>513232.853</v>
      </c>
      <c r="C197" s="92">
        <v>4786371.926</v>
      </c>
      <c r="D197" s="92">
        <v>79.97</v>
      </c>
      <c r="E197" t="s">
        <v>153</v>
      </c>
    </row>
    <row r="198" spans="1:5" x14ac:dyDescent="0.25">
      <c r="A198" s="93">
        <v>46149</v>
      </c>
      <c r="B198" s="92">
        <v>513229.26799999998</v>
      </c>
      <c r="C198" s="92">
        <v>4786375.3159999996</v>
      </c>
      <c r="D198" s="92">
        <v>80.013999999999996</v>
      </c>
      <c r="E198" t="s">
        <v>154</v>
      </c>
    </row>
    <row r="199" spans="1:5" x14ac:dyDescent="0.25">
      <c r="A199" s="93">
        <v>46149</v>
      </c>
      <c r="B199" s="92">
        <v>513226.36800000002</v>
      </c>
      <c r="C199" s="92">
        <v>4786374.409</v>
      </c>
      <c r="D199" s="92">
        <v>80.001000000000005</v>
      </c>
      <c r="E199" t="s">
        <v>155</v>
      </c>
    </row>
    <row r="200" spans="1:5" x14ac:dyDescent="0.25">
      <c r="A200" s="93">
        <v>46149</v>
      </c>
      <c r="B200" s="92">
        <v>513217.54200000002</v>
      </c>
      <c r="C200" s="92">
        <v>4786371.591</v>
      </c>
      <c r="D200" s="92">
        <v>80.17</v>
      </c>
      <c r="E200" t="s">
        <v>156</v>
      </c>
    </row>
    <row r="201" spans="1:5" x14ac:dyDescent="0.25">
      <c r="A201" s="93">
        <v>46149</v>
      </c>
      <c r="B201" s="92">
        <v>513207.06400000001</v>
      </c>
      <c r="C201" s="92">
        <v>4786368.0690000001</v>
      </c>
      <c r="D201" s="92">
        <v>80.262</v>
      </c>
      <c r="E201" t="s">
        <v>157</v>
      </c>
    </row>
    <row r="202" spans="1:5" x14ac:dyDescent="0.25">
      <c r="A202" s="93">
        <v>46149</v>
      </c>
      <c r="B202" s="92">
        <v>513200.04499999998</v>
      </c>
      <c r="C202" s="92">
        <v>4786360.6689999998</v>
      </c>
      <c r="D202" s="92">
        <v>80.462000000000003</v>
      </c>
      <c r="E202" t="s">
        <v>163</v>
      </c>
    </row>
    <row r="203" spans="1:5" x14ac:dyDescent="0.25">
      <c r="A203" s="93">
        <v>46149</v>
      </c>
      <c r="B203" s="92">
        <v>513184.18400000001</v>
      </c>
      <c r="C203" s="92">
        <v>4786355.0199999996</v>
      </c>
      <c r="D203" s="92">
        <v>80.542000000000002</v>
      </c>
      <c r="E203" t="s">
        <v>164</v>
      </c>
    </row>
    <row r="204" spans="1:5" x14ac:dyDescent="0.25">
      <c r="A204" s="93">
        <v>46149</v>
      </c>
      <c r="B204" s="92">
        <v>513197.13</v>
      </c>
      <c r="C204" s="92">
        <v>4786421.0779999997</v>
      </c>
      <c r="D204" s="92">
        <v>88.253</v>
      </c>
      <c r="E204" t="s">
        <v>123</v>
      </c>
    </row>
    <row r="205" spans="1:5" x14ac:dyDescent="0.25">
      <c r="A205" s="93">
        <v>46149</v>
      </c>
      <c r="B205" s="92">
        <v>513205.81</v>
      </c>
      <c r="C205" s="92">
        <v>4786413.5029999996</v>
      </c>
      <c r="D205" s="92">
        <v>88.21</v>
      </c>
      <c r="E205" t="s">
        <v>124</v>
      </c>
    </row>
    <row r="206" spans="1:5" x14ac:dyDescent="0.25">
      <c r="A206" s="93">
        <v>46149</v>
      </c>
      <c r="B206" s="92">
        <v>513210.18599999999</v>
      </c>
      <c r="C206" s="92">
        <v>4786435.9970000004</v>
      </c>
      <c r="D206" s="92">
        <v>85.688000000000002</v>
      </c>
      <c r="E206" t="s">
        <v>125</v>
      </c>
    </row>
    <row r="207" spans="1:5" x14ac:dyDescent="0.25">
      <c r="A207" s="93">
        <v>46149</v>
      </c>
      <c r="B207" s="92">
        <v>513218.07400000002</v>
      </c>
      <c r="C207" s="92">
        <v>4786429.0530000003</v>
      </c>
      <c r="D207" s="92">
        <v>85.570999999999998</v>
      </c>
      <c r="E207" t="s">
        <v>152</v>
      </c>
    </row>
    <row r="208" spans="1:5" x14ac:dyDescent="0.25">
      <c r="A208" s="93">
        <v>46149</v>
      </c>
      <c r="B208" s="92">
        <v>513220.87099999998</v>
      </c>
      <c r="C208" s="92">
        <v>4786425.824</v>
      </c>
      <c r="D208" s="92">
        <v>88.718000000000004</v>
      </c>
      <c r="E208" t="s">
        <v>136</v>
      </c>
    </row>
    <row r="209" spans="1:5" x14ac:dyDescent="0.25">
      <c r="A209" s="93">
        <v>46149</v>
      </c>
      <c r="B209" s="92">
        <v>513235.12199999997</v>
      </c>
      <c r="C209" s="92">
        <v>4786410.7740000002</v>
      </c>
      <c r="D209" s="92">
        <v>88.566000000000003</v>
      </c>
      <c r="E209" t="s">
        <v>137</v>
      </c>
    </row>
    <row r="210" spans="1:5" x14ac:dyDescent="0.25">
      <c r="A210" s="93">
        <v>46149</v>
      </c>
      <c r="B210" s="92">
        <v>513225.32799999998</v>
      </c>
      <c r="C210" s="92">
        <v>4786398.2589999996</v>
      </c>
      <c r="D210" s="92">
        <v>88.311999999999998</v>
      </c>
      <c r="E210" t="s">
        <v>138</v>
      </c>
    </row>
    <row r="211" spans="1:5" x14ac:dyDescent="0.25">
      <c r="A211" s="93">
        <v>46157</v>
      </c>
      <c r="B211" s="92">
        <f>AVERAGE('[1]260515 y 18 MPs Aperrribai'!B1,'[1]260515 y 18 MPs Aperrribai'!B8,'[1]260515 y 18 MPs Aperrribai'!B15,'[1]260515 y 18 MPs Aperrribai'!B22)</f>
        <v>510834.36033333332</v>
      </c>
      <c r="C211" s="92">
        <f>AVERAGE('[1]260515 y 18 MPs Aperrribai'!C1,'[1]260515 y 18 MPs Aperrribai'!C8,'[1]260515 y 18 MPs Aperrribai'!C15,'[1]260515 y 18 MPs Aperrribai'!C22)</f>
        <v>4786957.5530000003</v>
      </c>
      <c r="D211" s="92">
        <f>AVERAGE('[1]260515 y 18 MPs Aperrribai'!D1,'[1]260515 y 18 MPs Aperrribai'!D8,'[1]260515 y 18 MPs Aperrribai'!D15,'[1]260515 y 18 MPs Aperrribai'!D22)</f>
        <v>63.698</v>
      </c>
      <c r="E211" t="s">
        <v>186</v>
      </c>
    </row>
    <row r="212" spans="1:5" x14ac:dyDescent="0.25">
      <c r="A212" s="93">
        <v>46157</v>
      </c>
      <c r="B212" s="92">
        <f>AVERAGE('[1]260515 y 18 MPs Aperrribai'!B2,'[1]260515 y 18 MPs Aperrribai'!B9,'[1]260515 y 18 MPs Aperrribai'!B16,'[1]260515 y 18 MPs Aperrribai'!B23)</f>
        <v>510825.90666666668</v>
      </c>
      <c r="C212" s="92">
        <f>AVERAGE('[1]260515 y 18 MPs Aperrribai'!C2,'[1]260515 y 18 MPs Aperrribai'!C9,'[1]260515 y 18 MPs Aperrribai'!C16,'[1]260515 y 18 MPs Aperrribai'!C23)</f>
        <v>4786967.1039999994</v>
      </c>
      <c r="D212" s="92">
        <f>AVERAGE('[1]260515 y 18 MPs Aperrribai'!D2,'[1]260515 y 18 MPs Aperrribai'!D9,'[1]260515 y 18 MPs Aperrribai'!D16,'[1]260515 y 18 MPs Aperrribai'!D23)</f>
        <v>61.129666666666672</v>
      </c>
      <c r="E212" t="s">
        <v>185</v>
      </c>
    </row>
    <row r="213" spans="1:5" x14ac:dyDescent="0.25">
      <c r="A213" s="93">
        <v>46157</v>
      </c>
      <c r="B213" s="92">
        <f>AVERAGE('[1]260515 y 18 MPs Aperrribai'!B3,'[1]260515 y 18 MPs Aperrribai'!B10,'[1]260515 y 18 MPs Aperrribai'!B17,'[1]260515 y 18 MPs Aperrribai'!B24)</f>
        <v>510831.5523333333</v>
      </c>
      <c r="C213" s="92">
        <f>AVERAGE('[1]260515 y 18 MPs Aperrribai'!C3,'[1]260515 y 18 MPs Aperrribai'!C10,'[1]260515 y 18 MPs Aperrribai'!C17,'[1]260515 y 18 MPs Aperrribai'!C24)</f>
        <v>4786972.4436666667</v>
      </c>
      <c r="D213" s="92">
        <f>AVERAGE('[1]260515 y 18 MPs Aperrribai'!D3,'[1]260515 y 18 MPs Aperrribai'!D10,'[1]260515 y 18 MPs Aperrribai'!D17,'[1]260515 y 18 MPs Aperrribai'!D24)</f>
        <v>63.011333333333333</v>
      </c>
      <c r="E213" t="s">
        <v>184</v>
      </c>
    </row>
    <row r="214" spans="1:5" x14ac:dyDescent="0.25">
      <c r="A214" s="93">
        <v>46157</v>
      </c>
      <c r="B214" s="92">
        <f>AVERAGE('[1]260515 y 18 MPs Aperrribai'!B4,'[1]260515 y 18 MPs Aperrribai'!B11,'[1]260515 y 18 MPs Aperrribai'!B18,'[1]260515 y 18 MPs Aperrribai'!B25)</f>
        <v>510793.8396666667</v>
      </c>
      <c r="C214" s="92">
        <f>AVERAGE('[1]260515 y 18 MPs Aperrribai'!C4,'[1]260515 y 18 MPs Aperrribai'!C11,'[1]260515 y 18 MPs Aperrribai'!C18,'[1]260515 y 18 MPs Aperrribai'!C25)</f>
        <v>4786978.6483333334</v>
      </c>
      <c r="D214" s="92">
        <f>AVERAGE('[1]260515 y 18 MPs Aperrribai'!D4,'[1]260515 y 18 MPs Aperrribai'!D11,'[1]260515 y 18 MPs Aperrribai'!D18,'[1]260515 y 18 MPs Aperrribai'!D25)</f>
        <v>64.626333333333321</v>
      </c>
      <c r="E214" t="s">
        <v>183</v>
      </c>
    </row>
    <row r="215" spans="1:5" x14ac:dyDescent="0.25">
      <c r="A215" s="93">
        <v>46157</v>
      </c>
      <c r="B215" s="92">
        <f>AVERAGE('[1]260515 y 18 MPs Aperrribai'!B5,'[1]260515 y 18 MPs Aperrribai'!B12,'[1]260515 y 18 MPs Aperrribai'!B19,'[1]260515 y 18 MPs Aperrribai'!B26)</f>
        <v>510791.95733333332</v>
      </c>
      <c r="C215" s="92">
        <f>AVERAGE('[1]260515 y 18 MPs Aperrribai'!C5,'[1]260515 y 18 MPs Aperrribai'!C12,'[1]260515 y 18 MPs Aperrribai'!C19,'[1]260515 y 18 MPs Aperrribai'!C26)</f>
        <v>4786983.8423333326</v>
      </c>
      <c r="D215" s="92">
        <f>AVERAGE('[1]260515 y 18 MPs Aperrribai'!D5,'[1]260515 y 18 MPs Aperrribai'!D12,'[1]260515 y 18 MPs Aperrribai'!D19,'[1]260515 y 18 MPs Aperrribai'!D26)</f>
        <v>66.646666666666661</v>
      </c>
      <c r="E215" t="s">
        <v>182</v>
      </c>
    </row>
    <row r="216" spans="1:5" x14ac:dyDescent="0.25">
      <c r="A216" s="93">
        <v>46157</v>
      </c>
      <c r="B216" s="92">
        <f>AVERAGE('[1]260515 y 18 MPs Aperrribai'!B6,'[1]260515 y 18 MPs Aperrribai'!B13,'[1]260515 y 18 MPs Aperrribai'!B20,'[1]260515 y 18 MPs Aperrribai'!B27)</f>
        <v>510778.78166666668</v>
      </c>
      <c r="C216" s="92">
        <f>AVERAGE('[1]260515 y 18 MPs Aperrribai'!C6,'[1]260515 y 18 MPs Aperrribai'!C13,'[1]260515 y 18 MPs Aperrribai'!C20,'[1]260515 y 18 MPs Aperrribai'!C27)</f>
        <v>4786982.5396666666</v>
      </c>
      <c r="D216" s="92">
        <f>AVERAGE('[1]260515 y 18 MPs Aperrribai'!D6,'[1]260515 y 18 MPs Aperrribai'!D13,'[1]260515 y 18 MPs Aperrribai'!D20,'[1]260515 y 18 MPs Aperrribai'!D27)</f>
        <v>65.779666666666671</v>
      </c>
      <c r="E216" t="s">
        <v>181</v>
      </c>
    </row>
    <row r="217" spans="1:5" x14ac:dyDescent="0.25">
      <c r="A217" s="93">
        <v>46160</v>
      </c>
      <c r="B217" s="92">
        <v>510834.35700000002</v>
      </c>
      <c r="C217" s="92">
        <v>4786957.5559999999</v>
      </c>
      <c r="D217" s="92">
        <v>63.697000000000003</v>
      </c>
      <c r="E217" t="s">
        <v>186</v>
      </c>
    </row>
    <row r="218" spans="1:5" x14ac:dyDescent="0.25">
      <c r="A218" s="93">
        <v>46160</v>
      </c>
      <c r="B218" s="92">
        <v>510825.90299999999</v>
      </c>
      <c r="C218" s="92">
        <v>4786967.1069999998</v>
      </c>
      <c r="D218" s="92">
        <v>61.128</v>
      </c>
      <c r="E218" t="s">
        <v>185</v>
      </c>
    </row>
    <row r="219" spans="1:5" x14ac:dyDescent="0.25">
      <c r="A219" s="93">
        <v>46160</v>
      </c>
      <c r="B219" s="92">
        <v>510831.549</v>
      </c>
      <c r="C219" s="92">
        <v>4786972.4469999997</v>
      </c>
      <c r="D219" s="92">
        <v>63.01</v>
      </c>
      <c r="E219" t="s">
        <v>184</v>
      </c>
    </row>
    <row r="220" spans="1:5" x14ac:dyDescent="0.25">
      <c r="A220" s="93">
        <v>46160</v>
      </c>
      <c r="B220" s="92">
        <v>510793.837</v>
      </c>
      <c r="C220" s="92">
        <v>4786978.6509999996</v>
      </c>
      <c r="D220" s="92">
        <v>64.623999999999995</v>
      </c>
      <c r="E220" t="s">
        <v>183</v>
      </c>
    </row>
    <row r="221" spans="1:5" x14ac:dyDescent="0.25">
      <c r="A221" s="93">
        <v>46160</v>
      </c>
      <c r="B221" s="92">
        <v>510791.95400000003</v>
      </c>
      <c r="C221" s="92">
        <v>4786983.8449999997</v>
      </c>
      <c r="D221" s="92">
        <v>66.644999999999996</v>
      </c>
      <c r="E221" t="s">
        <v>182</v>
      </c>
    </row>
    <row r="222" spans="1:5" x14ac:dyDescent="0.25">
      <c r="A222" s="93">
        <v>46160</v>
      </c>
      <c r="B222" s="92">
        <v>510778.77899999998</v>
      </c>
      <c r="C222" s="92">
        <v>4786982.5460000001</v>
      </c>
      <c r="D222" s="92">
        <v>65.777000000000001</v>
      </c>
      <c r="E222" t="s">
        <v>181</v>
      </c>
    </row>
    <row r="223" spans="1:5" x14ac:dyDescent="0.25">
      <c r="A223" s="93">
        <v>46161</v>
      </c>
      <c r="B223" s="92">
        <v>510834.36200000002</v>
      </c>
      <c r="C223" s="92">
        <v>4786957.5439999998</v>
      </c>
      <c r="D223" s="92">
        <v>63.698999999999998</v>
      </c>
      <c r="E223" t="s">
        <v>186</v>
      </c>
    </row>
    <row r="224" spans="1:5" x14ac:dyDescent="0.25">
      <c r="A224" s="93">
        <v>46161</v>
      </c>
      <c r="B224" s="92">
        <v>510825.90899999999</v>
      </c>
      <c r="C224" s="92">
        <v>4786967.0949999997</v>
      </c>
      <c r="D224" s="92">
        <v>61.131</v>
      </c>
      <c r="E224" t="s">
        <v>185</v>
      </c>
    </row>
    <row r="225" spans="1:8" x14ac:dyDescent="0.25">
      <c r="A225" s="93">
        <v>46161</v>
      </c>
      <c r="B225" s="92">
        <v>510831.55499999999</v>
      </c>
      <c r="C225" s="92">
        <v>4786972.4340000004</v>
      </c>
      <c r="D225" s="92">
        <v>63.012999999999998</v>
      </c>
      <c r="E225" t="s">
        <v>184</v>
      </c>
    </row>
    <row r="226" spans="1:8" x14ac:dyDescent="0.25">
      <c r="A226" s="93">
        <v>46161</v>
      </c>
      <c r="B226" s="92">
        <v>510793.842</v>
      </c>
      <c r="C226" s="92">
        <v>4786978.6399999997</v>
      </c>
      <c r="D226" s="92">
        <v>64.628</v>
      </c>
      <c r="E226" t="s">
        <v>183</v>
      </c>
    </row>
    <row r="227" spans="1:8" x14ac:dyDescent="0.25">
      <c r="A227" s="93">
        <v>46161</v>
      </c>
      <c r="B227" s="92">
        <v>510791.96</v>
      </c>
      <c r="C227" s="92">
        <v>4786983.8339999998</v>
      </c>
      <c r="D227" s="92">
        <v>66.647000000000006</v>
      </c>
      <c r="E227" t="s">
        <v>182</v>
      </c>
    </row>
    <row r="228" spans="1:8" x14ac:dyDescent="0.25">
      <c r="A228" s="93">
        <v>46161</v>
      </c>
      <c r="B228" s="92">
        <v>510778.78399999999</v>
      </c>
      <c r="C228" s="92">
        <v>4786982.5329999998</v>
      </c>
      <c r="D228" s="92">
        <v>65.778999999999996</v>
      </c>
      <c r="E228" t="s">
        <v>181</v>
      </c>
    </row>
    <row r="229" spans="1:8" x14ac:dyDescent="0.25">
      <c r="A229" s="93">
        <v>46162</v>
      </c>
      <c r="B229" s="92">
        <v>510834.36300000001</v>
      </c>
      <c r="C229" s="92">
        <v>4786957.5590000004</v>
      </c>
      <c r="D229" s="92">
        <v>63.698999999999998</v>
      </c>
      <c r="E229" t="s">
        <v>186</v>
      </c>
      <c r="F229" s="92"/>
      <c r="G229" s="92"/>
      <c r="H229" s="92"/>
    </row>
    <row r="230" spans="1:8" x14ac:dyDescent="0.25">
      <c r="A230" s="93">
        <v>46162</v>
      </c>
      <c r="B230" s="92">
        <v>510825.908</v>
      </c>
      <c r="C230" s="92">
        <v>4786967.1109999996</v>
      </c>
      <c r="D230" s="92">
        <v>61.131</v>
      </c>
      <c r="E230" t="s">
        <v>185</v>
      </c>
      <c r="F230" s="92"/>
      <c r="G230" s="92"/>
      <c r="H230" s="92"/>
    </row>
    <row r="231" spans="1:8" x14ac:dyDescent="0.25">
      <c r="A231" s="93">
        <v>46162</v>
      </c>
      <c r="B231" s="92">
        <v>510831.55200000003</v>
      </c>
      <c r="C231" s="92">
        <v>4786972.4519999996</v>
      </c>
      <c r="D231" s="92">
        <v>63.012</v>
      </c>
      <c r="E231" t="s">
        <v>184</v>
      </c>
      <c r="F231" s="92"/>
      <c r="G231" s="92"/>
      <c r="H231" s="92"/>
    </row>
    <row r="232" spans="1:8" x14ac:dyDescent="0.25">
      <c r="A232" s="93">
        <v>46162</v>
      </c>
      <c r="B232" s="92">
        <v>510793.84100000001</v>
      </c>
      <c r="C232" s="92">
        <v>4786978.6560000004</v>
      </c>
      <c r="D232" s="92">
        <v>64.626999999999995</v>
      </c>
      <c r="E232" t="s">
        <v>183</v>
      </c>
      <c r="F232" s="92"/>
      <c r="G232" s="92"/>
      <c r="H232" s="92"/>
    </row>
    <row r="233" spans="1:8" x14ac:dyDescent="0.25">
      <c r="A233" s="93">
        <v>46162</v>
      </c>
      <c r="B233" s="92">
        <v>510791.95799999998</v>
      </c>
      <c r="C233" s="92">
        <v>4786983.8480000002</v>
      </c>
      <c r="D233" s="92">
        <v>66.647999999999996</v>
      </c>
      <c r="E233" t="s">
        <v>182</v>
      </c>
      <c r="F233" s="92"/>
      <c r="G233" s="92"/>
      <c r="H233" s="92"/>
    </row>
    <row r="234" spans="1:8" x14ac:dyDescent="0.25">
      <c r="A234" s="93">
        <v>46162</v>
      </c>
      <c r="B234" s="92">
        <v>510778.78</v>
      </c>
      <c r="C234" s="92">
        <v>4786982.5480000004</v>
      </c>
      <c r="D234" s="92">
        <v>65.781000000000006</v>
      </c>
      <c r="E234" t="s">
        <v>181</v>
      </c>
      <c r="F234" s="92"/>
      <c r="G234" s="92"/>
      <c r="H234" s="92"/>
    </row>
    <row r="235" spans="1:8" x14ac:dyDescent="0.25">
      <c r="A235" s="93">
        <v>46163</v>
      </c>
      <c r="B235" s="92">
        <v>510834.36599999998</v>
      </c>
      <c r="C235" s="92">
        <v>4786957.5590000004</v>
      </c>
      <c r="D235" s="92">
        <v>63.701999999999998</v>
      </c>
      <c r="E235" t="s">
        <v>186</v>
      </c>
      <c r="F235" s="92"/>
    </row>
    <row r="236" spans="1:8" x14ac:dyDescent="0.25">
      <c r="A236" s="93">
        <v>46163</v>
      </c>
      <c r="B236" s="92">
        <v>510825.91200000001</v>
      </c>
      <c r="C236" s="92">
        <v>4786967.1100000003</v>
      </c>
      <c r="D236" s="92">
        <v>61.134</v>
      </c>
      <c r="E236" t="s">
        <v>185</v>
      </c>
      <c r="F236" s="92"/>
    </row>
    <row r="237" spans="1:8" x14ac:dyDescent="0.25">
      <c r="A237" s="93">
        <v>46163</v>
      </c>
      <c r="B237" s="92">
        <v>510831.55699999997</v>
      </c>
      <c r="C237" s="92">
        <v>4786972.45</v>
      </c>
      <c r="D237" s="92">
        <v>63.015000000000001</v>
      </c>
      <c r="E237" t="s">
        <v>184</v>
      </c>
      <c r="F237" s="92"/>
    </row>
    <row r="238" spans="1:8" x14ac:dyDescent="0.25">
      <c r="A238" s="93">
        <v>46163</v>
      </c>
      <c r="B238" s="92">
        <v>510793.84399999998</v>
      </c>
      <c r="C238" s="92">
        <v>4786978.6529999999</v>
      </c>
      <c r="D238" s="92">
        <v>64.63</v>
      </c>
      <c r="E238" t="s">
        <v>183</v>
      </c>
      <c r="F238" s="92"/>
    </row>
    <row r="239" spans="1:8" x14ac:dyDescent="0.25">
      <c r="A239" s="93">
        <v>46163</v>
      </c>
      <c r="B239" s="92">
        <v>510791.96100000001</v>
      </c>
      <c r="C239" s="92">
        <v>4786983.8459999999</v>
      </c>
      <c r="D239" s="92">
        <v>66.650000000000006</v>
      </c>
      <c r="E239" t="s">
        <v>182</v>
      </c>
      <c r="F239" s="92"/>
    </row>
    <row r="240" spans="1:8" x14ac:dyDescent="0.25">
      <c r="A240" s="93">
        <v>46163</v>
      </c>
      <c r="B240" s="92">
        <v>510778.78200000001</v>
      </c>
      <c r="C240" s="92">
        <v>4786982.5429999996</v>
      </c>
      <c r="D240" s="92">
        <v>65.787999999999997</v>
      </c>
      <c r="E240" t="s">
        <v>181</v>
      </c>
      <c r="F240" s="92"/>
    </row>
    <row r="241" spans="1:16" x14ac:dyDescent="0.25">
      <c r="A241" s="93">
        <v>46168</v>
      </c>
      <c r="B241" s="92">
        <v>510834.37</v>
      </c>
      <c r="C241" s="92">
        <v>4786957.5580000002</v>
      </c>
      <c r="D241" s="92">
        <v>63.701000000000001</v>
      </c>
      <c r="E241" t="s">
        <v>186</v>
      </c>
      <c r="F241" s="92"/>
      <c r="G241" s="92"/>
      <c r="H241" s="92"/>
      <c r="J241" s="92"/>
      <c r="K241" s="92"/>
      <c r="L241" s="92"/>
      <c r="N241" s="92"/>
      <c r="O241" s="92"/>
      <c r="P241" s="92"/>
    </row>
    <row r="242" spans="1:16" x14ac:dyDescent="0.25">
      <c r="A242" s="93">
        <v>46168</v>
      </c>
      <c r="B242" s="92">
        <v>510825.91499999998</v>
      </c>
      <c r="C242" s="92">
        <v>4786967.108</v>
      </c>
      <c r="D242" s="92">
        <v>61.131999999999998</v>
      </c>
      <c r="E242" t="s">
        <v>185</v>
      </c>
      <c r="F242" s="92"/>
      <c r="G242" s="92"/>
      <c r="H242" s="92"/>
      <c r="J242" s="92"/>
      <c r="K242" s="92"/>
      <c r="L242" s="92"/>
      <c r="N242" s="92"/>
      <c r="O242" s="92"/>
      <c r="P242" s="92"/>
    </row>
    <row r="243" spans="1:16" x14ac:dyDescent="0.25">
      <c r="A243" s="93">
        <v>46168</v>
      </c>
      <c r="B243" s="92">
        <v>510831.56</v>
      </c>
      <c r="C243" s="92">
        <v>4786972.449</v>
      </c>
      <c r="D243" s="92">
        <v>63.014000000000003</v>
      </c>
      <c r="E243" t="s">
        <v>184</v>
      </c>
      <c r="F243" s="92"/>
      <c r="G243" s="92"/>
      <c r="H243" s="92"/>
      <c r="J243" s="92"/>
      <c r="K243" s="92"/>
      <c r="L243" s="92"/>
      <c r="N243" s="92"/>
      <c r="O243" s="92"/>
      <c r="P243" s="92"/>
    </row>
    <row r="244" spans="1:16" x14ac:dyDescent="0.25">
      <c r="A244" s="93">
        <v>46168</v>
      </c>
      <c r="B244" s="92">
        <v>510793.84600000002</v>
      </c>
      <c r="C244" s="92">
        <v>4786978.6500000004</v>
      </c>
      <c r="D244" s="92">
        <v>64.629000000000005</v>
      </c>
      <c r="E244" t="s">
        <v>183</v>
      </c>
      <c r="F244" s="92"/>
      <c r="G244" s="92"/>
      <c r="H244" s="92"/>
      <c r="J244" s="92"/>
      <c r="K244" s="92"/>
      <c r="L244" s="92"/>
      <c r="N244" s="92"/>
      <c r="O244" s="92"/>
      <c r="P244" s="92"/>
    </row>
    <row r="245" spans="1:16" x14ac:dyDescent="0.25">
      <c r="A245" s="93">
        <v>46168</v>
      </c>
      <c r="B245" s="92">
        <v>510791.962</v>
      </c>
      <c r="C245" s="92">
        <v>4786983.8420000002</v>
      </c>
      <c r="D245" s="92">
        <v>66.650000000000006</v>
      </c>
      <c r="E245" t="s">
        <v>182</v>
      </c>
      <c r="F245" s="92"/>
      <c r="G245" s="92"/>
      <c r="H245" s="92"/>
      <c r="J245" s="92"/>
      <c r="K245" s="92"/>
      <c r="L245" s="92"/>
      <c r="N245" s="92"/>
      <c r="O245" s="92"/>
      <c r="P245" s="92"/>
    </row>
    <row r="246" spans="1:16" x14ac:dyDescent="0.25">
      <c r="A246" s="93">
        <v>46168</v>
      </c>
      <c r="B246" s="92">
        <v>510778.78499999997</v>
      </c>
      <c r="C246" s="92">
        <v>4786982.5420000004</v>
      </c>
      <c r="D246" s="92">
        <v>65.784000000000006</v>
      </c>
      <c r="E246" t="s">
        <v>181</v>
      </c>
      <c r="F246" s="92"/>
      <c r="G246" s="92"/>
      <c r="H246" s="92"/>
      <c r="J246" s="92"/>
      <c r="K246" s="92"/>
      <c r="L246" s="92"/>
      <c r="N246" s="92"/>
      <c r="O246" s="92"/>
      <c r="P246" s="92"/>
    </row>
    <row r="247" spans="1:16" x14ac:dyDescent="0.25">
      <c r="A247" s="93">
        <v>46169</v>
      </c>
      <c r="B247" s="92">
        <v>510834.36700000003</v>
      </c>
      <c r="C247" s="92">
        <v>4786957.5609999998</v>
      </c>
      <c r="D247" s="92">
        <v>63.704000000000001</v>
      </c>
      <c r="E247" t="s">
        <v>186</v>
      </c>
      <c r="F247" s="92"/>
      <c r="G247" s="92"/>
      <c r="H247" s="92"/>
    </row>
    <row r="248" spans="1:16" x14ac:dyDescent="0.25">
      <c r="A248" s="93">
        <v>46169</v>
      </c>
      <c r="B248" s="92">
        <v>510825.913</v>
      </c>
      <c r="C248" s="92">
        <v>4786967.1100000003</v>
      </c>
      <c r="D248" s="92">
        <v>61.134</v>
      </c>
      <c r="E248" t="s">
        <v>185</v>
      </c>
      <c r="F248" s="92"/>
      <c r="G248" s="92"/>
      <c r="H248" s="92"/>
    </row>
    <row r="249" spans="1:16" x14ac:dyDescent="0.25">
      <c r="A249" s="93">
        <v>46169</v>
      </c>
      <c r="B249" s="92">
        <v>510831.55699999997</v>
      </c>
      <c r="C249" s="92">
        <v>4786972.4519999996</v>
      </c>
      <c r="D249" s="92">
        <v>63.015000000000001</v>
      </c>
      <c r="E249" t="s">
        <v>184</v>
      </c>
      <c r="F249" s="92"/>
      <c r="G249" s="92"/>
      <c r="H249" s="92"/>
    </row>
    <row r="250" spans="1:16" x14ac:dyDescent="0.25">
      <c r="A250" s="93">
        <v>46169</v>
      </c>
      <c r="B250" s="92">
        <v>510793.84499999997</v>
      </c>
      <c r="C250" s="92">
        <v>4786978.6529999999</v>
      </c>
      <c r="D250" s="92">
        <v>64.63</v>
      </c>
      <c r="E250" t="s">
        <v>183</v>
      </c>
      <c r="F250" s="92"/>
      <c r="G250" s="92"/>
      <c r="H250" s="92"/>
    </row>
    <row r="251" spans="1:16" x14ac:dyDescent="0.25">
      <c r="A251" s="93">
        <v>46169</v>
      </c>
      <c r="B251" s="92">
        <v>510791.962</v>
      </c>
      <c r="C251" s="92">
        <v>4786983.8470000001</v>
      </c>
      <c r="D251" s="92">
        <v>66.650999999999996</v>
      </c>
      <c r="E251" t="s">
        <v>182</v>
      </c>
      <c r="F251" s="92"/>
      <c r="G251" s="92"/>
      <c r="H251" s="92"/>
    </row>
    <row r="252" spans="1:16" x14ac:dyDescent="0.25">
      <c r="A252" s="93">
        <v>46169</v>
      </c>
      <c r="B252" s="92">
        <v>510778.78499999997</v>
      </c>
      <c r="C252" s="92">
        <v>4786982.5449999999</v>
      </c>
      <c r="D252" s="92">
        <v>65.784000000000006</v>
      </c>
      <c r="E252" t="s">
        <v>181</v>
      </c>
      <c r="F252" s="92"/>
      <c r="G252" s="92"/>
      <c r="H252" s="92"/>
    </row>
    <row r="253" spans="1:16" x14ac:dyDescent="0.25">
      <c r="A253" s="93">
        <v>46171</v>
      </c>
      <c r="B253" s="92">
        <v>510834.359</v>
      </c>
      <c r="C253" s="92">
        <v>4786957.5590000004</v>
      </c>
      <c r="D253" s="92">
        <v>63.701999999999998</v>
      </c>
      <c r="E253" t="s">
        <v>186</v>
      </c>
    </row>
    <row r="254" spans="1:16" x14ac:dyDescent="0.25">
      <c r="A254" s="93">
        <v>46171</v>
      </c>
      <c r="B254" s="92">
        <v>510825.90600000002</v>
      </c>
      <c r="C254" s="92">
        <v>4786967.1100000003</v>
      </c>
      <c r="D254" s="92">
        <v>61.133000000000003</v>
      </c>
      <c r="E254" t="s">
        <v>185</v>
      </c>
    </row>
    <row r="255" spans="1:16" x14ac:dyDescent="0.25">
      <c r="A255" s="93">
        <v>46171</v>
      </c>
      <c r="B255" s="92">
        <v>510831.55099999998</v>
      </c>
      <c r="C255" s="92">
        <v>4786972.4510000004</v>
      </c>
      <c r="D255" s="92">
        <v>63.014000000000003</v>
      </c>
      <c r="E255" t="s">
        <v>184</v>
      </c>
    </row>
    <row r="256" spans="1:16" x14ac:dyDescent="0.25">
      <c r="A256" s="93">
        <v>46171</v>
      </c>
      <c r="B256" s="92">
        <v>510793.84</v>
      </c>
      <c r="C256" s="92">
        <v>4786978.6569999997</v>
      </c>
      <c r="D256" s="92">
        <v>64.63</v>
      </c>
      <c r="E256" t="s">
        <v>183</v>
      </c>
    </row>
    <row r="257" spans="1:12" x14ac:dyDescent="0.25">
      <c r="A257" s="93">
        <v>46171</v>
      </c>
      <c r="B257" s="92">
        <v>510791.95699999999</v>
      </c>
      <c r="C257" s="92">
        <v>4786983.8490000004</v>
      </c>
      <c r="D257" s="92">
        <v>66.650000000000006</v>
      </c>
      <c r="E257" t="s">
        <v>182</v>
      </c>
    </row>
    <row r="258" spans="1:12" x14ac:dyDescent="0.25">
      <c r="A258" s="93">
        <v>46171</v>
      </c>
      <c r="B258" s="92">
        <v>510778.77899999998</v>
      </c>
      <c r="C258" s="92">
        <v>4786982.5449999999</v>
      </c>
      <c r="D258" s="92">
        <v>65.787000000000006</v>
      </c>
      <c r="E258" t="s">
        <v>181</v>
      </c>
    </row>
    <row r="259" spans="1:12" x14ac:dyDescent="0.25">
      <c r="A259" s="93">
        <v>46177</v>
      </c>
      <c r="B259" s="92">
        <v>510834.36300000001</v>
      </c>
      <c r="C259" s="92">
        <v>4786957.5599999996</v>
      </c>
      <c r="D259" s="92">
        <v>63.7</v>
      </c>
      <c r="E259" t="s">
        <v>186</v>
      </c>
      <c r="F259" s="92"/>
      <c r="G259" s="92"/>
      <c r="H259" s="92"/>
    </row>
    <row r="260" spans="1:12" x14ac:dyDescent="0.25">
      <c r="A260" s="93">
        <v>46177</v>
      </c>
      <c r="B260" s="92">
        <v>510825.91</v>
      </c>
      <c r="C260" s="92">
        <v>4786967.1100000003</v>
      </c>
      <c r="D260" s="92">
        <v>61.131</v>
      </c>
      <c r="E260" t="s">
        <v>185</v>
      </c>
      <c r="F260" s="92"/>
      <c r="G260" s="92"/>
      <c r="H260" s="92"/>
    </row>
    <row r="261" spans="1:12" x14ac:dyDescent="0.25">
      <c r="A261" s="93">
        <v>46177</v>
      </c>
      <c r="B261" s="92">
        <v>510831.55599999998</v>
      </c>
      <c r="C261" s="92">
        <v>4786972.449</v>
      </c>
      <c r="D261" s="92">
        <v>63.012999999999998</v>
      </c>
      <c r="E261" t="s">
        <v>184</v>
      </c>
      <c r="F261" s="92"/>
      <c r="G261" s="92"/>
      <c r="H261" s="92"/>
    </row>
    <row r="262" spans="1:12" x14ac:dyDescent="0.25">
      <c r="A262" s="93">
        <v>46177</v>
      </c>
      <c r="B262" s="92">
        <v>510793.842</v>
      </c>
      <c r="C262" s="92">
        <v>4786978.6540000001</v>
      </c>
      <c r="D262" s="92">
        <v>64.628</v>
      </c>
      <c r="E262" t="s">
        <v>183</v>
      </c>
      <c r="F262" s="92"/>
      <c r="G262" s="92"/>
      <c r="H262" s="92"/>
    </row>
    <row r="263" spans="1:12" x14ac:dyDescent="0.25">
      <c r="A263" s="93">
        <v>46177</v>
      </c>
      <c r="B263" s="92">
        <v>510791.95899999997</v>
      </c>
      <c r="C263" s="92">
        <v>4786983.8459999999</v>
      </c>
      <c r="D263" s="92">
        <v>66.649000000000001</v>
      </c>
      <c r="E263" t="s">
        <v>182</v>
      </c>
      <c r="F263" s="92"/>
      <c r="G263" s="92"/>
      <c r="H263" s="92"/>
    </row>
    <row r="264" spans="1:12" x14ac:dyDescent="0.25">
      <c r="A264" s="93">
        <v>46177</v>
      </c>
      <c r="B264" s="92">
        <v>510778.78200000001</v>
      </c>
      <c r="C264" s="92">
        <v>4786982.5470000003</v>
      </c>
      <c r="D264" s="92">
        <v>65.784000000000006</v>
      </c>
      <c r="E264" t="s">
        <v>181</v>
      </c>
      <c r="F264" s="92"/>
      <c r="G264" s="92"/>
      <c r="H264" s="92"/>
    </row>
    <row r="265" spans="1:12" x14ac:dyDescent="0.25">
      <c r="A265" s="93">
        <v>46183</v>
      </c>
      <c r="B265" s="92">
        <v>510834.36499999999</v>
      </c>
      <c r="C265" s="92">
        <v>4786957.5599999996</v>
      </c>
      <c r="D265" s="92">
        <v>63.701999999999998</v>
      </c>
      <c r="E265" t="s">
        <v>186</v>
      </c>
      <c r="F265" s="92"/>
      <c r="G265" s="92"/>
      <c r="H265" s="92"/>
      <c r="J265" s="92"/>
      <c r="K265" s="92"/>
      <c r="L265" s="92"/>
    </row>
    <row r="266" spans="1:12" x14ac:dyDescent="0.25">
      <c r="A266" s="93">
        <v>46183</v>
      </c>
      <c r="B266" s="92">
        <v>510825.91100000002</v>
      </c>
      <c r="C266" s="92">
        <v>4786967.1100000003</v>
      </c>
      <c r="D266" s="92">
        <v>61.133000000000003</v>
      </c>
      <c r="E266" t="s">
        <v>185</v>
      </c>
      <c r="F266" s="92"/>
      <c r="G266" s="92"/>
      <c r="H266" s="92"/>
      <c r="J266" s="92"/>
      <c r="K266" s="92"/>
      <c r="L266" s="92"/>
    </row>
    <row r="267" spans="1:12" x14ac:dyDescent="0.25">
      <c r="A267" s="93">
        <v>46183</v>
      </c>
      <c r="B267" s="92">
        <v>510831.55699999997</v>
      </c>
      <c r="C267" s="92">
        <v>4786972.45</v>
      </c>
      <c r="D267" s="92">
        <v>63.014000000000003</v>
      </c>
      <c r="E267" t="s">
        <v>184</v>
      </c>
      <c r="F267" s="92"/>
      <c r="G267" s="92"/>
      <c r="H267" s="92"/>
      <c r="J267" s="92"/>
      <c r="K267" s="92"/>
      <c r="L267" s="92"/>
    </row>
    <row r="268" spans="1:12" x14ac:dyDescent="0.25">
      <c r="A268" s="93">
        <v>46183</v>
      </c>
      <c r="B268" s="92">
        <v>510791.96100000001</v>
      </c>
      <c r="C268" s="92">
        <v>4786983.8459999999</v>
      </c>
      <c r="D268" s="92">
        <v>66.650000000000006</v>
      </c>
      <c r="E268" t="s">
        <v>182</v>
      </c>
      <c r="F268" s="92"/>
      <c r="G268" s="92"/>
      <c r="H268" s="92"/>
      <c r="J268" s="92"/>
      <c r="K268" s="92"/>
      <c r="L268" s="92"/>
    </row>
    <row r="269" spans="1:12" x14ac:dyDescent="0.25">
      <c r="A269" s="93">
        <v>46183</v>
      </c>
      <c r="B269" s="92">
        <v>510778.78700000001</v>
      </c>
      <c r="C269" s="92">
        <v>4786982.54</v>
      </c>
      <c r="D269" s="92">
        <v>65.784999999999997</v>
      </c>
      <c r="E269" t="s">
        <v>181</v>
      </c>
      <c r="F269" s="92"/>
      <c r="G269" s="92"/>
      <c r="H269" s="92"/>
      <c r="J269" s="92"/>
      <c r="K269" s="92"/>
      <c r="L269" s="92"/>
    </row>
  </sheetData>
  <sortState xmlns:xlrd2="http://schemas.microsoft.com/office/spreadsheetml/2017/richdata2" ref="A2:E184">
    <sortCondition ref="A131:A184"/>
  </sortState>
  <phoneticPr fontId="2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14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8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TZ-112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81" t="s">
        <v>126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42380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82">
        <v>42</v>
      </c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42383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 t="s">
        <v>127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2159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2417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128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1">
        <v>42383</v>
      </c>
      <c r="C16" s="25">
        <v>12.891</v>
      </c>
      <c r="D16" s="26">
        <v>8.0239999999999991</v>
      </c>
      <c r="E16" s="26">
        <v>7.8259999999999996</v>
      </c>
      <c r="F16" s="47"/>
      <c r="G16" s="47"/>
      <c r="H16" s="47"/>
      <c r="I16" s="57">
        <v>116.01900000000001</v>
      </c>
      <c r="J16" s="58">
        <v>2421</v>
      </c>
      <c r="K16" s="18">
        <f t="shared" ref="K16" si="0">IF(ISBLANK(J16),"",(J16-$J$8))</f>
        <v>4</v>
      </c>
      <c r="L16" s="19">
        <f t="shared" ref="L16:R31" si="1">IF(ISBLANK(C16),"",(C16-C$16)*1000)</f>
        <v>0</v>
      </c>
      <c r="M16" s="19">
        <f t="shared" si="1"/>
        <v>0</v>
      </c>
      <c r="N16" s="19">
        <f t="shared" si="1"/>
        <v>0</v>
      </c>
      <c r="O16" s="20"/>
      <c r="P16" s="20"/>
      <c r="Q16" s="20"/>
      <c r="R16" s="21">
        <f t="shared" ref="R16" si="2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42384</v>
      </c>
      <c r="C17" s="74">
        <v>12.753</v>
      </c>
      <c r="D17" s="70">
        <v>8.0269999999999992</v>
      </c>
      <c r="E17" s="70">
        <v>7.76</v>
      </c>
      <c r="F17" s="47"/>
      <c r="G17" s="47"/>
      <c r="H17" s="47"/>
      <c r="I17" s="57">
        <v>116.01600000000001</v>
      </c>
      <c r="J17" s="58">
        <v>2426</v>
      </c>
      <c r="K17" s="18">
        <f t="shared" ref="K17:K18" si="3">IF(ISBLANK(J17),"",(J17-$J$8))</f>
        <v>9</v>
      </c>
      <c r="L17" s="69">
        <f>IF(ISBLANK(C17),"",(C17-C$17)*1000)</f>
        <v>0</v>
      </c>
      <c r="M17" s="69">
        <f>IF(ISBLANK(D17),"",(D17-D$17)*1000)</f>
        <v>0</v>
      </c>
      <c r="N17" s="69">
        <f>IF(ISBLANK(E17),"",(E17-E$17)*1000)</f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>IF(ISBLANK(I17),"",(I17-I$16)*1000)</f>
        <v>-3.0000000000001137</v>
      </c>
      <c r="S17" s="27"/>
      <c r="T17" s="28"/>
      <c r="U17" s="28"/>
      <c r="V17" s="28" t="str">
        <f t="shared" ref="S17:X32" si="4">IF(F17="","",((F17-F16)*1000)/($B17-$B16))</f>
        <v/>
      </c>
      <c r="W17" s="28" t="str">
        <f t="shared" si="4"/>
        <v/>
      </c>
      <c r="X17" s="29" t="str">
        <f t="shared" si="4"/>
        <v/>
      </c>
      <c r="Y17" s="24" t="s">
        <v>129</v>
      </c>
    </row>
    <row r="18" spans="2:25" ht="15" customHeight="1" x14ac:dyDescent="0.2">
      <c r="B18" s="31">
        <v>42387</v>
      </c>
      <c r="C18" s="25">
        <v>12.750999999999999</v>
      </c>
      <c r="D18" s="26">
        <v>8.0259999999999998</v>
      </c>
      <c r="E18" s="26">
        <v>7.7569999999999997</v>
      </c>
      <c r="F18" s="47"/>
      <c r="G18" s="47"/>
      <c r="H18" s="47"/>
      <c r="I18" s="57">
        <v>116.01</v>
      </c>
      <c r="J18" s="58">
        <v>2430</v>
      </c>
      <c r="K18" s="18">
        <f t="shared" si="3"/>
        <v>13</v>
      </c>
      <c r="L18" s="19">
        <f t="shared" ref="L18:L81" si="5">IF(ISBLANK(C18),"",(C18-C$17)*1000)</f>
        <v>-2.0000000000006679</v>
      </c>
      <c r="M18" s="19">
        <f t="shared" ref="M18:M81" si="6">IF(ISBLANK(D18),"",(D18-D$17)*1000)</f>
        <v>-0.99999999999944578</v>
      </c>
      <c r="N18" s="19">
        <f t="shared" ref="N18:N81" si="7">IF(ISBLANK(E18),"",(E18-E$17)*1000)</f>
        <v>-3.0000000000001137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-9.0000000000003411</v>
      </c>
      <c r="S18" s="27">
        <f t="shared" si="4"/>
        <v>-0.66666666666688934</v>
      </c>
      <c r="T18" s="28">
        <f t="shared" si="4"/>
        <v>-0.33333333333314857</v>
      </c>
      <c r="U18" s="28">
        <f t="shared" si="4"/>
        <v>-1.000000000000038</v>
      </c>
      <c r="V18" s="28" t="str">
        <f t="shared" si="4"/>
        <v/>
      </c>
      <c r="W18" s="28" t="str">
        <f t="shared" si="4"/>
        <v/>
      </c>
      <c r="X18" s="29" t="str">
        <f t="shared" si="4"/>
        <v/>
      </c>
      <c r="Y18" s="24"/>
    </row>
    <row r="19" spans="2:25" ht="15" customHeight="1" x14ac:dyDescent="0.2">
      <c r="B19" s="31">
        <v>42388</v>
      </c>
      <c r="C19" s="25">
        <v>12.750999999999999</v>
      </c>
      <c r="D19" s="26">
        <v>8.0250000000000004</v>
      </c>
      <c r="E19" s="26">
        <v>7.7569999999999997</v>
      </c>
      <c r="F19" s="47"/>
      <c r="G19" s="47"/>
      <c r="H19" s="47"/>
      <c r="I19" s="57">
        <v>116.009</v>
      </c>
      <c r="J19" s="58">
        <v>2435</v>
      </c>
      <c r="K19" s="18">
        <f t="shared" ref="K19" si="8">IF(ISBLANK(J19),"",(J19-$J$8))</f>
        <v>18</v>
      </c>
      <c r="L19" s="19">
        <f t="shared" si="5"/>
        <v>-2.0000000000006679</v>
      </c>
      <c r="M19" s="19">
        <f t="shared" si="6"/>
        <v>-1.9999999999988916</v>
      </c>
      <c r="N19" s="19">
        <f t="shared" si="7"/>
        <v>-3.0000000000001137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-10.000000000005116</v>
      </c>
      <c r="S19" s="27">
        <f t="shared" si="4"/>
        <v>0</v>
      </c>
      <c r="T19" s="28">
        <f t="shared" si="4"/>
        <v>-0.99999999999944578</v>
      </c>
      <c r="U19" s="28">
        <f t="shared" si="4"/>
        <v>0</v>
      </c>
      <c r="V19" s="28" t="str">
        <f t="shared" si="4"/>
        <v/>
      </c>
      <c r="W19" s="28" t="str">
        <f t="shared" si="4"/>
        <v/>
      </c>
      <c r="X19" s="29" t="str">
        <f t="shared" si="4"/>
        <v/>
      </c>
      <c r="Y19" s="24"/>
    </row>
    <row r="20" spans="2:25" ht="15" customHeight="1" x14ac:dyDescent="0.2">
      <c r="B20" s="31">
        <v>42389</v>
      </c>
      <c r="C20" s="25">
        <v>12.750999999999999</v>
      </c>
      <c r="D20" s="26">
        <v>8.0259999999999998</v>
      </c>
      <c r="E20" s="26">
        <v>7.7560000000000002</v>
      </c>
      <c r="F20" s="47"/>
      <c r="G20" s="47"/>
      <c r="H20" s="47"/>
      <c r="I20" s="57">
        <v>116.01</v>
      </c>
      <c r="J20" s="58">
        <v>2440</v>
      </c>
      <c r="K20" s="18">
        <f t="shared" ref="K20" si="9">IF(ISBLANK(J20),"",(J20-$J$8))</f>
        <v>23</v>
      </c>
      <c r="L20" s="19">
        <f t="shared" si="5"/>
        <v>-2.0000000000006679</v>
      </c>
      <c r="M20" s="19">
        <f t="shared" si="6"/>
        <v>-0.99999999999944578</v>
      </c>
      <c r="N20" s="19">
        <f t="shared" si="7"/>
        <v>-3.9999999999995595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-9.0000000000003411</v>
      </c>
      <c r="S20" s="27">
        <f t="shared" si="4"/>
        <v>0</v>
      </c>
      <c r="T20" s="28">
        <f t="shared" si="4"/>
        <v>0.99999999999944578</v>
      </c>
      <c r="U20" s="28">
        <f t="shared" si="4"/>
        <v>-0.99999999999944578</v>
      </c>
      <c r="V20" s="28" t="str">
        <f t="shared" si="4"/>
        <v/>
      </c>
      <c r="W20" s="28" t="str">
        <f t="shared" si="4"/>
        <v/>
      </c>
      <c r="X20" s="29" t="str">
        <f t="shared" si="4"/>
        <v/>
      </c>
      <c r="Y20" s="24"/>
    </row>
    <row r="21" spans="2:25" ht="15" customHeight="1" x14ac:dyDescent="0.2">
      <c r="B21" s="31">
        <v>42390</v>
      </c>
      <c r="C21" s="25">
        <v>12.750999999999999</v>
      </c>
      <c r="D21" s="26">
        <v>8.0269999999999992</v>
      </c>
      <c r="E21" s="26">
        <v>7.7569999999999997</v>
      </c>
      <c r="F21" s="47"/>
      <c r="G21" s="47"/>
      <c r="H21" s="47"/>
      <c r="I21" s="57">
        <v>116.01</v>
      </c>
      <c r="J21" s="58">
        <v>2443</v>
      </c>
      <c r="K21" s="18">
        <f t="shared" ref="K21" si="10">IF(ISBLANK(J21),"",(J21-$J$8))</f>
        <v>26</v>
      </c>
      <c r="L21" s="19">
        <f t="shared" si="5"/>
        <v>-2.0000000000006679</v>
      </c>
      <c r="M21" s="19">
        <f t="shared" si="6"/>
        <v>0</v>
      </c>
      <c r="N21" s="19">
        <f t="shared" si="7"/>
        <v>-3.0000000000001137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-9.0000000000003411</v>
      </c>
      <c r="S21" s="27">
        <f t="shared" si="4"/>
        <v>0</v>
      </c>
      <c r="T21" s="28">
        <f t="shared" si="4"/>
        <v>0.99999999999944578</v>
      </c>
      <c r="U21" s="28">
        <f t="shared" si="4"/>
        <v>0.99999999999944578</v>
      </c>
      <c r="V21" s="28" t="str">
        <f t="shared" si="4"/>
        <v/>
      </c>
      <c r="W21" s="28" t="str">
        <f t="shared" si="4"/>
        <v/>
      </c>
      <c r="X21" s="29" t="str">
        <f t="shared" si="4"/>
        <v/>
      </c>
      <c r="Y21" s="24"/>
    </row>
    <row r="22" spans="2:25" ht="15" customHeight="1" x14ac:dyDescent="0.2">
      <c r="B22" s="31">
        <v>42391</v>
      </c>
      <c r="C22" s="25">
        <v>12.749000000000001</v>
      </c>
      <c r="D22" s="26">
        <v>8.0239999999999991</v>
      </c>
      <c r="E22" s="26">
        <v>7.7549999999999999</v>
      </c>
      <c r="F22" s="47"/>
      <c r="G22" s="47"/>
      <c r="H22" s="47"/>
      <c r="I22" s="57">
        <v>116.008</v>
      </c>
      <c r="J22" s="58">
        <v>2447</v>
      </c>
      <c r="K22" s="18">
        <f t="shared" ref="K22" si="11">IF(ISBLANK(J22),"",(J22-$J$8))</f>
        <v>30</v>
      </c>
      <c r="L22" s="19">
        <f t="shared" si="5"/>
        <v>-3.9999999999995595</v>
      </c>
      <c r="M22" s="19">
        <f t="shared" si="6"/>
        <v>-3.0000000000001137</v>
      </c>
      <c r="N22" s="19">
        <f t="shared" si="7"/>
        <v>-4.9999999999998934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-11.000000000009891</v>
      </c>
      <c r="S22" s="27">
        <f t="shared" si="4"/>
        <v>-1.9999999999988916</v>
      </c>
      <c r="T22" s="28">
        <f t="shared" si="4"/>
        <v>-3.0000000000001137</v>
      </c>
      <c r="U22" s="28">
        <f t="shared" si="4"/>
        <v>-1.9999999999997797</v>
      </c>
      <c r="V22" s="28" t="str">
        <f t="shared" si="4"/>
        <v/>
      </c>
      <c r="W22" s="28" t="str">
        <f t="shared" si="4"/>
        <v/>
      </c>
      <c r="X22" s="29" t="str">
        <f t="shared" si="4"/>
        <v/>
      </c>
      <c r="Y22" s="24"/>
    </row>
    <row r="23" spans="2:25" ht="15" customHeight="1" x14ac:dyDescent="0.2">
      <c r="B23" s="31">
        <v>42394</v>
      </c>
      <c r="C23" s="25">
        <v>12.749000000000001</v>
      </c>
      <c r="D23" s="26">
        <v>8.0239999999999991</v>
      </c>
      <c r="E23" s="26">
        <v>7.7539999999999996</v>
      </c>
      <c r="F23" s="47"/>
      <c r="G23" s="47"/>
      <c r="H23" s="47"/>
      <c r="I23" s="57">
        <v>116.009</v>
      </c>
      <c r="J23" s="58">
        <v>2451</v>
      </c>
      <c r="K23" s="18">
        <f t="shared" ref="K23" si="12">IF(ISBLANK(J23),"",(J23-$J$8))</f>
        <v>34</v>
      </c>
      <c r="L23" s="19">
        <f t="shared" si="5"/>
        <v>-3.9999999999995595</v>
      </c>
      <c r="M23" s="19">
        <f t="shared" si="6"/>
        <v>-3.0000000000001137</v>
      </c>
      <c r="N23" s="19">
        <f t="shared" si="7"/>
        <v>-6.0000000000002274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-10.000000000005116</v>
      </c>
      <c r="S23" s="27">
        <f t="shared" si="4"/>
        <v>0</v>
      </c>
      <c r="T23" s="28">
        <f t="shared" si="4"/>
        <v>0</v>
      </c>
      <c r="U23" s="28">
        <f t="shared" si="4"/>
        <v>-0.33333333333344467</v>
      </c>
      <c r="V23" s="28" t="str">
        <f t="shared" si="4"/>
        <v/>
      </c>
      <c r="W23" s="28" t="str">
        <f t="shared" si="4"/>
        <v/>
      </c>
      <c r="X23" s="29" t="str">
        <f t="shared" si="4"/>
        <v/>
      </c>
      <c r="Y23" s="24"/>
    </row>
    <row r="24" spans="2:25" ht="15" customHeight="1" x14ac:dyDescent="0.2">
      <c r="B24" s="31">
        <v>42395</v>
      </c>
      <c r="C24" s="25">
        <v>12.75</v>
      </c>
      <c r="D24" s="26">
        <v>8.0239999999999991</v>
      </c>
      <c r="E24" s="26">
        <v>7.7549999999999999</v>
      </c>
      <c r="F24" s="47"/>
      <c r="G24" s="47"/>
      <c r="H24" s="47"/>
      <c r="I24" s="57">
        <v>116.009</v>
      </c>
      <c r="J24" s="58">
        <v>2455</v>
      </c>
      <c r="K24" s="18">
        <f t="shared" ref="K24" si="13">IF(ISBLANK(J24),"",(J24-$J$8))</f>
        <v>38</v>
      </c>
      <c r="L24" s="19">
        <f t="shared" si="5"/>
        <v>-3.0000000000001137</v>
      </c>
      <c r="M24" s="19">
        <f t="shared" si="6"/>
        <v>-3.0000000000001137</v>
      </c>
      <c r="N24" s="19">
        <f t="shared" si="7"/>
        <v>-4.9999999999998934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-10.000000000005116</v>
      </c>
      <c r="S24" s="27">
        <f t="shared" si="4"/>
        <v>0.99999999999944578</v>
      </c>
      <c r="T24" s="28">
        <f t="shared" si="4"/>
        <v>0</v>
      </c>
      <c r="U24" s="28">
        <f t="shared" si="4"/>
        <v>1.000000000000334</v>
      </c>
      <c r="V24" s="28" t="str">
        <f t="shared" si="4"/>
        <v/>
      </c>
      <c r="W24" s="28" t="str">
        <f t="shared" si="4"/>
        <v/>
      </c>
      <c r="X24" s="29" t="str">
        <f t="shared" si="4"/>
        <v/>
      </c>
      <c r="Y24" s="24"/>
    </row>
    <row r="25" spans="2:25" ht="15" customHeight="1" x14ac:dyDescent="0.2">
      <c r="B25" s="31">
        <v>42396</v>
      </c>
      <c r="C25" s="25">
        <v>12.749000000000001</v>
      </c>
      <c r="D25" s="26">
        <v>8.0250000000000004</v>
      </c>
      <c r="E25" s="26">
        <v>7.7549999999999999</v>
      </c>
      <c r="F25" s="47"/>
      <c r="G25" s="47"/>
      <c r="H25" s="47"/>
      <c r="I25" s="57">
        <v>116.01</v>
      </c>
      <c r="J25" s="58">
        <v>2460</v>
      </c>
      <c r="K25" s="18">
        <f t="shared" ref="K25" si="14">IF(ISBLANK(J25),"",(J25-$J$8))</f>
        <v>43</v>
      </c>
      <c r="L25" s="19">
        <f t="shared" si="5"/>
        <v>-3.9999999999995595</v>
      </c>
      <c r="M25" s="19">
        <f t="shared" si="6"/>
        <v>-1.9999999999988916</v>
      </c>
      <c r="N25" s="19">
        <f t="shared" si="7"/>
        <v>-4.9999999999998934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-9.0000000000003411</v>
      </c>
      <c r="S25" s="27">
        <f t="shared" si="4"/>
        <v>-0.99999999999944578</v>
      </c>
      <c r="T25" s="28">
        <f t="shared" si="4"/>
        <v>1.0000000000012221</v>
      </c>
      <c r="U25" s="28">
        <f t="shared" si="4"/>
        <v>0</v>
      </c>
      <c r="V25" s="28" t="str">
        <f t="shared" si="4"/>
        <v/>
      </c>
      <c r="W25" s="28" t="str">
        <f t="shared" si="4"/>
        <v/>
      </c>
      <c r="X25" s="29" t="str">
        <f t="shared" si="4"/>
        <v/>
      </c>
      <c r="Y25" s="24"/>
    </row>
    <row r="26" spans="2:25" ht="15" customHeight="1" x14ac:dyDescent="0.2">
      <c r="B26" s="31">
        <v>42397</v>
      </c>
      <c r="C26" s="25">
        <v>12.749000000000001</v>
      </c>
      <c r="D26" s="26">
        <v>8.0250000000000004</v>
      </c>
      <c r="E26" s="26">
        <v>7.7549999999999999</v>
      </c>
      <c r="F26" s="47"/>
      <c r="G26" s="47"/>
      <c r="H26" s="47"/>
      <c r="I26" s="57">
        <v>116.01</v>
      </c>
      <c r="J26" s="58">
        <v>2462</v>
      </c>
      <c r="K26" s="18">
        <f t="shared" ref="K26" si="15">IF(ISBLANK(J26),"",(J26-$J$8))</f>
        <v>45</v>
      </c>
      <c r="L26" s="19">
        <f t="shared" si="5"/>
        <v>-3.9999999999995595</v>
      </c>
      <c r="M26" s="19">
        <f t="shared" si="6"/>
        <v>-1.9999999999988916</v>
      </c>
      <c r="N26" s="19">
        <f t="shared" si="7"/>
        <v>-4.9999999999998934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-9.0000000000003411</v>
      </c>
      <c r="S26" s="27">
        <f t="shared" si="4"/>
        <v>0</v>
      </c>
      <c r="T26" s="28">
        <f t="shared" si="4"/>
        <v>0</v>
      </c>
      <c r="U26" s="28">
        <f t="shared" si="4"/>
        <v>0</v>
      </c>
      <c r="V26" s="28" t="str">
        <f t="shared" si="4"/>
        <v/>
      </c>
      <c r="W26" s="28" t="str">
        <f t="shared" si="4"/>
        <v/>
      </c>
      <c r="X26" s="29" t="str">
        <f t="shared" si="4"/>
        <v/>
      </c>
      <c r="Y26" s="24"/>
    </row>
    <row r="27" spans="2:25" ht="15" customHeight="1" x14ac:dyDescent="0.2">
      <c r="B27" s="31">
        <v>42398</v>
      </c>
      <c r="C27" s="25">
        <v>12.749000000000001</v>
      </c>
      <c r="D27" s="26">
        <v>8.0259999999999998</v>
      </c>
      <c r="E27" s="26">
        <v>7.7560000000000002</v>
      </c>
      <c r="F27" s="47"/>
      <c r="G27" s="47"/>
      <c r="H27" s="47"/>
      <c r="I27" s="57">
        <v>116.01</v>
      </c>
      <c r="J27" s="32">
        <v>2466</v>
      </c>
      <c r="K27" s="18">
        <f t="shared" ref="K27" si="16">IF(ISBLANK(J27),"",(J27-$J$8))</f>
        <v>49</v>
      </c>
      <c r="L27" s="19">
        <f t="shared" si="5"/>
        <v>-3.9999999999995595</v>
      </c>
      <c r="M27" s="19">
        <f t="shared" si="6"/>
        <v>-0.99999999999944578</v>
      </c>
      <c r="N27" s="19">
        <f t="shared" si="7"/>
        <v>-3.9999999999995595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-9.0000000000003411</v>
      </c>
      <c r="S27" s="27">
        <f t="shared" si="4"/>
        <v>0</v>
      </c>
      <c r="T27" s="28">
        <f t="shared" si="4"/>
        <v>0.99999999999944578</v>
      </c>
      <c r="U27" s="28">
        <f t="shared" si="4"/>
        <v>1.000000000000334</v>
      </c>
      <c r="V27" s="28" t="str">
        <f t="shared" si="4"/>
        <v/>
      </c>
      <c r="W27" s="28" t="str">
        <f t="shared" si="4"/>
        <v/>
      </c>
      <c r="X27" s="29" t="str">
        <f t="shared" si="4"/>
        <v/>
      </c>
      <c r="Y27" s="24"/>
    </row>
    <row r="28" spans="2:25" ht="15" customHeight="1" x14ac:dyDescent="0.2">
      <c r="B28" s="31">
        <v>42401</v>
      </c>
      <c r="C28" s="25">
        <v>12.749000000000001</v>
      </c>
      <c r="D28" s="26">
        <v>8.0250000000000004</v>
      </c>
      <c r="E28" s="26">
        <v>7.7569999999999997</v>
      </c>
      <c r="F28" s="47"/>
      <c r="G28" s="47"/>
      <c r="H28" s="47"/>
      <c r="I28" s="57">
        <v>116.01</v>
      </c>
      <c r="J28" s="58">
        <v>2471</v>
      </c>
      <c r="K28" s="18">
        <f t="shared" ref="K28" si="17">IF(ISBLANK(J28),"",(J28-$J$8))</f>
        <v>54</v>
      </c>
      <c r="L28" s="19">
        <f t="shared" si="5"/>
        <v>-3.9999999999995595</v>
      </c>
      <c r="M28" s="19">
        <f t="shared" si="6"/>
        <v>-1.9999999999988916</v>
      </c>
      <c r="N28" s="19">
        <f t="shared" si="7"/>
        <v>-3.0000000000001137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-9.0000000000003411</v>
      </c>
      <c r="S28" s="27">
        <f t="shared" si="4"/>
        <v>0</v>
      </c>
      <c r="T28" s="28">
        <f t="shared" si="4"/>
        <v>-0.33333333333314857</v>
      </c>
      <c r="U28" s="28">
        <f t="shared" si="4"/>
        <v>0.33333333333314857</v>
      </c>
      <c r="V28" s="28" t="str">
        <f t="shared" si="4"/>
        <v/>
      </c>
      <c r="W28" s="28" t="str">
        <f t="shared" si="4"/>
        <v/>
      </c>
      <c r="X28" s="29" t="str">
        <f t="shared" si="4"/>
        <v/>
      </c>
      <c r="Y28" s="24"/>
    </row>
    <row r="29" spans="2:25" ht="15" customHeight="1" x14ac:dyDescent="0.2">
      <c r="B29" s="31">
        <v>42402</v>
      </c>
      <c r="C29" s="25">
        <v>12.75</v>
      </c>
      <c r="D29" s="26">
        <v>8.0259999999999998</v>
      </c>
      <c r="E29" s="26">
        <v>7.7560000000000002</v>
      </c>
      <c r="F29" s="47"/>
      <c r="G29" s="47"/>
      <c r="H29" s="47"/>
      <c r="I29" s="57">
        <v>116.008</v>
      </c>
      <c r="J29" s="58">
        <v>2474</v>
      </c>
      <c r="K29" s="18">
        <f t="shared" ref="K29:K30" si="18">IF(ISBLANK(J29),"",(J29-$J$8))</f>
        <v>57</v>
      </c>
      <c r="L29" s="19">
        <f t="shared" si="5"/>
        <v>-3.0000000000001137</v>
      </c>
      <c r="M29" s="19">
        <f t="shared" si="6"/>
        <v>-0.99999999999944578</v>
      </c>
      <c r="N29" s="19">
        <f t="shared" si="7"/>
        <v>-3.9999999999995595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-11.000000000009891</v>
      </c>
      <c r="S29" s="27">
        <f t="shared" si="4"/>
        <v>0.99999999999944578</v>
      </c>
      <c r="T29" s="28">
        <f t="shared" si="4"/>
        <v>0.99999999999944578</v>
      </c>
      <c r="U29" s="28">
        <f t="shared" si="4"/>
        <v>-0.99999999999944578</v>
      </c>
      <c r="V29" s="28" t="str">
        <f t="shared" si="4"/>
        <v/>
      </c>
      <c r="W29" s="28" t="str">
        <f t="shared" si="4"/>
        <v/>
      </c>
      <c r="X29" s="29" t="str">
        <f t="shared" si="4"/>
        <v/>
      </c>
      <c r="Y29" s="24"/>
    </row>
    <row r="30" spans="2:25" ht="15" customHeight="1" x14ac:dyDescent="0.2">
      <c r="B30" s="31">
        <v>42409</v>
      </c>
      <c r="C30" s="25">
        <v>12.749000000000001</v>
      </c>
      <c r="D30" s="26">
        <v>8.0239999999999991</v>
      </c>
      <c r="E30" s="26">
        <v>7.7539999999999996</v>
      </c>
      <c r="F30" s="47"/>
      <c r="G30" s="47"/>
      <c r="H30" s="47"/>
      <c r="I30" s="57">
        <v>116.00700000000001</v>
      </c>
      <c r="J30" s="58">
        <v>2496</v>
      </c>
      <c r="K30" s="18">
        <f t="shared" si="18"/>
        <v>79</v>
      </c>
      <c r="L30" s="19">
        <f t="shared" si="5"/>
        <v>-3.9999999999995595</v>
      </c>
      <c r="M30" s="19">
        <f t="shared" si="6"/>
        <v>-3.0000000000001137</v>
      </c>
      <c r="N30" s="19">
        <f t="shared" si="7"/>
        <v>-6.0000000000002274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-12.000000000000455</v>
      </c>
      <c r="S30" s="27">
        <f t="shared" si="4"/>
        <v>-0.14285714285706369</v>
      </c>
      <c r="T30" s="28">
        <f t="shared" si="4"/>
        <v>-0.28571428571438112</v>
      </c>
      <c r="U30" s="28">
        <f t="shared" si="4"/>
        <v>-0.28571428571438112</v>
      </c>
      <c r="V30" s="28" t="str">
        <f t="shared" si="4"/>
        <v/>
      </c>
      <c r="W30" s="28" t="str">
        <f t="shared" si="4"/>
        <v/>
      </c>
      <c r="X30" s="29" t="str">
        <f t="shared" si="4"/>
        <v/>
      </c>
      <c r="Y30" s="24"/>
    </row>
    <row r="31" spans="2:25" ht="15" customHeight="1" x14ac:dyDescent="0.2">
      <c r="B31" s="31">
        <v>42416</v>
      </c>
      <c r="C31" s="25">
        <v>12.75</v>
      </c>
      <c r="D31" s="26">
        <v>8.0229999999999997</v>
      </c>
      <c r="E31" s="26">
        <v>7.7560000000000002</v>
      </c>
      <c r="F31" s="47"/>
      <c r="G31" s="47"/>
      <c r="H31" s="47"/>
      <c r="I31" s="57">
        <v>116.00700000000001</v>
      </c>
      <c r="J31" s="58">
        <v>2519</v>
      </c>
      <c r="K31" s="18">
        <f t="shared" ref="K31:K33" si="19">IF(ISBLANK(J31),"",(J31-$J$8))</f>
        <v>102</v>
      </c>
      <c r="L31" s="19">
        <f t="shared" si="5"/>
        <v>-3.0000000000001137</v>
      </c>
      <c r="M31" s="19">
        <f t="shared" si="6"/>
        <v>-3.9999999999995595</v>
      </c>
      <c r="N31" s="19">
        <f t="shared" si="7"/>
        <v>-3.9999999999995595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-12.000000000000455</v>
      </c>
      <c r="S31" s="27">
        <f t="shared" si="4"/>
        <v>0.14285714285706369</v>
      </c>
      <c r="T31" s="28">
        <f t="shared" si="4"/>
        <v>-0.14285714285706369</v>
      </c>
      <c r="U31" s="28">
        <f t="shared" si="4"/>
        <v>0.28571428571438112</v>
      </c>
      <c r="V31" s="28" t="str">
        <f t="shared" si="4"/>
        <v/>
      </c>
      <c r="W31" s="28" t="str">
        <f t="shared" si="4"/>
        <v/>
      </c>
      <c r="X31" s="29" t="str">
        <f t="shared" si="4"/>
        <v/>
      </c>
      <c r="Y31" s="24"/>
    </row>
    <row r="32" spans="2:25" ht="15" customHeight="1" x14ac:dyDescent="0.2">
      <c r="B32" s="31">
        <v>42430</v>
      </c>
      <c r="C32" s="25">
        <v>12.749000000000001</v>
      </c>
      <c r="D32" s="26">
        <v>8.0229999999999997</v>
      </c>
      <c r="E32" s="26">
        <v>7.7549999999999999</v>
      </c>
      <c r="F32" s="47"/>
      <c r="G32" s="47"/>
      <c r="H32" s="47"/>
      <c r="I32" s="57">
        <v>116.00700000000001</v>
      </c>
      <c r="J32" s="58">
        <v>2540.5</v>
      </c>
      <c r="K32" s="18">
        <f t="shared" si="19"/>
        <v>123.5</v>
      </c>
      <c r="L32" s="19">
        <f t="shared" si="5"/>
        <v>-3.9999999999995595</v>
      </c>
      <c r="M32" s="19">
        <f t="shared" si="6"/>
        <v>-3.9999999999995595</v>
      </c>
      <c r="N32" s="19">
        <f t="shared" si="7"/>
        <v>-4.9999999999998934</v>
      </c>
      <c r="O32" s="19" t="str">
        <f t="shared" ref="O32:R67" si="20">IF(ISBLANK(F32),"",(F32-F$16)*1000)</f>
        <v/>
      </c>
      <c r="P32" s="19" t="str">
        <f t="shared" si="20"/>
        <v/>
      </c>
      <c r="Q32" s="19" t="str">
        <f t="shared" si="20"/>
        <v/>
      </c>
      <c r="R32" s="19">
        <f t="shared" si="20"/>
        <v>-12.000000000000455</v>
      </c>
      <c r="S32" s="27">
        <f t="shared" si="4"/>
        <v>-7.1428571428531845E-2</v>
      </c>
      <c r="T32" s="28">
        <f t="shared" si="4"/>
        <v>0</v>
      </c>
      <c r="U32" s="28">
        <f t="shared" si="4"/>
        <v>-7.1428571428595281E-2</v>
      </c>
      <c r="V32" s="28" t="str">
        <f t="shared" si="4"/>
        <v/>
      </c>
      <c r="W32" s="28" t="str">
        <f t="shared" si="4"/>
        <v/>
      </c>
      <c r="X32" s="29" t="str">
        <f t="shared" si="4"/>
        <v/>
      </c>
      <c r="Y32" s="24"/>
    </row>
    <row r="33" spans="2:25" ht="15" customHeight="1" x14ac:dyDescent="0.2">
      <c r="B33" s="31">
        <v>42502</v>
      </c>
      <c r="C33" s="73">
        <v>12.749000000000001</v>
      </c>
      <c r="D33" s="71">
        <v>8.0229999999999997</v>
      </c>
      <c r="E33" s="71">
        <v>7.7549999999999999</v>
      </c>
      <c r="F33" s="47"/>
      <c r="G33" s="47"/>
      <c r="H33" s="47"/>
      <c r="I33" s="57">
        <v>116.004</v>
      </c>
      <c r="J33" s="58">
        <v>2429</v>
      </c>
      <c r="K33" s="18">
        <f t="shared" si="19"/>
        <v>12</v>
      </c>
      <c r="L33" s="19">
        <f t="shared" si="5"/>
        <v>-3.9999999999995595</v>
      </c>
      <c r="M33" s="19">
        <f t="shared" si="6"/>
        <v>-3.9999999999995595</v>
      </c>
      <c r="N33" s="19">
        <f t="shared" si="7"/>
        <v>-4.9999999999998934</v>
      </c>
      <c r="O33" s="19" t="str">
        <f t="shared" si="20"/>
        <v/>
      </c>
      <c r="P33" s="19" t="str">
        <f t="shared" si="20"/>
        <v/>
      </c>
      <c r="Q33" s="19" t="str">
        <f t="shared" si="20"/>
        <v/>
      </c>
      <c r="R33" s="19">
        <f t="shared" si="20"/>
        <v>-15.000000000000568</v>
      </c>
      <c r="S33" s="27">
        <f t="shared" ref="S33:X48" si="21">IF(C33="","",((C33-C32)*1000)/($B33-$B32))</f>
        <v>0</v>
      </c>
      <c r="T33" s="28">
        <f t="shared" si="21"/>
        <v>0</v>
      </c>
      <c r="U33" s="28">
        <f t="shared" si="21"/>
        <v>0</v>
      </c>
      <c r="V33" s="28" t="str">
        <f t="shared" si="21"/>
        <v/>
      </c>
      <c r="W33" s="28" t="str">
        <f t="shared" si="21"/>
        <v/>
      </c>
      <c r="X33" s="29" t="str">
        <f t="shared" si="21"/>
        <v/>
      </c>
      <c r="Y33" s="24"/>
    </row>
    <row r="34" spans="2:25" ht="15" customHeight="1" x14ac:dyDescent="0.2">
      <c r="B34" s="31">
        <v>42503</v>
      </c>
      <c r="C34" s="73">
        <v>12.749000000000001</v>
      </c>
      <c r="D34" s="71">
        <v>8.0229999999999997</v>
      </c>
      <c r="E34" s="26">
        <v>7.7530000000000001</v>
      </c>
      <c r="F34" s="47">
        <v>12.86</v>
      </c>
      <c r="G34" s="47">
        <v>10.553000000000001</v>
      </c>
      <c r="H34" s="47">
        <v>10.352</v>
      </c>
      <c r="I34" s="57">
        <v>115.997</v>
      </c>
      <c r="J34" s="58">
        <v>2439</v>
      </c>
      <c r="K34" s="18">
        <f t="shared" ref="K34:K35" si="22">IF(ISBLANK(J34),"",(J34-$J$8))</f>
        <v>22</v>
      </c>
      <c r="L34" s="19">
        <f t="shared" si="5"/>
        <v>-3.9999999999995595</v>
      </c>
      <c r="M34" s="19">
        <f t="shared" si="6"/>
        <v>-3.9999999999995595</v>
      </c>
      <c r="N34" s="19">
        <f t="shared" si="7"/>
        <v>-6.9999999999996732</v>
      </c>
      <c r="O34" s="19">
        <f>IF(ISBLANK(F34),"",((F34-F$34)*1000)+L$34)</f>
        <v>-3.9999999999995595</v>
      </c>
      <c r="P34" s="19">
        <f>IF(ISBLANK(G34),"",((G34-G$34)*1000)+M$34)</f>
        <v>-3.9999999999995595</v>
      </c>
      <c r="Q34" s="19">
        <f>IF(ISBLANK(H34),"",((H34-H$34)*1000)+N$34)</f>
        <v>-6.9999999999996732</v>
      </c>
      <c r="R34" s="19">
        <f t="shared" si="20"/>
        <v>-22.000000000005571</v>
      </c>
      <c r="S34" s="27">
        <f t="shared" si="21"/>
        <v>0</v>
      </c>
      <c r="T34" s="28">
        <f t="shared" si="21"/>
        <v>0</v>
      </c>
      <c r="U34" s="28">
        <f t="shared" si="21"/>
        <v>-1.9999999999997797</v>
      </c>
      <c r="V34" s="28"/>
      <c r="W34" s="28"/>
      <c r="X34" s="29"/>
      <c r="Y34" s="24"/>
    </row>
    <row r="35" spans="2:25" ht="15" customHeight="1" x14ac:dyDescent="0.2">
      <c r="B35" s="31">
        <v>42506</v>
      </c>
      <c r="C35" s="25">
        <v>12.728</v>
      </c>
      <c r="D35" s="26">
        <v>8.0169999999999995</v>
      </c>
      <c r="E35" s="26">
        <v>7.75</v>
      </c>
      <c r="F35" s="47">
        <v>12.858000000000001</v>
      </c>
      <c r="G35" s="47">
        <v>10.551</v>
      </c>
      <c r="H35" s="47">
        <v>10.351000000000001</v>
      </c>
      <c r="I35" s="57">
        <v>115.997</v>
      </c>
      <c r="J35" s="58">
        <v>2450</v>
      </c>
      <c r="K35" s="18">
        <f t="shared" si="22"/>
        <v>33</v>
      </c>
      <c r="L35" s="19">
        <f t="shared" si="5"/>
        <v>-25.000000000000355</v>
      </c>
      <c r="M35" s="19">
        <f t="shared" si="6"/>
        <v>-9.9999999999997868</v>
      </c>
      <c r="N35" s="19">
        <f t="shared" si="7"/>
        <v>-9.9999999999997868</v>
      </c>
      <c r="O35" s="19">
        <f t="shared" ref="O35:O98" si="23">IF(ISBLANK(F35),"",((F35-F$34)*1000)+L$34)</f>
        <v>-5.999999999998451</v>
      </c>
      <c r="P35" s="19">
        <f t="shared" ref="P35:P98" si="24">IF(ISBLANK(G35),"",((G35-G$34)*1000)+M$34)</f>
        <v>-6.0000000000002274</v>
      </c>
      <c r="Q35" s="19">
        <f t="shared" ref="Q35:Q98" si="25">IF(ISBLANK(H35),"",((H35-H$34)*1000)+N$34)</f>
        <v>-7.9999999999991189</v>
      </c>
      <c r="R35" s="19">
        <f t="shared" si="20"/>
        <v>-22.000000000005571</v>
      </c>
      <c r="S35" s="27">
        <f t="shared" si="21"/>
        <v>-7.0000000000002656</v>
      </c>
      <c r="T35" s="28">
        <f t="shared" si="21"/>
        <v>-2.0000000000000759</v>
      </c>
      <c r="U35" s="28">
        <f t="shared" si="21"/>
        <v>-1.000000000000038</v>
      </c>
      <c r="V35" s="28">
        <f t="shared" si="21"/>
        <v>-0.66666666666629715</v>
      </c>
      <c r="W35" s="28">
        <f t="shared" si="21"/>
        <v>-0.66666666666688934</v>
      </c>
      <c r="X35" s="29">
        <f t="shared" si="21"/>
        <v>-0.33333333333314857</v>
      </c>
      <c r="Y35" s="24"/>
    </row>
    <row r="36" spans="2:25" ht="15" customHeight="1" x14ac:dyDescent="0.2">
      <c r="B36" s="31">
        <v>42507</v>
      </c>
      <c r="C36" s="25">
        <v>12.728999999999999</v>
      </c>
      <c r="D36" s="26">
        <v>8.0169999999999995</v>
      </c>
      <c r="E36" s="26">
        <v>7.75</v>
      </c>
      <c r="F36" s="47">
        <v>12.859</v>
      </c>
      <c r="G36" s="47">
        <v>10.551</v>
      </c>
      <c r="H36" s="47">
        <v>10.351000000000001</v>
      </c>
      <c r="I36" s="57">
        <v>115.999</v>
      </c>
      <c r="J36" s="58">
        <v>2459</v>
      </c>
      <c r="K36" s="18">
        <f t="shared" ref="K36" si="26">IF(ISBLANK(J36),"",(J36-$J$8))</f>
        <v>42</v>
      </c>
      <c r="L36" s="19">
        <f t="shared" si="5"/>
        <v>-24.000000000000909</v>
      </c>
      <c r="M36" s="19">
        <f t="shared" si="6"/>
        <v>-9.9999999999997868</v>
      </c>
      <c r="N36" s="19">
        <f t="shared" si="7"/>
        <v>-9.9999999999997868</v>
      </c>
      <c r="O36" s="19">
        <f t="shared" si="23"/>
        <v>-4.9999999999990052</v>
      </c>
      <c r="P36" s="19">
        <f t="shared" si="24"/>
        <v>-6.0000000000002274</v>
      </c>
      <c r="Q36" s="19">
        <f t="shared" si="25"/>
        <v>-7.9999999999991189</v>
      </c>
      <c r="R36" s="19">
        <f t="shared" si="20"/>
        <v>-20.000000000010232</v>
      </c>
      <c r="S36" s="27">
        <f t="shared" si="21"/>
        <v>0.99999999999944578</v>
      </c>
      <c r="T36" s="28">
        <f t="shared" si="21"/>
        <v>0</v>
      </c>
      <c r="U36" s="28">
        <f t="shared" si="21"/>
        <v>0</v>
      </c>
      <c r="V36" s="28">
        <f t="shared" si="21"/>
        <v>0.99999999999944578</v>
      </c>
      <c r="W36" s="28">
        <f t="shared" si="21"/>
        <v>0</v>
      </c>
      <c r="X36" s="29">
        <f t="shared" si="21"/>
        <v>0</v>
      </c>
      <c r="Y36" s="24"/>
    </row>
    <row r="37" spans="2:25" ht="15" customHeight="1" x14ac:dyDescent="0.2">
      <c r="B37" s="31">
        <v>42508</v>
      </c>
      <c r="C37" s="25">
        <v>12.728</v>
      </c>
      <c r="D37" s="26">
        <v>8.016</v>
      </c>
      <c r="E37" s="26">
        <v>7.7519999999999998</v>
      </c>
      <c r="F37" s="47">
        <v>12.859</v>
      </c>
      <c r="G37" s="47">
        <v>10.552</v>
      </c>
      <c r="H37" s="47">
        <v>10.351000000000001</v>
      </c>
      <c r="I37" s="57">
        <v>116</v>
      </c>
      <c r="J37" s="58">
        <v>2467</v>
      </c>
      <c r="K37" s="18">
        <f t="shared" ref="K37" si="27">IF(ISBLANK(J37),"",(J37-$J$8))</f>
        <v>50</v>
      </c>
      <c r="L37" s="19">
        <f t="shared" si="5"/>
        <v>-25.000000000000355</v>
      </c>
      <c r="M37" s="19">
        <f t="shared" si="6"/>
        <v>-10.999999999999233</v>
      </c>
      <c r="N37" s="19">
        <f t="shared" si="7"/>
        <v>-8.0000000000000071</v>
      </c>
      <c r="O37" s="19">
        <f t="shared" si="23"/>
        <v>-4.9999999999990052</v>
      </c>
      <c r="P37" s="19">
        <f t="shared" si="24"/>
        <v>-5.0000000000007816</v>
      </c>
      <c r="Q37" s="19">
        <f t="shared" si="25"/>
        <v>-7.9999999999991189</v>
      </c>
      <c r="R37" s="19">
        <f t="shared" si="20"/>
        <v>-19.000000000005457</v>
      </c>
      <c r="S37" s="27">
        <f t="shared" si="21"/>
        <v>-0.99999999999944578</v>
      </c>
      <c r="T37" s="28">
        <f t="shared" si="21"/>
        <v>-0.99999999999944578</v>
      </c>
      <c r="U37" s="28">
        <f t="shared" si="21"/>
        <v>1.9999999999997797</v>
      </c>
      <c r="V37" s="28">
        <f t="shared" si="21"/>
        <v>0</v>
      </c>
      <c r="W37" s="28">
        <f t="shared" si="21"/>
        <v>0.99999999999944578</v>
      </c>
      <c r="X37" s="29">
        <f t="shared" si="21"/>
        <v>0</v>
      </c>
      <c r="Y37" s="24"/>
    </row>
    <row r="38" spans="2:25" ht="15" customHeight="1" x14ac:dyDescent="0.2">
      <c r="B38" s="31">
        <v>42509</v>
      </c>
      <c r="C38" s="25">
        <v>12.728</v>
      </c>
      <c r="D38" s="26">
        <v>8.016</v>
      </c>
      <c r="E38" s="26">
        <v>7.7519999999999998</v>
      </c>
      <c r="F38" s="47">
        <v>12.859</v>
      </c>
      <c r="G38" s="47">
        <v>10.552</v>
      </c>
      <c r="H38" s="47">
        <v>10.351000000000001</v>
      </c>
      <c r="I38" s="57">
        <v>116</v>
      </c>
      <c r="J38" s="58">
        <v>2479</v>
      </c>
      <c r="K38" s="18">
        <f t="shared" ref="K38:K42" si="28">IF(ISBLANK(J38),"",(J38-$J$8))</f>
        <v>62</v>
      </c>
      <c r="L38" s="19">
        <f t="shared" si="5"/>
        <v>-25.000000000000355</v>
      </c>
      <c r="M38" s="19">
        <f t="shared" si="6"/>
        <v>-10.999999999999233</v>
      </c>
      <c r="N38" s="19">
        <f t="shared" si="7"/>
        <v>-8.0000000000000071</v>
      </c>
      <c r="O38" s="19">
        <f t="shared" si="23"/>
        <v>-4.9999999999990052</v>
      </c>
      <c r="P38" s="19">
        <f t="shared" si="24"/>
        <v>-5.0000000000007816</v>
      </c>
      <c r="Q38" s="19">
        <f t="shared" si="25"/>
        <v>-7.9999999999991189</v>
      </c>
      <c r="R38" s="19">
        <f t="shared" si="20"/>
        <v>-19.000000000005457</v>
      </c>
      <c r="S38" s="27">
        <f t="shared" si="21"/>
        <v>0</v>
      </c>
      <c r="T38" s="28">
        <f t="shared" si="21"/>
        <v>0</v>
      </c>
      <c r="U38" s="28">
        <f t="shared" si="21"/>
        <v>0</v>
      </c>
      <c r="V38" s="28">
        <f t="shared" si="21"/>
        <v>0</v>
      </c>
      <c r="W38" s="28">
        <f t="shared" si="21"/>
        <v>0</v>
      </c>
      <c r="X38" s="29">
        <f t="shared" si="21"/>
        <v>0</v>
      </c>
      <c r="Y38" s="24"/>
    </row>
    <row r="39" spans="2:25" ht="15" customHeight="1" x14ac:dyDescent="0.2">
      <c r="B39" s="31">
        <v>42510</v>
      </c>
      <c r="C39" s="25">
        <v>12.728</v>
      </c>
      <c r="D39" s="26">
        <v>8.016</v>
      </c>
      <c r="E39" s="26">
        <v>7.7519999999999998</v>
      </c>
      <c r="F39" s="47">
        <v>12.859</v>
      </c>
      <c r="G39" s="47">
        <v>10.551</v>
      </c>
      <c r="H39" s="47">
        <v>10.351000000000001</v>
      </c>
      <c r="I39" s="57">
        <v>116</v>
      </c>
      <c r="J39" s="58">
        <v>2490</v>
      </c>
      <c r="K39" s="18">
        <f t="shared" si="28"/>
        <v>73</v>
      </c>
      <c r="L39" s="19">
        <f t="shared" si="5"/>
        <v>-25.000000000000355</v>
      </c>
      <c r="M39" s="19">
        <f t="shared" si="6"/>
        <v>-10.999999999999233</v>
      </c>
      <c r="N39" s="19">
        <f t="shared" si="7"/>
        <v>-8.0000000000000071</v>
      </c>
      <c r="O39" s="19">
        <f t="shared" si="23"/>
        <v>-4.9999999999990052</v>
      </c>
      <c r="P39" s="19">
        <f t="shared" si="24"/>
        <v>-6.0000000000002274</v>
      </c>
      <c r="Q39" s="19">
        <f t="shared" si="25"/>
        <v>-7.9999999999991189</v>
      </c>
      <c r="R39" s="19">
        <f t="shared" si="20"/>
        <v>-19.000000000005457</v>
      </c>
      <c r="S39" s="27">
        <f t="shared" si="21"/>
        <v>0</v>
      </c>
      <c r="T39" s="28">
        <f t="shared" si="21"/>
        <v>0</v>
      </c>
      <c r="U39" s="28">
        <f t="shared" si="21"/>
        <v>0</v>
      </c>
      <c r="V39" s="28">
        <f t="shared" si="21"/>
        <v>0</v>
      </c>
      <c r="W39" s="28">
        <f t="shared" si="21"/>
        <v>-0.99999999999944578</v>
      </c>
      <c r="X39" s="29">
        <f t="shared" si="21"/>
        <v>0</v>
      </c>
      <c r="Y39" s="24"/>
    </row>
    <row r="40" spans="2:25" ht="15" customHeight="1" x14ac:dyDescent="0.2">
      <c r="B40" s="31">
        <v>42513</v>
      </c>
      <c r="C40" s="25">
        <v>12.728</v>
      </c>
      <c r="D40" s="26">
        <v>8.016</v>
      </c>
      <c r="E40" s="26">
        <v>7.7519999999999998</v>
      </c>
      <c r="F40" s="47">
        <v>12.858000000000001</v>
      </c>
      <c r="G40" s="47">
        <v>10.551</v>
      </c>
      <c r="H40" s="47">
        <v>10.35</v>
      </c>
      <c r="I40" s="57">
        <v>116</v>
      </c>
      <c r="J40" s="58">
        <v>2500</v>
      </c>
      <c r="K40" s="18">
        <f t="shared" si="28"/>
        <v>83</v>
      </c>
      <c r="L40" s="19">
        <f t="shared" si="5"/>
        <v>-25.000000000000355</v>
      </c>
      <c r="M40" s="19">
        <f t="shared" si="6"/>
        <v>-10.999999999999233</v>
      </c>
      <c r="N40" s="19">
        <f t="shared" si="7"/>
        <v>-8.0000000000000071</v>
      </c>
      <c r="O40" s="19">
        <f t="shared" si="23"/>
        <v>-5.999999999998451</v>
      </c>
      <c r="P40" s="19">
        <f t="shared" si="24"/>
        <v>-6.0000000000002274</v>
      </c>
      <c r="Q40" s="19">
        <f t="shared" si="25"/>
        <v>-9.0000000000003411</v>
      </c>
      <c r="R40" s="19">
        <f t="shared" si="20"/>
        <v>-19.000000000005457</v>
      </c>
      <c r="S40" s="27">
        <f t="shared" si="21"/>
        <v>0</v>
      </c>
      <c r="T40" s="28">
        <f t="shared" si="21"/>
        <v>0</v>
      </c>
      <c r="U40" s="28">
        <f t="shared" si="21"/>
        <v>0</v>
      </c>
      <c r="V40" s="28">
        <f t="shared" si="21"/>
        <v>-0.33333333333314857</v>
      </c>
      <c r="W40" s="28">
        <f t="shared" si="21"/>
        <v>0</v>
      </c>
      <c r="X40" s="29">
        <f t="shared" si="21"/>
        <v>-0.33333333333374071</v>
      </c>
      <c r="Y40" s="24"/>
    </row>
    <row r="41" spans="2:25" ht="15" customHeight="1" x14ac:dyDescent="0.2">
      <c r="B41" s="31">
        <v>42514</v>
      </c>
      <c r="C41" s="25">
        <v>12.728</v>
      </c>
      <c r="D41" s="26">
        <v>8.016</v>
      </c>
      <c r="E41" s="26">
        <v>7.7519999999999998</v>
      </c>
      <c r="F41" s="47">
        <v>12.858000000000001</v>
      </c>
      <c r="G41" s="47">
        <v>10.551</v>
      </c>
      <c r="H41" s="47">
        <v>10.349</v>
      </c>
      <c r="I41" s="57">
        <v>116</v>
      </c>
      <c r="J41" s="58">
        <v>2515</v>
      </c>
      <c r="K41" s="18">
        <f t="shared" si="28"/>
        <v>98</v>
      </c>
      <c r="L41" s="19">
        <f t="shared" si="5"/>
        <v>-25.000000000000355</v>
      </c>
      <c r="M41" s="19">
        <f t="shared" si="6"/>
        <v>-10.999999999999233</v>
      </c>
      <c r="N41" s="19">
        <f t="shared" si="7"/>
        <v>-8.0000000000000071</v>
      </c>
      <c r="O41" s="19">
        <f t="shared" si="23"/>
        <v>-5.999999999998451</v>
      </c>
      <c r="P41" s="19">
        <f t="shared" si="24"/>
        <v>-6.0000000000002274</v>
      </c>
      <c r="Q41" s="19">
        <f t="shared" si="25"/>
        <v>-9.9999999999997868</v>
      </c>
      <c r="R41" s="19">
        <f t="shared" si="20"/>
        <v>-19.000000000005457</v>
      </c>
      <c r="S41" s="27">
        <f t="shared" si="21"/>
        <v>0</v>
      </c>
      <c r="T41" s="28">
        <f t="shared" si="21"/>
        <v>0</v>
      </c>
      <c r="U41" s="28">
        <f t="shared" si="21"/>
        <v>0</v>
      </c>
      <c r="V41" s="28">
        <f t="shared" si="21"/>
        <v>0</v>
      </c>
      <c r="W41" s="28">
        <f t="shared" si="21"/>
        <v>0</v>
      </c>
      <c r="X41" s="29">
        <f t="shared" si="21"/>
        <v>-0.99999999999944578</v>
      </c>
      <c r="Y41" s="24"/>
    </row>
    <row r="42" spans="2:25" ht="15" customHeight="1" x14ac:dyDescent="0.2">
      <c r="B42" s="31">
        <v>42515</v>
      </c>
      <c r="C42" s="25">
        <v>12.728999999999999</v>
      </c>
      <c r="D42" s="26">
        <v>8.016</v>
      </c>
      <c r="E42" s="26">
        <v>7.7519999999999998</v>
      </c>
      <c r="F42" s="47">
        <v>12.856999999999999</v>
      </c>
      <c r="G42" s="47">
        <v>10.548999999999999</v>
      </c>
      <c r="H42" s="47">
        <v>10.35</v>
      </c>
      <c r="I42" s="57">
        <v>115.999</v>
      </c>
      <c r="J42" s="58">
        <v>2524</v>
      </c>
      <c r="K42" s="18">
        <f t="shared" si="28"/>
        <v>107</v>
      </c>
      <c r="L42" s="19">
        <f t="shared" si="5"/>
        <v>-24.000000000000909</v>
      </c>
      <c r="M42" s="19">
        <f t="shared" si="6"/>
        <v>-10.999999999999233</v>
      </c>
      <c r="N42" s="19">
        <f t="shared" si="7"/>
        <v>-8.0000000000000071</v>
      </c>
      <c r="O42" s="19">
        <f t="shared" si="23"/>
        <v>-6.9999999999996732</v>
      </c>
      <c r="P42" s="19">
        <f t="shared" si="24"/>
        <v>-8.0000000000008953</v>
      </c>
      <c r="Q42" s="19">
        <f t="shared" si="25"/>
        <v>-9.0000000000003411</v>
      </c>
      <c r="R42" s="19">
        <f t="shared" si="20"/>
        <v>-20.000000000010232</v>
      </c>
      <c r="S42" s="27">
        <f t="shared" si="21"/>
        <v>0.99999999999944578</v>
      </c>
      <c r="T42" s="28">
        <f t="shared" si="21"/>
        <v>0</v>
      </c>
      <c r="U42" s="28">
        <f t="shared" si="21"/>
        <v>0</v>
      </c>
      <c r="V42" s="28">
        <f t="shared" si="21"/>
        <v>-1.0000000000012221</v>
      </c>
      <c r="W42" s="28">
        <f t="shared" si="21"/>
        <v>-2.0000000000006679</v>
      </c>
      <c r="X42" s="29">
        <f t="shared" si="21"/>
        <v>0.99999999999944578</v>
      </c>
      <c r="Y42" s="24"/>
    </row>
    <row r="43" spans="2:25" ht="15" customHeight="1" x14ac:dyDescent="0.2">
      <c r="B43" s="31">
        <v>42516</v>
      </c>
      <c r="C43" s="25">
        <v>12.728</v>
      </c>
      <c r="D43" s="26">
        <v>8.016</v>
      </c>
      <c r="E43" s="26">
        <v>7.75</v>
      </c>
      <c r="F43" s="47">
        <v>12.858000000000001</v>
      </c>
      <c r="G43" s="47">
        <v>10.55</v>
      </c>
      <c r="H43" s="47">
        <v>10.35</v>
      </c>
      <c r="I43" s="57">
        <v>115.999</v>
      </c>
      <c r="J43" s="58">
        <v>2524</v>
      </c>
      <c r="K43" s="18">
        <f t="shared" ref="K43:K45" si="29">IF(ISBLANK(J43),"",(J43-$J$8))</f>
        <v>107</v>
      </c>
      <c r="L43" s="19">
        <f t="shared" si="5"/>
        <v>-25.000000000000355</v>
      </c>
      <c r="M43" s="19">
        <f t="shared" si="6"/>
        <v>-10.999999999999233</v>
      </c>
      <c r="N43" s="19">
        <f t="shared" si="7"/>
        <v>-9.9999999999997868</v>
      </c>
      <c r="O43" s="19">
        <f t="shared" si="23"/>
        <v>-5.999999999998451</v>
      </c>
      <c r="P43" s="19">
        <f t="shared" si="24"/>
        <v>-6.9999999999996732</v>
      </c>
      <c r="Q43" s="19">
        <f t="shared" si="25"/>
        <v>-9.0000000000003411</v>
      </c>
      <c r="R43" s="19">
        <f t="shared" si="20"/>
        <v>-20.000000000010232</v>
      </c>
      <c r="S43" s="27">
        <f t="shared" si="21"/>
        <v>-0.99999999999944578</v>
      </c>
      <c r="T43" s="28">
        <f t="shared" si="21"/>
        <v>0</v>
      </c>
      <c r="U43" s="28">
        <f t="shared" si="21"/>
        <v>-1.9999999999997797</v>
      </c>
      <c r="V43" s="28">
        <f t="shared" si="21"/>
        <v>1.0000000000012221</v>
      </c>
      <c r="W43" s="28">
        <f t="shared" si="21"/>
        <v>1.0000000000012221</v>
      </c>
      <c r="X43" s="29">
        <f t="shared" si="21"/>
        <v>0</v>
      </c>
      <c r="Y43" s="24"/>
    </row>
    <row r="44" spans="2:25" ht="15" customHeight="1" x14ac:dyDescent="0.2">
      <c r="B44" s="31">
        <v>42529</v>
      </c>
      <c r="C44" s="25">
        <v>12.727</v>
      </c>
      <c r="D44" s="26">
        <v>8.016</v>
      </c>
      <c r="E44" s="26">
        <v>7.75</v>
      </c>
      <c r="F44" s="47">
        <v>12.858000000000001</v>
      </c>
      <c r="G44" s="47">
        <v>10.55</v>
      </c>
      <c r="H44" s="47">
        <v>10.35</v>
      </c>
      <c r="I44" s="57">
        <v>116</v>
      </c>
      <c r="J44" s="58">
        <v>2603</v>
      </c>
      <c r="K44" s="18">
        <f t="shared" si="29"/>
        <v>186</v>
      </c>
      <c r="L44" s="19">
        <f t="shared" si="5"/>
        <v>-25.999999999999801</v>
      </c>
      <c r="M44" s="19">
        <f t="shared" si="6"/>
        <v>-10.999999999999233</v>
      </c>
      <c r="N44" s="19">
        <f t="shared" si="7"/>
        <v>-9.9999999999997868</v>
      </c>
      <c r="O44" s="19">
        <f t="shared" si="23"/>
        <v>-5.999999999998451</v>
      </c>
      <c r="P44" s="19">
        <f t="shared" si="24"/>
        <v>-6.9999999999996732</v>
      </c>
      <c r="Q44" s="19">
        <f t="shared" si="25"/>
        <v>-9.0000000000003411</v>
      </c>
      <c r="R44" s="19">
        <f t="shared" si="20"/>
        <v>-19.000000000005457</v>
      </c>
      <c r="S44" s="27">
        <f t="shared" si="21"/>
        <v>-7.6923076923034295E-2</v>
      </c>
      <c r="T44" s="28">
        <f t="shared" si="21"/>
        <v>0</v>
      </c>
      <c r="U44" s="28">
        <f t="shared" si="21"/>
        <v>0</v>
      </c>
      <c r="V44" s="28">
        <f t="shared" si="21"/>
        <v>0</v>
      </c>
      <c r="W44" s="28">
        <f t="shared" si="21"/>
        <v>0</v>
      </c>
      <c r="X44" s="29">
        <f t="shared" si="21"/>
        <v>0</v>
      </c>
      <c r="Y44" s="24"/>
    </row>
    <row r="45" spans="2:25" ht="15" customHeight="1" x14ac:dyDescent="0.2">
      <c r="B45" s="31">
        <v>42558</v>
      </c>
      <c r="C45" s="25">
        <v>12.727</v>
      </c>
      <c r="D45" s="26">
        <v>8.016</v>
      </c>
      <c r="E45" s="26">
        <v>7.75</v>
      </c>
      <c r="F45" s="47">
        <v>12.858000000000001</v>
      </c>
      <c r="G45" s="47">
        <v>10.55</v>
      </c>
      <c r="H45" s="47">
        <v>10.35</v>
      </c>
      <c r="I45" s="57">
        <v>116</v>
      </c>
      <c r="J45" s="58">
        <v>2689</v>
      </c>
      <c r="K45" s="18">
        <f t="shared" si="29"/>
        <v>272</v>
      </c>
      <c r="L45" s="19">
        <f t="shared" si="5"/>
        <v>-25.999999999999801</v>
      </c>
      <c r="M45" s="19">
        <f t="shared" si="6"/>
        <v>-10.999999999999233</v>
      </c>
      <c r="N45" s="19">
        <f t="shared" si="7"/>
        <v>-9.9999999999997868</v>
      </c>
      <c r="O45" s="19">
        <f t="shared" si="23"/>
        <v>-5.999999999998451</v>
      </c>
      <c r="P45" s="19">
        <f t="shared" si="24"/>
        <v>-6.9999999999996732</v>
      </c>
      <c r="Q45" s="19">
        <f t="shared" si="25"/>
        <v>-9.0000000000003411</v>
      </c>
      <c r="R45" s="19">
        <f t="shared" si="20"/>
        <v>-19.000000000005457</v>
      </c>
      <c r="S45" s="27">
        <f t="shared" si="21"/>
        <v>0</v>
      </c>
      <c r="T45" s="28">
        <f t="shared" si="21"/>
        <v>0</v>
      </c>
      <c r="U45" s="28">
        <f t="shared" si="21"/>
        <v>0</v>
      </c>
      <c r="V45" s="28">
        <f t="shared" si="21"/>
        <v>0</v>
      </c>
      <c r="W45" s="28">
        <f t="shared" si="21"/>
        <v>0</v>
      </c>
      <c r="X45" s="29">
        <f t="shared" si="21"/>
        <v>0</v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5"/>
        <v/>
      </c>
      <c r="M46" s="19" t="str">
        <f t="shared" si="6"/>
        <v/>
      </c>
      <c r="N46" s="19" t="str">
        <f t="shared" si="7"/>
        <v/>
      </c>
      <c r="O46" s="19" t="str">
        <f t="shared" si="23"/>
        <v/>
      </c>
      <c r="P46" s="19" t="str">
        <f t="shared" si="24"/>
        <v/>
      </c>
      <c r="Q46" s="19" t="str">
        <f t="shared" si="25"/>
        <v/>
      </c>
      <c r="R46" s="19" t="str">
        <f t="shared" si="20"/>
        <v/>
      </c>
      <c r="S46" s="27" t="str">
        <f t="shared" si="21"/>
        <v/>
      </c>
      <c r="T46" s="28" t="str">
        <f t="shared" si="21"/>
        <v/>
      </c>
      <c r="U46" s="28" t="str">
        <f t="shared" si="21"/>
        <v/>
      </c>
      <c r="V46" s="28" t="str">
        <f t="shared" si="21"/>
        <v/>
      </c>
      <c r="W46" s="28" t="str">
        <f t="shared" si="21"/>
        <v/>
      </c>
      <c r="X46" s="29" t="str">
        <f t="shared" si="21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5"/>
        <v/>
      </c>
      <c r="M47" s="19" t="str">
        <f t="shared" si="6"/>
        <v/>
      </c>
      <c r="N47" s="19" t="str">
        <f t="shared" si="7"/>
        <v/>
      </c>
      <c r="O47" s="19" t="str">
        <f t="shared" si="23"/>
        <v/>
      </c>
      <c r="P47" s="19" t="str">
        <f t="shared" si="24"/>
        <v/>
      </c>
      <c r="Q47" s="19" t="str">
        <f t="shared" si="25"/>
        <v/>
      </c>
      <c r="R47" s="19" t="str">
        <f t="shared" si="20"/>
        <v/>
      </c>
      <c r="S47" s="27" t="str">
        <f t="shared" si="21"/>
        <v/>
      </c>
      <c r="T47" s="28" t="str">
        <f t="shared" si="21"/>
        <v/>
      </c>
      <c r="U47" s="28" t="str">
        <f t="shared" si="21"/>
        <v/>
      </c>
      <c r="V47" s="28" t="str">
        <f t="shared" si="21"/>
        <v/>
      </c>
      <c r="W47" s="28" t="str">
        <f t="shared" si="21"/>
        <v/>
      </c>
      <c r="X47" s="29" t="str">
        <f t="shared" si="21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5"/>
        <v/>
      </c>
      <c r="M48" s="19" t="str">
        <f t="shared" si="6"/>
        <v/>
      </c>
      <c r="N48" s="19" t="str">
        <f t="shared" si="7"/>
        <v/>
      </c>
      <c r="O48" s="19" t="str">
        <f t="shared" si="23"/>
        <v/>
      </c>
      <c r="P48" s="19" t="str">
        <f t="shared" si="24"/>
        <v/>
      </c>
      <c r="Q48" s="19" t="str">
        <f t="shared" si="25"/>
        <v/>
      </c>
      <c r="R48" s="19" t="str">
        <f t="shared" si="20"/>
        <v/>
      </c>
      <c r="S48" s="27" t="str">
        <f t="shared" si="21"/>
        <v/>
      </c>
      <c r="T48" s="28" t="str">
        <f t="shared" si="21"/>
        <v/>
      </c>
      <c r="U48" s="28" t="str">
        <f t="shared" si="21"/>
        <v/>
      </c>
      <c r="V48" s="28" t="str">
        <f t="shared" si="21"/>
        <v/>
      </c>
      <c r="W48" s="28" t="str">
        <f t="shared" si="21"/>
        <v/>
      </c>
      <c r="X48" s="29" t="str">
        <f t="shared" si="21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5"/>
        <v/>
      </c>
      <c r="M49" s="19" t="str">
        <f t="shared" si="6"/>
        <v/>
      </c>
      <c r="N49" s="19" t="str">
        <f t="shared" si="7"/>
        <v/>
      </c>
      <c r="O49" s="19" t="str">
        <f t="shared" si="23"/>
        <v/>
      </c>
      <c r="P49" s="19" t="str">
        <f t="shared" si="24"/>
        <v/>
      </c>
      <c r="Q49" s="19" t="str">
        <f t="shared" si="25"/>
        <v/>
      </c>
      <c r="R49" s="19" t="str">
        <f t="shared" si="20"/>
        <v/>
      </c>
      <c r="S49" s="27" t="str">
        <f t="shared" ref="S49:X64" si="30">IF(C49="","",((C49-C48)*1000)/($B49-$B48))</f>
        <v/>
      </c>
      <c r="T49" s="28" t="str">
        <f t="shared" si="30"/>
        <v/>
      </c>
      <c r="U49" s="28" t="str">
        <f t="shared" si="30"/>
        <v/>
      </c>
      <c r="V49" s="28" t="str">
        <f t="shared" si="30"/>
        <v/>
      </c>
      <c r="W49" s="28" t="str">
        <f t="shared" si="30"/>
        <v/>
      </c>
      <c r="X49" s="29" t="str">
        <f t="shared" si="30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5"/>
        <v/>
      </c>
      <c r="M50" s="19" t="str">
        <f t="shared" si="6"/>
        <v/>
      </c>
      <c r="N50" s="19" t="str">
        <f t="shared" si="7"/>
        <v/>
      </c>
      <c r="O50" s="19" t="str">
        <f t="shared" si="23"/>
        <v/>
      </c>
      <c r="P50" s="19" t="str">
        <f t="shared" si="24"/>
        <v/>
      </c>
      <c r="Q50" s="19" t="str">
        <f t="shared" si="25"/>
        <v/>
      </c>
      <c r="R50" s="19" t="str">
        <f t="shared" si="20"/>
        <v/>
      </c>
      <c r="S50" s="27" t="str">
        <f t="shared" si="30"/>
        <v/>
      </c>
      <c r="T50" s="28" t="str">
        <f t="shared" si="30"/>
        <v/>
      </c>
      <c r="U50" s="28" t="str">
        <f t="shared" si="30"/>
        <v/>
      </c>
      <c r="V50" s="28" t="str">
        <f t="shared" si="30"/>
        <v/>
      </c>
      <c r="W50" s="28" t="str">
        <f t="shared" si="30"/>
        <v/>
      </c>
      <c r="X50" s="29" t="str">
        <f t="shared" si="30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5"/>
        <v/>
      </c>
      <c r="M51" s="19" t="str">
        <f t="shared" si="6"/>
        <v/>
      </c>
      <c r="N51" s="19" t="str">
        <f t="shared" si="7"/>
        <v/>
      </c>
      <c r="O51" s="19" t="str">
        <f t="shared" si="23"/>
        <v/>
      </c>
      <c r="P51" s="19" t="str">
        <f t="shared" si="24"/>
        <v/>
      </c>
      <c r="Q51" s="19" t="str">
        <f t="shared" si="25"/>
        <v/>
      </c>
      <c r="R51" s="19" t="str">
        <f t="shared" si="20"/>
        <v/>
      </c>
      <c r="S51" s="27" t="str">
        <f t="shared" si="30"/>
        <v/>
      </c>
      <c r="T51" s="28" t="str">
        <f t="shared" si="30"/>
        <v/>
      </c>
      <c r="U51" s="28" t="str">
        <f t="shared" si="30"/>
        <v/>
      </c>
      <c r="V51" s="28" t="str">
        <f t="shared" si="30"/>
        <v/>
      </c>
      <c r="W51" s="28" t="str">
        <f t="shared" si="30"/>
        <v/>
      </c>
      <c r="X51" s="29" t="str">
        <f t="shared" si="30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5"/>
        <v/>
      </c>
      <c r="M52" s="19" t="str">
        <f t="shared" si="6"/>
        <v/>
      </c>
      <c r="N52" s="19" t="str">
        <f t="shared" si="7"/>
        <v/>
      </c>
      <c r="O52" s="19" t="str">
        <f t="shared" si="23"/>
        <v/>
      </c>
      <c r="P52" s="19" t="str">
        <f t="shared" si="24"/>
        <v/>
      </c>
      <c r="Q52" s="19" t="str">
        <f t="shared" si="25"/>
        <v/>
      </c>
      <c r="R52" s="19" t="str">
        <f t="shared" si="20"/>
        <v/>
      </c>
      <c r="S52" s="27" t="str">
        <f t="shared" si="30"/>
        <v/>
      </c>
      <c r="T52" s="28" t="str">
        <f t="shared" si="30"/>
        <v/>
      </c>
      <c r="U52" s="28" t="str">
        <f t="shared" si="30"/>
        <v/>
      </c>
      <c r="V52" s="28" t="str">
        <f t="shared" si="30"/>
        <v/>
      </c>
      <c r="W52" s="28" t="str">
        <f t="shared" si="30"/>
        <v/>
      </c>
      <c r="X52" s="29" t="str">
        <f t="shared" si="30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5"/>
        <v/>
      </c>
      <c r="M53" s="19" t="str">
        <f t="shared" si="6"/>
        <v/>
      </c>
      <c r="N53" s="19" t="str">
        <f t="shared" si="7"/>
        <v/>
      </c>
      <c r="O53" s="19" t="str">
        <f t="shared" si="23"/>
        <v/>
      </c>
      <c r="P53" s="19" t="str">
        <f t="shared" si="24"/>
        <v/>
      </c>
      <c r="Q53" s="19" t="str">
        <f t="shared" si="25"/>
        <v/>
      </c>
      <c r="R53" s="19" t="str">
        <f t="shared" si="20"/>
        <v/>
      </c>
      <c r="S53" s="27" t="str">
        <f t="shared" si="30"/>
        <v/>
      </c>
      <c r="T53" s="28" t="str">
        <f t="shared" si="30"/>
        <v/>
      </c>
      <c r="U53" s="28" t="str">
        <f t="shared" si="30"/>
        <v/>
      </c>
      <c r="V53" s="28" t="str">
        <f t="shared" si="30"/>
        <v/>
      </c>
      <c r="W53" s="28" t="str">
        <f t="shared" si="30"/>
        <v/>
      </c>
      <c r="X53" s="29" t="str">
        <f t="shared" si="30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5"/>
        <v/>
      </c>
      <c r="M54" s="19" t="str">
        <f t="shared" si="6"/>
        <v/>
      </c>
      <c r="N54" s="19" t="str">
        <f t="shared" si="7"/>
        <v/>
      </c>
      <c r="O54" s="19" t="str">
        <f t="shared" si="23"/>
        <v/>
      </c>
      <c r="P54" s="19" t="str">
        <f t="shared" si="24"/>
        <v/>
      </c>
      <c r="Q54" s="19" t="str">
        <f t="shared" si="25"/>
        <v/>
      </c>
      <c r="R54" s="19" t="str">
        <f t="shared" si="20"/>
        <v/>
      </c>
      <c r="S54" s="27" t="str">
        <f t="shared" si="30"/>
        <v/>
      </c>
      <c r="T54" s="28" t="str">
        <f t="shared" si="30"/>
        <v/>
      </c>
      <c r="U54" s="28" t="str">
        <f t="shared" si="30"/>
        <v/>
      </c>
      <c r="V54" s="28" t="str">
        <f t="shared" si="30"/>
        <v/>
      </c>
      <c r="W54" s="28" t="str">
        <f t="shared" si="30"/>
        <v/>
      </c>
      <c r="X54" s="29" t="str">
        <f t="shared" si="30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5"/>
        <v/>
      </c>
      <c r="M55" s="19" t="str">
        <f t="shared" si="6"/>
        <v/>
      </c>
      <c r="N55" s="19" t="str">
        <f t="shared" si="7"/>
        <v/>
      </c>
      <c r="O55" s="19" t="str">
        <f t="shared" si="23"/>
        <v/>
      </c>
      <c r="P55" s="19" t="str">
        <f t="shared" si="24"/>
        <v/>
      </c>
      <c r="Q55" s="19" t="str">
        <f t="shared" si="25"/>
        <v/>
      </c>
      <c r="R55" s="19" t="str">
        <f t="shared" si="20"/>
        <v/>
      </c>
      <c r="S55" s="27" t="str">
        <f t="shared" si="30"/>
        <v/>
      </c>
      <c r="T55" s="28" t="str">
        <f t="shared" si="30"/>
        <v/>
      </c>
      <c r="U55" s="28" t="str">
        <f t="shared" si="30"/>
        <v/>
      </c>
      <c r="V55" s="28" t="str">
        <f t="shared" si="30"/>
        <v/>
      </c>
      <c r="W55" s="28" t="str">
        <f t="shared" si="30"/>
        <v/>
      </c>
      <c r="X55" s="29" t="str">
        <f t="shared" si="30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5"/>
        <v/>
      </c>
      <c r="M56" s="19" t="str">
        <f t="shared" si="6"/>
        <v/>
      </c>
      <c r="N56" s="19" t="str">
        <f t="shared" si="7"/>
        <v/>
      </c>
      <c r="O56" s="19" t="str">
        <f t="shared" si="23"/>
        <v/>
      </c>
      <c r="P56" s="19" t="str">
        <f t="shared" si="24"/>
        <v/>
      </c>
      <c r="Q56" s="19" t="str">
        <f t="shared" si="25"/>
        <v/>
      </c>
      <c r="R56" s="19" t="str">
        <f t="shared" si="20"/>
        <v/>
      </c>
      <c r="S56" s="27" t="str">
        <f t="shared" si="30"/>
        <v/>
      </c>
      <c r="T56" s="28" t="str">
        <f t="shared" si="30"/>
        <v/>
      </c>
      <c r="U56" s="28" t="str">
        <f t="shared" si="30"/>
        <v/>
      </c>
      <c r="V56" s="28" t="str">
        <f t="shared" si="30"/>
        <v/>
      </c>
      <c r="W56" s="28" t="str">
        <f t="shared" si="30"/>
        <v/>
      </c>
      <c r="X56" s="29" t="str">
        <f t="shared" si="30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5"/>
        <v/>
      </c>
      <c r="M57" s="19" t="str">
        <f t="shared" si="6"/>
        <v/>
      </c>
      <c r="N57" s="19" t="str">
        <f t="shared" si="7"/>
        <v/>
      </c>
      <c r="O57" s="19" t="str">
        <f t="shared" si="23"/>
        <v/>
      </c>
      <c r="P57" s="19" t="str">
        <f t="shared" si="24"/>
        <v/>
      </c>
      <c r="Q57" s="19" t="str">
        <f t="shared" si="25"/>
        <v/>
      </c>
      <c r="R57" s="19" t="str">
        <f t="shared" si="20"/>
        <v/>
      </c>
      <c r="S57" s="27" t="str">
        <f t="shared" si="30"/>
        <v/>
      </c>
      <c r="T57" s="28" t="str">
        <f t="shared" si="30"/>
        <v/>
      </c>
      <c r="U57" s="28" t="str">
        <f t="shared" si="30"/>
        <v/>
      </c>
      <c r="V57" s="28" t="str">
        <f t="shared" si="30"/>
        <v/>
      </c>
      <c r="W57" s="28" t="str">
        <f t="shared" si="30"/>
        <v/>
      </c>
      <c r="X57" s="29" t="str">
        <f t="shared" si="30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5"/>
        <v/>
      </c>
      <c r="M58" s="19" t="str">
        <f t="shared" si="6"/>
        <v/>
      </c>
      <c r="N58" s="19" t="str">
        <f t="shared" si="7"/>
        <v/>
      </c>
      <c r="O58" s="19" t="str">
        <f t="shared" si="23"/>
        <v/>
      </c>
      <c r="P58" s="19" t="str">
        <f t="shared" si="24"/>
        <v/>
      </c>
      <c r="Q58" s="19" t="str">
        <f t="shared" si="25"/>
        <v/>
      </c>
      <c r="R58" s="19" t="str">
        <f t="shared" si="20"/>
        <v/>
      </c>
      <c r="S58" s="27" t="str">
        <f t="shared" si="30"/>
        <v/>
      </c>
      <c r="T58" s="28" t="str">
        <f t="shared" si="30"/>
        <v/>
      </c>
      <c r="U58" s="28" t="str">
        <f t="shared" si="30"/>
        <v/>
      </c>
      <c r="V58" s="28" t="str">
        <f t="shared" si="30"/>
        <v/>
      </c>
      <c r="W58" s="28" t="str">
        <f t="shared" si="30"/>
        <v/>
      </c>
      <c r="X58" s="29" t="str">
        <f t="shared" si="30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5"/>
        <v/>
      </c>
      <c r="M59" s="19" t="str">
        <f t="shared" si="6"/>
        <v/>
      </c>
      <c r="N59" s="19" t="str">
        <f t="shared" si="7"/>
        <v/>
      </c>
      <c r="O59" s="19" t="str">
        <f t="shared" si="23"/>
        <v/>
      </c>
      <c r="P59" s="19" t="str">
        <f t="shared" si="24"/>
        <v/>
      </c>
      <c r="Q59" s="19" t="str">
        <f t="shared" si="25"/>
        <v/>
      </c>
      <c r="R59" s="19" t="str">
        <f t="shared" si="20"/>
        <v/>
      </c>
      <c r="S59" s="27" t="str">
        <f t="shared" si="30"/>
        <v/>
      </c>
      <c r="T59" s="28" t="str">
        <f t="shared" si="30"/>
        <v/>
      </c>
      <c r="U59" s="28" t="str">
        <f t="shared" si="30"/>
        <v/>
      </c>
      <c r="V59" s="28" t="str">
        <f t="shared" si="30"/>
        <v/>
      </c>
      <c r="W59" s="28" t="str">
        <f t="shared" si="30"/>
        <v/>
      </c>
      <c r="X59" s="29" t="str">
        <f t="shared" si="30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5"/>
        <v/>
      </c>
      <c r="M60" s="19" t="str">
        <f t="shared" si="6"/>
        <v/>
      </c>
      <c r="N60" s="19" t="str">
        <f t="shared" si="7"/>
        <v/>
      </c>
      <c r="O60" s="19" t="str">
        <f t="shared" si="23"/>
        <v/>
      </c>
      <c r="P60" s="19" t="str">
        <f t="shared" si="24"/>
        <v/>
      </c>
      <c r="Q60" s="19" t="str">
        <f t="shared" si="25"/>
        <v/>
      </c>
      <c r="R60" s="19" t="str">
        <f t="shared" si="20"/>
        <v/>
      </c>
      <c r="S60" s="27" t="str">
        <f t="shared" si="30"/>
        <v/>
      </c>
      <c r="T60" s="28" t="str">
        <f t="shared" si="30"/>
        <v/>
      </c>
      <c r="U60" s="28" t="str">
        <f t="shared" si="30"/>
        <v/>
      </c>
      <c r="V60" s="28" t="str">
        <f t="shared" si="30"/>
        <v/>
      </c>
      <c r="W60" s="28" t="str">
        <f t="shared" si="30"/>
        <v/>
      </c>
      <c r="X60" s="29" t="str">
        <f t="shared" si="30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5"/>
        <v/>
      </c>
      <c r="M61" s="19" t="str">
        <f t="shared" si="6"/>
        <v/>
      </c>
      <c r="N61" s="19" t="str">
        <f t="shared" si="7"/>
        <v/>
      </c>
      <c r="O61" s="19" t="str">
        <f t="shared" si="23"/>
        <v/>
      </c>
      <c r="P61" s="19" t="str">
        <f t="shared" si="24"/>
        <v/>
      </c>
      <c r="Q61" s="19" t="str">
        <f t="shared" si="25"/>
        <v/>
      </c>
      <c r="R61" s="19" t="str">
        <f t="shared" si="20"/>
        <v/>
      </c>
      <c r="S61" s="27" t="str">
        <f t="shared" si="30"/>
        <v/>
      </c>
      <c r="T61" s="28" t="str">
        <f t="shared" si="30"/>
        <v/>
      </c>
      <c r="U61" s="28" t="str">
        <f t="shared" si="30"/>
        <v/>
      </c>
      <c r="V61" s="28" t="str">
        <f t="shared" si="30"/>
        <v/>
      </c>
      <c r="W61" s="28" t="str">
        <f t="shared" si="30"/>
        <v/>
      </c>
      <c r="X61" s="29" t="str">
        <f t="shared" si="30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5"/>
        <v/>
      </c>
      <c r="M62" s="19" t="str">
        <f t="shared" si="6"/>
        <v/>
      </c>
      <c r="N62" s="19" t="str">
        <f t="shared" si="7"/>
        <v/>
      </c>
      <c r="O62" s="19" t="str">
        <f t="shared" si="23"/>
        <v/>
      </c>
      <c r="P62" s="19" t="str">
        <f t="shared" si="24"/>
        <v/>
      </c>
      <c r="Q62" s="19" t="str">
        <f t="shared" si="25"/>
        <v/>
      </c>
      <c r="R62" s="19" t="str">
        <f t="shared" si="20"/>
        <v/>
      </c>
      <c r="S62" s="27" t="str">
        <f t="shared" si="30"/>
        <v/>
      </c>
      <c r="T62" s="28" t="str">
        <f t="shared" si="30"/>
        <v/>
      </c>
      <c r="U62" s="28" t="str">
        <f t="shared" si="30"/>
        <v/>
      </c>
      <c r="V62" s="28" t="str">
        <f t="shared" si="30"/>
        <v/>
      </c>
      <c r="W62" s="28" t="str">
        <f t="shared" si="30"/>
        <v/>
      </c>
      <c r="X62" s="29" t="str">
        <f t="shared" si="30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5"/>
        <v/>
      </c>
      <c r="M63" s="19" t="str">
        <f t="shared" si="6"/>
        <v/>
      </c>
      <c r="N63" s="19" t="str">
        <f t="shared" si="7"/>
        <v/>
      </c>
      <c r="O63" s="19" t="str">
        <f t="shared" si="23"/>
        <v/>
      </c>
      <c r="P63" s="19" t="str">
        <f t="shared" si="24"/>
        <v/>
      </c>
      <c r="Q63" s="19" t="str">
        <f t="shared" si="25"/>
        <v/>
      </c>
      <c r="R63" s="19" t="str">
        <f t="shared" si="20"/>
        <v/>
      </c>
      <c r="S63" s="27" t="str">
        <f t="shared" si="30"/>
        <v/>
      </c>
      <c r="T63" s="28" t="str">
        <f t="shared" si="30"/>
        <v/>
      </c>
      <c r="U63" s="28" t="str">
        <f t="shared" si="30"/>
        <v/>
      </c>
      <c r="V63" s="28" t="str">
        <f t="shared" si="30"/>
        <v/>
      </c>
      <c r="W63" s="28" t="str">
        <f t="shared" si="30"/>
        <v/>
      </c>
      <c r="X63" s="29" t="str">
        <f t="shared" si="30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5"/>
        <v/>
      </c>
      <c r="M64" s="19" t="str">
        <f t="shared" si="6"/>
        <v/>
      </c>
      <c r="N64" s="19" t="str">
        <f t="shared" si="7"/>
        <v/>
      </c>
      <c r="O64" s="19" t="str">
        <f t="shared" si="23"/>
        <v/>
      </c>
      <c r="P64" s="19" t="str">
        <f t="shared" si="24"/>
        <v/>
      </c>
      <c r="Q64" s="19" t="str">
        <f t="shared" si="25"/>
        <v/>
      </c>
      <c r="R64" s="19" t="str">
        <f t="shared" si="20"/>
        <v/>
      </c>
      <c r="S64" s="27" t="str">
        <f t="shared" si="30"/>
        <v/>
      </c>
      <c r="T64" s="28" t="str">
        <f t="shared" si="30"/>
        <v/>
      </c>
      <c r="U64" s="28" t="str">
        <f t="shared" si="30"/>
        <v/>
      </c>
      <c r="V64" s="28" t="str">
        <f t="shared" si="30"/>
        <v/>
      </c>
      <c r="W64" s="28" t="str">
        <f t="shared" si="30"/>
        <v/>
      </c>
      <c r="X64" s="29" t="str">
        <f t="shared" si="30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5"/>
        <v/>
      </c>
      <c r="M65" s="19" t="str">
        <f t="shared" si="6"/>
        <v/>
      </c>
      <c r="N65" s="19" t="str">
        <f t="shared" si="7"/>
        <v/>
      </c>
      <c r="O65" s="19" t="str">
        <f t="shared" si="23"/>
        <v/>
      </c>
      <c r="P65" s="19" t="str">
        <f t="shared" si="24"/>
        <v/>
      </c>
      <c r="Q65" s="19" t="str">
        <f t="shared" si="25"/>
        <v/>
      </c>
      <c r="R65" s="19" t="str">
        <f t="shared" si="20"/>
        <v/>
      </c>
      <c r="S65" s="27" t="str">
        <f t="shared" ref="S65:X80" si="31">IF(C65="","",((C65-C64)*1000)/($B65-$B64))</f>
        <v/>
      </c>
      <c r="T65" s="28" t="str">
        <f t="shared" si="31"/>
        <v/>
      </c>
      <c r="U65" s="28" t="str">
        <f t="shared" si="31"/>
        <v/>
      </c>
      <c r="V65" s="28" t="str">
        <f t="shared" si="31"/>
        <v/>
      </c>
      <c r="W65" s="28" t="str">
        <f t="shared" si="31"/>
        <v/>
      </c>
      <c r="X65" s="29" t="str">
        <f t="shared" si="31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5"/>
        <v/>
      </c>
      <c r="M66" s="19" t="str">
        <f t="shared" si="6"/>
        <v/>
      </c>
      <c r="N66" s="19" t="str">
        <f t="shared" si="7"/>
        <v/>
      </c>
      <c r="O66" s="19" t="str">
        <f t="shared" si="23"/>
        <v/>
      </c>
      <c r="P66" s="19" t="str">
        <f t="shared" si="24"/>
        <v/>
      </c>
      <c r="Q66" s="19" t="str">
        <f t="shared" si="25"/>
        <v/>
      </c>
      <c r="R66" s="19" t="str">
        <f t="shared" si="20"/>
        <v/>
      </c>
      <c r="S66" s="27" t="str">
        <f t="shared" si="31"/>
        <v/>
      </c>
      <c r="T66" s="28" t="str">
        <f t="shared" si="31"/>
        <v/>
      </c>
      <c r="U66" s="28" t="str">
        <f t="shared" si="31"/>
        <v/>
      </c>
      <c r="V66" s="28" t="str">
        <f t="shared" si="31"/>
        <v/>
      </c>
      <c r="W66" s="28" t="str">
        <f t="shared" si="31"/>
        <v/>
      </c>
      <c r="X66" s="29" t="str">
        <f t="shared" si="31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5"/>
        <v/>
      </c>
      <c r="M67" s="19" t="str">
        <f t="shared" si="6"/>
        <v/>
      </c>
      <c r="N67" s="19" t="str">
        <f t="shared" si="7"/>
        <v/>
      </c>
      <c r="O67" s="19" t="str">
        <f t="shared" si="23"/>
        <v/>
      </c>
      <c r="P67" s="19" t="str">
        <f t="shared" si="24"/>
        <v/>
      </c>
      <c r="Q67" s="19" t="str">
        <f t="shared" si="25"/>
        <v/>
      </c>
      <c r="R67" s="19" t="str">
        <f t="shared" si="20"/>
        <v/>
      </c>
      <c r="S67" s="27" t="str">
        <f t="shared" si="31"/>
        <v/>
      </c>
      <c r="T67" s="28" t="str">
        <f t="shared" si="31"/>
        <v/>
      </c>
      <c r="U67" s="28" t="str">
        <f t="shared" si="31"/>
        <v/>
      </c>
      <c r="V67" s="28" t="str">
        <f t="shared" si="31"/>
        <v/>
      </c>
      <c r="W67" s="28" t="str">
        <f t="shared" si="31"/>
        <v/>
      </c>
      <c r="X67" s="29" t="str">
        <f t="shared" si="31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5"/>
        <v/>
      </c>
      <c r="M68" s="19" t="str">
        <f t="shared" si="6"/>
        <v/>
      </c>
      <c r="N68" s="19" t="str">
        <f t="shared" si="7"/>
        <v/>
      </c>
      <c r="O68" s="19" t="str">
        <f t="shared" si="23"/>
        <v/>
      </c>
      <c r="P68" s="19" t="str">
        <f t="shared" si="24"/>
        <v/>
      </c>
      <c r="Q68" s="19" t="str">
        <f t="shared" si="25"/>
        <v/>
      </c>
      <c r="R68" s="19" t="str">
        <f t="shared" ref="R68:R130" si="32">IF(ISBLANK(I68),"",(I68-I$16)*1000)</f>
        <v/>
      </c>
      <c r="S68" s="27" t="str">
        <f t="shared" si="31"/>
        <v/>
      </c>
      <c r="T68" s="28" t="str">
        <f t="shared" si="31"/>
        <v/>
      </c>
      <c r="U68" s="28" t="str">
        <f t="shared" si="31"/>
        <v/>
      </c>
      <c r="V68" s="28" t="str">
        <f t="shared" si="31"/>
        <v/>
      </c>
      <c r="W68" s="28" t="str">
        <f t="shared" si="31"/>
        <v/>
      </c>
      <c r="X68" s="29" t="str">
        <f t="shared" si="31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5"/>
        <v/>
      </c>
      <c r="M69" s="19" t="str">
        <f t="shared" si="6"/>
        <v/>
      </c>
      <c r="N69" s="19" t="str">
        <f t="shared" si="7"/>
        <v/>
      </c>
      <c r="O69" s="19" t="str">
        <f t="shared" si="23"/>
        <v/>
      </c>
      <c r="P69" s="19" t="str">
        <f t="shared" si="24"/>
        <v/>
      </c>
      <c r="Q69" s="19" t="str">
        <f t="shared" si="25"/>
        <v/>
      </c>
      <c r="R69" s="19" t="str">
        <f t="shared" si="32"/>
        <v/>
      </c>
      <c r="S69" s="27" t="str">
        <f t="shared" si="31"/>
        <v/>
      </c>
      <c r="T69" s="28" t="str">
        <f t="shared" si="31"/>
        <v/>
      </c>
      <c r="U69" s="28" t="str">
        <f t="shared" si="31"/>
        <v/>
      </c>
      <c r="V69" s="28" t="str">
        <f t="shared" si="31"/>
        <v/>
      </c>
      <c r="W69" s="28" t="str">
        <f t="shared" si="31"/>
        <v/>
      </c>
      <c r="X69" s="29" t="str">
        <f t="shared" si="31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5"/>
        <v/>
      </c>
      <c r="M70" s="19" t="str">
        <f t="shared" si="6"/>
        <v/>
      </c>
      <c r="N70" s="19" t="str">
        <f t="shared" si="7"/>
        <v/>
      </c>
      <c r="O70" s="19" t="str">
        <f t="shared" si="23"/>
        <v/>
      </c>
      <c r="P70" s="19" t="str">
        <f t="shared" si="24"/>
        <v/>
      </c>
      <c r="Q70" s="19" t="str">
        <f t="shared" si="25"/>
        <v/>
      </c>
      <c r="R70" s="19" t="str">
        <f t="shared" si="32"/>
        <v/>
      </c>
      <c r="S70" s="27" t="str">
        <f t="shared" si="31"/>
        <v/>
      </c>
      <c r="T70" s="28" t="str">
        <f t="shared" si="31"/>
        <v/>
      </c>
      <c r="U70" s="28" t="str">
        <f t="shared" si="31"/>
        <v/>
      </c>
      <c r="V70" s="28" t="str">
        <f t="shared" si="31"/>
        <v/>
      </c>
      <c r="W70" s="28" t="str">
        <f t="shared" si="31"/>
        <v/>
      </c>
      <c r="X70" s="29" t="str">
        <f t="shared" si="31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5"/>
        <v/>
      </c>
      <c r="M71" s="19" t="str">
        <f t="shared" si="6"/>
        <v/>
      </c>
      <c r="N71" s="19" t="str">
        <f t="shared" si="7"/>
        <v/>
      </c>
      <c r="O71" s="19" t="str">
        <f t="shared" si="23"/>
        <v/>
      </c>
      <c r="P71" s="19" t="str">
        <f t="shared" si="24"/>
        <v/>
      </c>
      <c r="Q71" s="19" t="str">
        <f t="shared" si="25"/>
        <v/>
      </c>
      <c r="R71" s="19" t="str">
        <f t="shared" si="32"/>
        <v/>
      </c>
      <c r="S71" s="27" t="str">
        <f t="shared" si="31"/>
        <v/>
      </c>
      <c r="T71" s="28" t="str">
        <f t="shared" si="31"/>
        <v/>
      </c>
      <c r="U71" s="28" t="str">
        <f t="shared" si="31"/>
        <v/>
      </c>
      <c r="V71" s="28" t="str">
        <f t="shared" si="31"/>
        <v/>
      </c>
      <c r="W71" s="28" t="str">
        <f t="shared" si="31"/>
        <v/>
      </c>
      <c r="X71" s="29" t="str">
        <f t="shared" si="31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5"/>
        <v/>
      </c>
      <c r="M72" s="19" t="str">
        <f t="shared" si="6"/>
        <v/>
      </c>
      <c r="N72" s="19" t="str">
        <f t="shared" si="7"/>
        <v/>
      </c>
      <c r="O72" s="19" t="str">
        <f t="shared" si="23"/>
        <v/>
      </c>
      <c r="P72" s="19" t="str">
        <f t="shared" si="24"/>
        <v/>
      </c>
      <c r="Q72" s="19" t="str">
        <f t="shared" si="25"/>
        <v/>
      </c>
      <c r="R72" s="19" t="str">
        <f t="shared" si="32"/>
        <v/>
      </c>
      <c r="S72" s="27" t="str">
        <f t="shared" si="31"/>
        <v/>
      </c>
      <c r="T72" s="28" t="str">
        <f t="shared" si="31"/>
        <v/>
      </c>
      <c r="U72" s="28" t="str">
        <f t="shared" si="31"/>
        <v/>
      </c>
      <c r="V72" s="28" t="str">
        <f t="shared" si="31"/>
        <v/>
      </c>
      <c r="W72" s="28" t="str">
        <f t="shared" si="31"/>
        <v/>
      </c>
      <c r="X72" s="29" t="str">
        <f t="shared" si="31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5"/>
        <v/>
      </c>
      <c r="M73" s="19" t="str">
        <f t="shared" si="6"/>
        <v/>
      </c>
      <c r="N73" s="19" t="str">
        <f t="shared" si="7"/>
        <v/>
      </c>
      <c r="O73" s="19" t="str">
        <f t="shared" si="23"/>
        <v/>
      </c>
      <c r="P73" s="19" t="str">
        <f t="shared" si="24"/>
        <v/>
      </c>
      <c r="Q73" s="19" t="str">
        <f t="shared" si="25"/>
        <v/>
      </c>
      <c r="R73" s="19" t="str">
        <f t="shared" si="32"/>
        <v/>
      </c>
      <c r="S73" s="27" t="str">
        <f t="shared" si="31"/>
        <v/>
      </c>
      <c r="T73" s="28" t="str">
        <f t="shared" si="31"/>
        <v/>
      </c>
      <c r="U73" s="28" t="str">
        <f t="shared" si="31"/>
        <v/>
      </c>
      <c r="V73" s="28" t="str">
        <f t="shared" si="31"/>
        <v/>
      </c>
      <c r="W73" s="28" t="str">
        <f t="shared" si="31"/>
        <v/>
      </c>
      <c r="X73" s="29" t="str">
        <f t="shared" si="31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5"/>
        <v/>
      </c>
      <c r="M74" s="19" t="str">
        <f t="shared" si="6"/>
        <v/>
      </c>
      <c r="N74" s="19" t="str">
        <f t="shared" si="7"/>
        <v/>
      </c>
      <c r="O74" s="19" t="str">
        <f t="shared" si="23"/>
        <v/>
      </c>
      <c r="P74" s="19" t="str">
        <f t="shared" si="24"/>
        <v/>
      </c>
      <c r="Q74" s="19" t="str">
        <f t="shared" si="25"/>
        <v/>
      </c>
      <c r="R74" s="19" t="str">
        <f t="shared" si="32"/>
        <v/>
      </c>
      <c r="S74" s="27" t="str">
        <f t="shared" si="31"/>
        <v/>
      </c>
      <c r="T74" s="28" t="str">
        <f t="shared" si="31"/>
        <v/>
      </c>
      <c r="U74" s="28" t="str">
        <f t="shared" si="31"/>
        <v/>
      </c>
      <c r="V74" s="28" t="str">
        <f t="shared" si="31"/>
        <v/>
      </c>
      <c r="W74" s="28" t="str">
        <f t="shared" si="31"/>
        <v/>
      </c>
      <c r="X74" s="29" t="str">
        <f t="shared" si="31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5"/>
        <v/>
      </c>
      <c r="M75" s="19" t="str">
        <f t="shared" si="6"/>
        <v/>
      </c>
      <c r="N75" s="19" t="str">
        <f t="shared" si="7"/>
        <v/>
      </c>
      <c r="O75" s="19" t="str">
        <f t="shared" si="23"/>
        <v/>
      </c>
      <c r="P75" s="19" t="str">
        <f t="shared" si="24"/>
        <v/>
      </c>
      <c r="Q75" s="19" t="str">
        <f t="shared" si="25"/>
        <v/>
      </c>
      <c r="R75" s="19" t="str">
        <f t="shared" si="32"/>
        <v/>
      </c>
      <c r="S75" s="27" t="str">
        <f t="shared" si="31"/>
        <v/>
      </c>
      <c r="T75" s="28" t="str">
        <f t="shared" si="31"/>
        <v/>
      </c>
      <c r="U75" s="28" t="str">
        <f t="shared" si="31"/>
        <v/>
      </c>
      <c r="V75" s="28" t="str">
        <f t="shared" si="31"/>
        <v/>
      </c>
      <c r="W75" s="28" t="str">
        <f t="shared" si="31"/>
        <v/>
      </c>
      <c r="X75" s="29" t="str">
        <f t="shared" si="31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5"/>
        <v/>
      </c>
      <c r="M76" s="19" t="str">
        <f t="shared" si="6"/>
        <v/>
      </c>
      <c r="N76" s="19" t="str">
        <f t="shared" si="7"/>
        <v/>
      </c>
      <c r="O76" s="19" t="str">
        <f t="shared" si="23"/>
        <v/>
      </c>
      <c r="P76" s="19" t="str">
        <f t="shared" si="24"/>
        <v/>
      </c>
      <c r="Q76" s="19" t="str">
        <f t="shared" si="25"/>
        <v/>
      </c>
      <c r="R76" s="19" t="str">
        <f t="shared" si="32"/>
        <v/>
      </c>
      <c r="S76" s="27" t="str">
        <f t="shared" si="31"/>
        <v/>
      </c>
      <c r="T76" s="28" t="str">
        <f t="shared" si="31"/>
        <v/>
      </c>
      <c r="U76" s="28" t="str">
        <f t="shared" si="31"/>
        <v/>
      </c>
      <c r="V76" s="28" t="str">
        <f t="shared" si="31"/>
        <v/>
      </c>
      <c r="W76" s="28" t="str">
        <f t="shared" si="31"/>
        <v/>
      </c>
      <c r="X76" s="29" t="str">
        <f t="shared" si="31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5"/>
        <v/>
      </c>
      <c r="M77" s="19" t="str">
        <f t="shared" si="6"/>
        <v/>
      </c>
      <c r="N77" s="19" t="str">
        <f t="shared" si="7"/>
        <v/>
      </c>
      <c r="O77" s="19" t="str">
        <f t="shared" si="23"/>
        <v/>
      </c>
      <c r="P77" s="19" t="str">
        <f t="shared" si="24"/>
        <v/>
      </c>
      <c r="Q77" s="19" t="str">
        <f t="shared" si="25"/>
        <v/>
      </c>
      <c r="R77" s="19" t="str">
        <f t="shared" si="32"/>
        <v/>
      </c>
      <c r="S77" s="27" t="str">
        <f t="shared" si="31"/>
        <v/>
      </c>
      <c r="T77" s="28" t="str">
        <f t="shared" si="31"/>
        <v/>
      </c>
      <c r="U77" s="28" t="str">
        <f t="shared" si="31"/>
        <v/>
      </c>
      <c r="V77" s="28" t="str">
        <f t="shared" si="31"/>
        <v/>
      </c>
      <c r="W77" s="28" t="str">
        <f t="shared" si="31"/>
        <v/>
      </c>
      <c r="X77" s="29" t="str">
        <f t="shared" si="31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5"/>
        <v/>
      </c>
      <c r="M78" s="19" t="str">
        <f t="shared" si="6"/>
        <v/>
      </c>
      <c r="N78" s="19" t="str">
        <f t="shared" si="7"/>
        <v/>
      </c>
      <c r="O78" s="19" t="str">
        <f t="shared" si="23"/>
        <v/>
      </c>
      <c r="P78" s="19" t="str">
        <f t="shared" si="24"/>
        <v/>
      </c>
      <c r="Q78" s="19" t="str">
        <f t="shared" si="25"/>
        <v/>
      </c>
      <c r="R78" s="19" t="str">
        <f t="shared" si="32"/>
        <v/>
      </c>
      <c r="S78" s="27" t="str">
        <f t="shared" si="31"/>
        <v/>
      </c>
      <c r="T78" s="28" t="str">
        <f t="shared" si="31"/>
        <v/>
      </c>
      <c r="U78" s="28" t="str">
        <f t="shared" si="31"/>
        <v/>
      </c>
      <c r="V78" s="28" t="str">
        <f t="shared" si="31"/>
        <v/>
      </c>
      <c r="W78" s="28" t="str">
        <f t="shared" si="31"/>
        <v/>
      </c>
      <c r="X78" s="29" t="str">
        <f t="shared" si="31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5"/>
        <v/>
      </c>
      <c r="M79" s="19" t="str">
        <f t="shared" si="6"/>
        <v/>
      </c>
      <c r="N79" s="19" t="str">
        <f t="shared" si="7"/>
        <v/>
      </c>
      <c r="O79" s="19" t="str">
        <f t="shared" si="23"/>
        <v/>
      </c>
      <c r="P79" s="19" t="str">
        <f t="shared" si="24"/>
        <v/>
      </c>
      <c r="Q79" s="19" t="str">
        <f t="shared" si="25"/>
        <v/>
      </c>
      <c r="R79" s="19" t="str">
        <f t="shared" si="32"/>
        <v/>
      </c>
      <c r="S79" s="27" t="str">
        <f t="shared" si="31"/>
        <v/>
      </c>
      <c r="T79" s="28" t="str">
        <f t="shared" si="31"/>
        <v/>
      </c>
      <c r="U79" s="28" t="str">
        <f t="shared" si="31"/>
        <v/>
      </c>
      <c r="V79" s="28" t="str">
        <f t="shared" si="31"/>
        <v/>
      </c>
      <c r="W79" s="28" t="str">
        <f t="shared" si="31"/>
        <v/>
      </c>
      <c r="X79" s="29" t="str">
        <f t="shared" si="31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5"/>
        <v/>
      </c>
      <c r="M80" s="19" t="str">
        <f t="shared" si="6"/>
        <v/>
      </c>
      <c r="N80" s="19" t="str">
        <f t="shared" si="7"/>
        <v/>
      </c>
      <c r="O80" s="19" t="str">
        <f t="shared" si="23"/>
        <v/>
      </c>
      <c r="P80" s="19" t="str">
        <f t="shared" si="24"/>
        <v/>
      </c>
      <c r="Q80" s="19" t="str">
        <f t="shared" si="25"/>
        <v/>
      </c>
      <c r="R80" s="19" t="str">
        <f t="shared" si="32"/>
        <v/>
      </c>
      <c r="S80" s="27" t="str">
        <f t="shared" si="31"/>
        <v/>
      </c>
      <c r="T80" s="28" t="str">
        <f t="shared" si="31"/>
        <v/>
      </c>
      <c r="U80" s="28" t="str">
        <f t="shared" si="31"/>
        <v/>
      </c>
      <c r="V80" s="28" t="str">
        <f t="shared" si="31"/>
        <v/>
      </c>
      <c r="W80" s="28" t="str">
        <f t="shared" si="31"/>
        <v/>
      </c>
      <c r="X80" s="29" t="str">
        <f t="shared" si="31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5"/>
        <v/>
      </c>
      <c r="M81" s="19" t="str">
        <f t="shared" si="6"/>
        <v/>
      </c>
      <c r="N81" s="19" t="str">
        <f t="shared" si="7"/>
        <v/>
      </c>
      <c r="O81" s="19" t="str">
        <f t="shared" si="23"/>
        <v/>
      </c>
      <c r="P81" s="19" t="str">
        <f t="shared" si="24"/>
        <v/>
      </c>
      <c r="Q81" s="19" t="str">
        <f t="shared" si="25"/>
        <v/>
      </c>
      <c r="R81" s="19" t="str">
        <f t="shared" si="32"/>
        <v/>
      </c>
      <c r="S81" s="27" t="str">
        <f t="shared" ref="S81:X96" si="33">IF(C81="","",((C81-C80)*1000)/($B81-$B80))</f>
        <v/>
      </c>
      <c r="T81" s="28" t="str">
        <f t="shared" si="33"/>
        <v/>
      </c>
      <c r="U81" s="28" t="str">
        <f t="shared" si="33"/>
        <v/>
      </c>
      <c r="V81" s="28" t="str">
        <f t="shared" si="33"/>
        <v/>
      </c>
      <c r="W81" s="28" t="str">
        <f t="shared" si="33"/>
        <v/>
      </c>
      <c r="X81" s="29" t="str">
        <f t="shared" si="33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ref="L82:L145" si="34">IF(ISBLANK(C82),"",(C82-C$17)*1000)</f>
        <v/>
      </c>
      <c r="M82" s="19" t="str">
        <f t="shared" ref="M82:M145" si="35">IF(ISBLANK(D82),"",(D82-D$17)*1000)</f>
        <v/>
      </c>
      <c r="N82" s="19" t="str">
        <f t="shared" ref="N82:N145" si="36">IF(ISBLANK(E82),"",(E82-E$17)*1000)</f>
        <v/>
      </c>
      <c r="O82" s="19" t="str">
        <f t="shared" si="23"/>
        <v/>
      </c>
      <c r="P82" s="19" t="str">
        <f t="shared" si="24"/>
        <v/>
      </c>
      <c r="Q82" s="19" t="str">
        <f t="shared" si="25"/>
        <v/>
      </c>
      <c r="R82" s="19" t="str">
        <f t="shared" si="32"/>
        <v/>
      </c>
      <c r="S82" s="27" t="str">
        <f t="shared" si="33"/>
        <v/>
      </c>
      <c r="T82" s="28" t="str">
        <f t="shared" si="33"/>
        <v/>
      </c>
      <c r="U82" s="28" t="str">
        <f t="shared" si="33"/>
        <v/>
      </c>
      <c r="V82" s="28" t="str">
        <f t="shared" si="33"/>
        <v/>
      </c>
      <c r="W82" s="28" t="str">
        <f t="shared" si="33"/>
        <v/>
      </c>
      <c r="X82" s="29" t="str">
        <f t="shared" si="33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4"/>
        <v/>
      </c>
      <c r="M83" s="19" t="str">
        <f t="shared" si="35"/>
        <v/>
      </c>
      <c r="N83" s="19" t="str">
        <f t="shared" si="36"/>
        <v/>
      </c>
      <c r="O83" s="19" t="str">
        <f t="shared" si="23"/>
        <v/>
      </c>
      <c r="P83" s="19" t="str">
        <f t="shared" si="24"/>
        <v/>
      </c>
      <c r="Q83" s="19" t="str">
        <f t="shared" si="25"/>
        <v/>
      </c>
      <c r="R83" s="19" t="str">
        <f t="shared" si="32"/>
        <v/>
      </c>
      <c r="S83" s="27" t="str">
        <f t="shared" si="33"/>
        <v/>
      </c>
      <c r="T83" s="28" t="str">
        <f t="shared" si="33"/>
        <v/>
      </c>
      <c r="U83" s="28" t="str">
        <f t="shared" si="33"/>
        <v/>
      </c>
      <c r="V83" s="28" t="str">
        <f t="shared" si="33"/>
        <v/>
      </c>
      <c r="W83" s="28" t="str">
        <f t="shared" si="33"/>
        <v/>
      </c>
      <c r="X83" s="29" t="str">
        <f t="shared" si="33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4"/>
        <v/>
      </c>
      <c r="M84" s="19" t="str">
        <f t="shared" si="35"/>
        <v/>
      </c>
      <c r="N84" s="19" t="str">
        <f t="shared" si="36"/>
        <v/>
      </c>
      <c r="O84" s="19" t="str">
        <f t="shared" si="23"/>
        <v/>
      </c>
      <c r="P84" s="19" t="str">
        <f t="shared" si="24"/>
        <v/>
      </c>
      <c r="Q84" s="19" t="str">
        <f t="shared" si="25"/>
        <v/>
      </c>
      <c r="R84" s="19" t="str">
        <f t="shared" si="32"/>
        <v/>
      </c>
      <c r="S84" s="27" t="str">
        <f t="shared" si="33"/>
        <v/>
      </c>
      <c r="T84" s="28" t="str">
        <f t="shared" si="33"/>
        <v/>
      </c>
      <c r="U84" s="28" t="str">
        <f t="shared" si="33"/>
        <v/>
      </c>
      <c r="V84" s="28" t="str">
        <f t="shared" si="33"/>
        <v/>
      </c>
      <c r="W84" s="28" t="str">
        <f t="shared" si="33"/>
        <v/>
      </c>
      <c r="X84" s="29" t="str">
        <f t="shared" si="33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4"/>
        <v/>
      </c>
      <c r="M85" s="19" t="str">
        <f t="shared" si="35"/>
        <v/>
      </c>
      <c r="N85" s="19" t="str">
        <f t="shared" si="36"/>
        <v/>
      </c>
      <c r="O85" s="19" t="str">
        <f t="shared" si="23"/>
        <v/>
      </c>
      <c r="P85" s="19" t="str">
        <f t="shared" si="24"/>
        <v/>
      </c>
      <c r="Q85" s="19" t="str">
        <f t="shared" si="25"/>
        <v/>
      </c>
      <c r="R85" s="19" t="str">
        <f t="shared" si="32"/>
        <v/>
      </c>
      <c r="S85" s="27" t="str">
        <f t="shared" si="33"/>
        <v/>
      </c>
      <c r="T85" s="28" t="str">
        <f t="shared" si="33"/>
        <v/>
      </c>
      <c r="U85" s="28" t="str">
        <f t="shared" si="33"/>
        <v/>
      </c>
      <c r="V85" s="28" t="str">
        <f t="shared" si="33"/>
        <v/>
      </c>
      <c r="W85" s="28" t="str">
        <f t="shared" si="33"/>
        <v/>
      </c>
      <c r="X85" s="29" t="str">
        <f t="shared" si="33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4"/>
        <v/>
      </c>
      <c r="M86" s="19" t="str">
        <f t="shared" si="35"/>
        <v/>
      </c>
      <c r="N86" s="19" t="str">
        <f t="shared" si="36"/>
        <v/>
      </c>
      <c r="O86" s="19" t="str">
        <f t="shared" si="23"/>
        <v/>
      </c>
      <c r="P86" s="19" t="str">
        <f t="shared" si="24"/>
        <v/>
      </c>
      <c r="Q86" s="19" t="str">
        <f t="shared" si="25"/>
        <v/>
      </c>
      <c r="R86" s="19" t="str">
        <f t="shared" si="32"/>
        <v/>
      </c>
      <c r="S86" s="27" t="str">
        <f t="shared" si="33"/>
        <v/>
      </c>
      <c r="T86" s="28" t="str">
        <f t="shared" si="33"/>
        <v/>
      </c>
      <c r="U86" s="28" t="str">
        <f t="shared" si="33"/>
        <v/>
      </c>
      <c r="V86" s="28" t="str">
        <f t="shared" si="33"/>
        <v/>
      </c>
      <c r="W86" s="28" t="str">
        <f t="shared" si="33"/>
        <v/>
      </c>
      <c r="X86" s="29" t="str">
        <f t="shared" si="33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4"/>
        <v/>
      </c>
      <c r="M87" s="19" t="str">
        <f t="shared" si="35"/>
        <v/>
      </c>
      <c r="N87" s="19" t="str">
        <f t="shared" si="36"/>
        <v/>
      </c>
      <c r="O87" s="19" t="str">
        <f t="shared" si="23"/>
        <v/>
      </c>
      <c r="P87" s="19" t="str">
        <f t="shared" si="24"/>
        <v/>
      </c>
      <c r="Q87" s="19" t="str">
        <f t="shared" si="25"/>
        <v/>
      </c>
      <c r="R87" s="19" t="str">
        <f t="shared" si="32"/>
        <v/>
      </c>
      <c r="S87" s="27" t="str">
        <f t="shared" si="33"/>
        <v/>
      </c>
      <c r="T87" s="28" t="str">
        <f t="shared" si="33"/>
        <v/>
      </c>
      <c r="U87" s="28" t="str">
        <f t="shared" si="33"/>
        <v/>
      </c>
      <c r="V87" s="28" t="str">
        <f t="shared" si="33"/>
        <v/>
      </c>
      <c r="W87" s="28" t="str">
        <f t="shared" si="33"/>
        <v/>
      </c>
      <c r="X87" s="29" t="str">
        <f t="shared" si="33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4"/>
        <v/>
      </c>
      <c r="M88" s="19" t="str">
        <f t="shared" si="35"/>
        <v/>
      </c>
      <c r="N88" s="19" t="str">
        <f t="shared" si="36"/>
        <v/>
      </c>
      <c r="O88" s="19" t="str">
        <f t="shared" si="23"/>
        <v/>
      </c>
      <c r="P88" s="19" t="str">
        <f t="shared" si="24"/>
        <v/>
      </c>
      <c r="Q88" s="19" t="str">
        <f t="shared" si="25"/>
        <v/>
      </c>
      <c r="R88" s="19" t="str">
        <f t="shared" si="32"/>
        <v/>
      </c>
      <c r="S88" s="27" t="str">
        <f t="shared" si="33"/>
        <v/>
      </c>
      <c r="T88" s="28" t="str">
        <f t="shared" si="33"/>
        <v/>
      </c>
      <c r="U88" s="28" t="str">
        <f t="shared" si="33"/>
        <v/>
      </c>
      <c r="V88" s="28" t="str">
        <f t="shared" si="33"/>
        <v/>
      </c>
      <c r="W88" s="28" t="str">
        <f t="shared" si="33"/>
        <v/>
      </c>
      <c r="X88" s="29" t="str">
        <f t="shared" si="33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4"/>
        <v/>
      </c>
      <c r="M89" s="19" t="str">
        <f t="shared" si="35"/>
        <v/>
      </c>
      <c r="N89" s="19" t="str">
        <f t="shared" si="36"/>
        <v/>
      </c>
      <c r="O89" s="19" t="str">
        <f t="shared" si="23"/>
        <v/>
      </c>
      <c r="P89" s="19" t="str">
        <f t="shared" si="24"/>
        <v/>
      </c>
      <c r="Q89" s="19" t="str">
        <f t="shared" si="25"/>
        <v/>
      </c>
      <c r="R89" s="19" t="str">
        <f t="shared" si="32"/>
        <v/>
      </c>
      <c r="S89" s="27" t="str">
        <f t="shared" si="33"/>
        <v/>
      </c>
      <c r="T89" s="28" t="str">
        <f t="shared" si="33"/>
        <v/>
      </c>
      <c r="U89" s="28" t="str">
        <f t="shared" si="33"/>
        <v/>
      </c>
      <c r="V89" s="28" t="str">
        <f t="shared" si="33"/>
        <v/>
      </c>
      <c r="W89" s="28" t="str">
        <f t="shared" si="33"/>
        <v/>
      </c>
      <c r="X89" s="29" t="str">
        <f t="shared" si="33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4"/>
        <v/>
      </c>
      <c r="M90" s="19" t="str">
        <f t="shared" si="35"/>
        <v/>
      </c>
      <c r="N90" s="19" t="str">
        <f t="shared" si="36"/>
        <v/>
      </c>
      <c r="O90" s="19" t="str">
        <f t="shared" si="23"/>
        <v/>
      </c>
      <c r="P90" s="19" t="str">
        <f t="shared" si="24"/>
        <v/>
      </c>
      <c r="Q90" s="19" t="str">
        <f t="shared" si="25"/>
        <v/>
      </c>
      <c r="R90" s="19" t="str">
        <f t="shared" si="32"/>
        <v/>
      </c>
      <c r="S90" s="27" t="str">
        <f t="shared" si="33"/>
        <v/>
      </c>
      <c r="T90" s="28" t="str">
        <f t="shared" si="33"/>
        <v/>
      </c>
      <c r="U90" s="28" t="str">
        <f t="shared" si="33"/>
        <v/>
      </c>
      <c r="V90" s="28" t="str">
        <f t="shared" si="33"/>
        <v/>
      </c>
      <c r="W90" s="28" t="str">
        <f t="shared" si="33"/>
        <v/>
      </c>
      <c r="X90" s="29" t="str">
        <f t="shared" si="33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4"/>
        <v/>
      </c>
      <c r="M91" s="19" t="str">
        <f t="shared" si="35"/>
        <v/>
      </c>
      <c r="N91" s="19" t="str">
        <f t="shared" si="36"/>
        <v/>
      </c>
      <c r="O91" s="19" t="str">
        <f t="shared" si="23"/>
        <v/>
      </c>
      <c r="P91" s="19" t="str">
        <f t="shared" si="24"/>
        <v/>
      </c>
      <c r="Q91" s="19" t="str">
        <f t="shared" si="25"/>
        <v/>
      </c>
      <c r="R91" s="19" t="str">
        <f t="shared" si="32"/>
        <v/>
      </c>
      <c r="S91" s="27" t="str">
        <f t="shared" si="33"/>
        <v/>
      </c>
      <c r="T91" s="28" t="str">
        <f t="shared" si="33"/>
        <v/>
      </c>
      <c r="U91" s="28" t="str">
        <f t="shared" si="33"/>
        <v/>
      </c>
      <c r="V91" s="28" t="str">
        <f t="shared" si="33"/>
        <v/>
      </c>
      <c r="W91" s="28" t="str">
        <f t="shared" si="33"/>
        <v/>
      </c>
      <c r="X91" s="29" t="str">
        <f t="shared" si="33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4"/>
        <v/>
      </c>
      <c r="M92" s="19" t="str">
        <f t="shared" si="35"/>
        <v/>
      </c>
      <c r="N92" s="19" t="str">
        <f t="shared" si="36"/>
        <v/>
      </c>
      <c r="O92" s="19" t="str">
        <f t="shared" si="23"/>
        <v/>
      </c>
      <c r="P92" s="19" t="str">
        <f t="shared" si="24"/>
        <v/>
      </c>
      <c r="Q92" s="19" t="str">
        <f t="shared" si="25"/>
        <v/>
      </c>
      <c r="R92" s="19" t="str">
        <f t="shared" si="32"/>
        <v/>
      </c>
      <c r="S92" s="27" t="str">
        <f t="shared" si="33"/>
        <v/>
      </c>
      <c r="T92" s="28" t="str">
        <f t="shared" si="33"/>
        <v/>
      </c>
      <c r="U92" s="28" t="str">
        <f t="shared" si="33"/>
        <v/>
      </c>
      <c r="V92" s="28" t="str">
        <f t="shared" si="33"/>
        <v/>
      </c>
      <c r="W92" s="28" t="str">
        <f t="shared" si="33"/>
        <v/>
      </c>
      <c r="X92" s="29" t="str">
        <f t="shared" si="33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4"/>
        <v/>
      </c>
      <c r="M93" s="19" t="str">
        <f t="shared" si="35"/>
        <v/>
      </c>
      <c r="N93" s="19" t="str">
        <f t="shared" si="36"/>
        <v/>
      </c>
      <c r="O93" s="19" t="str">
        <f t="shared" si="23"/>
        <v/>
      </c>
      <c r="P93" s="19" t="str">
        <f t="shared" si="24"/>
        <v/>
      </c>
      <c r="Q93" s="19" t="str">
        <f t="shared" si="25"/>
        <v/>
      </c>
      <c r="R93" s="19" t="str">
        <f t="shared" si="32"/>
        <v/>
      </c>
      <c r="S93" s="27" t="str">
        <f t="shared" si="33"/>
        <v/>
      </c>
      <c r="T93" s="28" t="str">
        <f t="shared" si="33"/>
        <v/>
      </c>
      <c r="U93" s="28" t="str">
        <f t="shared" si="33"/>
        <v/>
      </c>
      <c r="V93" s="28" t="str">
        <f t="shared" si="33"/>
        <v/>
      </c>
      <c r="W93" s="28" t="str">
        <f t="shared" si="33"/>
        <v/>
      </c>
      <c r="X93" s="29" t="str">
        <f t="shared" si="33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4"/>
        <v/>
      </c>
      <c r="M94" s="19" t="str">
        <f t="shared" si="35"/>
        <v/>
      </c>
      <c r="N94" s="19" t="str">
        <f t="shared" si="36"/>
        <v/>
      </c>
      <c r="O94" s="19" t="str">
        <f t="shared" si="23"/>
        <v/>
      </c>
      <c r="P94" s="19" t="str">
        <f t="shared" si="24"/>
        <v/>
      </c>
      <c r="Q94" s="19" t="str">
        <f t="shared" si="25"/>
        <v/>
      </c>
      <c r="R94" s="19" t="str">
        <f t="shared" si="32"/>
        <v/>
      </c>
      <c r="S94" s="27" t="str">
        <f t="shared" si="33"/>
        <v/>
      </c>
      <c r="T94" s="28" t="str">
        <f t="shared" si="33"/>
        <v/>
      </c>
      <c r="U94" s="28" t="str">
        <f t="shared" si="33"/>
        <v/>
      </c>
      <c r="V94" s="28" t="str">
        <f t="shared" si="33"/>
        <v/>
      </c>
      <c r="W94" s="28" t="str">
        <f t="shared" si="33"/>
        <v/>
      </c>
      <c r="X94" s="29" t="str">
        <f t="shared" si="33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4"/>
        <v/>
      </c>
      <c r="M95" s="19" t="str">
        <f t="shared" si="35"/>
        <v/>
      </c>
      <c r="N95" s="19" t="str">
        <f t="shared" si="36"/>
        <v/>
      </c>
      <c r="O95" s="19" t="str">
        <f t="shared" si="23"/>
        <v/>
      </c>
      <c r="P95" s="19" t="str">
        <f t="shared" si="24"/>
        <v/>
      </c>
      <c r="Q95" s="19" t="str">
        <f t="shared" si="25"/>
        <v/>
      </c>
      <c r="R95" s="19" t="str">
        <f t="shared" si="32"/>
        <v/>
      </c>
      <c r="S95" s="27" t="str">
        <f t="shared" si="33"/>
        <v/>
      </c>
      <c r="T95" s="28" t="str">
        <f t="shared" si="33"/>
        <v/>
      </c>
      <c r="U95" s="28" t="str">
        <f t="shared" si="33"/>
        <v/>
      </c>
      <c r="V95" s="28" t="str">
        <f t="shared" si="33"/>
        <v/>
      </c>
      <c r="W95" s="28" t="str">
        <f t="shared" si="33"/>
        <v/>
      </c>
      <c r="X95" s="29" t="str">
        <f t="shared" si="33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4"/>
        <v/>
      </c>
      <c r="M96" s="19" t="str">
        <f t="shared" si="35"/>
        <v/>
      </c>
      <c r="N96" s="19" t="str">
        <f t="shared" si="36"/>
        <v/>
      </c>
      <c r="O96" s="19" t="str">
        <f t="shared" si="23"/>
        <v/>
      </c>
      <c r="P96" s="19" t="str">
        <f t="shared" si="24"/>
        <v/>
      </c>
      <c r="Q96" s="19" t="str">
        <f t="shared" si="25"/>
        <v/>
      </c>
      <c r="R96" s="19" t="str">
        <f t="shared" si="32"/>
        <v/>
      </c>
      <c r="S96" s="27" t="str">
        <f t="shared" si="33"/>
        <v/>
      </c>
      <c r="T96" s="28" t="str">
        <f t="shared" si="33"/>
        <v/>
      </c>
      <c r="U96" s="28" t="str">
        <f t="shared" si="33"/>
        <v/>
      </c>
      <c r="V96" s="28" t="str">
        <f t="shared" si="33"/>
        <v/>
      </c>
      <c r="W96" s="28" t="str">
        <f t="shared" si="33"/>
        <v/>
      </c>
      <c r="X96" s="29" t="str">
        <f t="shared" si="33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4"/>
        <v/>
      </c>
      <c r="M97" s="19" t="str">
        <f t="shared" si="35"/>
        <v/>
      </c>
      <c r="N97" s="19" t="str">
        <f t="shared" si="36"/>
        <v/>
      </c>
      <c r="O97" s="19" t="str">
        <f t="shared" si="23"/>
        <v/>
      </c>
      <c r="P97" s="19" t="str">
        <f t="shared" si="24"/>
        <v/>
      </c>
      <c r="Q97" s="19" t="str">
        <f t="shared" si="25"/>
        <v/>
      </c>
      <c r="R97" s="19" t="str">
        <f t="shared" si="32"/>
        <v/>
      </c>
      <c r="S97" s="27" t="str">
        <f t="shared" ref="S97:X112" si="37">IF(C97="","",((C97-C96)*1000)/($B97-$B96))</f>
        <v/>
      </c>
      <c r="T97" s="28" t="str">
        <f t="shared" si="37"/>
        <v/>
      </c>
      <c r="U97" s="28" t="str">
        <f t="shared" si="37"/>
        <v/>
      </c>
      <c r="V97" s="28" t="str">
        <f t="shared" si="37"/>
        <v/>
      </c>
      <c r="W97" s="28" t="str">
        <f t="shared" si="37"/>
        <v/>
      </c>
      <c r="X97" s="29" t="str">
        <f t="shared" si="37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4"/>
        <v/>
      </c>
      <c r="M98" s="19" t="str">
        <f t="shared" si="35"/>
        <v/>
      </c>
      <c r="N98" s="19" t="str">
        <f t="shared" si="36"/>
        <v/>
      </c>
      <c r="O98" s="19" t="str">
        <f t="shared" si="23"/>
        <v/>
      </c>
      <c r="P98" s="19" t="str">
        <f t="shared" si="24"/>
        <v/>
      </c>
      <c r="Q98" s="19" t="str">
        <f t="shared" si="25"/>
        <v/>
      </c>
      <c r="R98" s="19" t="str">
        <f t="shared" si="32"/>
        <v/>
      </c>
      <c r="S98" s="27" t="str">
        <f t="shared" si="37"/>
        <v/>
      </c>
      <c r="T98" s="28" t="str">
        <f t="shared" si="37"/>
        <v/>
      </c>
      <c r="U98" s="28" t="str">
        <f t="shared" si="37"/>
        <v/>
      </c>
      <c r="V98" s="28" t="str">
        <f t="shared" si="37"/>
        <v/>
      </c>
      <c r="W98" s="28" t="str">
        <f t="shared" si="37"/>
        <v/>
      </c>
      <c r="X98" s="29" t="str">
        <f t="shared" si="37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4"/>
        <v/>
      </c>
      <c r="M99" s="19" t="str">
        <f t="shared" si="35"/>
        <v/>
      </c>
      <c r="N99" s="19" t="str">
        <f t="shared" si="36"/>
        <v/>
      </c>
      <c r="O99" s="19" t="str">
        <f t="shared" ref="O99:O153" si="38">IF(ISBLANK(F99),"",((F99-F$34)*1000)+L$34)</f>
        <v/>
      </c>
      <c r="P99" s="19" t="str">
        <f t="shared" ref="P99:P153" si="39">IF(ISBLANK(G99),"",((G99-G$34)*1000)+M$34)</f>
        <v/>
      </c>
      <c r="Q99" s="19" t="str">
        <f t="shared" ref="Q99:Q153" si="40">IF(ISBLANK(H99),"",((H99-H$34)*1000)+N$34)</f>
        <v/>
      </c>
      <c r="R99" s="19" t="str">
        <f t="shared" si="32"/>
        <v/>
      </c>
      <c r="S99" s="27" t="str">
        <f t="shared" si="37"/>
        <v/>
      </c>
      <c r="T99" s="28" t="str">
        <f t="shared" si="37"/>
        <v/>
      </c>
      <c r="U99" s="28" t="str">
        <f t="shared" si="37"/>
        <v/>
      </c>
      <c r="V99" s="28" t="str">
        <f t="shared" si="37"/>
        <v/>
      </c>
      <c r="W99" s="28" t="str">
        <f t="shared" si="37"/>
        <v/>
      </c>
      <c r="X99" s="29" t="str">
        <f t="shared" si="37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4"/>
        <v/>
      </c>
      <c r="M100" s="19" t="str">
        <f t="shared" si="35"/>
        <v/>
      </c>
      <c r="N100" s="19" t="str">
        <f t="shared" si="36"/>
        <v/>
      </c>
      <c r="O100" s="19" t="str">
        <f t="shared" si="38"/>
        <v/>
      </c>
      <c r="P100" s="19" t="str">
        <f t="shared" si="39"/>
        <v/>
      </c>
      <c r="Q100" s="19" t="str">
        <f t="shared" si="40"/>
        <v/>
      </c>
      <c r="R100" s="19" t="str">
        <f t="shared" si="32"/>
        <v/>
      </c>
      <c r="S100" s="27" t="str">
        <f t="shared" si="37"/>
        <v/>
      </c>
      <c r="T100" s="28" t="str">
        <f t="shared" si="37"/>
        <v/>
      </c>
      <c r="U100" s="28" t="str">
        <f t="shared" si="37"/>
        <v/>
      </c>
      <c r="V100" s="28" t="str">
        <f t="shared" si="37"/>
        <v/>
      </c>
      <c r="W100" s="28" t="str">
        <f t="shared" si="37"/>
        <v/>
      </c>
      <c r="X100" s="29" t="str">
        <f t="shared" si="37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4"/>
        <v/>
      </c>
      <c r="M101" s="19" t="str">
        <f t="shared" si="35"/>
        <v/>
      </c>
      <c r="N101" s="19" t="str">
        <f t="shared" si="36"/>
        <v/>
      </c>
      <c r="O101" s="19" t="str">
        <f t="shared" si="38"/>
        <v/>
      </c>
      <c r="P101" s="19" t="str">
        <f t="shared" si="39"/>
        <v/>
      </c>
      <c r="Q101" s="19" t="str">
        <f t="shared" si="40"/>
        <v/>
      </c>
      <c r="R101" s="19" t="str">
        <f t="shared" si="32"/>
        <v/>
      </c>
      <c r="S101" s="27" t="str">
        <f t="shared" si="37"/>
        <v/>
      </c>
      <c r="T101" s="28" t="str">
        <f t="shared" si="37"/>
        <v/>
      </c>
      <c r="U101" s="28" t="str">
        <f t="shared" si="37"/>
        <v/>
      </c>
      <c r="V101" s="28" t="str">
        <f t="shared" si="37"/>
        <v/>
      </c>
      <c r="W101" s="28" t="str">
        <f t="shared" si="37"/>
        <v/>
      </c>
      <c r="X101" s="29" t="str">
        <f t="shared" si="37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4"/>
        <v/>
      </c>
      <c r="M102" s="19" t="str">
        <f t="shared" si="35"/>
        <v/>
      </c>
      <c r="N102" s="19" t="str">
        <f t="shared" si="36"/>
        <v/>
      </c>
      <c r="O102" s="19" t="str">
        <f t="shared" si="38"/>
        <v/>
      </c>
      <c r="P102" s="19" t="str">
        <f t="shared" si="39"/>
        <v/>
      </c>
      <c r="Q102" s="19" t="str">
        <f t="shared" si="40"/>
        <v/>
      </c>
      <c r="R102" s="19" t="str">
        <f t="shared" si="32"/>
        <v/>
      </c>
      <c r="S102" s="27" t="str">
        <f t="shared" si="37"/>
        <v/>
      </c>
      <c r="T102" s="28" t="str">
        <f t="shared" si="37"/>
        <v/>
      </c>
      <c r="U102" s="28" t="str">
        <f t="shared" si="37"/>
        <v/>
      </c>
      <c r="V102" s="28" t="str">
        <f t="shared" si="37"/>
        <v/>
      </c>
      <c r="W102" s="28" t="str">
        <f t="shared" si="37"/>
        <v/>
      </c>
      <c r="X102" s="29" t="str">
        <f t="shared" si="37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4"/>
        <v/>
      </c>
      <c r="M103" s="19" t="str">
        <f t="shared" si="35"/>
        <v/>
      </c>
      <c r="N103" s="19" t="str">
        <f t="shared" si="36"/>
        <v/>
      </c>
      <c r="O103" s="19" t="str">
        <f t="shared" si="38"/>
        <v/>
      </c>
      <c r="P103" s="19" t="str">
        <f t="shared" si="39"/>
        <v/>
      </c>
      <c r="Q103" s="19" t="str">
        <f t="shared" si="40"/>
        <v/>
      </c>
      <c r="R103" s="19" t="str">
        <f t="shared" si="32"/>
        <v/>
      </c>
      <c r="S103" s="27" t="str">
        <f t="shared" si="37"/>
        <v/>
      </c>
      <c r="T103" s="28" t="str">
        <f t="shared" si="37"/>
        <v/>
      </c>
      <c r="U103" s="28" t="str">
        <f t="shared" si="37"/>
        <v/>
      </c>
      <c r="V103" s="28" t="str">
        <f t="shared" si="37"/>
        <v/>
      </c>
      <c r="W103" s="28" t="str">
        <f t="shared" si="37"/>
        <v/>
      </c>
      <c r="X103" s="29" t="str">
        <f t="shared" si="37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4"/>
        <v/>
      </c>
      <c r="M104" s="19" t="str">
        <f t="shared" si="35"/>
        <v/>
      </c>
      <c r="N104" s="19" t="str">
        <f t="shared" si="36"/>
        <v/>
      </c>
      <c r="O104" s="19" t="str">
        <f t="shared" si="38"/>
        <v/>
      </c>
      <c r="P104" s="19" t="str">
        <f t="shared" si="39"/>
        <v/>
      </c>
      <c r="Q104" s="19" t="str">
        <f t="shared" si="40"/>
        <v/>
      </c>
      <c r="R104" s="19" t="str">
        <f t="shared" si="32"/>
        <v/>
      </c>
      <c r="S104" s="27" t="str">
        <f t="shared" si="37"/>
        <v/>
      </c>
      <c r="T104" s="28" t="str">
        <f t="shared" si="37"/>
        <v/>
      </c>
      <c r="U104" s="28" t="str">
        <f t="shared" si="37"/>
        <v/>
      </c>
      <c r="V104" s="28" t="str">
        <f t="shared" si="37"/>
        <v/>
      </c>
      <c r="W104" s="28" t="str">
        <f t="shared" si="37"/>
        <v/>
      </c>
      <c r="X104" s="29" t="str">
        <f t="shared" si="37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4"/>
        <v/>
      </c>
      <c r="M105" s="19" t="str">
        <f t="shared" si="35"/>
        <v/>
      </c>
      <c r="N105" s="19" t="str">
        <f t="shared" si="36"/>
        <v/>
      </c>
      <c r="O105" s="19" t="str">
        <f t="shared" si="38"/>
        <v/>
      </c>
      <c r="P105" s="19" t="str">
        <f t="shared" si="39"/>
        <v/>
      </c>
      <c r="Q105" s="19" t="str">
        <f t="shared" si="40"/>
        <v/>
      </c>
      <c r="R105" s="19" t="str">
        <f t="shared" si="32"/>
        <v/>
      </c>
      <c r="S105" s="27" t="str">
        <f t="shared" si="37"/>
        <v/>
      </c>
      <c r="T105" s="28" t="str">
        <f t="shared" si="37"/>
        <v/>
      </c>
      <c r="U105" s="28" t="str">
        <f t="shared" si="37"/>
        <v/>
      </c>
      <c r="V105" s="28" t="str">
        <f t="shared" si="37"/>
        <v/>
      </c>
      <c r="W105" s="28" t="str">
        <f t="shared" si="37"/>
        <v/>
      </c>
      <c r="X105" s="29" t="str">
        <f t="shared" si="37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4"/>
        <v/>
      </c>
      <c r="M106" s="19" t="str">
        <f t="shared" si="35"/>
        <v/>
      </c>
      <c r="N106" s="19" t="str">
        <f t="shared" si="36"/>
        <v/>
      </c>
      <c r="O106" s="19" t="str">
        <f t="shared" si="38"/>
        <v/>
      </c>
      <c r="P106" s="19" t="str">
        <f t="shared" si="39"/>
        <v/>
      </c>
      <c r="Q106" s="19" t="str">
        <f t="shared" si="40"/>
        <v/>
      </c>
      <c r="R106" s="19" t="str">
        <f t="shared" si="32"/>
        <v/>
      </c>
      <c r="S106" s="27" t="str">
        <f t="shared" si="37"/>
        <v/>
      </c>
      <c r="T106" s="28" t="str">
        <f t="shared" si="37"/>
        <v/>
      </c>
      <c r="U106" s="28" t="str">
        <f t="shared" si="37"/>
        <v/>
      </c>
      <c r="V106" s="28" t="str">
        <f t="shared" si="37"/>
        <v/>
      </c>
      <c r="W106" s="28" t="str">
        <f t="shared" si="37"/>
        <v/>
      </c>
      <c r="X106" s="29" t="str">
        <f t="shared" si="37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4"/>
        <v/>
      </c>
      <c r="M107" s="19" t="str">
        <f t="shared" si="35"/>
        <v/>
      </c>
      <c r="N107" s="19" t="str">
        <f t="shared" si="36"/>
        <v/>
      </c>
      <c r="O107" s="19" t="str">
        <f t="shared" si="38"/>
        <v/>
      </c>
      <c r="P107" s="19" t="str">
        <f t="shared" si="39"/>
        <v/>
      </c>
      <c r="Q107" s="19" t="str">
        <f t="shared" si="40"/>
        <v/>
      </c>
      <c r="R107" s="19" t="str">
        <f t="shared" si="32"/>
        <v/>
      </c>
      <c r="S107" s="27" t="str">
        <f t="shared" si="37"/>
        <v/>
      </c>
      <c r="T107" s="28" t="str">
        <f t="shared" si="37"/>
        <v/>
      </c>
      <c r="U107" s="28" t="str">
        <f t="shared" si="37"/>
        <v/>
      </c>
      <c r="V107" s="28" t="str">
        <f t="shared" si="37"/>
        <v/>
      </c>
      <c r="W107" s="28" t="str">
        <f t="shared" si="37"/>
        <v/>
      </c>
      <c r="X107" s="29" t="str">
        <f t="shared" si="37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4"/>
        <v/>
      </c>
      <c r="M108" s="19" t="str">
        <f t="shared" si="35"/>
        <v/>
      </c>
      <c r="N108" s="19" t="str">
        <f t="shared" si="36"/>
        <v/>
      </c>
      <c r="O108" s="19" t="str">
        <f t="shared" si="38"/>
        <v/>
      </c>
      <c r="P108" s="19" t="str">
        <f t="shared" si="39"/>
        <v/>
      </c>
      <c r="Q108" s="19" t="str">
        <f t="shared" si="40"/>
        <v/>
      </c>
      <c r="R108" s="19" t="str">
        <f t="shared" si="32"/>
        <v/>
      </c>
      <c r="S108" s="27" t="str">
        <f t="shared" si="37"/>
        <v/>
      </c>
      <c r="T108" s="28" t="str">
        <f t="shared" si="37"/>
        <v/>
      </c>
      <c r="U108" s="28" t="str">
        <f t="shared" si="37"/>
        <v/>
      </c>
      <c r="V108" s="28" t="str">
        <f t="shared" si="37"/>
        <v/>
      </c>
      <c r="W108" s="28" t="str">
        <f t="shared" si="37"/>
        <v/>
      </c>
      <c r="X108" s="29" t="str">
        <f t="shared" si="37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4"/>
        <v/>
      </c>
      <c r="M109" s="19" t="str">
        <f t="shared" si="35"/>
        <v/>
      </c>
      <c r="N109" s="19" t="str">
        <f t="shared" si="36"/>
        <v/>
      </c>
      <c r="O109" s="19" t="str">
        <f t="shared" si="38"/>
        <v/>
      </c>
      <c r="P109" s="19" t="str">
        <f t="shared" si="39"/>
        <v/>
      </c>
      <c r="Q109" s="19" t="str">
        <f t="shared" si="40"/>
        <v/>
      </c>
      <c r="R109" s="19" t="str">
        <f t="shared" si="32"/>
        <v/>
      </c>
      <c r="S109" s="27" t="str">
        <f t="shared" si="37"/>
        <v/>
      </c>
      <c r="T109" s="28" t="str">
        <f t="shared" si="37"/>
        <v/>
      </c>
      <c r="U109" s="28" t="str">
        <f t="shared" si="37"/>
        <v/>
      </c>
      <c r="V109" s="28" t="str">
        <f t="shared" si="37"/>
        <v/>
      </c>
      <c r="W109" s="28" t="str">
        <f t="shared" si="37"/>
        <v/>
      </c>
      <c r="X109" s="29" t="str">
        <f t="shared" si="37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4"/>
        <v/>
      </c>
      <c r="M110" s="19" t="str">
        <f t="shared" si="35"/>
        <v/>
      </c>
      <c r="N110" s="19" t="str">
        <f t="shared" si="36"/>
        <v/>
      </c>
      <c r="O110" s="19" t="str">
        <f t="shared" si="38"/>
        <v/>
      </c>
      <c r="P110" s="19" t="str">
        <f t="shared" si="39"/>
        <v/>
      </c>
      <c r="Q110" s="19" t="str">
        <f t="shared" si="40"/>
        <v/>
      </c>
      <c r="R110" s="19" t="str">
        <f t="shared" si="32"/>
        <v/>
      </c>
      <c r="S110" s="27" t="str">
        <f t="shared" si="37"/>
        <v/>
      </c>
      <c r="T110" s="28" t="str">
        <f t="shared" si="37"/>
        <v/>
      </c>
      <c r="U110" s="28" t="str">
        <f t="shared" si="37"/>
        <v/>
      </c>
      <c r="V110" s="28" t="str">
        <f t="shared" si="37"/>
        <v/>
      </c>
      <c r="W110" s="28" t="str">
        <f t="shared" si="37"/>
        <v/>
      </c>
      <c r="X110" s="29" t="str">
        <f t="shared" si="37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4"/>
        <v/>
      </c>
      <c r="M111" s="19" t="str">
        <f t="shared" si="35"/>
        <v/>
      </c>
      <c r="N111" s="19" t="str">
        <f t="shared" si="36"/>
        <v/>
      </c>
      <c r="O111" s="19" t="str">
        <f t="shared" si="38"/>
        <v/>
      </c>
      <c r="P111" s="19" t="str">
        <f t="shared" si="39"/>
        <v/>
      </c>
      <c r="Q111" s="19" t="str">
        <f t="shared" si="40"/>
        <v/>
      </c>
      <c r="R111" s="19" t="str">
        <f t="shared" si="32"/>
        <v/>
      </c>
      <c r="S111" s="27" t="str">
        <f t="shared" si="37"/>
        <v/>
      </c>
      <c r="T111" s="28" t="str">
        <f t="shared" si="37"/>
        <v/>
      </c>
      <c r="U111" s="28" t="str">
        <f t="shared" si="37"/>
        <v/>
      </c>
      <c r="V111" s="28" t="str">
        <f t="shared" si="37"/>
        <v/>
      </c>
      <c r="W111" s="28" t="str">
        <f t="shared" si="37"/>
        <v/>
      </c>
      <c r="X111" s="29" t="str">
        <f t="shared" si="37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34"/>
        <v/>
      </c>
      <c r="M112" s="19" t="str">
        <f t="shared" si="35"/>
        <v/>
      </c>
      <c r="N112" s="19" t="str">
        <f t="shared" si="36"/>
        <v/>
      </c>
      <c r="O112" s="19" t="str">
        <f t="shared" si="38"/>
        <v/>
      </c>
      <c r="P112" s="19" t="str">
        <f t="shared" si="39"/>
        <v/>
      </c>
      <c r="Q112" s="19" t="str">
        <f t="shared" si="40"/>
        <v/>
      </c>
      <c r="R112" s="19" t="str">
        <f t="shared" si="32"/>
        <v/>
      </c>
      <c r="S112" s="27" t="str">
        <f t="shared" si="37"/>
        <v/>
      </c>
      <c r="T112" s="28" t="str">
        <f t="shared" si="37"/>
        <v/>
      </c>
      <c r="U112" s="28" t="str">
        <f t="shared" si="37"/>
        <v/>
      </c>
      <c r="V112" s="28" t="str">
        <f t="shared" si="37"/>
        <v/>
      </c>
      <c r="W112" s="28" t="str">
        <f t="shared" si="37"/>
        <v/>
      </c>
      <c r="X112" s="29" t="str">
        <f t="shared" si="37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34"/>
        <v/>
      </c>
      <c r="M113" s="19" t="str">
        <f t="shared" si="35"/>
        <v/>
      </c>
      <c r="N113" s="19" t="str">
        <f t="shared" si="36"/>
        <v/>
      </c>
      <c r="O113" s="19" t="str">
        <f t="shared" si="38"/>
        <v/>
      </c>
      <c r="P113" s="19" t="str">
        <f t="shared" si="39"/>
        <v/>
      </c>
      <c r="Q113" s="19" t="str">
        <f t="shared" si="40"/>
        <v/>
      </c>
      <c r="R113" s="19" t="str">
        <f t="shared" si="32"/>
        <v/>
      </c>
      <c r="S113" s="27" t="str">
        <f t="shared" ref="S113:X128" si="41">IF(C113="","",((C113-C112)*1000)/($B113-$B112))</f>
        <v/>
      </c>
      <c r="T113" s="28" t="str">
        <f t="shared" si="41"/>
        <v/>
      </c>
      <c r="U113" s="28" t="str">
        <f t="shared" si="41"/>
        <v/>
      </c>
      <c r="V113" s="28" t="str">
        <f t="shared" si="41"/>
        <v/>
      </c>
      <c r="W113" s="28" t="str">
        <f t="shared" si="41"/>
        <v/>
      </c>
      <c r="X113" s="29" t="str">
        <f t="shared" si="41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34"/>
        <v/>
      </c>
      <c r="M114" s="19" t="str">
        <f t="shared" si="35"/>
        <v/>
      </c>
      <c r="N114" s="19" t="str">
        <f t="shared" si="36"/>
        <v/>
      </c>
      <c r="O114" s="19" t="str">
        <f t="shared" si="38"/>
        <v/>
      </c>
      <c r="P114" s="19" t="str">
        <f t="shared" si="39"/>
        <v/>
      </c>
      <c r="Q114" s="19" t="str">
        <f t="shared" si="40"/>
        <v/>
      </c>
      <c r="R114" s="19" t="str">
        <f t="shared" si="32"/>
        <v/>
      </c>
      <c r="S114" s="27" t="str">
        <f t="shared" si="41"/>
        <v/>
      </c>
      <c r="T114" s="28" t="str">
        <f t="shared" si="41"/>
        <v/>
      </c>
      <c r="U114" s="28" t="str">
        <f t="shared" si="41"/>
        <v/>
      </c>
      <c r="V114" s="28" t="str">
        <f t="shared" si="41"/>
        <v/>
      </c>
      <c r="W114" s="28" t="str">
        <f t="shared" si="41"/>
        <v/>
      </c>
      <c r="X114" s="29" t="str">
        <f t="shared" si="41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34"/>
        <v/>
      </c>
      <c r="M115" s="19" t="str">
        <f t="shared" si="35"/>
        <v/>
      </c>
      <c r="N115" s="19" t="str">
        <f t="shared" si="36"/>
        <v/>
      </c>
      <c r="O115" s="19" t="str">
        <f t="shared" si="38"/>
        <v/>
      </c>
      <c r="P115" s="19" t="str">
        <f t="shared" si="39"/>
        <v/>
      </c>
      <c r="Q115" s="19" t="str">
        <f t="shared" si="40"/>
        <v/>
      </c>
      <c r="R115" s="19" t="str">
        <f t="shared" si="32"/>
        <v/>
      </c>
      <c r="S115" s="27" t="str">
        <f t="shared" si="41"/>
        <v/>
      </c>
      <c r="T115" s="28" t="str">
        <f t="shared" si="41"/>
        <v/>
      </c>
      <c r="U115" s="28" t="str">
        <f t="shared" si="41"/>
        <v/>
      </c>
      <c r="V115" s="28" t="str">
        <f t="shared" si="41"/>
        <v/>
      </c>
      <c r="W115" s="28" t="str">
        <f t="shared" si="41"/>
        <v/>
      </c>
      <c r="X115" s="29" t="str">
        <f t="shared" si="41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34"/>
        <v/>
      </c>
      <c r="M116" s="19" t="str">
        <f t="shared" si="35"/>
        <v/>
      </c>
      <c r="N116" s="19" t="str">
        <f t="shared" si="36"/>
        <v/>
      </c>
      <c r="O116" s="19" t="str">
        <f t="shared" si="38"/>
        <v/>
      </c>
      <c r="P116" s="19" t="str">
        <f t="shared" si="39"/>
        <v/>
      </c>
      <c r="Q116" s="19" t="str">
        <f t="shared" si="40"/>
        <v/>
      </c>
      <c r="R116" s="19" t="str">
        <f t="shared" si="32"/>
        <v/>
      </c>
      <c r="S116" s="27" t="str">
        <f t="shared" si="41"/>
        <v/>
      </c>
      <c r="T116" s="28" t="str">
        <f t="shared" si="41"/>
        <v/>
      </c>
      <c r="U116" s="28" t="str">
        <f t="shared" si="41"/>
        <v/>
      </c>
      <c r="V116" s="28" t="str">
        <f t="shared" si="41"/>
        <v/>
      </c>
      <c r="W116" s="28" t="str">
        <f t="shared" si="41"/>
        <v/>
      </c>
      <c r="X116" s="29" t="str">
        <f t="shared" si="41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34"/>
        <v/>
      </c>
      <c r="M117" s="19" t="str">
        <f t="shared" si="35"/>
        <v/>
      </c>
      <c r="N117" s="19" t="str">
        <f t="shared" si="36"/>
        <v/>
      </c>
      <c r="O117" s="19" t="str">
        <f t="shared" si="38"/>
        <v/>
      </c>
      <c r="P117" s="19" t="str">
        <f t="shared" si="39"/>
        <v/>
      </c>
      <c r="Q117" s="19" t="str">
        <f t="shared" si="40"/>
        <v/>
      </c>
      <c r="R117" s="19" t="str">
        <f t="shared" si="32"/>
        <v/>
      </c>
      <c r="S117" s="27" t="str">
        <f t="shared" si="41"/>
        <v/>
      </c>
      <c r="T117" s="28" t="str">
        <f t="shared" si="41"/>
        <v/>
      </c>
      <c r="U117" s="28" t="str">
        <f t="shared" si="41"/>
        <v/>
      </c>
      <c r="V117" s="28" t="str">
        <f t="shared" si="41"/>
        <v/>
      </c>
      <c r="W117" s="28" t="str">
        <f t="shared" si="41"/>
        <v/>
      </c>
      <c r="X117" s="29" t="str">
        <f t="shared" si="41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34"/>
        <v/>
      </c>
      <c r="M118" s="19" t="str">
        <f t="shared" si="35"/>
        <v/>
      </c>
      <c r="N118" s="19" t="str">
        <f t="shared" si="36"/>
        <v/>
      </c>
      <c r="O118" s="19" t="str">
        <f t="shared" si="38"/>
        <v/>
      </c>
      <c r="P118" s="19" t="str">
        <f t="shared" si="39"/>
        <v/>
      </c>
      <c r="Q118" s="19" t="str">
        <f t="shared" si="40"/>
        <v/>
      </c>
      <c r="R118" s="19" t="str">
        <f t="shared" si="32"/>
        <v/>
      </c>
      <c r="S118" s="27" t="str">
        <f t="shared" si="41"/>
        <v/>
      </c>
      <c r="T118" s="28" t="str">
        <f t="shared" si="41"/>
        <v/>
      </c>
      <c r="U118" s="28" t="str">
        <f t="shared" si="41"/>
        <v/>
      </c>
      <c r="V118" s="28" t="str">
        <f t="shared" si="41"/>
        <v/>
      </c>
      <c r="W118" s="28" t="str">
        <f t="shared" si="41"/>
        <v/>
      </c>
      <c r="X118" s="29" t="str">
        <f t="shared" si="41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34"/>
        <v/>
      </c>
      <c r="M119" s="19" t="str">
        <f t="shared" si="35"/>
        <v/>
      </c>
      <c r="N119" s="19" t="str">
        <f t="shared" si="36"/>
        <v/>
      </c>
      <c r="O119" s="19" t="str">
        <f t="shared" si="38"/>
        <v/>
      </c>
      <c r="P119" s="19" t="str">
        <f t="shared" si="39"/>
        <v/>
      </c>
      <c r="Q119" s="19" t="str">
        <f t="shared" si="40"/>
        <v/>
      </c>
      <c r="R119" s="19" t="str">
        <f t="shared" si="32"/>
        <v/>
      </c>
      <c r="S119" s="27" t="str">
        <f t="shared" si="41"/>
        <v/>
      </c>
      <c r="T119" s="28" t="str">
        <f t="shared" si="41"/>
        <v/>
      </c>
      <c r="U119" s="28" t="str">
        <f t="shared" si="41"/>
        <v/>
      </c>
      <c r="V119" s="28" t="str">
        <f t="shared" si="41"/>
        <v/>
      </c>
      <c r="W119" s="28" t="str">
        <f t="shared" si="41"/>
        <v/>
      </c>
      <c r="X119" s="29" t="str">
        <f t="shared" si="41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34"/>
        <v/>
      </c>
      <c r="M120" s="19" t="str">
        <f t="shared" si="35"/>
        <v/>
      </c>
      <c r="N120" s="19" t="str">
        <f t="shared" si="36"/>
        <v/>
      </c>
      <c r="O120" s="19" t="str">
        <f t="shared" si="38"/>
        <v/>
      </c>
      <c r="P120" s="19" t="str">
        <f t="shared" si="39"/>
        <v/>
      </c>
      <c r="Q120" s="19" t="str">
        <f t="shared" si="40"/>
        <v/>
      </c>
      <c r="R120" s="19" t="str">
        <f t="shared" si="32"/>
        <v/>
      </c>
      <c r="S120" s="27" t="str">
        <f t="shared" si="41"/>
        <v/>
      </c>
      <c r="T120" s="28" t="str">
        <f t="shared" si="41"/>
        <v/>
      </c>
      <c r="U120" s="28" t="str">
        <f t="shared" si="41"/>
        <v/>
      </c>
      <c r="V120" s="28" t="str">
        <f t="shared" si="41"/>
        <v/>
      </c>
      <c r="W120" s="28" t="str">
        <f t="shared" si="41"/>
        <v/>
      </c>
      <c r="X120" s="29" t="str">
        <f t="shared" si="41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34"/>
        <v/>
      </c>
      <c r="M121" s="19" t="str">
        <f t="shared" si="35"/>
        <v/>
      </c>
      <c r="N121" s="19" t="str">
        <f t="shared" si="36"/>
        <v/>
      </c>
      <c r="O121" s="19" t="str">
        <f t="shared" si="38"/>
        <v/>
      </c>
      <c r="P121" s="19" t="str">
        <f t="shared" si="39"/>
        <v/>
      </c>
      <c r="Q121" s="19" t="str">
        <f t="shared" si="40"/>
        <v/>
      </c>
      <c r="R121" s="19" t="str">
        <f t="shared" si="32"/>
        <v/>
      </c>
      <c r="S121" s="27" t="str">
        <f t="shared" si="41"/>
        <v/>
      </c>
      <c r="T121" s="28" t="str">
        <f t="shared" si="41"/>
        <v/>
      </c>
      <c r="U121" s="28" t="str">
        <f t="shared" si="41"/>
        <v/>
      </c>
      <c r="V121" s="28" t="str">
        <f t="shared" si="41"/>
        <v/>
      </c>
      <c r="W121" s="28" t="str">
        <f t="shared" si="41"/>
        <v/>
      </c>
      <c r="X121" s="29" t="str">
        <f t="shared" si="41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34"/>
        <v/>
      </c>
      <c r="M122" s="19" t="str">
        <f t="shared" si="35"/>
        <v/>
      </c>
      <c r="N122" s="19" t="str">
        <f t="shared" si="36"/>
        <v/>
      </c>
      <c r="O122" s="19" t="str">
        <f t="shared" si="38"/>
        <v/>
      </c>
      <c r="P122" s="19" t="str">
        <f t="shared" si="39"/>
        <v/>
      </c>
      <c r="Q122" s="19" t="str">
        <f t="shared" si="40"/>
        <v/>
      </c>
      <c r="R122" s="19" t="str">
        <f t="shared" si="32"/>
        <v/>
      </c>
      <c r="S122" s="27" t="str">
        <f t="shared" si="41"/>
        <v/>
      </c>
      <c r="T122" s="28" t="str">
        <f t="shared" si="41"/>
        <v/>
      </c>
      <c r="U122" s="28" t="str">
        <f t="shared" si="41"/>
        <v/>
      </c>
      <c r="V122" s="28" t="str">
        <f t="shared" si="41"/>
        <v/>
      </c>
      <c r="W122" s="28" t="str">
        <f t="shared" si="41"/>
        <v/>
      </c>
      <c r="X122" s="29" t="str">
        <f t="shared" si="41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34"/>
        <v/>
      </c>
      <c r="M123" s="19" t="str">
        <f t="shared" si="35"/>
        <v/>
      </c>
      <c r="N123" s="19" t="str">
        <f t="shared" si="36"/>
        <v/>
      </c>
      <c r="O123" s="19" t="str">
        <f t="shared" si="38"/>
        <v/>
      </c>
      <c r="P123" s="19" t="str">
        <f t="shared" si="39"/>
        <v/>
      </c>
      <c r="Q123" s="19" t="str">
        <f t="shared" si="40"/>
        <v/>
      </c>
      <c r="R123" s="19" t="str">
        <f t="shared" si="32"/>
        <v/>
      </c>
      <c r="S123" s="27" t="str">
        <f t="shared" si="41"/>
        <v/>
      </c>
      <c r="T123" s="28" t="str">
        <f t="shared" si="41"/>
        <v/>
      </c>
      <c r="U123" s="28" t="str">
        <f t="shared" si="41"/>
        <v/>
      </c>
      <c r="V123" s="28" t="str">
        <f t="shared" si="41"/>
        <v/>
      </c>
      <c r="W123" s="28" t="str">
        <f t="shared" si="41"/>
        <v/>
      </c>
      <c r="X123" s="29" t="str">
        <f t="shared" si="41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34"/>
        <v/>
      </c>
      <c r="M124" s="19" t="str">
        <f t="shared" si="35"/>
        <v/>
      </c>
      <c r="N124" s="19" t="str">
        <f t="shared" si="36"/>
        <v/>
      </c>
      <c r="O124" s="19" t="str">
        <f t="shared" si="38"/>
        <v/>
      </c>
      <c r="P124" s="19" t="str">
        <f t="shared" si="39"/>
        <v/>
      </c>
      <c r="Q124" s="19" t="str">
        <f t="shared" si="40"/>
        <v/>
      </c>
      <c r="R124" s="19" t="str">
        <f t="shared" si="32"/>
        <v/>
      </c>
      <c r="S124" s="27" t="str">
        <f t="shared" si="41"/>
        <v/>
      </c>
      <c r="T124" s="28" t="str">
        <f t="shared" si="41"/>
        <v/>
      </c>
      <c r="U124" s="28" t="str">
        <f t="shared" si="41"/>
        <v/>
      </c>
      <c r="V124" s="28" t="str">
        <f t="shared" si="41"/>
        <v/>
      </c>
      <c r="W124" s="28" t="str">
        <f t="shared" si="41"/>
        <v/>
      </c>
      <c r="X124" s="29" t="str">
        <f t="shared" si="41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34"/>
        <v/>
      </c>
      <c r="M125" s="19" t="str">
        <f t="shared" si="35"/>
        <v/>
      </c>
      <c r="N125" s="19" t="str">
        <f t="shared" si="36"/>
        <v/>
      </c>
      <c r="O125" s="19" t="str">
        <f t="shared" si="38"/>
        <v/>
      </c>
      <c r="P125" s="19" t="str">
        <f t="shared" si="39"/>
        <v/>
      </c>
      <c r="Q125" s="19" t="str">
        <f t="shared" si="40"/>
        <v/>
      </c>
      <c r="R125" s="19" t="str">
        <f t="shared" si="32"/>
        <v/>
      </c>
      <c r="S125" s="27" t="str">
        <f t="shared" si="41"/>
        <v/>
      </c>
      <c r="T125" s="28" t="str">
        <f t="shared" si="41"/>
        <v/>
      </c>
      <c r="U125" s="28" t="str">
        <f t="shared" si="41"/>
        <v/>
      </c>
      <c r="V125" s="28" t="str">
        <f t="shared" si="41"/>
        <v/>
      </c>
      <c r="W125" s="28" t="str">
        <f t="shared" si="41"/>
        <v/>
      </c>
      <c r="X125" s="29" t="str">
        <f t="shared" si="41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34"/>
        <v/>
      </c>
      <c r="M126" s="19" t="str">
        <f t="shared" si="35"/>
        <v/>
      </c>
      <c r="N126" s="19" t="str">
        <f t="shared" si="36"/>
        <v/>
      </c>
      <c r="O126" s="19" t="str">
        <f t="shared" si="38"/>
        <v/>
      </c>
      <c r="P126" s="19" t="str">
        <f t="shared" si="39"/>
        <v/>
      </c>
      <c r="Q126" s="19" t="str">
        <f t="shared" si="40"/>
        <v/>
      </c>
      <c r="R126" s="19" t="str">
        <f t="shared" si="32"/>
        <v/>
      </c>
      <c r="S126" s="27" t="str">
        <f t="shared" si="41"/>
        <v/>
      </c>
      <c r="T126" s="28" t="str">
        <f t="shared" si="41"/>
        <v/>
      </c>
      <c r="U126" s="28" t="str">
        <f t="shared" si="41"/>
        <v/>
      </c>
      <c r="V126" s="28" t="str">
        <f t="shared" si="41"/>
        <v/>
      </c>
      <c r="W126" s="28" t="str">
        <f t="shared" si="41"/>
        <v/>
      </c>
      <c r="X126" s="29" t="str">
        <f t="shared" si="41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34"/>
        <v/>
      </c>
      <c r="M127" s="19" t="str">
        <f t="shared" si="35"/>
        <v/>
      </c>
      <c r="N127" s="19" t="str">
        <f t="shared" si="36"/>
        <v/>
      </c>
      <c r="O127" s="19" t="str">
        <f t="shared" si="38"/>
        <v/>
      </c>
      <c r="P127" s="19" t="str">
        <f t="shared" si="39"/>
        <v/>
      </c>
      <c r="Q127" s="19" t="str">
        <f t="shared" si="40"/>
        <v/>
      </c>
      <c r="R127" s="19" t="str">
        <f t="shared" si="32"/>
        <v/>
      </c>
      <c r="S127" s="27" t="str">
        <f t="shared" si="41"/>
        <v/>
      </c>
      <c r="T127" s="28" t="str">
        <f t="shared" si="41"/>
        <v/>
      </c>
      <c r="U127" s="28" t="str">
        <f t="shared" si="41"/>
        <v/>
      </c>
      <c r="V127" s="28" t="str">
        <f t="shared" si="41"/>
        <v/>
      </c>
      <c r="W127" s="28" t="str">
        <f t="shared" si="41"/>
        <v/>
      </c>
      <c r="X127" s="29" t="str">
        <f t="shared" si="41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34"/>
        <v/>
      </c>
      <c r="M128" s="19" t="str">
        <f t="shared" si="35"/>
        <v/>
      </c>
      <c r="N128" s="19" t="str">
        <f t="shared" si="36"/>
        <v/>
      </c>
      <c r="O128" s="19" t="str">
        <f t="shared" si="38"/>
        <v/>
      </c>
      <c r="P128" s="19" t="str">
        <f t="shared" si="39"/>
        <v/>
      </c>
      <c r="Q128" s="19" t="str">
        <f t="shared" si="40"/>
        <v/>
      </c>
      <c r="R128" s="19" t="str">
        <f t="shared" si="32"/>
        <v/>
      </c>
      <c r="S128" s="27" t="str">
        <f t="shared" si="41"/>
        <v/>
      </c>
      <c r="T128" s="28" t="str">
        <f t="shared" si="41"/>
        <v/>
      </c>
      <c r="U128" s="28" t="str">
        <f t="shared" si="41"/>
        <v/>
      </c>
      <c r="V128" s="28" t="str">
        <f t="shared" si="41"/>
        <v/>
      </c>
      <c r="W128" s="28" t="str">
        <f t="shared" si="41"/>
        <v/>
      </c>
      <c r="X128" s="29" t="str">
        <f t="shared" si="41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34"/>
        <v/>
      </c>
      <c r="M129" s="19" t="str">
        <f t="shared" si="35"/>
        <v/>
      </c>
      <c r="N129" s="19" t="str">
        <f t="shared" si="36"/>
        <v/>
      </c>
      <c r="O129" s="19" t="str">
        <f t="shared" si="38"/>
        <v/>
      </c>
      <c r="P129" s="19" t="str">
        <f t="shared" si="39"/>
        <v/>
      </c>
      <c r="Q129" s="19" t="str">
        <f t="shared" si="40"/>
        <v/>
      </c>
      <c r="R129" s="19" t="str">
        <f t="shared" si="32"/>
        <v/>
      </c>
      <c r="S129" s="27" t="str">
        <f t="shared" ref="S129:X144" si="42">IF(C129="","",((C129-C128)*1000)/($B129-$B128))</f>
        <v/>
      </c>
      <c r="T129" s="28" t="str">
        <f t="shared" si="42"/>
        <v/>
      </c>
      <c r="U129" s="28" t="str">
        <f t="shared" si="42"/>
        <v/>
      </c>
      <c r="V129" s="28" t="str">
        <f t="shared" si="42"/>
        <v/>
      </c>
      <c r="W129" s="28" t="str">
        <f t="shared" si="42"/>
        <v/>
      </c>
      <c r="X129" s="29" t="str">
        <f t="shared" si="4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34"/>
        <v/>
      </c>
      <c r="M130" s="19" t="str">
        <f t="shared" si="35"/>
        <v/>
      </c>
      <c r="N130" s="19" t="str">
        <f t="shared" si="36"/>
        <v/>
      </c>
      <c r="O130" s="19" t="str">
        <f t="shared" si="38"/>
        <v/>
      </c>
      <c r="P130" s="19" t="str">
        <f t="shared" si="39"/>
        <v/>
      </c>
      <c r="Q130" s="19" t="str">
        <f t="shared" si="40"/>
        <v/>
      </c>
      <c r="R130" s="19" t="str">
        <f t="shared" si="32"/>
        <v/>
      </c>
      <c r="S130" s="27" t="str">
        <f t="shared" si="42"/>
        <v/>
      </c>
      <c r="T130" s="28" t="str">
        <f t="shared" si="42"/>
        <v/>
      </c>
      <c r="U130" s="28" t="str">
        <f t="shared" si="42"/>
        <v/>
      </c>
      <c r="V130" s="28" t="str">
        <f t="shared" si="42"/>
        <v/>
      </c>
      <c r="W130" s="28" t="str">
        <f t="shared" si="42"/>
        <v/>
      </c>
      <c r="X130" s="29" t="str">
        <f t="shared" si="4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34"/>
        <v/>
      </c>
      <c r="M131" s="19" t="str">
        <f t="shared" si="35"/>
        <v/>
      </c>
      <c r="N131" s="19" t="str">
        <f t="shared" si="36"/>
        <v/>
      </c>
      <c r="O131" s="19" t="str">
        <f t="shared" si="38"/>
        <v/>
      </c>
      <c r="P131" s="19" t="str">
        <f t="shared" si="39"/>
        <v/>
      </c>
      <c r="Q131" s="19" t="str">
        <f t="shared" si="40"/>
        <v/>
      </c>
      <c r="R131" s="19" t="str">
        <f t="shared" ref="R131:R152" si="43">IF(ISBLANK(I131),"",(I131-I$16)*1000)</f>
        <v/>
      </c>
      <c r="S131" s="27" t="str">
        <f t="shared" si="42"/>
        <v/>
      </c>
      <c r="T131" s="28" t="str">
        <f t="shared" si="42"/>
        <v/>
      </c>
      <c r="U131" s="28" t="str">
        <f t="shared" si="42"/>
        <v/>
      </c>
      <c r="V131" s="28" t="str">
        <f t="shared" si="42"/>
        <v/>
      </c>
      <c r="W131" s="28" t="str">
        <f t="shared" si="42"/>
        <v/>
      </c>
      <c r="X131" s="29" t="str">
        <f t="shared" si="4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34"/>
        <v/>
      </c>
      <c r="M132" s="19" t="str">
        <f t="shared" si="35"/>
        <v/>
      </c>
      <c r="N132" s="19" t="str">
        <f t="shared" si="36"/>
        <v/>
      </c>
      <c r="O132" s="19" t="str">
        <f t="shared" si="38"/>
        <v/>
      </c>
      <c r="P132" s="19" t="str">
        <f t="shared" si="39"/>
        <v/>
      </c>
      <c r="Q132" s="19" t="str">
        <f t="shared" si="40"/>
        <v/>
      </c>
      <c r="R132" s="19" t="str">
        <f t="shared" si="43"/>
        <v/>
      </c>
      <c r="S132" s="27" t="str">
        <f t="shared" si="42"/>
        <v/>
      </c>
      <c r="T132" s="28" t="str">
        <f t="shared" si="42"/>
        <v/>
      </c>
      <c r="U132" s="28" t="str">
        <f t="shared" si="42"/>
        <v/>
      </c>
      <c r="V132" s="28" t="str">
        <f t="shared" si="42"/>
        <v/>
      </c>
      <c r="W132" s="28" t="str">
        <f t="shared" si="42"/>
        <v/>
      </c>
      <c r="X132" s="29" t="str">
        <f t="shared" si="4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34"/>
        <v/>
      </c>
      <c r="M133" s="19" t="str">
        <f t="shared" si="35"/>
        <v/>
      </c>
      <c r="N133" s="19" t="str">
        <f t="shared" si="36"/>
        <v/>
      </c>
      <c r="O133" s="19" t="str">
        <f t="shared" si="38"/>
        <v/>
      </c>
      <c r="P133" s="19" t="str">
        <f t="shared" si="39"/>
        <v/>
      </c>
      <c r="Q133" s="19" t="str">
        <f t="shared" si="40"/>
        <v/>
      </c>
      <c r="R133" s="19" t="str">
        <f t="shared" si="43"/>
        <v/>
      </c>
      <c r="S133" s="27" t="str">
        <f t="shared" si="42"/>
        <v/>
      </c>
      <c r="T133" s="28" t="str">
        <f t="shared" si="42"/>
        <v/>
      </c>
      <c r="U133" s="28" t="str">
        <f t="shared" si="42"/>
        <v/>
      </c>
      <c r="V133" s="28" t="str">
        <f t="shared" si="42"/>
        <v/>
      </c>
      <c r="W133" s="28" t="str">
        <f t="shared" si="42"/>
        <v/>
      </c>
      <c r="X133" s="29" t="str">
        <f t="shared" si="4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4"/>
        <v/>
      </c>
      <c r="M134" s="19" t="str">
        <f t="shared" si="35"/>
        <v/>
      </c>
      <c r="N134" s="19" t="str">
        <f t="shared" si="36"/>
        <v/>
      </c>
      <c r="O134" s="19" t="str">
        <f t="shared" si="38"/>
        <v/>
      </c>
      <c r="P134" s="19" t="str">
        <f t="shared" si="39"/>
        <v/>
      </c>
      <c r="Q134" s="19" t="str">
        <f t="shared" si="40"/>
        <v/>
      </c>
      <c r="R134" s="19" t="str">
        <f t="shared" si="43"/>
        <v/>
      </c>
      <c r="S134" s="27" t="str">
        <f t="shared" si="42"/>
        <v/>
      </c>
      <c r="T134" s="28" t="str">
        <f t="shared" si="42"/>
        <v/>
      </c>
      <c r="U134" s="28" t="str">
        <f t="shared" si="42"/>
        <v/>
      </c>
      <c r="V134" s="28" t="str">
        <f t="shared" si="42"/>
        <v/>
      </c>
      <c r="W134" s="28" t="str">
        <f t="shared" si="42"/>
        <v/>
      </c>
      <c r="X134" s="29" t="str">
        <f t="shared" si="4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4"/>
        <v/>
      </c>
      <c r="M135" s="19" t="str">
        <f t="shared" si="35"/>
        <v/>
      </c>
      <c r="N135" s="19" t="str">
        <f t="shared" si="36"/>
        <v/>
      </c>
      <c r="O135" s="19" t="str">
        <f t="shared" si="38"/>
        <v/>
      </c>
      <c r="P135" s="19" t="str">
        <f t="shared" si="39"/>
        <v/>
      </c>
      <c r="Q135" s="19" t="str">
        <f t="shared" si="40"/>
        <v/>
      </c>
      <c r="R135" s="19" t="str">
        <f t="shared" si="43"/>
        <v/>
      </c>
      <c r="S135" s="27" t="str">
        <f t="shared" si="42"/>
        <v/>
      </c>
      <c r="T135" s="28" t="str">
        <f t="shared" si="42"/>
        <v/>
      </c>
      <c r="U135" s="28" t="str">
        <f t="shared" si="42"/>
        <v/>
      </c>
      <c r="V135" s="28" t="str">
        <f t="shared" si="42"/>
        <v/>
      </c>
      <c r="W135" s="28" t="str">
        <f t="shared" si="42"/>
        <v/>
      </c>
      <c r="X135" s="29" t="str">
        <f t="shared" si="4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4"/>
        <v/>
      </c>
      <c r="M136" s="19" t="str">
        <f t="shared" si="35"/>
        <v/>
      </c>
      <c r="N136" s="19" t="str">
        <f t="shared" si="36"/>
        <v/>
      </c>
      <c r="O136" s="19" t="str">
        <f t="shared" si="38"/>
        <v/>
      </c>
      <c r="P136" s="19" t="str">
        <f t="shared" si="39"/>
        <v/>
      </c>
      <c r="Q136" s="19" t="str">
        <f t="shared" si="40"/>
        <v/>
      </c>
      <c r="R136" s="19" t="str">
        <f t="shared" si="43"/>
        <v/>
      </c>
      <c r="S136" s="27" t="str">
        <f t="shared" si="42"/>
        <v/>
      </c>
      <c r="T136" s="28" t="str">
        <f t="shared" si="42"/>
        <v/>
      </c>
      <c r="U136" s="28" t="str">
        <f t="shared" si="42"/>
        <v/>
      </c>
      <c r="V136" s="28" t="str">
        <f t="shared" si="42"/>
        <v/>
      </c>
      <c r="W136" s="28" t="str">
        <f t="shared" si="42"/>
        <v/>
      </c>
      <c r="X136" s="29" t="str">
        <f t="shared" si="4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4"/>
        <v/>
      </c>
      <c r="M137" s="19" t="str">
        <f t="shared" si="35"/>
        <v/>
      </c>
      <c r="N137" s="19" t="str">
        <f t="shared" si="36"/>
        <v/>
      </c>
      <c r="O137" s="19" t="str">
        <f t="shared" si="38"/>
        <v/>
      </c>
      <c r="P137" s="19" t="str">
        <f t="shared" si="39"/>
        <v/>
      </c>
      <c r="Q137" s="19" t="str">
        <f t="shared" si="40"/>
        <v/>
      </c>
      <c r="R137" s="19" t="str">
        <f t="shared" si="43"/>
        <v/>
      </c>
      <c r="S137" s="27" t="str">
        <f t="shared" si="42"/>
        <v/>
      </c>
      <c r="T137" s="28" t="str">
        <f t="shared" si="42"/>
        <v/>
      </c>
      <c r="U137" s="28" t="str">
        <f t="shared" si="42"/>
        <v/>
      </c>
      <c r="V137" s="28" t="str">
        <f t="shared" si="42"/>
        <v/>
      </c>
      <c r="W137" s="28" t="str">
        <f t="shared" si="42"/>
        <v/>
      </c>
      <c r="X137" s="29" t="str">
        <f t="shared" si="4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4"/>
        <v/>
      </c>
      <c r="M138" s="19" t="str">
        <f t="shared" si="35"/>
        <v/>
      </c>
      <c r="N138" s="19" t="str">
        <f t="shared" si="36"/>
        <v/>
      </c>
      <c r="O138" s="19" t="str">
        <f t="shared" si="38"/>
        <v/>
      </c>
      <c r="P138" s="19" t="str">
        <f t="shared" si="39"/>
        <v/>
      </c>
      <c r="Q138" s="19" t="str">
        <f t="shared" si="40"/>
        <v/>
      </c>
      <c r="R138" s="19" t="str">
        <f t="shared" si="43"/>
        <v/>
      </c>
      <c r="S138" s="27" t="str">
        <f t="shared" si="42"/>
        <v/>
      </c>
      <c r="T138" s="28" t="str">
        <f t="shared" si="42"/>
        <v/>
      </c>
      <c r="U138" s="28" t="str">
        <f t="shared" si="42"/>
        <v/>
      </c>
      <c r="V138" s="28" t="str">
        <f t="shared" si="42"/>
        <v/>
      </c>
      <c r="W138" s="28" t="str">
        <f t="shared" si="42"/>
        <v/>
      </c>
      <c r="X138" s="29" t="str">
        <f t="shared" si="4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4"/>
        <v/>
      </c>
      <c r="M139" s="19" t="str">
        <f t="shared" si="35"/>
        <v/>
      </c>
      <c r="N139" s="19" t="str">
        <f t="shared" si="36"/>
        <v/>
      </c>
      <c r="O139" s="19" t="str">
        <f t="shared" si="38"/>
        <v/>
      </c>
      <c r="P139" s="19" t="str">
        <f t="shared" si="39"/>
        <v/>
      </c>
      <c r="Q139" s="19" t="str">
        <f t="shared" si="40"/>
        <v/>
      </c>
      <c r="R139" s="19" t="str">
        <f t="shared" si="43"/>
        <v/>
      </c>
      <c r="S139" s="27" t="str">
        <f t="shared" si="42"/>
        <v/>
      </c>
      <c r="T139" s="28" t="str">
        <f t="shared" si="42"/>
        <v/>
      </c>
      <c r="U139" s="28" t="str">
        <f t="shared" si="42"/>
        <v/>
      </c>
      <c r="V139" s="28" t="str">
        <f t="shared" si="42"/>
        <v/>
      </c>
      <c r="W139" s="28" t="str">
        <f t="shared" si="42"/>
        <v/>
      </c>
      <c r="X139" s="29" t="str">
        <f t="shared" si="4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4"/>
        <v/>
      </c>
      <c r="M140" s="19" t="str">
        <f t="shared" si="35"/>
        <v/>
      </c>
      <c r="N140" s="19" t="str">
        <f t="shared" si="36"/>
        <v/>
      </c>
      <c r="O140" s="19" t="str">
        <f t="shared" si="38"/>
        <v/>
      </c>
      <c r="P140" s="19" t="str">
        <f t="shared" si="39"/>
        <v/>
      </c>
      <c r="Q140" s="19" t="str">
        <f t="shared" si="40"/>
        <v/>
      </c>
      <c r="R140" s="19" t="str">
        <f t="shared" si="43"/>
        <v/>
      </c>
      <c r="S140" s="27" t="str">
        <f t="shared" si="42"/>
        <v/>
      </c>
      <c r="T140" s="28" t="str">
        <f t="shared" si="42"/>
        <v/>
      </c>
      <c r="U140" s="28" t="str">
        <f t="shared" si="42"/>
        <v/>
      </c>
      <c r="V140" s="28" t="str">
        <f t="shared" si="42"/>
        <v/>
      </c>
      <c r="W140" s="28" t="str">
        <f t="shared" si="42"/>
        <v/>
      </c>
      <c r="X140" s="29" t="str">
        <f t="shared" si="4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4"/>
        <v/>
      </c>
      <c r="M141" s="19" t="str">
        <f t="shared" si="35"/>
        <v/>
      </c>
      <c r="N141" s="19" t="str">
        <f t="shared" si="36"/>
        <v/>
      </c>
      <c r="O141" s="19" t="str">
        <f t="shared" si="38"/>
        <v/>
      </c>
      <c r="P141" s="19" t="str">
        <f t="shared" si="39"/>
        <v/>
      </c>
      <c r="Q141" s="19" t="str">
        <f t="shared" si="40"/>
        <v/>
      </c>
      <c r="R141" s="19" t="str">
        <f t="shared" si="43"/>
        <v/>
      </c>
      <c r="S141" s="27" t="str">
        <f t="shared" si="42"/>
        <v/>
      </c>
      <c r="T141" s="28" t="str">
        <f t="shared" si="42"/>
        <v/>
      </c>
      <c r="U141" s="28" t="str">
        <f t="shared" si="42"/>
        <v/>
      </c>
      <c r="V141" s="28" t="str">
        <f t="shared" si="42"/>
        <v/>
      </c>
      <c r="W141" s="28" t="str">
        <f t="shared" si="42"/>
        <v/>
      </c>
      <c r="X141" s="29" t="str">
        <f t="shared" si="4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4"/>
        <v/>
      </c>
      <c r="M142" s="19" t="str">
        <f t="shared" si="35"/>
        <v/>
      </c>
      <c r="N142" s="19" t="str">
        <f t="shared" si="36"/>
        <v/>
      </c>
      <c r="O142" s="19" t="str">
        <f t="shared" si="38"/>
        <v/>
      </c>
      <c r="P142" s="19" t="str">
        <f t="shared" si="39"/>
        <v/>
      </c>
      <c r="Q142" s="19" t="str">
        <f t="shared" si="40"/>
        <v/>
      </c>
      <c r="R142" s="19" t="str">
        <f t="shared" si="43"/>
        <v/>
      </c>
      <c r="S142" s="27" t="str">
        <f t="shared" si="42"/>
        <v/>
      </c>
      <c r="T142" s="28" t="str">
        <f t="shared" si="42"/>
        <v/>
      </c>
      <c r="U142" s="28" t="str">
        <f t="shared" si="42"/>
        <v/>
      </c>
      <c r="V142" s="28" t="str">
        <f t="shared" si="42"/>
        <v/>
      </c>
      <c r="W142" s="28" t="str">
        <f t="shared" si="42"/>
        <v/>
      </c>
      <c r="X142" s="29" t="str">
        <f t="shared" si="4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4"/>
        <v/>
      </c>
      <c r="M143" s="19" t="str">
        <f t="shared" si="35"/>
        <v/>
      </c>
      <c r="N143" s="19" t="str">
        <f t="shared" si="36"/>
        <v/>
      </c>
      <c r="O143" s="19" t="str">
        <f t="shared" si="38"/>
        <v/>
      </c>
      <c r="P143" s="19" t="str">
        <f t="shared" si="39"/>
        <v/>
      </c>
      <c r="Q143" s="19" t="str">
        <f t="shared" si="40"/>
        <v/>
      </c>
      <c r="R143" s="19" t="str">
        <f t="shared" si="43"/>
        <v/>
      </c>
      <c r="S143" s="27" t="str">
        <f t="shared" si="42"/>
        <v/>
      </c>
      <c r="T143" s="28" t="str">
        <f t="shared" si="42"/>
        <v/>
      </c>
      <c r="U143" s="28" t="str">
        <f t="shared" si="42"/>
        <v/>
      </c>
      <c r="V143" s="28" t="str">
        <f t="shared" si="42"/>
        <v/>
      </c>
      <c r="W143" s="28" t="str">
        <f t="shared" si="42"/>
        <v/>
      </c>
      <c r="X143" s="29" t="str">
        <f t="shared" si="4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4"/>
        <v/>
      </c>
      <c r="M144" s="19" t="str">
        <f t="shared" si="35"/>
        <v/>
      </c>
      <c r="N144" s="19" t="str">
        <f t="shared" si="36"/>
        <v/>
      </c>
      <c r="O144" s="19" t="str">
        <f t="shared" si="38"/>
        <v/>
      </c>
      <c r="P144" s="19" t="str">
        <f t="shared" si="39"/>
        <v/>
      </c>
      <c r="Q144" s="19" t="str">
        <f t="shared" si="40"/>
        <v/>
      </c>
      <c r="R144" s="19" t="str">
        <f t="shared" si="43"/>
        <v/>
      </c>
      <c r="S144" s="27" t="str">
        <f t="shared" si="42"/>
        <v/>
      </c>
      <c r="T144" s="28" t="str">
        <f t="shared" si="42"/>
        <v/>
      </c>
      <c r="U144" s="28" t="str">
        <f t="shared" si="42"/>
        <v/>
      </c>
      <c r="V144" s="28" t="str">
        <f t="shared" si="42"/>
        <v/>
      </c>
      <c r="W144" s="28" t="str">
        <f t="shared" si="42"/>
        <v/>
      </c>
      <c r="X144" s="29" t="str">
        <f t="shared" si="4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4"/>
        <v/>
      </c>
      <c r="M145" s="19" t="str">
        <f t="shared" si="35"/>
        <v/>
      </c>
      <c r="N145" s="19" t="str">
        <f t="shared" si="36"/>
        <v/>
      </c>
      <c r="O145" s="19" t="str">
        <f t="shared" si="38"/>
        <v/>
      </c>
      <c r="P145" s="19" t="str">
        <f t="shared" si="39"/>
        <v/>
      </c>
      <c r="Q145" s="19" t="str">
        <f t="shared" si="40"/>
        <v/>
      </c>
      <c r="R145" s="19" t="str">
        <f t="shared" si="43"/>
        <v/>
      </c>
      <c r="S145" s="27" t="str">
        <f t="shared" ref="S145:X153" si="44">IF(C145="","",((C145-C144)*1000)/($B145-$B144))</f>
        <v/>
      </c>
      <c r="T145" s="28" t="str">
        <f t="shared" si="44"/>
        <v/>
      </c>
      <c r="U145" s="28" t="str">
        <f t="shared" si="44"/>
        <v/>
      </c>
      <c r="V145" s="28" t="str">
        <f t="shared" si="44"/>
        <v/>
      </c>
      <c r="W145" s="28" t="str">
        <f t="shared" si="44"/>
        <v/>
      </c>
      <c r="X145" s="29" t="str">
        <f t="shared" si="4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ref="L146:L153" si="45">IF(ISBLANK(C146),"",(C146-C$17)*1000)</f>
        <v/>
      </c>
      <c r="M146" s="19" t="str">
        <f t="shared" ref="M146:M153" si="46">IF(ISBLANK(D146),"",(D146-D$17)*1000)</f>
        <v/>
      </c>
      <c r="N146" s="19" t="str">
        <f t="shared" ref="N146:N153" si="47">IF(ISBLANK(E146),"",(E146-E$17)*1000)</f>
        <v/>
      </c>
      <c r="O146" s="19" t="str">
        <f t="shared" si="38"/>
        <v/>
      </c>
      <c r="P146" s="19" t="str">
        <f t="shared" si="39"/>
        <v/>
      </c>
      <c r="Q146" s="19" t="str">
        <f t="shared" si="40"/>
        <v/>
      </c>
      <c r="R146" s="19" t="str">
        <f t="shared" si="43"/>
        <v/>
      </c>
      <c r="S146" s="27" t="str">
        <f t="shared" si="44"/>
        <v/>
      </c>
      <c r="T146" s="28" t="str">
        <f t="shared" si="44"/>
        <v/>
      </c>
      <c r="U146" s="28" t="str">
        <f t="shared" si="44"/>
        <v/>
      </c>
      <c r="V146" s="28" t="str">
        <f t="shared" si="44"/>
        <v/>
      </c>
      <c r="W146" s="28" t="str">
        <f t="shared" si="44"/>
        <v/>
      </c>
      <c r="X146" s="29" t="str">
        <f t="shared" si="4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45"/>
        <v/>
      </c>
      <c r="M147" s="19" t="str">
        <f t="shared" si="46"/>
        <v/>
      </c>
      <c r="N147" s="19" t="str">
        <f t="shared" si="47"/>
        <v/>
      </c>
      <c r="O147" s="19" t="str">
        <f t="shared" si="38"/>
        <v/>
      </c>
      <c r="P147" s="19" t="str">
        <f t="shared" si="39"/>
        <v/>
      </c>
      <c r="Q147" s="19" t="str">
        <f t="shared" si="40"/>
        <v/>
      </c>
      <c r="R147" s="19" t="str">
        <f t="shared" si="43"/>
        <v/>
      </c>
      <c r="S147" s="27" t="str">
        <f t="shared" si="44"/>
        <v/>
      </c>
      <c r="T147" s="28" t="str">
        <f t="shared" si="44"/>
        <v/>
      </c>
      <c r="U147" s="28" t="str">
        <f t="shared" si="44"/>
        <v/>
      </c>
      <c r="V147" s="28" t="str">
        <f t="shared" si="44"/>
        <v/>
      </c>
      <c r="W147" s="28" t="str">
        <f t="shared" si="44"/>
        <v/>
      </c>
      <c r="X147" s="29" t="str">
        <f t="shared" si="4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45"/>
        <v/>
      </c>
      <c r="M148" s="19" t="str">
        <f t="shared" si="46"/>
        <v/>
      </c>
      <c r="N148" s="19" t="str">
        <f t="shared" si="47"/>
        <v/>
      </c>
      <c r="O148" s="19" t="str">
        <f t="shared" si="38"/>
        <v/>
      </c>
      <c r="P148" s="19" t="str">
        <f t="shared" si="39"/>
        <v/>
      </c>
      <c r="Q148" s="19" t="str">
        <f t="shared" si="40"/>
        <v/>
      </c>
      <c r="R148" s="19" t="str">
        <f t="shared" si="43"/>
        <v/>
      </c>
      <c r="S148" s="27" t="str">
        <f t="shared" si="44"/>
        <v/>
      </c>
      <c r="T148" s="28" t="str">
        <f t="shared" si="44"/>
        <v/>
      </c>
      <c r="U148" s="28" t="str">
        <f t="shared" si="44"/>
        <v/>
      </c>
      <c r="V148" s="28" t="str">
        <f t="shared" si="44"/>
        <v/>
      </c>
      <c r="W148" s="28" t="str">
        <f t="shared" si="44"/>
        <v/>
      </c>
      <c r="X148" s="29" t="str">
        <f t="shared" si="4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45"/>
        <v/>
      </c>
      <c r="M149" s="19" t="str">
        <f t="shared" si="46"/>
        <v/>
      </c>
      <c r="N149" s="19" t="str">
        <f t="shared" si="47"/>
        <v/>
      </c>
      <c r="O149" s="19" t="str">
        <f t="shared" si="38"/>
        <v/>
      </c>
      <c r="P149" s="19" t="str">
        <f t="shared" si="39"/>
        <v/>
      </c>
      <c r="Q149" s="19" t="str">
        <f t="shared" si="40"/>
        <v/>
      </c>
      <c r="R149" s="19" t="str">
        <f t="shared" si="43"/>
        <v/>
      </c>
      <c r="S149" s="27" t="str">
        <f t="shared" si="44"/>
        <v/>
      </c>
      <c r="T149" s="28" t="str">
        <f t="shared" si="44"/>
        <v/>
      </c>
      <c r="U149" s="28" t="str">
        <f t="shared" si="44"/>
        <v/>
      </c>
      <c r="V149" s="28" t="str">
        <f t="shared" si="44"/>
        <v/>
      </c>
      <c r="W149" s="28" t="str">
        <f t="shared" si="44"/>
        <v/>
      </c>
      <c r="X149" s="29" t="str">
        <f t="shared" si="4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45"/>
        <v/>
      </c>
      <c r="M150" s="19" t="str">
        <f t="shared" si="46"/>
        <v/>
      </c>
      <c r="N150" s="19" t="str">
        <f t="shared" si="47"/>
        <v/>
      </c>
      <c r="O150" s="19" t="str">
        <f t="shared" si="38"/>
        <v/>
      </c>
      <c r="P150" s="19" t="str">
        <f t="shared" si="39"/>
        <v/>
      </c>
      <c r="Q150" s="19" t="str">
        <f t="shared" si="40"/>
        <v/>
      </c>
      <c r="R150" s="19" t="str">
        <f t="shared" si="43"/>
        <v/>
      </c>
      <c r="S150" s="27" t="str">
        <f t="shared" si="44"/>
        <v/>
      </c>
      <c r="T150" s="28" t="str">
        <f t="shared" si="44"/>
        <v/>
      </c>
      <c r="U150" s="28" t="str">
        <f t="shared" si="44"/>
        <v/>
      </c>
      <c r="V150" s="28" t="str">
        <f t="shared" si="44"/>
        <v/>
      </c>
      <c r="W150" s="28" t="str">
        <f t="shared" si="44"/>
        <v/>
      </c>
      <c r="X150" s="29" t="str">
        <f t="shared" si="4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45"/>
        <v/>
      </c>
      <c r="M151" s="19" t="str">
        <f t="shared" si="46"/>
        <v/>
      </c>
      <c r="N151" s="19" t="str">
        <f t="shared" si="47"/>
        <v/>
      </c>
      <c r="O151" s="19" t="str">
        <f t="shared" si="38"/>
        <v/>
      </c>
      <c r="P151" s="19" t="str">
        <f t="shared" si="39"/>
        <v/>
      </c>
      <c r="Q151" s="19" t="str">
        <f t="shared" si="40"/>
        <v/>
      </c>
      <c r="R151" s="19" t="str">
        <f t="shared" si="43"/>
        <v/>
      </c>
      <c r="S151" s="27" t="str">
        <f t="shared" si="44"/>
        <v/>
      </c>
      <c r="T151" s="28" t="str">
        <f t="shared" si="44"/>
        <v/>
      </c>
      <c r="U151" s="28" t="str">
        <f t="shared" si="44"/>
        <v/>
      </c>
      <c r="V151" s="28" t="str">
        <f t="shared" si="44"/>
        <v/>
      </c>
      <c r="W151" s="28" t="str">
        <f t="shared" si="44"/>
        <v/>
      </c>
      <c r="X151" s="29" t="str">
        <f t="shared" si="4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45"/>
        <v/>
      </c>
      <c r="M152" s="19" t="str">
        <f t="shared" si="46"/>
        <v/>
      </c>
      <c r="N152" s="19" t="str">
        <f t="shared" si="47"/>
        <v/>
      </c>
      <c r="O152" s="19" t="str">
        <f t="shared" si="38"/>
        <v/>
      </c>
      <c r="P152" s="19" t="str">
        <f t="shared" si="39"/>
        <v/>
      </c>
      <c r="Q152" s="19" t="str">
        <f t="shared" si="40"/>
        <v/>
      </c>
      <c r="R152" s="19" t="str">
        <f t="shared" si="43"/>
        <v/>
      </c>
      <c r="S152" s="27" t="str">
        <f t="shared" si="44"/>
        <v/>
      </c>
      <c r="T152" s="28" t="str">
        <f t="shared" si="44"/>
        <v/>
      </c>
      <c r="U152" s="28" t="str">
        <f t="shared" si="44"/>
        <v/>
      </c>
      <c r="V152" s="28" t="str">
        <f t="shared" si="44"/>
        <v/>
      </c>
      <c r="W152" s="28" t="str">
        <f t="shared" si="44"/>
        <v/>
      </c>
      <c r="X152" s="29" t="str">
        <f t="shared" si="4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45"/>
        <v/>
      </c>
      <c r="M153" s="19" t="str">
        <f t="shared" si="46"/>
        <v/>
      </c>
      <c r="N153" s="19" t="str">
        <f t="shared" si="47"/>
        <v/>
      </c>
      <c r="O153" s="19" t="str">
        <f t="shared" si="38"/>
        <v/>
      </c>
      <c r="P153" s="19" t="str">
        <f t="shared" si="39"/>
        <v/>
      </c>
      <c r="Q153" s="19" t="str">
        <f t="shared" si="40"/>
        <v/>
      </c>
      <c r="R153" s="19" t="str">
        <f>IF(ISBLANK(I153),"",(I153-I$16)*1000)</f>
        <v/>
      </c>
      <c r="S153" s="27" t="str">
        <f t="shared" si="44"/>
        <v/>
      </c>
      <c r="T153" s="28" t="str">
        <f t="shared" si="44"/>
        <v/>
      </c>
      <c r="U153" s="28" t="str">
        <f t="shared" si="44"/>
        <v/>
      </c>
      <c r="V153" s="28" t="str">
        <f t="shared" si="44"/>
        <v/>
      </c>
      <c r="W153" s="28" t="str">
        <f t="shared" si="44"/>
        <v/>
      </c>
      <c r="X153" s="29" t="str">
        <f t="shared" si="44"/>
        <v/>
      </c>
      <c r="Y153" s="24"/>
    </row>
  </sheetData>
  <sheetProtection selectLockedCells="1"/>
  <mergeCells count="38">
    <mergeCell ref="J6:Q6"/>
    <mergeCell ref="R6:V6"/>
    <mergeCell ref="W6:Y6"/>
    <mergeCell ref="E7:I7"/>
    <mergeCell ref="J7:Q7"/>
    <mergeCell ref="R7:V7"/>
    <mergeCell ref="W7:Y7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16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9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TZ-114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81" t="s">
        <v>126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42388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82">
        <v>42</v>
      </c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42391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 t="s">
        <v>127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2179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2437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128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1">
        <v>42391</v>
      </c>
      <c r="C16" s="25">
        <v>12.935</v>
      </c>
      <c r="D16" s="26"/>
      <c r="E16" s="26"/>
      <c r="F16" s="47"/>
      <c r="G16" s="47"/>
      <c r="H16" s="47"/>
      <c r="I16" s="57"/>
      <c r="J16" s="58">
        <v>2447</v>
      </c>
      <c r="K16" s="18">
        <f t="shared" ref="K16:K17" si="0">IF(ISBLANK(J16),"",(J16-$J$8))</f>
        <v>10</v>
      </c>
      <c r="L16" s="19">
        <f t="shared" ref="L16:Q17" si="1">IF(ISBLANK(C16),"",(C16-C$16)*1000)</f>
        <v>0</v>
      </c>
      <c r="M16" s="19" t="str">
        <f t="shared" si="1"/>
        <v/>
      </c>
      <c r="N16" s="19" t="str">
        <f t="shared" si="1"/>
        <v/>
      </c>
      <c r="O16" s="20"/>
      <c r="P16" s="20"/>
      <c r="Q16" s="20"/>
      <c r="R16" s="21" t="str">
        <f t="shared" ref="R16" si="2">IF(ISBLANK(I16),"",(I16-I$16)*1000)</f>
        <v/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42394</v>
      </c>
      <c r="C17" s="25">
        <v>12.933999999999999</v>
      </c>
      <c r="D17" s="26">
        <v>8.0839999999999996</v>
      </c>
      <c r="E17" s="26">
        <v>7.7560000000000002</v>
      </c>
      <c r="F17" s="47"/>
      <c r="G17" s="47"/>
      <c r="H17" s="47"/>
      <c r="I17" s="57">
        <v>115.818</v>
      </c>
      <c r="J17" s="58">
        <v>2451</v>
      </c>
      <c r="K17" s="18">
        <f t="shared" si="0"/>
        <v>14</v>
      </c>
      <c r="L17" s="19">
        <f t="shared" si="1"/>
        <v>-1.0000000000012221</v>
      </c>
      <c r="M17" s="19">
        <f t="shared" ref="M17:N17" si="3">IF(ISBLANK(D17),"",(D17-D$17)*1000)</f>
        <v>0</v>
      </c>
      <c r="N17" s="19">
        <f t="shared" si="3"/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ref="R17" si="4">IF(ISBLANK(I17),"",(I17-I$17)*1000)</f>
        <v>0</v>
      </c>
      <c r="S17" s="27">
        <f t="shared" ref="S17:X32" si="5">IF(C17="","",((C17-C16)*1000)/($B17-$B16))</f>
        <v>-0.33333333333374071</v>
      </c>
      <c r="T17" s="28"/>
      <c r="U17" s="28"/>
      <c r="V17" s="28" t="str">
        <f t="shared" si="5"/>
        <v/>
      </c>
      <c r="W17" s="28" t="str">
        <f t="shared" si="5"/>
        <v/>
      </c>
      <c r="X17" s="29" t="str">
        <f t="shared" si="5"/>
        <v/>
      </c>
      <c r="Y17" s="24"/>
    </row>
    <row r="18" spans="2:25" ht="15" customHeight="1" x14ac:dyDescent="0.2">
      <c r="B18" s="31">
        <v>42395</v>
      </c>
      <c r="C18" s="25">
        <v>12.935</v>
      </c>
      <c r="D18" s="26">
        <v>8.0860000000000003</v>
      </c>
      <c r="E18" s="26">
        <v>7.7560000000000002</v>
      </c>
      <c r="F18" s="47"/>
      <c r="G18" s="47"/>
      <c r="H18" s="47"/>
      <c r="I18" s="57">
        <v>115.81699999999999</v>
      </c>
      <c r="J18" s="58">
        <v>2455</v>
      </c>
      <c r="K18" s="18">
        <f t="shared" ref="K18" si="6">IF(ISBLANK(J18),"",(J18-$J$8))</f>
        <v>18</v>
      </c>
      <c r="L18" s="19">
        <f t="shared" ref="L18:L31" si="7">IF(ISBLANK(C18),"",(C18-C$16)*1000)</f>
        <v>0</v>
      </c>
      <c r="M18" s="19">
        <f t="shared" ref="M18:M37" si="8">IF(ISBLANK(D18),"",(D18-D$17)*1000)</f>
        <v>2.0000000000006679</v>
      </c>
      <c r="N18" s="19">
        <f t="shared" ref="N18:N81" si="9">IF(ISBLANK(E18),"",(E18-E$17)*1000)</f>
        <v>0</v>
      </c>
      <c r="O18" s="19" t="str">
        <f t="shared" ref="O18:O37" si="10">IF(ISBLANK(F18),"",(F18-F$16)*1000)</f>
        <v/>
      </c>
      <c r="P18" s="19" t="str">
        <f t="shared" ref="P18:P37" si="11">IF(ISBLANK(G18),"",(G18-G$16)*1000)</f>
        <v/>
      </c>
      <c r="Q18" s="19" t="str">
        <f t="shared" ref="Q18:Q37" si="12">IF(ISBLANK(H18),"",(H18-H$16)*1000)</f>
        <v/>
      </c>
      <c r="R18" s="19">
        <f t="shared" ref="R18:R81" si="13">IF(ISBLANK(I18),"",(I18-I$17)*1000)</f>
        <v>-1.0000000000047748</v>
      </c>
      <c r="S18" s="27">
        <f t="shared" si="5"/>
        <v>1.0000000000012221</v>
      </c>
      <c r="T18" s="28">
        <f t="shared" si="5"/>
        <v>2.0000000000006679</v>
      </c>
      <c r="U18" s="28">
        <f t="shared" si="5"/>
        <v>0</v>
      </c>
      <c r="V18" s="28" t="str">
        <f t="shared" si="5"/>
        <v/>
      </c>
      <c r="W18" s="28" t="str">
        <f t="shared" si="5"/>
        <v/>
      </c>
      <c r="X18" s="29" t="str">
        <f t="shared" si="5"/>
        <v/>
      </c>
      <c r="Y18" s="24"/>
    </row>
    <row r="19" spans="2:25" ht="15" customHeight="1" x14ac:dyDescent="0.2">
      <c r="B19" s="31">
        <v>42396</v>
      </c>
      <c r="C19" s="25">
        <v>12.936</v>
      </c>
      <c r="D19" s="26">
        <v>8.0879999999999992</v>
      </c>
      <c r="E19" s="26">
        <v>7.7569999999999997</v>
      </c>
      <c r="F19" s="47"/>
      <c r="G19" s="47"/>
      <c r="H19" s="47"/>
      <c r="I19" s="57">
        <v>115.818</v>
      </c>
      <c r="J19" s="58">
        <v>2460</v>
      </c>
      <c r="K19" s="18">
        <f t="shared" ref="K19" si="14">IF(ISBLANK(J19),"",(J19-$J$8))</f>
        <v>23</v>
      </c>
      <c r="L19" s="19">
        <f t="shared" ref="L19" si="15">IF(ISBLANK(C19),"",(C19-C$16)*1000)</f>
        <v>0.99999999999944578</v>
      </c>
      <c r="M19" s="19">
        <f t="shared" si="8"/>
        <v>3.9999999999995595</v>
      </c>
      <c r="N19" s="19">
        <f t="shared" si="9"/>
        <v>0.99999999999944578</v>
      </c>
      <c r="O19" s="19" t="str">
        <f t="shared" si="10"/>
        <v/>
      </c>
      <c r="P19" s="19" t="str">
        <f t="shared" si="11"/>
        <v/>
      </c>
      <c r="Q19" s="19" t="str">
        <f t="shared" si="12"/>
        <v/>
      </c>
      <c r="R19" s="19">
        <f t="shared" si="13"/>
        <v>0</v>
      </c>
      <c r="S19" s="27">
        <f t="shared" si="5"/>
        <v>0.99999999999944578</v>
      </c>
      <c r="T19" s="28">
        <f t="shared" si="5"/>
        <v>1.9999999999988916</v>
      </c>
      <c r="U19" s="28">
        <f t="shared" si="5"/>
        <v>0.99999999999944578</v>
      </c>
      <c r="V19" s="28" t="str">
        <f t="shared" si="5"/>
        <v/>
      </c>
      <c r="W19" s="28" t="str">
        <f t="shared" si="5"/>
        <v/>
      </c>
      <c r="X19" s="29" t="str">
        <f t="shared" si="5"/>
        <v/>
      </c>
      <c r="Y19" s="24"/>
    </row>
    <row r="20" spans="2:25" ht="15" customHeight="1" x14ac:dyDescent="0.2">
      <c r="B20" s="31">
        <v>42397</v>
      </c>
      <c r="C20" s="25">
        <v>12.936999999999999</v>
      </c>
      <c r="D20" s="26">
        <v>8.0879999999999992</v>
      </c>
      <c r="E20" s="26">
        <v>7.7560000000000002</v>
      </c>
      <c r="F20" s="47"/>
      <c r="G20" s="47"/>
      <c r="H20" s="47"/>
      <c r="I20" s="57">
        <v>115.81699999999999</v>
      </c>
      <c r="J20" s="58">
        <v>2462</v>
      </c>
      <c r="K20" s="18">
        <f t="shared" ref="K20" si="16">IF(ISBLANK(J20),"",(J20-$J$8))</f>
        <v>25</v>
      </c>
      <c r="L20" s="19">
        <f t="shared" si="7"/>
        <v>1.9999999999988916</v>
      </c>
      <c r="M20" s="19">
        <f t="shared" si="8"/>
        <v>3.9999999999995595</v>
      </c>
      <c r="N20" s="19">
        <f t="shared" si="9"/>
        <v>0</v>
      </c>
      <c r="O20" s="19" t="str">
        <f t="shared" si="10"/>
        <v/>
      </c>
      <c r="P20" s="19" t="str">
        <f t="shared" si="11"/>
        <v/>
      </c>
      <c r="Q20" s="19" t="str">
        <f t="shared" si="12"/>
        <v/>
      </c>
      <c r="R20" s="19">
        <f t="shared" si="13"/>
        <v>-1.0000000000047748</v>
      </c>
      <c r="S20" s="27">
        <f t="shared" si="5"/>
        <v>0.99999999999944578</v>
      </c>
      <c r="T20" s="28">
        <f t="shared" si="5"/>
        <v>0</v>
      </c>
      <c r="U20" s="28">
        <f t="shared" si="5"/>
        <v>-0.99999999999944578</v>
      </c>
      <c r="V20" s="28" t="str">
        <f t="shared" si="5"/>
        <v/>
      </c>
      <c r="W20" s="28" t="str">
        <f t="shared" si="5"/>
        <v/>
      </c>
      <c r="X20" s="29" t="str">
        <f t="shared" si="5"/>
        <v/>
      </c>
      <c r="Y20" s="24"/>
    </row>
    <row r="21" spans="2:25" ht="15" customHeight="1" x14ac:dyDescent="0.2">
      <c r="B21" s="31">
        <v>42398</v>
      </c>
      <c r="C21" s="25">
        <v>12.933999999999999</v>
      </c>
      <c r="D21" s="26">
        <v>8.0879999999999992</v>
      </c>
      <c r="E21" s="26">
        <v>7.7560000000000002</v>
      </c>
      <c r="F21" s="47"/>
      <c r="G21" s="47"/>
      <c r="H21" s="47"/>
      <c r="I21" s="57">
        <v>115.81699999999999</v>
      </c>
      <c r="J21" s="32">
        <v>2466</v>
      </c>
      <c r="K21" s="18">
        <f t="shared" ref="K21" si="17">IF(ISBLANK(J21),"",(J21-$J$8))</f>
        <v>29</v>
      </c>
      <c r="L21" s="19">
        <f t="shared" si="7"/>
        <v>-1.0000000000012221</v>
      </c>
      <c r="M21" s="19">
        <f t="shared" si="8"/>
        <v>3.9999999999995595</v>
      </c>
      <c r="N21" s="19">
        <f t="shared" si="9"/>
        <v>0</v>
      </c>
      <c r="O21" s="19" t="str">
        <f t="shared" si="10"/>
        <v/>
      </c>
      <c r="P21" s="19" t="str">
        <f t="shared" si="11"/>
        <v/>
      </c>
      <c r="Q21" s="19" t="str">
        <f t="shared" si="12"/>
        <v/>
      </c>
      <c r="R21" s="19">
        <f t="shared" si="13"/>
        <v>-1.0000000000047748</v>
      </c>
      <c r="S21" s="27">
        <f t="shared" si="5"/>
        <v>-3.0000000000001137</v>
      </c>
      <c r="T21" s="28">
        <f t="shared" si="5"/>
        <v>0</v>
      </c>
      <c r="U21" s="28">
        <f t="shared" si="5"/>
        <v>0</v>
      </c>
      <c r="V21" s="28" t="str">
        <f t="shared" si="5"/>
        <v/>
      </c>
      <c r="W21" s="28" t="str">
        <f t="shared" si="5"/>
        <v/>
      </c>
      <c r="X21" s="29" t="str">
        <f t="shared" si="5"/>
        <v/>
      </c>
      <c r="Y21" s="24"/>
    </row>
    <row r="22" spans="2:25" ht="15" customHeight="1" x14ac:dyDescent="0.2">
      <c r="B22" s="31">
        <v>42401</v>
      </c>
      <c r="C22" s="25">
        <v>12.935</v>
      </c>
      <c r="D22" s="26">
        <v>8.0860000000000003</v>
      </c>
      <c r="E22" s="26">
        <v>7.7560000000000002</v>
      </c>
      <c r="F22" s="47"/>
      <c r="G22" s="47"/>
      <c r="H22" s="47"/>
      <c r="I22" s="57">
        <v>115.816</v>
      </c>
      <c r="J22" s="58">
        <v>2471</v>
      </c>
      <c r="K22" s="18">
        <f t="shared" ref="K22" si="18">IF(ISBLANK(J22),"",(J22-$J$8))</f>
        <v>34</v>
      </c>
      <c r="L22" s="19">
        <f t="shared" si="7"/>
        <v>0</v>
      </c>
      <c r="M22" s="19">
        <f t="shared" si="8"/>
        <v>2.0000000000006679</v>
      </c>
      <c r="N22" s="19">
        <f t="shared" si="9"/>
        <v>0</v>
      </c>
      <c r="O22" s="19" t="str">
        <f t="shared" si="10"/>
        <v/>
      </c>
      <c r="P22" s="19" t="str">
        <f t="shared" si="11"/>
        <v/>
      </c>
      <c r="Q22" s="19" t="str">
        <f t="shared" si="12"/>
        <v/>
      </c>
      <c r="R22" s="19">
        <f t="shared" si="13"/>
        <v>-1.9999999999953388</v>
      </c>
      <c r="S22" s="27">
        <f t="shared" si="5"/>
        <v>0.33333333333374071</v>
      </c>
      <c r="T22" s="28">
        <f t="shared" si="5"/>
        <v>-0.66666666666629715</v>
      </c>
      <c r="U22" s="28">
        <f t="shared" si="5"/>
        <v>0</v>
      </c>
      <c r="V22" s="28" t="str">
        <f t="shared" si="5"/>
        <v/>
      </c>
      <c r="W22" s="28" t="str">
        <f t="shared" si="5"/>
        <v/>
      </c>
      <c r="X22" s="29" t="str">
        <f t="shared" si="5"/>
        <v/>
      </c>
      <c r="Y22" s="24"/>
    </row>
    <row r="23" spans="2:25" ht="15" customHeight="1" x14ac:dyDescent="0.2">
      <c r="B23" s="31">
        <v>42402</v>
      </c>
      <c r="C23" s="25">
        <v>12.935</v>
      </c>
      <c r="D23" s="26">
        <v>8.0860000000000003</v>
      </c>
      <c r="E23" s="26">
        <v>7.7560000000000002</v>
      </c>
      <c r="F23" s="47"/>
      <c r="G23" s="47"/>
      <c r="H23" s="47"/>
      <c r="I23" s="57">
        <v>115.815</v>
      </c>
      <c r="J23" s="58">
        <v>2474</v>
      </c>
      <c r="K23" s="18">
        <f t="shared" ref="K23" si="19">IF(ISBLANK(J23),"",(J23-$J$8))</f>
        <v>37</v>
      </c>
      <c r="L23" s="19">
        <f t="shared" si="7"/>
        <v>0</v>
      </c>
      <c r="M23" s="19">
        <f t="shared" si="8"/>
        <v>2.0000000000006679</v>
      </c>
      <c r="N23" s="19">
        <f t="shared" si="9"/>
        <v>0</v>
      </c>
      <c r="O23" s="19" t="str">
        <f t="shared" si="10"/>
        <v/>
      </c>
      <c r="P23" s="19" t="str">
        <f t="shared" si="11"/>
        <v/>
      </c>
      <c r="Q23" s="19" t="str">
        <f t="shared" si="12"/>
        <v/>
      </c>
      <c r="R23" s="19">
        <f t="shared" si="13"/>
        <v>-3.0000000000001137</v>
      </c>
      <c r="S23" s="27">
        <f t="shared" si="5"/>
        <v>0</v>
      </c>
      <c r="T23" s="28">
        <f t="shared" si="5"/>
        <v>0</v>
      </c>
      <c r="U23" s="28">
        <f t="shared" si="5"/>
        <v>0</v>
      </c>
      <c r="V23" s="28" t="str">
        <f t="shared" si="5"/>
        <v/>
      </c>
      <c r="W23" s="28" t="str">
        <f t="shared" si="5"/>
        <v/>
      </c>
      <c r="X23" s="29" t="str">
        <f t="shared" si="5"/>
        <v/>
      </c>
      <c r="Y23" s="24"/>
    </row>
    <row r="24" spans="2:25" ht="15" customHeight="1" x14ac:dyDescent="0.2">
      <c r="B24" s="31">
        <v>42403</v>
      </c>
      <c r="C24" s="25">
        <v>12.935</v>
      </c>
      <c r="D24" s="26">
        <v>8.0860000000000003</v>
      </c>
      <c r="E24" s="26">
        <v>7.7560000000000002</v>
      </c>
      <c r="F24" s="47"/>
      <c r="G24" s="47"/>
      <c r="H24" s="47"/>
      <c r="I24" s="57">
        <v>115.81399999999999</v>
      </c>
      <c r="J24" s="58">
        <v>2479</v>
      </c>
      <c r="K24" s="18">
        <f t="shared" ref="K24" si="20">IF(ISBLANK(J24),"",(J24-$J$8))</f>
        <v>42</v>
      </c>
      <c r="L24" s="19">
        <f t="shared" si="7"/>
        <v>0</v>
      </c>
      <c r="M24" s="19">
        <f t="shared" si="8"/>
        <v>2.0000000000006679</v>
      </c>
      <c r="N24" s="19">
        <f t="shared" si="9"/>
        <v>0</v>
      </c>
      <c r="O24" s="19" t="str">
        <f t="shared" si="10"/>
        <v/>
      </c>
      <c r="P24" s="19" t="str">
        <f t="shared" si="11"/>
        <v/>
      </c>
      <c r="Q24" s="19" t="str">
        <f t="shared" si="12"/>
        <v/>
      </c>
      <c r="R24" s="19">
        <f t="shared" si="13"/>
        <v>-4.0000000000048885</v>
      </c>
      <c r="S24" s="27">
        <f t="shared" si="5"/>
        <v>0</v>
      </c>
      <c r="T24" s="28">
        <f t="shared" si="5"/>
        <v>0</v>
      </c>
      <c r="U24" s="28">
        <f t="shared" si="5"/>
        <v>0</v>
      </c>
      <c r="V24" s="28" t="str">
        <f t="shared" si="5"/>
        <v/>
      </c>
      <c r="W24" s="28" t="str">
        <f t="shared" si="5"/>
        <v/>
      </c>
      <c r="X24" s="29" t="str">
        <f t="shared" si="5"/>
        <v/>
      </c>
      <c r="Y24" s="24"/>
    </row>
    <row r="25" spans="2:25" ht="15" customHeight="1" x14ac:dyDescent="0.2">
      <c r="B25" s="31">
        <v>42404</v>
      </c>
      <c r="C25" s="25">
        <v>12.933999999999999</v>
      </c>
      <c r="D25" s="26">
        <v>8.0860000000000003</v>
      </c>
      <c r="E25" s="26">
        <v>7.7560000000000002</v>
      </c>
      <c r="F25" s="47"/>
      <c r="G25" s="47"/>
      <c r="H25" s="47"/>
      <c r="I25" s="57">
        <v>115.81399999999999</v>
      </c>
      <c r="J25" s="58">
        <v>2484</v>
      </c>
      <c r="K25" s="18">
        <f t="shared" ref="K25" si="21">IF(ISBLANK(J25),"",(J25-$J$8))</f>
        <v>47</v>
      </c>
      <c r="L25" s="19">
        <f t="shared" si="7"/>
        <v>-1.0000000000012221</v>
      </c>
      <c r="M25" s="19">
        <f t="shared" si="8"/>
        <v>2.0000000000006679</v>
      </c>
      <c r="N25" s="19">
        <f t="shared" si="9"/>
        <v>0</v>
      </c>
      <c r="O25" s="19" t="str">
        <f t="shared" si="10"/>
        <v/>
      </c>
      <c r="P25" s="19" t="str">
        <f t="shared" si="11"/>
        <v/>
      </c>
      <c r="Q25" s="19" t="str">
        <f t="shared" si="12"/>
        <v/>
      </c>
      <c r="R25" s="19">
        <f t="shared" si="13"/>
        <v>-4.0000000000048885</v>
      </c>
      <c r="S25" s="27">
        <f t="shared" si="5"/>
        <v>-1.0000000000012221</v>
      </c>
      <c r="T25" s="28">
        <f t="shared" si="5"/>
        <v>0</v>
      </c>
      <c r="U25" s="28">
        <f t="shared" si="5"/>
        <v>0</v>
      </c>
      <c r="V25" s="28" t="str">
        <f t="shared" si="5"/>
        <v/>
      </c>
      <c r="W25" s="28" t="str">
        <f t="shared" si="5"/>
        <v/>
      </c>
      <c r="X25" s="29" t="str">
        <f t="shared" si="5"/>
        <v/>
      </c>
      <c r="Y25" s="24"/>
    </row>
    <row r="26" spans="2:25" ht="15" customHeight="1" x14ac:dyDescent="0.2">
      <c r="B26" s="31">
        <v>42405</v>
      </c>
      <c r="C26" s="25">
        <v>12.935</v>
      </c>
      <c r="D26" s="26">
        <v>8.0850000000000009</v>
      </c>
      <c r="E26" s="26">
        <v>7.7560000000000002</v>
      </c>
      <c r="F26" s="47"/>
      <c r="G26" s="47"/>
      <c r="H26" s="47"/>
      <c r="I26" s="57">
        <v>115.81399999999999</v>
      </c>
      <c r="J26" s="58">
        <v>2488</v>
      </c>
      <c r="K26" s="18">
        <f t="shared" ref="K26" si="22">IF(ISBLANK(J26),"",(J26-$J$8))</f>
        <v>51</v>
      </c>
      <c r="L26" s="19">
        <f t="shared" si="7"/>
        <v>0</v>
      </c>
      <c r="M26" s="19">
        <f t="shared" si="8"/>
        <v>1.0000000000012221</v>
      </c>
      <c r="N26" s="19">
        <f t="shared" si="9"/>
        <v>0</v>
      </c>
      <c r="O26" s="19" t="str">
        <f t="shared" si="10"/>
        <v/>
      </c>
      <c r="P26" s="19" t="str">
        <f t="shared" si="11"/>
        <v/>
      </c>
      <c r="Q26" s="19" t="str">
        <f t="shared" si="12"/>
        <v/>
      </c>
      <c r="R26" s="19">
        <f t="shared" si="13"/>
        <v>-4.0000000000048885</v>
      </c>
      <c r="S26" s="27">
        <f t="shared" si="5"/>
        <v>1.0000000000012221</v>
      </c>
      <c r="T26" s="28">
        <f t="shared" si="5"/>
        <v>-0.99999999999944578</v>
      </c>
      <c r="U26" s="28">
        <f t="shared" si="5"/>
        <v>0</v>
      </c>
      <c r="V26" s="28" t="str">
        <f t="shared" si="5"/>
        <v/>
      </c>
      <c r="W26" s="28" t="str">
        <f t="shared" si="5"/>
        <v/>
      </c>
      <c r="X26" s="29" t="str">
        <f t="shared" si="5"/>
        <v/>
      </c>
      <c r="Y26" s="24"/>
    </row>
    <row r="27" spans="2:25" ht="15" customHeight="1" x14ac:dyDescent="0.2">
      <c r="B27" s="31">
        <v>42408</v>
      </c>
      <c r="C27" s="25">
        <v>12.932</v>
      </c>
      <c r="D27" s="26">
        <v>8.0860000000000003</v>
      </c>
      <c r="E27" s="26">
        <v>7.7539999999999996</v>
      </c>
      <c r="F27" s="47"/>
      <c r="G27" s="47"/>
      <c r="H27" s="47"/>
      <c r="I27" s="57">
        <v>115.815</v>
      </c>
      <c r="J27" s="58">
        <v>2493</v>
      </c>
      <c r="K27" s="18">
        <f t="shared" ref="K27" si="23">IF(ISBLANK(J27),"",(J27-$J$8))</f>
        <v>56</v>
      </c>
      <c r="L27" s="19">
        <f t="shared" si="7"/>
        <v>-3.0000000000001137</v>
      </c>
      <c r="M27" s="19">
        <f t="shared" si="8"/>
        <v>2.0000000000006679</v>
      </c>
      <c r="N27" s="19">
        <f t="shared" si="9"/>
        <v>-2.0000000000006679</v>
      </c>
      <c r="O27" s="19" t="str">
        <f t="shared" si="10"/>
        <v/>
      </c>
      <c r="P27" s="19" t="str">
        <f t="shared" si="11"/>
        <v/>
      </c>
      <c r="Q27" s="19" t="str">
        <f t="shared" si="12"/>
        <v/>
      </c>
      <c r="R27" s="19">
        <f t="shared" si="13"/>
        <v>-3.0000000000001137</v>
      </c>
      <c r="S27" s="27">
        <f t="shared" si="5"/>
        <v>-1.000000000000038</v>
      </c>
      <c r="T27" s="28">
        <f t="shared" si="5"/>
        <v>0.33333333333314857</v>
      </c>
      <c r="U27" s="28">
        <f t="shared" si="5"/>
        <v>-0.66666666666688934</v>
      </c>
      <c r="V27" s="28" t="str">
        <f t="shared" si="5"/>
        <v/>
      </c>
      <c r="W27" s="28" t="str">
        <f t="shared" si="5"/>
        <v/>
      </c>
      <c r="X27" s="29" t="str">
        <f t="shared" si="5"/>
        <v/>
      </c>
      <c r="Y27" s="24"/>
    </row>
    <row r="28" spans="2:25" ht="15" customHeight="1" x14ac:dyDescent="0.2">
      <c r="B28" s="31">
        <v>42409</v>
      </c>
      <c r="C28" s="25">
        <v>12.933</v>
      </c>
      <c r="D28" s="26">
        <v>8.0860000000000003</v>
      </c>
      <c r="E28" s="26">
        <v>7.7539999999999996</v>
      </c>
      <c r="F28" s="47"/>
      <c r="G28" s="47"/>
      <c r="H28" s="47"/>
      <c r="I28" s="57">
        <v>115.815</v>
      </c>
      <c r="J28" s="58">
        <v>2496</v>
      </c>
      <c r="K28" s="18">
        <f t="shared" ref="K28" si="24">IF(ISBLANK(J28),"",(J28-$J$8))</f>
        <v>59</v>
      </c>
      <c r="L28" s="19">
        <f t="shared" si="7"/>
        <v>-2.0000000000006679</v>
      </c>
      <c r="M28" s="19">
        <f t="shared" si="8"/>
        <v>2.0000000000006679</v>
      </c>
      <c r="N28" s="19">
        <f t="shared" si="9"/>
        <v>-2.0000000000006679</v>
      </c>
      <c r="O28" s="19" t="str">
        <f t="shared" si="10"/>
        <v/>
      </c>
      <c r="P28" s="19" t="str">
        <f t="shared" si="11"/>
        <v/>
      </c>
      <c r="Q28" s="19" t="str">
        <f t="shared" si="12"/>
        <v/>
      </c>
      <c r="R28" s="19">
        <f t="shared" si="13"/>
        <v>-3.0000000000001137</v>
      </c>
      <c r="S28" s="27">
        <f t="shared" si="5"/>
        <v>0.99999999999944578</v>
      </c>
      <c r="T28" s="28">
        <f t="shared" si="5"/>
        <v>0</v>
      </c>
      <c r="U28" s="28">
        <f t="shared" si="5"/>
        <v>0</v>
      </c>
      <c r="V28" s="28" t="str">
        <f t="shared" si="5"/>
        <v/>
      </c>
      <c r="W28" s="28" t="str">
        <f t="shared" si="5"/>
        <v/>
      </c>
      <c r="X28" s="29" t="str">
        <f t="shared" si="5"/>
        <v/>
      </c>
      <c r="Y28" s="24"/>
    </row>
    <row r="29" spans="2:25" ht="15" customHeight="1" x14ac:dyDescent="0.2">
      <c r="B29" s="31">
        <v>42410</v>
      </c>
      <c r="C29" s="25">
        <v>12.933</v>
      </c>
      <c r="D29" s="26">
        <v>8.0860000000000003</v>
      </c>
      <c r="E29" s="26">
        <v>7.7539999999999996</v>
      </c>
      <c r="F29" s="47"/>
      <c r="G29" s="47"/>
      <c r="H29" s="47"/>
      <c r="I29" s="57">
        <v>115.815</v>
      </c>
      <c r="J29" s="58">
        <v>2500</v>
      </c>
      <c r="K29" s="18">
        <f t="shared" ref="K29" si="25">IF(ISBLANK(J29),"",(J29-$J$8))</f>
        <v>63</v>
      </c>
      <c r="L29" s="19">
        <f t="shared" si="7"/>
        <v>-2.0000000000006679</v>
      </c>
      <c r="M29" s="19">
        <f t="shared" si="8"/>
        <v>2.0000000000006679</v>
      </c>
      <c r="N29" s="19">
        <f t="shared" si="9"/>
        <v>-2.0000000000006679</v>
      </c>
      <c r="O29" s="19" t="str">
        <f t="shared" si="10"/>
        <v/>
      </c>
      <c r="P29" s="19" t="str">
        <f t="shared" si="11"/>
        <v/>
      </c>
      <c r="Q29" s="19" t="str">
        <f t="shared" si="12"/>
        <v/>
      </c>
      <c r="R29" s="19">
        <f t="shared" si="13"/>
        <v>-3.0000000000001137</v>
      </c>
      <c r="S29" s="27">
        <f t="shared" si="5"/>
        <v>0</v>
      </c>
      <c r="T29" s="28">
        <f t="shared" si="5"/>
        <v>0</v>
      </c>
      <c r="U29" s="28">
        <f t="shared" si="5"/>
        <v>0</v>
      </c>
      <c r="V29" s="28" t="str">
        <f t="shared" si="5"/>
        <v/>
      </c>
      <c r="W29" s="28" t="str">
        <f t="shared" si="5"/>
        <v/>
      </c>
      <c r="X29" s="29" t="str">
        <f t="shared" si="5"/>
        <v/>
      </c>
      <c r="Y29" s="24"/>
    </row>
    <row r="30" spans="2:25" ht="15" customHeight="1" x14ac:dyDescent="0.2">
      <c r="B30" s="31">
        <v>42411</v>
      </c>
      <c r="C30" s="25">
        <v>12.933999999999999</v>
      </c>
      <c r="D30" s="26">
        <v>8.0860000000000003</v>
      </c>
      <c r="E30" s="26">
        <v>7.7539999999999996</v>
      </c>
      <c r="F30" s="47"/>
      <c r="G30" s="47"/>
      <c r="H30" s="47"/>
      <c r="I30" s="57">
        <v>115.815</v>
      </c>
      <c r="J30" s="58">
        <v>2504</v>
      </c>
      <c r="K30" s="18">
        <f t="shared" ref="K30:K33" si="26">IF(ISBLANK(J30),"",(J30-$J$8))</f>
        <v>67</v>
      </c>
      <c r="L30" s="19">
        <f t="shared" si="7"/>
        <v>-1.0000000000012221</v>
      </c>
      <c r="M30" s="19">
        <f t="shared" si="8"/>
        <v>2.0000000000006679</v>
      </c>
      <c r="N30" s="19">
        <f t="shared" si="9"/>
        <v>-2.0000000000006679</v>
      </c>
      <c r="O30" s="19" t="str">
        <f t="shared" si="10"/>
        <v/>
      </c>
      <c r="P30" s="19" t="str">
        <f t="shared" si="11"/>
        <v/>
      </c>
      <c r="Q30" s="19" t="str">
        <f t="shared" si="12"/>
        <v/>
      </c>
      <c r="R30" s="19">
        <f t="shared" si="13"/>
        <v>-3.0000000000001137</v>
      </c>
      <c r="S30" s="27">
        <f t="shared" si="5"/>
        <v>0.99999999999944578</v>
      </c>
      <c r="T30" s="28">
        <f t="shared" si="5"/>
        <v>0</v>
      </c>
      <c r="U30" s="28">
        <f t="shared" si="5"/>
        <v>0</v>
      </c>
      <c r="V30" s="28" t="str">
        <f t="shared" si="5"/>
        <v/>
      </c>
      <c r="W30" s="28" t="str">
        <f t="shared" si="5"/>
        <v/>
      </c>
      <c r="X30" s="29" t="str">
        <f t="shared" si="5"/>
        <v/>
      </c>
      <c r="Y30" s="24"/>
    </row>
    <row r="31" spans="2:25" ht="15" customHeight="1" x14ac:dyDescent="0.2">
      <c r="B31" s="31">
        <v>42417</v>
      </c>
      <c r="C31" s="25">
        <v>12.933</v>
      </c>
      <c r="D31" s="26">
        <v>8.0860000000000003</v>
      </c>
      <c r="E31" s="26">
        <v>7.7539999999999996</v>
      </c>
      <c r="F31" s="47"/>
      <c r="G31" s="47"/>
      <c r="H31" s="47"/>
      <c r="I31" s="57">
        <v>115.815</v>
      </c>
      <c r="J31" s="58">
        <v>2521</v>
      </c>
      <c r="K31" s="18">
        <f t="shared" si="26"/>
        <v>84</v>
      </c>
      <c r="L31" s="19">
        <f t="shared" si="7"/>
        <v>-2.0000000000006679</v>
      </c>
      <c r="M31" s="19">
        <f t="shared" si="8"/>
        <v>2.0000000000006679</v>
      </c>
      <c r="N31" s="19">
        <f t="shared" si="9"/>
        <v>-2.0000000000006679</v>
      </c>
      <c r="O31" s="19" t="str">
        <f t="shared" si="10"/>
        <v/>
      </c>
      <c r="P31" s="19" t="str">
        <f t="shared" si="11"/>
        <v/>
      </c>
      <c r="Q31" s="19" t="str">
        <f t="shared" si="12"/>
        <v/>
      </c>
      <c r="R31" s="19">
        <f t="shared" si="13"/>
        <v>-3.0000000000001137</v>
      </c>
      <c r="S31" s="27">
        <f t="shared" si="5"/>
        <v>-0.16666666666657429</v>
      </c>
      <c r="T31" s="28">
        <f t="shared" si="5"/>
        <v>0</v>
      </c>
      <c r="U31" s="28">
        <f t="shared" si="5"/>
        <v>0</v>
      </c>
      <c r="V31" s="28" t="str">
        <f t="shared" si="5"/>
        <v/>
      </c>
      <c r="W31" s="28" t="str">
        <f t="shared" si="5"/>
        <v/>
      </c>
      <c r="X31" s="29" t="str">
        <f t="shared" si="5"/>
        <v/>
      </c>
      <c r="Y31" s="24"/>
    </row>
    <row r="32" spans="2:25" ht="15" customHeight="1" x14ac:dyDescent="0.2">
      <c r="B32" s="31">
        <v>42424</v>
      </c>
      <c r="C32" s="25">
        <v>12.933</v>
      </c>
      <c r="D32" s="26">
        <v>8.0839999999999996</v>
      </c>
      <c r="E32" s="26">
        <v>7.7539999999999996</v>
      </c>
      <c r="F32" s="47"/>
      <c r="G32" s="47"/>
      <c r="H32" s="47"/>
      <c r="I32" s="57">
        <v>115.81399999999999</v>
      </c>
      <c r="J32" s="58">
        <v>2540.5</v>
      </c>
      <c r="K32" s="18">
        <f t="shared" si="26"/>
        <v>103.5</v>
      </c>
      <c r="L32" s="19">
        <f t="shared" ref="L32:L38" si="27">IF(ISBLANK(C32),"",(C32-C$16)*1000)</f>
        <v>-2.0000000000006679</v>
      </c>
      <c r="M32" s="19">
        <f t="shared" si="8"/>
        <v>0</v>
      </c>
      <c r="N32" s="19">
        <f t="shared" si="9"/>
        <v>-2.0000000000006679</v>
      </c>
      <c r="O32" s="19" t="str">
        <f t="shared" si="10"/>
        <v/>
      </c>
      <c r="P32" s="19" t="str">
        <f t="shared" si="11"/>
        <v/>
      </c>
      <c r="Q32" s="19" t="str">
        <f t="shared" si="12"/>
        <v/>
      </c>
      <c r="R32" s="19">
        <f t="shared" si="13"/>
        <v>-4.0000000000048885</v>
      </c>
      <c r="S32" s="27">
        <f t="shared" si="5"/>
        <v>0</v>
      </c>
      <c r="T32" s="28">
        <f t="shared" si="5"/>
        <v>-0.28571428571438112</v>
      </c>
      <c r="U32" s="28">
        <f t="shared" si="5"/>
        <v>0</v>
      </c>
      <c r="V32" s="28" t="str">
        <f t="shared" si="5"/>
        <v/>
      </c>
      <c r="W32" s="28" t="str">
        <f t="shared" si="5"/>
        <v/>
      </c>
      <c r="X32" s="29" t="str">
        <f t="shared" si="5"/>
        <v/>
      </c>
      <c r="Y32" s="24"/>
    </row>
    <row r="33" spans="2:25" ht="15" customHeight="1" x14ac:dyDescent="0.2">
      <c r="B33" s="31">
        <v>42430</v>
      </c>
      <c r="C33" s="25">
        <v>12.933</v>
      </c>
      <c r="D33" s="26">
        <v>8.0860000000000003</v>
      </c>
      <c r="E33" s="26">
        <v>7.7549999999999999</v>
      </c>
      <c r="F33" s="47"/>
      <c r="G33" s="47"/>
      <c r="H33" s="47"/>
      <c r="I33" s="57">
        <v>115.815</v>
      </c>
      <c r="J33" s="58">
        <v>2540.5</v>
      </c>
      <c r="K33" s="18">
        <f t="shared" si="26"/>
        <v>103.5</v>
      </c>
      <c r="L33" s="19">
        <f t="shared" si="27"/>
        <v>-2.0000000000006679</v>
      </c>
      <c r="M33" s="19">
        <f t="shared" si="8"/>
        <v>2.0000000000006679</v>
      </c>
      <c r="N33" s="19">
        <f t="shared" si="9"/>
        <v>-1.000000000000334</v>
      </c>
      <c r="O33" s="19" t="str">
        <f t="shared" si="10"/>
        <v/>
      </c>
      <c r="P33" s="19" t="str">
        <f t="shared" si="11"/>
        <v/>
      </c>
      <c r="Q33" s="19" t="str">
        <f t="shared" si="12"/>
        <v/>
      </c>
      <c r="R33" s="19">
        <f t="shared" si="13"/>
        <v>-3.0000000000001137</v>
      </c>
      <c r="S33" s="27">
        <f t="shared" ref="S33:X48" si="28">IF(C33="","",((C33-C32)*1000)/($B33-$B32))</f>
        <v>0</v>
      </c>
      <c r="T33" s="28">
        <f t="shared" si="28"/>
        <v>0.33333333333344467</v>
      </c>
      <c r="U33" s="28">
        <f t="shared" si="28"/>
        <v>0.16666666666672234</v>
      </c>
      <c r="V33" s="28" t="str">
        <f t="shared" si="28"/>
        <v/>
      </c>
      <c r="W33" s="28" t="str">
        <f t="shared" si="28"/>
        <v/>
      </c>
      <c r="X33" s="29" t="str">
        <f t="shared" si="28"/>
        <v/>
      </c>
      <c r="Y33" s="24"/>
    </row>
    <row r="34" spans="2:25" ht="15" customHeight="1" x14ac:dyDescent="0.2">
      <c r="B34" s="31">
        <v>42458</v>
      </c>
      <c r="C34" s="25">
        <v>12.933999999999999</v>
      </c>
      <c r="D34" s="26">
        <v>8.0850000000000009</v>
      </c>
      <c r="E34" s="26">
        <v>7.7569999999999997</v>
      </c>
      <c r="F34" s="47"/>
      <c r="G34" s="47"/>
      <c r="H34" s="47"/>
      <c r="I34" s="57">
        <v>115.81399999999999</v>
      </c>
      <c r="J34" s="58">
        <v>2571</v>
      </c>
      <c r="K34" s="18">
        <f t="shared" ref="K34" si="29">IF(ISBLANK(J34),"",(J34-$J$8))</f>
        <v>134</v>
      </c>
      <c r="L34" s="19">
        <f t="shared" si="27"/>
        <v>-1.0000000000012221</v>
      </c>
      <c r="M34" s="19">
        <f t="shared" si="8"/>
        <v>1.0000000000012221</v>
      </c>
      <c r="N34" s="19">
        <f t="shared" si="9"/>
        <v>0.99999999999944578</v>
      </c>
      <c r="O34" s="19" t="str">
        <f t="shared" si="10"/>
        <v/>
      </c>
      <c r="P34" s="19" t="str">
        <f t="shared" si="11"/>
        <v/>
      </c>
      <c r="Q34" s="19" t="str">
        <f t="shared" si="12"/>
        <v/>
      </c>
      <c r="R34" s="19">
        <f t="shared" si="13"/>
        <v>-4.0000000000048885</v>
      </c>
      <c r="S34" s="27">
        <f t="shared" si="28"/>
        <v>3.5714285714265923E-2</v>
      </c>
      <c r="T34" s="28">
        <f t="shared" si="28"/>
        <v>-3.5714285714265923E-2</v>
      </c>
      <c r="U34" s="28">
        <f t="shared" si="28"/>
        <v>7.1428571428563556E-2</v>
      </c>
      <c r="V34" s="28" t="str">
        <f t="shared" si="28"/>
        <v/>
      </c>
      <c r="W34" s="28" t="str">
        <f t="shared" si="28"/>
        <v/>
      </c>
      <c r="X34" s="29" t="str">
        <f t="shared" si="28"/>
        <v/>
      </c>
      <c r="Y34" s="24"/>
    </row>
    <row r="35" spans="2:25" ht="15" customHeight="1" x14ac:dyDescent="0.2">
      <c r="B35" s="31">
        <v>42502</v>
      </c>
      <c r="C35" s="73">
        <v>12.933999999999999</v>
      </c>
      <c r="D35" s="71">
        <v>8.0850000000000009</v>
      </c>
      <c r="E35" s="71">
        <v>7.7569999999999997</v>
      </c>
      <c r="F35" s="47"/>
      <c r="G35" s="47"/>
      <c r="H35" s="47"/>
      <c r="I35" s="57">
        <v>115.813</v>
      </c>
      <c r="J35" s="58">
        <v>2429</v>
      </c>
      <c r="K35" s="18">
        <f t="shared" ref="K35" si="30">IF(ISBLANK(J35),"",(J35-$J$8))</f>
        <v>-8</v>
      </c>
      <c r="L35" s="19">
        <f t="shared" si="27"/>
        <v>-1.0000000000012221</v>
      </c>
      <c r="M35" s="19">
        <f t="shared" si="8"/>
        <v>1.0000000000012221</v>
      </c>
      <c r="N35" s="19">
        <f t="shared" si="9"/>
        <v>0.99999999999944578</v>
      </c>
      <c r="O35" s="19" t="str">
        <f t="shared" si="10"/>
        <v/>
      </c>
      <c r="P35" s="19" t="str">
        <f t="shared" si="11"/>
        <v/>
      </c>
      <c r="Q35" s="19" t="str">
        <f t="shared" si="12"/>
        <v/>
      </c>
      <c r="R35" s="19">
        <f t="shared" si="13"/>
        <v>-4.9999999999954525</v>
      </c>
      <c r="S35" s="27">
        <f t="shared" si="28"/>
        <v>0</v>
      </c>
      <c r="T35" s="28">
        <f t="shared" si="28"/>
        <v>0</v>
      </c>
      <c r="U35" s="28">
        <f t="shared" si="28"/>
        <v>0</v>
      </c>
      <c r="V35" s="28" t="str">
        <f t="shared" si="28"/>
        <v/>
      </c>
      <c r="W35" s="28" t="str">
        <f t="shared" si="28"/>
        <v/>
      </c>
      <c r="X35" s="29" t="str">
        <f t="shared" si="28"/>
        <v/>
      </c>
      <c r="Y35" s="24"/>
    </row>
    <row r="36" spans="2:25" ht="15" customHeight="1" x14ac:dyDescent="0.2">
      <c r="B36" s="31">
        <v>42503</v>
      </c>
      <c r="C36" s="73">
        <v>12.933999999999999</v>
      </c>
      <c r="D36" s="71">
        <v>8.0850000000000009</v>
      </c>
      <c r="E36" s="26">
        <v>7.7569999999999997</v>
      </c>
      <c r="F36" s="47"/>
      <c r="G36" s="47"/>
      <c r="H36" s="47"/>
      <c r="I36" s="57">
        <v>115.813</v>
      </c>
      <c r="J36" s="58">
        <v>2439</v>
      </c>
      <c r="K36" s="18">
        <f t="shared" ref="K36:K37" si="31">IF(ISBLANK(J36),"",(J36-$J$8))</f>
        <v>2</v>
      </c>
      <c r="L36" s="19">
        <f t="shared" si="27"/>
        <v>-1.0000000000012221</v>
      </c>
      <c r="M36" s="19">
        <f t="shared" si="8"/>
        <v>1.0000000000012221</v>
      </c>
      <c r="N36" s="19">
        <f t="shared" si="9"/>
        <v>0.99999999999944578</v>
      </c>
      <c r="O36" s="19" t="str">
        <f t="shared" si="10"/>
        <v/>
      </c>
      <c r="P36" s="19" t="str">
        <f t="shared" si="11"/>
        <v/>
      </c>
      <c r="Q36" s="19" t="str">
        <f t="shared" si="12"/>
        <v/>
      </c>
      <c r="R36" s="19">
        <f t="shared" si="13"/>
        <v>-4.9999999999954525</v>
      </c>
      <c r="S36" s="27">
        <f t="shared" si="28"/>
        <v>0</v>
      </c>
      <c r="T36" s="28">
        <f t="shared" si="28"/>
        <v>0</v>
      </c>
      <c r="U36" s="28">
        <f t="shared" si="28"/>
        <v>0</v>
      </c>
      <c r="V36" s="28" t="str">
        <f t="shared" si="28"/>
        <v/>
      </c>
      <c r="W36" s="28" t="str">
        <f t="shared" si="28"/>
        <v/>
      </c>
      <c r="X36" s="29" t="str">
        <f t="shared" si="28"/>
        <v/>
      </c>
      <c r="Y36" s="24"/>
    </row>
    <row r="37" spans="2:25" ht="15" customHeight="1" x14ac:dyDescent="0.2">
      <c r="B37" s="31">
        <v>42506</v>
      </c>
      <c r="C37" s="73">
        <v>12.933999999999999</v>
      </c>
      <c r="D37" s="71">
        <v>8.0850000000000009</v>
      </c>
      <c r="E37" s="26">
        <v>7.7530000000000001</v>
      </c>
      <c r="F37" s="47"/>
      <c r="G37" s="47"/>
      <c r="H37" s="47"/>
      <c r="I37" s="57">
        <v>115.812</v>
      </c>
      <c r="J37" s="58">
        <v>2450</v>
      </c>
      <c r="K37" s="18">
        <f t="shared" si="31"/>
        <v>13</v>
      </c>
      <c r="L37" s="19">
        <f t="shared" si="27"/>
        <v>-1.0000000000012221</v>
      </c>
      <c r="M37" s="19">
        <f t="shared" si="8"/>
        <v>1.0000000000012221</v>
      </c>
      <c r="N37" s="19">
        <f t="shared" si="9"/>
        <v>-3.0000000000001137</v>
      </c>
      <c r="O37" s="19" t="str">
        <f t="shared" si="10"/>
        <v/>
      </c>
      <c r="P37" s="19" t="str">
        <f t="shared" si="11"/>
        <v/>
      </c>
      <c r="Q37" s="19" t="str">
        <f t="shared" si="12"/>
        <v/>
      </c>
      <c r="R37" s="19">
        <f t="shared" si="13"/>
        <v>-6.0000000000002274</v>
      </c>
      <c r="S37" s="27">
        <f t="shared" si="28"/>
        <v>0</v>
      </c>
      <c r="T37" s="28">
        <f t="shared" si="28"/>
        <v>0</v>
      </c>
      <c r="U37" s="28">
        <f t="shared" si="28"/>
        <v>-1.3333333333331865</v>
      </c>
      <c r="V37" s="28" t="str">
        <f t="shared" si="28"/>
        <v/>
      </c>
      <c r="W37" s="28" t="str">
        <f t="shared" si="28"/>
        <v/>
      </c>
      <c r="X37" s="29" t="str">
        <f t="shared" si="28"/>
        <v/>
      </c>
      <c r="Y37" s="24"/>
    </row>
    <row r="38" spans="2:25" ht="15" customHeight="1" x14ac:dyDescent="0.2">
      <c r="B38" s="31">
        <v>42507</v>
      </c>
      <c r="C38" s="73">
        <v>12.933999999999999</v>
      </c>
      <c r="D38" s="70">
        <v>7.5570000000000004</v>
      </c>
      <c r="E38" s="71">
        <v>7.7530000000000001</v>
      </c>
      <c r="F38" s="47">
        <v>13.023999999999999</v>
      </c>
      <c r="G38" s="47">
        <v>10.253</v>
      </c>
      <c r="H38" s="47">
        <v>10.260999999999999</v>
      </c>
      <c r="I38" s="57">
        <v>115.81100000000001</v>
      </c>
      <c r="J38" s="58">
        <v>2459</v>
      </c>
      <c r="K38" s="18">
        <f t="shared" ref="K38" si="32">IF(ISBLANK(J38),"",(J38-$J$8))</f>
        <v>22</v>
      </c>
      <c r="L38" s="19">
        <f t="shared" si="27"/>
        <v>-1.0000000000012221</v>
      </c>
      <c r="M38" s="69">
        <f>IF(ISBLANK(D38),"",(D38-D$38)*1000)</f>
        <v>0</v>
      </c>
      <c r="N38" s="19">
        <f t="shared" si="9"/>
        <v>-3.0000000000001137</v>
      </c>
      <c r="O38" s="19">
        <f>IF(ISBLANK(F38),"",(F38-F$38)*1000)</f>
        <v>0</v>
      </c>
      <c r="P38" s="19">
        <f>IF(ISBLANK(G38),"",(G38-G$38)*1000)</f>
        <v>0</v>
      </c>
      <c r="Q38" s="19">
        <f>IF(ISBLANK(H38),"",(H38-H$38)*1000)</f>
        <v>0</v>
      </c>
      <c r="R38" s="19">
        <f t="shared" si="13"/>
        <v>-6.9999999999907914</v>
      </c>
      <c r="S38" s="27">
        <f t="shared" si="28"/>
        <v>0</v>
      </c>
      <c r="T38" s="28"/>
      <c r="U38" s="28">
        <f t="shared" si="28"/>
        <v>0</v>
      </c>
      <c r="V38" s="28"/>
      <c r="W38" s="28"/>
      <c r="X38" s="29"/>
      <c r="Y38" s="24" t="s">
        <v>130</v>
      </c>
    </row>
    <row r="39" spans="2:25" ht="15" customHeight="1" x14ac:dyDescent="0.2">
      <c r="B39" s="31">
        <v>42508</v>
      </c>
      <c r="C39" s="74">
        <v>12.586</v>
      </c>
      <c r="D39" s="26">
        <v>7.5570000000000004</v>
      </c>
      <c r="E39" s="26">
        <v>7.7539999999999996</v>
      </c>
      <c r="F39" s="47">
        <v>13.022</v>
      </c>
      <c r="G39" s="47">
        <v>10.252000000000001</v>
      </c>
      <c r="H39" s="47">
        <v>10.260999999999999</v>
      </c>
      <c r="I39" s="57">
        <v>115.81100000000001</v>
      </c>
      <c r="J39" s="58">
        <v>2467</v>
      </c>
      <c r="K39" s="18">
        <f t="shared" ref="K39" si="33">IF(ISBLANK(J39),"",(J39-$J$8))</f>
        <v>30</v>
      </c>
      <c r="L39" s="69">
        <f>IF(ISBLANK(C39),"",(C39-C$39)*1000)</f>
        <v>0</v>
      </c>
      <c r="M39" s="19">
        <f t="shared" ref="M39:M102" si="34">IF(ISBLANK(D39),"",(D39-D$38)*1000)</f>
        <v>0</v>
      </c>
      <c r="N39" s="19">
        <f t="shared" si="9"/>
        <v>-2.0000000000006679</v>
      </c>
      <c r="O39" s="19">
        <f t="shared" ref="O39:O102" si="35">IF(ISBLANK(F39),"",(F39-F$38)*1000)</f>
        <v>-1.9999999999988916</v>
      </c>
      <c r="P39" s="19">
        <f t="shared" ref="P39:P102" si="36">IF(ISBLANK(G39),"",(G39-G$38)*1000)</f>
        <v>-0.99999999999944578</v>
      </c>
      <c r="Q39" s="19">
        <f t="shared" ref="Q39:Q102" si="37">IF(ISBLANK(H39),"",(H39-H$38)*1000)</f>
        <v>0</v>
      </c>
      <c r="R39" s="19">
        <f t="shared" si="13"/>
        <v>-6.9999999999907914</v>
      </c>
      <c r="S39" s="27"/>
      <c r="T39" s="28">
        <f t="shared" si="28"/>
        <v>0</v>
      </c>
      <c r="U39" s="28">
        <f t="shared" si="28"/>
        <v>0.99999999999944578</v>
      </c>
      <c r="V39" s="28">
        <f t="shared" si="28"/>
        <v>-1.9999999999988916</v>
      </c>
      <c r="W39" s="28">
        <f t="shared" si="28"/>
        <v>-0.99999999999944578</v>
      </c>
      <c r="X39" s="29">
        <f t="shared" si="28"/>
        <v>0</v>
      </c>
      <c r="Y39" s="24"/>
    </row>
    <row r="40" spans="2:25" ht="15" customHeight="1" x14ac:dyDescent="0.2">
      <c r="B40" s="31">
        <v>42509</v>
      </c>
      <c r="C40" s="25">
        <v>12.586</v>
      </c>
      <c r="D40" s="26">
        <v>7.5570000000000004</v>
      </c>
      <c r="E40" s="26">
        <v>7.7539999999999996</v>
      </c>
      <c r="F40" s="47">
        <v>13.023999999999999</v>
      </c>
      <c r="G40" s="47">
        <v>10.252000000000001</v>
      </c>
      <c r="H40" s="47">
        <v>10.26</v>
      </c>
      <c r="I40" s="57">
        <v>115.81100000000001</v>
      </c>
      <c r="J40" s="58">
        <v>2479</v>
      </c>
      <c r="K40" s="18">
        <f t="shared" ref="K40:K44" si="38">IF(ISBLANK(J40),"",(J40-$J$8))</f>
        <v>42</v>
      </c>
      <c r="L40" s="19">
        <f t="shared" ref="L40:L103" si="39">IF(ISBLANK(C40),"",(C40-C$39)*1000)</f>
        <v>0</v>
      </c>
      <c r="M40" s="19">
        <f t="shared" si="34"/>
        <v>0</v>
      </c>
      <c r="N40" s="19">
        <f t="shared" si="9"/>
        <v>-2.0000000000006679</v>
      </c>
      <c r="O40" s="19">
        <f t="shared" si="35"/>
        <v>0</v>
      </c>
      <c r="P40" s="19">
        <f t="shared" si="36"/>
        <v>-0.99999999999944578</v>
      </c>
      <c r="Q40" s="19">
        <f t="shared" si="37"/>
        <v>-0.99999999999944578</v>
      </c>
      <c r="R40" s="19">
        <f t="shared" si="13"/>
        <v>-6.9999999999907914</v>
      </c>
      <c r="S40" s="27">
        <f t="shared" si="28"/>
        <v>0</v>
      </c>
      <c r="T40" s="28">
        <f t="shared" si="28"/>
        <v>0</v>
      </c>
      <c r="U40" s="28">
        <f t="shared" si="28"/>
        <v>0</v>
      </c>
      <c r="V40" s="28">
        <f t="shared" si="28"/>
        <v>1.9999999999988916</v>
      </c>
      <c r="W40" s="28">
        <f t="shared" si="28"/>
        <v>0</v>
      </c>
      <c r="X40" s="29">
        <f t="shared" si="28"/>
        <v>-0.99999999999944578</v>
      </c>
      <c r="Y40" s="24"/>
    </row>
    <row r="41" spans="2:25" ht="15" customHeight="1" x14ac:dyDescent="0.2">
      <c r="B41" s="31">
        <v>42510</v>
      </c>
      <c r="C41" s="25">
        <v>12.587</v>
      </c>
      <c r="D41" s="26">
        <v>7.556</v>
      </c>
      <c r="E41" s="26">
        <v>7.7539999999999996</v>
      </c>
      <c r="F41" s="47">
        <v>13.023999999999999</v>
      </c>
      <c r="G41" s="47">
        <v>10.252000000000001</v>
      </c>
      <c r="H41" s="47">
        <v>10.262</v>
      </c>
      <c r="I41" s="57">
        <v>115.81100000000001</v>
      </c>
      <c r="J41" s="58">
        <v>2490</v>
      </c>
      <c r="K41" s="18">
        <f t="shared" si="38"/>
        <v>53</v>
      </c>
      <c r="L41" s="19">
        <f t="shared" si="39"/>
        <v>0.99999999999944578</v>
      </c>
      <c r="M41" s="19">
        <f t="shared" si="34"/>
        <v>-1.000000000000334</v>
      </c>
      <c r="N41" s="19">
        <f t="shared" si="9"/>
        <v>-2.0000000000006679</v>
      </c>
      <c r="O41" s="19">
        <f t="shared" si="35"/>
        <v>0</v>
      </c>
      <c r="P41" s="19">
        <f t="shared" si="36"/>
        <v>-0.99999999999944578</v>
      </c>
      <c r="Q41" s="19">
        <f t="shared" si="37"/>
        <v>1.0000000000012221</v>
      </c>
      <c r="R41" s="19">
        <f t="shared" si="13"/>
        <v>-6.9999999999907914</v>
      </c>
      <c r="S41" s="27">
        <f t="shared" si="28"/>
        <v>0.99999999999944578</v>
      </c>
      <c r="T41" s="28">
        <f t="shared" si="28"/>
        <v>-1.000000000000334</v>
      </c>
      <c r="U41" s="28">
        <f t="shared" si="28"/>
        <v>0</v>
      </c>
      <c r="V41" s="28">
        <f t="shared" si="28"/>
        <v>0</v>
      </c>
      <c r="W41" s="28">
        <f t="shared" si="28"/>
        <v>0</v>
      </c>
      <c r="X41" s="29">
        <f t="shared" si="28"/>
        <v>2.0000000000006679</v>
      </c>
      <c r="Y41" s="24"/>
    </row>
    <row r="42" spans="2:25" ht="15" customHeight="1" x14ac:dyDescent="0.2">
      <c r="B42" s="31">
        <v>42513</v>
      </c>
      <c r="C42" s="25">
        <v>12.587</v>
      </c>
      <c r="D42" s="26">
        <v>7.556</v>
      </c>
      <c r="E42" s="26">
        <v>7.7539999999999996</v>
      </c>
      <c r="F42" s="47">
        <v>13.023</v>
      </c>
      <c r="G42" s="47">
        <v>10.253</v>
      </c>
      <c r="H42" s="47">
        <v>10.262</v>
      </c>
      <c r="I42" s="57">
        <v>115.81100000000001</v>
      </c>
      <c r="J42" s="58">
        <v>2500</v>
      </c>
      <c r="K42" s="18">
        <f t="shared" si="38"/>
        <v>63</v>
      </c>
      <c r="L42" s="19">
        <f t="shared" si="39"/>
        <v>0.99999999999944578</v>
      </c>
      <c r="M42" s="19">
        <f t="shared" si="34"/>
        <v>-1.000000000000334</v>
      </c>
      <c r="N42" s="19">
        <f t="shared" si="9"/>
        <v>-2.0000000000006679</v>
      </c>
      <c r="O42" s="19">
        <f t="shared" si="35"/>
        <v>-0.99999999999944578</v>
      </c>
      <c r="P42" s="19">
        <f t="shared" si="36"/>
        <v>0</v>
      </c>
      <c r="Q42" s="19">
        <f t="shared" si="37"/>
        <v>1.0000000000012221</v>
      </c>
      <c r="R42" s="19">
        <f t="shared" si="13"/>
        <v>-6.9999999999907914</v>
      </c>
      <c r="S42" s="27">
        <f t="shared" si="28"/>
        <v>0</v>
      </c>
      <c r="T42" s="28">
        <f t="shared" si="28"/>
        <v>0</v>
      </c>
      <c r="U42" s="28">
        <f t="shared" si="28"/>
        <v>0</v>
      </c>
      <c r="V42" s="28">
        <f t="shared" si="28"/>
        <v>-0.33333333333314857</v>
      </c>
      <c r="W42" s="28">
        <f t="shared" si="28"/>
        <v>0.33333333333314857</v>
      </c>
      <c r="X42" s="29">
        <f t="shared" si="28"/>
        <v>0</v>
      </c>
      <c r="Y42" s="24"/>
    </row>
    <row r="43" spans="2:25" ht="15" customHeight="1" x14ac:dyDescent="0.2">
      <c r="B43" s="31">
        <v>42514</v>
      </c>
      <c r="C43" s="25">
        <v>12.587</v>
      </c>
      <c r="D43" s="26">
        <v>7.556</v>
      </c>
      <c r="E43" s="26">
        <v>7.7539999999999996</v>
      </c>
      <c r="F43" s="47">
        <v>13.023</v>
      </c>
      <c r="G43" s="47">
        <v>10.253</v>
      </c>
      <c r="H43" s="47">
        <v>10.262</v>
      </c>
      <c r="I43" s="57">
        <v>115.81</v>
      </c>
      <c r="J43" s="58">
        <v>2515</v>
      </c>
      <c r="K43" s="18">
        <f t="shared" si="38"/>
        <v>78</v>
      </c>
      <c r="L43" s="19">
        <f t="shared" si="39"/>
        <v>0.99999999999944578</v>
      </c>
      <c r="M43" s="19">
        <f t="shared" si="34"/>
        <v>-1.000000000000334</v>
      </c>
      <c r="N43" s="19">
        <f t="shared" si="9"/>
        <v>-2.0000000000006679</v>
      </c>
      <c r="O43" s="19">
        <f t="shared" si="35"/>
        <v>-0.99999999999944578</v>
      </c>
      <c r="P43" s="19">
        <f t="shared" si="36"/>
        <v>0</v>
      </c>
      <c r="Q43" s="19">
        <f t="shared" si="37"/>
        <v>1.0000000000012221</v>
      </c>
      <c r="R43" s="19">
        <f t="shared" si="13"/>
        <v>-7.9999999999955662</v>
      </c>
      <c r="S43" s="27">
        <f t="shared" si="28"/>
        <v>0</v>
      </c>
      <c r="T43" s="28">
        <f t="shared" si="28"/>
        <v>0</v>
      </c>
      <c r="U43" s="28">
        <f t="shared" si="28"/>
        <v>0</v>
      </c>
      <c r="V43" s="28">
        <f t="shared" si="28"/>
        <v>0</v>
      </c>
      <c r="W43" s="28">
        <f t="shared" si="28"/>
        <v>0</v>
      </c>
      <c r="X43" s="29">
        <f t="shared" si="28"/>
        <v>0</v>
      </c>
      <c r="Y43" s="24"/>
    </row>
    <row r="44" spans="2:25" ht="15" customHeight="1" x14ac:dyDescent="0.2">
      <c r="B44" s="31">
        <v>42515</v>
      </c>
      <c r="C44" s="25">
        <v>12.587</v>
      </c>
      <c r="D44" s="26">
        <v>7.556</v>
      </c>
      <c r="E44" s="26">
        <v>7.7539999999999996</v>
      </c>
      <c r="F44" s="47">
        <v>13.023</v>
      </c>
      <c r="G44" s="47">
        <v>10.253</v>
      </c>
      <c r="H44" s="47">
        <v>10.262</v>
      </c>
      <c r="I44" s="57">
        <v>115.81</v>
      </c>
      <c r="J44" s="58">
        <v>2524</v>
      </c>
      <c r="K44" s="18">
        <f t="shared" si="38"/>
        <v>87</v>
      </c>
      <c r="L44" s="19">
        <f t="shared" si="39"/>
        <v>0.99999999999944578</v>
      </c>
      <c r="M44" s="19">
        <f t="shared" si="34"/>
        <v>-1.000000000000334</v>
      </c>
      <c r="N44" s="19">
        <f t="shared" si="9"/>
        <v>-2.0000000000006679</v>
      </c>
      <c r="O44" s="19">
        <f t="shared" si="35"/>
        <v>-0.99999999999944578</v>
      </c>
      <c r="P44" s="19">
        <f t="shared" si="36"/>
        <v>0</v>
      </c>
      <c r="Q44" s="19">
        <f t="shared" si="37"/>
        <v>1.0000000000012221</v>
      </c>
      <c r="R44" s="19">
        <f t="shared" si="13"/>
        <v>-7.9999999999955662</v>
      </c>
      <c r="S44" s="27">
        <f t="shared" si="28"/>
        <v>0</v>
      </c>
      <c r="T44" s="28">
        <f t="shared" si="28"/>
        <v>0</v>
      </c>
      <c r="U44" s="28">
        <f t="shared" si="28"/>
        <v>0</v>
      </c>
      <c r="V44" s="28">
        <f t="shared" si="28"/>
        <v>0</v>
      </c>
      <c r="W44" s="28">
        <f t="shared" si="28"/>
        <v>0</v>
      </c>
      <c r="X44" s="29">
        <f t="shared" si="28"/>
        <v>0</v>
      </c>
      <c r="Y44" s="24"/>
    </row>
    <row r="45" spans="2:25" ht="15" customHeight="1" x14ac:dyDescent="0.2">
      <c r="B45" s="31">
        <v>42516</v>
      </c>
      <c r="C45" s="25">
        <v>12.587</v>
      </c>
      <c r="D45" s="26">
        <v>7.556</v>
      </c>
      <c r="E45" s="26">
        <v>7.7530000000000001</v>
      </c>
      <c r="F45" s="47">
        <v>13.021000000000001</v>
      </c>
      <c r="G45" s="47">
        <v>10.253</v>
      </c>
      <c r="H45" s="47">
        <v>10.259</v>
      </c>
      <c r="I45" s="57">
        <v>115.81</v>
      </c>
      <c r="J45" s="58">
        <v>2524</v>
      </c>
      <c r="K45" s="18">
        <f t="shared" ref="K45:K47" si="40">IF(ISBLANK(J45),"",(J45-$J$8))</f>
        <v>87</v>
      </c>
      <c r="L45" s="19">
        <f t="shared" si="39"/>
        <v>0.99999999999944578</v>
      </c>
      <c r="M45" s="19">
        <f t="shared" si="34"/>
        <v>-1.000000000000334</v>
      </c>
      <c r="N45" s="19">
        <f t="shared" si="9"/>
        <v>-3.0000000000001137</v>
      </c>
      <c r="O45" s="19">
        <f t="shared" si="35"/>
        <v>-2.9999999999983373</v>
      </c>
      <c r="P45" s="19">
        <f t="shared" si="36"/>
        <v>0</v>
      </c>
      <c r="Q45" s="19">
        <f t="shared" si="37"/>
        <v>-1.9999999999988916</v>
      </c>
      <c r="R45" s="19">
        <f t="shared" si="13"/>
        <v>-7.9999999999955662</v>
      </c>
      <c r="S45" s="27">
        <f t="shared" si="28"/>
        <v>0</v>
      </c>
      <c r="T45" s="28">
        <f t="shared" si="28"/>
        <v>0</v>
      </c>
      <c r="U45" s="28">
        <f t="shared" si="28"/>
        <v>-0.99999999999944578</v>
      </c>
      <c r="V45" s="28">
        <f t="shared" si="28"/>
        <v>-1.9999999999988916</v>
      </c>
      <c r="W45" s="28">
        <f t="shared" si="28"/>
        <v>0</v>
      </c>
      <c r="X45" s="29">
        <f t="shared" si="28"/>
        <v>-3.0000000000001137</v>
      </c>
      <c r="Y45" s="24"/>
    </row>
    <row r="46" spans="2:25" ht="15" customHeight="1" x14ac:dyDescent="0.2">
      <c r="B46" s="31">
        <v>42529</v>
      </c>
      <c r="C46" s="25">
        <v>12.586</v>
      </c>
      <c r="D46" s="26">
        <v>7.5570000000000004</v>
      </c>
      <c r="E46" s="26">
        <v>7.7530000000000001</v>
      </c>
      <c r="F46" s="47">
        <v>13.022</v>
      </c>
      <c r="G46" s="47">
        <v>10.252000000000001</v>
      </c>
      <c r="H46" s="47">
        <v>10.260999999999999</v>
      </c>
      <c r="I46" s="57">
        <v>115.81</v>
      </c>
      <c r="J46" s="58">
        <v>2603</v>
      </c>
      <c r="K46" s="18">
        <f t="shared" si="40"/>
        <v>166</v>
      </c>
      <c r="L46" s="19">
        <f t="shared" si="39"/>
        <v>0</v>
      </c>
      <c r="M46" s="19">
        <f t="shared" si="34"/>
        <v>0</v>
      </c>
      <c r="N46" s="19">
        <f t="shared" si="9"/>
        <v>-3.0000000000001137</v>
      </c>
      <c r="O46" s="19">
        <f t="shared" si="35"/>
        <v>-1.9999999999988916</v>
      </c>
      <c r="P46" s="19">
        <f t="shared" si="36"/>
        <v>-0.99999999999944578</v>
      </c>
      <c r="Q46" s="19">
        <f t="shared" si="37"/>
        <v>0</v>
      </c>
      <c r="R46" s="19">
        <f t="shared" si="13"/>
        <v>-7.9999999999955662</v>
      </c>
      <c r="S46" s="27">
        <f t="shared" si="28"/>
        <v>-7.6923076923034295E-2</v>
      </c>
      <c r="T46" s="28">
        <f t="shared" si="28"/>
        <v>7.6923076923102615E-2</v>
      </c>
      <c r="U46" s="28">
        <f t="shared" si="28"/>
        <v>0</v>
      </c>
      <c r="V46" s="28">
        <f t="shared" si="28"/>
        <v>7.6923076923034295E-2</v>
      </c>
      <c r="W46" s="28">
        <f t="shared" si="28"/>
        <v>-7.6923076923034295E-2</v>
      </c>
      <c r="X46" s="29">
        <f t="shared" si="28"/>
        <v>0.15384615384606859</v>
      </c>
      <c r="Y46" s="24"/>
    </row>
    <row r="47" spans="2:25" ht="15" customHeight="1" x14ac:dyDescent="0.2">
      <c r="B47" s="31">
        <v>42558</v>
      </c>
      <c r="C47" s="25">
        <v>12.584</v>
      </c>
      <c r="D47" s="26">
        <v>7.556</v>
      </c>
      <c r="E47" s="26">
        <v>7.7519999999999998</v>
      </c>
      <c r="F47" s="47">
        <v>13.022</v>
      </c>
      <c r="G47" s="47">
        <v>10.252000000000001</v>
      </c>
      <c r="H47" s="47">
        <v>10.260999999999999</v>
      </c>
      <c r="I47" s="57">
        <v>115.81100000000001</v>
      </c>
      <c r="J47" s="58">
        <v>2689</v>
      </c>
      <c r="K47" s="18">
        <f t="shared" si="40"/>
        <v>252</v>
      </c>
      <c r="L47" s="19">
        <f t="shared" si="39"/>
        <v>-2.0000000000006679</v>
      </c>
      <c r="M47" s="19">
        <f t="shared" si="34"/>
        <v>-1.000000000000334</v>
      </c>
      <c r="N47" s="19">
        <f t="shared" si="9"/>
        <v>-4.0000000000004476</v>
      </c>
      <c r="O47" s="19">
        <f t="shared" si="35"/>
        <v>-1.9999999999988916</v>
      </c>
      <c r="P47" s="19">
        <f t="shared" si="36"/>
        <v>-0.99999999999944578</v>
      </c>
      <c r="Q47" s="19">
        <f t="shared" si="37"/>
        <v>0</v>
      </c>
      <c r="R47" s="19">
        <f t="shared" si="13"/>
        <v>-6.9999999999907914</v>
      </c>
      <c r="S47" s="27">
        <f t="shared" si="28"/>
        <v>-6.8965517241402347E-2</v>
      </c>
      <c r="T47" s="28">
        <f t="shared" si="28"/>
        <v>-3.4482758620701173E-2</v>
      </c>
      <c r="U47" s="28">
        <f t="shared" si="28"/>
        <v>-3.4482758620701173E-2</v>
      </c>
      <c r="V47" s="28">
        <f t="shared" si="28"/>
        <v>0</v>
      </c>
      <c r="W47" s="28">
        <f t="shared" si="28"/>
        <v>0</v>
      </c>
      <c r="X47" s="29">
        <f t="shared" si="28"/>
        <v>0</v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39"/>
        <v/>
      </c>
      <c r="M48" s="19" t="str">
        <f t="shared" si="34"/>
        <v/>
      </c>
      <c r="N48" s="19" t="str">
        <f t="shared" si="9"/>
        <v/>
      </c>
      <c r="O48" s="19" t="str">
        <f t="shared" si="35"/>
        <v/>
      </c>
      <c r="P48" s="19" t="str">
        <f t="shared" si="36"/>
        <v/>
      </c>
      <c r="Q48" s="19" t="str">
        <f t="shared" si="37"/>
        <v/>
      </c>
      <c r="R48" s="19" t="str">
        <f t="shared" si="13"/>
        <v/>
      </c>
      <c r="S48" s="27" t="str">
        <f t="shared" si="28"/>
        <v/>
      </c>
      <c r="T48" s="28" t="str">
        <f t="shared" si="28"/>
        <v/>
      </c>
      <c r="U48" s="28" t="str">
        <f t="shared" si="28"/>
        <v/>
      </c>
      <c r="V48" s="28" t="str">
        <f t="shared" si="28"/>
        <v/>
      </c>
      <c r="W48" s="28" t="str">
        <f t="shared" si="28"/>
        <v/>
      </c>
      <c r="X48" s="29" t="str">
        <f t="shared" si="28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39"/>
        <v/>
      </c>
      <c r="M49" s="19" t="str">
        <f t="shared" si="34"/>
        <v/>
      </c>
      <c r="N49" s="19" t="str">
        <f t="shared" si="9"/>
        <v/>
      </c>
      <c r="O49" s="19" t="str">
        <f t="shared" si="35"/>
        <v/>
      </c>
      <c r="P49" s="19" t="str">
        <f t="shared" si="36"/>
        <v/>
      </c>
      <c r="Q49" s="19" t="str">
        <f t="shared" si="37"/>
        <v/>
      </c>
      <c r="R49" s="19" t="str">
        <f t="shared" si="13"/>
        <v/>
      </c>
      <c r="S49" s="27" t="str">
        <f t="shared" ref="S49:X64" si="41">IF(C49="","",((C49-C48)*1000)/($B49-$B48))</f>
        <v/>
      </c>
      <c r="T49" s="28" t="str">
        <f t="shared" si="41"/>
        <v/>
      </c>
      <c r="U49" s="28" t="str">
        <f t="shared" si="41"/>
        <v/>
      </c>
      <c r="V49" s="28" t="str">
        <f t="shared" si="41"/>
        <v/>
      </c>
      <c r="W49" s="28" t="str">
        <f t="shared" si="41"/>
        <v/>
      </c>
      <c r="X49" s="29" t="str">
        <f t="shared" si="41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39"/>
        <v/>
      </c>
      <c r="M50" s="19" t="str">
        <f t="shared" si="34"/>
        <v/>
      </c>
      <c r="N50" s="19" t="str">
        <f t="shared" si="9"/>
        <v/>
      </c>
      <c r="O50" s="19" t="str">
        <f t="shared" si="35"/>
        <v/>
      </c>
      <c r="P50" s="19" t="str">
        <f t="shared" si="36"/>
        <v/>
      </c>
      <c r="Q50" s="19" t="str">
        <f t="shared" si="37"/>
        <v/>
      </c>
      <c r="R50" s="19" t="str">
        <f t="shared" si="13"/>
        <v/>
      </c>
      <c r="S50" s="27" t="str">
        <f t="shared" si="41"/>
        <v/>
      </c>
      <c r="T50" s="28" t="str">
        <f t="shared" si="41"/>
        <v/>
      </c>
      <c r="U50" s="28" t="str">
        <f t="shared" si="41"/>
        <v/>
      </c>
      <c r="V50" s="28" t="str">
        <f t="shared" si="41"/>
        <v/>
      </c>
      <c r="W50" s="28" t="str">
        <f t="shared" si="41"/>
        <v/>
      </c>
      <c r="X50" s="29" t="str">
        <f t="shared" si="41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39"/>
        <v/>
      </c>
      <c r="M51" s="19" t="str">
        <f t="shared" si="34"/>
        <v/>
      </c>
      <c r="N51" s="19" t="str">
        <f t="shared" si="9"/>
        <v/>
      </c>
      <c r="O51" s="19" t="str">
        <f t="shared" si="35"/>
        <v/>
      </c>
      <c r="P51" s="19" t="str">
        <f t="shared" si="36"/>
        <v/>
      </c>
      <c r="Q51" s="19" t="str">
        <f t="shared" si="37"/>
        <v/>
      </c>
      <c r="R51" s="19" t="str">
        <f t="shared" si="13"/>
        <v/>
      </c>
      <c r="S51" s="27" t="str">
        <f t="shared" si="41"/>
        <v/>
      </c>
      <c r="T51" s="28" t="str">
        <f t="shared" si="41"/>
        <v/>
      </c>
      <c r="U51" s="28" t="str">
        <f t="shared" si="41"/>
        <v/>
      </c>
      <c r="V51" s="28" t="str">
        <f t="shared" si="41"/>
        <v/>
      </c>
      <c r="W51" s="28" t="str">
        <f t="shared" si="41"/>
        <v/>
      </c>
      <c r="X51" s="29" t="str">
        <f t="shared" si="41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39"/>
        <v/>
      </c>
      <c r="M52" s="19" t="str">
        <f t="shared" si="34"/>
        <v/>
      </c>
      <c r="N52" s="19" t="str">
        <f t="shared" si="9"/>
        <v/>
      </c>
      <c r="O52" s="19" t="str">
        <f t="shared" si="35"/>
        <v/>
      </c>
      <c r="P52" s="19" t="str">
        <f t="shared" si="36"/>
        <v/>
      </c>
      <c r="Q52" s="19" t="str">
        <f t="shared" si="37"/>
        <v/>
      </c>
      <c r="R52" s="19" t="str">
        <f t="shared" si="13"/>
        <v/>
      </c>
      <c r="S52" s="27" t="str">
        <f t="shared" si="41"/>
        <v/>
      </c>
      <c r="T52" s="28" t="str">
        <f t="shared" si="41"/>
        <v/>
      </c>
      <c r="U52" s="28" t="str">
        <f t="shared" si="41"/>
        <v/>
      </c>
      <c r="V52" s="28" t="str">
        <f t="shared" si="41"/>
        <v/>
      </c>
      <c r="W52" s="28" t="str">
        <f t="shared" si="41"/>
        <v/>
      </c>
      <c r="X52" s="29" t="str">
        <f t="shared" si="41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39"/>
        <v/>
      </c>
      <c r="M53" s="19" t="str">
        <f t="shared" si="34"/>
        <v/>
      </c>
      <c r="N53" s="19" t="str">
        <f t="shared" si="9"/>
        <v/>
      </c>
      <c r="O53" s="19" t="str">
        <f t="shared" si="35"/>
        <v/>
      </c>
      <c r="P53" s="19" t="str">
        <f t="shared" si="36"/>
        <v/>
      </c>
      <c r="Q53" s="19" t="str">
        <f t="shared" si="37"/>
        <v/>
      </c>
      <c r="R53" s="19" t="str">
        <f t="shared" si="13"/>
        <v/>
      </c>
      <c r="S53" s="27" t="str">
        <f t="shared" si="41"/>
        <v/>
      </c>
      <c r="T53" s="28" t="str">
        <f t="shared" si="41"/>
        <v/>
      </c>
      <c r="U53" s="28" t="str">
        <f t="shared" si="41"/>
        <v/>
      </c>
      <c r="V53" s="28" t="str">
        <f t="shared" si="41"/>
        <v/>
      </c>
      <c r="W53" s="28" t="str">
        <f t="shared" si="41"/>
        <v/>
      </c>
      <c r="X53" s="29" t="str">
        <f t="shared" si="41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39"/>
        <v/>
      </c>
      <c r="M54" s="19" t="str">
        <f t="shared" si="34"/>
        <v/>
      </c>
      <c r="N54" s="19" t="str">
        <f t="shared" si="9"/>
        <v/>
      </c>
      <c r="O54" s="19" t="str">
        <f t="shared" si="35"/>
        <v/>
      </c>
      <c r="P54" s="19" t="str">
        <f t="shared" si="36"/>
        <v/>
      </c>
      <c r="Q54" s="19" t="str">
        <f t="shared" si="37"/>
        <v/>
      </c>
      <c r="R54" s="19" t="str">
        <f t="shared" si="13"/>
        <v/>
      </c>
      <c r="S54" s="27" t="str">
        <f t="shared" si="41"/>
        <v/>
      </c>
      <c r="T54" s="28" t="str">
        <f t="shared" si="41"/>
        <v/>
      </c>
      <c r="U54" s="28" t="str">
        <f t="shared" si="41"/>
        <v/>
      </c>
      <c r="V54" s="28" t="str">
        <f t="shared" si="41"/>
        <v/>
      </c>
      <c r="W54" s="28" t="str">
        <f t="shared" si="41"/>
        <v/>
      </c>
      <c r="X54" s="29" t="str">
        <f t="shared" si="41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39"/>
        <v/>
      </c>
      <c r="M55" s="19" t="str">
        <f t="shared" si="34"/>
        <v/>
      </c>
      <c r="N55" s="19" t="str">
        <f t="shared" si="9"/>
        <v/>
      </c>
      <c r="O55" s="19" t="str">
        <f t="shared" si="35"/>
        <v/>
      </c>
      <c r="P55" s="19" t="str">
        <f t="shared" si="36"/>
        <v/>
      </c>
      <c r="Q55" s="19" t="str">
        <f t="shared" si="37"/>
        <v/>
      </c>
      <c r="R55" s="19" t="str">
        <f t="shared" si="13"/>
        <v/>
      </c>
      <c r="S55" s="27" t="str">
        <f t="shared" si="41"/>
        <v/>
      </c>
      <c r="T55" s="28" t="str">
        <f t="shared" si="41"/>
        <v/>
      </c>
      <c r="U55" s="28" t="str">
        <f t="shared" si="41"/>
        <v/>
      </c>
      <c r="V55" s="28" t="str">
        <f t="shared" si="41"/>
        <v/>
      </c>
      <c r="W55" s="28" t="str">
        <f t="shared" si="41"/>
        <v/>
      </c>
      <c r="X55" s="29" t="str">
        <f t="shared" si="41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39"/>
        <v/>
      </c>
      <c r="M56" s="19" t="str">
        <f t="shared" si="34"/>
        <v/>
      </c>
      <c r="N56" s="19" t="str">
        <f t="shared" si="9"/>
        <v/>
      </c>
      <c r="O56" s="19" t="str">
        <f t="shared" si="35"/>
        <v/>
      </c>
      <c r="P56" s="19" t="str">
        <f t="shared" si="36"/>
        <v/>
      </c>
      <c r="Q56" s="19" t="str">
        <f t="shared" si="37"/>
        <v/>
      </c>
      <c r="R56" s="19" t="str">
        <f t="shared" si="13"/>
        <v/>
      </c>
      <c r="S56" s="27" t="str">
        <f t="shared" si="41"/>
        <v/>
      </c>
      <c r="T56" s="28" t="str">
        <f t="shared" si="41"/>
        <v/>
      </c>
      <c r="U56" s="28" t="str">
        <f t="shared" si="41"/>
        <v/>
      </c>
      <c r="V56" s="28" t="str">
        <f t="shared" si="41"/>
        <v/>
      </c>
      <c r="W56" s="28" t="str">
        <f t="shared" si="41"/>
        <v/>
      </c>
      <c r="X56" s="29" t="str">
        <f t="shared" si="41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39"/>
        <v/>
      </c>
      <c r="M57" s="19" t="str">
        <f t="shared" si="34"/>
        <v/>
      </c>
      <c r="N57" s="19" t="str">
        <f t="shared" si="9"/>
        <v/>
      </c>
      <c r="O57" s="19" t="str">
        <f t="shared" si="35"/>
        <v/>
      </c>
      <c r="P57" s="19" t="str">
        <f t="shared" si="36"/>
        <v/>
      </c>
      <c r="Q57" s="19" t="str">
        <f t="shared" si="37"/>
        <v/>
      </c>
      <c r="R57" s="19" t="str">
        <f t="shared" si="13"/>
        <v/>
      </c>
      <c r="S57" s="27" t="str">
        <f t="shared" si="41"/>
        <v/>
      </c>
      <c r="T57" s="28" t="str">
        <f t="shared" si="41"/>
        <v/>
      </c>
      <c r="U57" s="28" t="str">
        <f t="shared" si="41"/>
        <v/>
      </c>
      <c r="V57" s="28" t="str">
        <f t="shared" si="41"/>
        <v/>
      </c>
      <c r="W57" s="28" t="str">
        <f t="shared" si="41"/>
        <v/>
      </c>
      <c r="X57" s="29" t="str">
        <f t="shared" si="41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39"/>
        <v/>
      </c>
      <c r="M58" s="19" t="str">
        <f t="shared" si="34"/>
        <v/>
      </c>
      <c r="N58" s="19" t="str">
        <f t="shared" si="9"/>
        <v/>
      </c>
      <c r="O58" s="19" t="str">
        <f t="shared" si="35"/>
        <v/>
      </c>
      <c r="P58" s="19" t="str">
        <f t="shared" si="36"/>
        <v/>
      </c>
      <c r="Q58" s="19" t="str">
        <f t="shared" si="37"/>
        <v/>
      </c>
      <c r="R58" s="19" t="str">
        <f t="shared" si="13"/>
        <v/>
      </c>
      <c r="S58" s="27" t="str">
        <f t="shared" si="41"/>
        <v/>
      </c>
      <c r="T58" s="28" t="str">
        <f t="shared" si="41"/>
        <v/>
      </c>
      <c r="U58" s="28" t="str">
        <f t="shared" si="41"/>
        <v/>
      </c>
      <c r="V58" s="28" t="str">
        <f t="shared" si="41"/>
        <v/>
      </c>
      <c r="W58" s="28" t="str">
        <f t="shared" si="41"/>
        <v/>
      </c>
      <c r="X58" s="29" t="str">
        <f t="shared" si="41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39"/>
        <v/>
      </c>
      <c r="M59" s="19" t="str">
        <f t="shared" si="34"/>
        <v/>
      </c>
      <c r="N59" s="19" t="str">
        <f t="shared" si="9"/>
        <v/>
      </c>
      <c r="O59" s="19" t="str">
        <f t="shared" si="35"/>
        <v/>
      </c>
      <c r="P59" s="19" t="str">
        <f t="shared" si="36"/>
        <v/>
      </c>
      <c r="Q59" s="19" t="str">
        <f t="shared" si="37"/>
        <v/>
      </c>
      <c r="R59" s="19" t="str">
        <f t="shared" si="13"/>
        <v/>
      </c>
      <c r="S59" s="27" t="str">
        <f t="shared" si="41"/>
        <v/>
      </c>
      <c r="T59" s="28" t="str">
        <f t="shared" si="41"/>
        <v/>
      </c>
      <c r="U59" s="28" t="str">
        <f t="shared" si="41"/>
        <v/>
      </c>
      <c r="V59" s="28" t="str">
        <f t="shared" si="41"/>
        <v/>
      </c>
      <c r="W59" s="28" t="str">
        <f t="shared" si="41"/>
        <v/>
      </c>
      <c r="X59" s="29" t="str">
        <f t="shared" si="41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39"/>
        <v/>
      </c>
      <c r="M60" s="19" t="str">
        <f t="shared" si="34"/>
        <v/>
      </c>
      <c r="N60" s="19" t="str">
        <f t="shared" si="9"/>
        <v/>
      </c>
      <c r="O60" s="19" t="str">
        <f t="shared" si="35"/>
        <v/>
      </c>
      <c r="P60" s="19" t="str">
        <f t="shared" si="36"/>
        <v/>
      </c>
      <c r="Q60" s="19" t="str">
        <f t="shared" si="37"/>
        <v/>
      </c>
      <c r="R60" s="19" t="str">
        <f t="shared" si="13"/>
        <v/>
      </c>
      <c r="S60" s="27" t="str">
        <f t="shared" si="41"/>
        <v/>
      </c>
      <c r="T60" s="28" t="str">
        <f t="shared" si="41"/>
        <v/>
      </c>
      <c r="U60" s="28" t="str">
        <f t="shared" si="41"/>
        <v/>
      </c>
      <c r="V60" s="28" t="str">
        <f t="shared" si="41"/>
        <v/>
      </c>
      <c r="W60" s="28" t="str">
        <f t="shared" si="41"/>
        <v/>
      </c>
      <c r="X60" s="29" t="str">
        <f t="shared" si="41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39"/>
        <v/>
      </c>
      <c r="M61" s="19" t="str">
        <f t="shared" si="34"/>
        <v/>
      </c>
      <c r="N61" s="19" t="str">
        <f t="shared" si="9"/>
        <v/>
      </c>
      <c r="O61" s="19" t="str">
        <f t="shared" si="35"/>
        <v/>
      </c>
      <c r="P61" s="19" t="str">
        <f t="shared" si="36"/>
        <v/>
      </c>
      <c r="Q61" s="19" t="str">
        <f t="shared" si="37"/>
        <v/>
      </c>
      <c r="R61" s="19" t="str">
        <f t="shared" si="13"/>
        <v/>
      </c>
      <c r="S61" s="27" t="str">
        <f t="shared" si="41"/>
        <v/>
      </c>
      <c r="T61" s="28" t="str">
        <f t="shared" si="41"/>
        <v/>
      </c>
      <c r="U61" s="28" t="str">
        <f t="shared" si="41"/>
        <v/>
      </c>
      <c r="V61" s="28" t="str">
        <f t="shared" si="41"/>
        <v/>
      </c>
      <c r="W61" s="28" t="str">
        <f t="shared" si="41"/>
        <v/>
      </c>
      <c r="X61" s="29" t="str">
        <f t="shared" si="41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39"/>
        <v/>
      </c>
      <c r="M62" s="19" t="str">
        <f t="shared" si="34"/>
        <v/>
      </c>
      <c r="N62" s="19" t="str">
        <f t="shared" si="9"/>
        <v/>
      </c>
      <c r="O62" s="19" t="str">
        <f t="shared" si="35"/>
        <v/>
      </c>
      <c r="P62" s="19" t="str">
        <f t="shared" si="36"/>
        <v/>
      </c>
      <c r="Q62" s="19" t="str">
        <f t="shared" si="37"/>
        <v/>
      </c>
      <c r="R62" s="19" t="str">
        <f t="shared" si="13"/>
        <v/>
      </c>
      <c r="S62" s="27" t="str">
        <f t="shared" si="41"/>
        <v/>
      </c>
      <c r="T62" s="28" t="str">
        <f t="shared" si="41"/>
        <v/>
      </c>
      <c r="U62" s="28" t="str">
        <f t="shared" si="41"/>
        <v/>
      </c>
      <c r="V62" s="28" t="str">
        <f t="shared" si="41"/>
        <v/>
      </c>
      <c r="W62" s="28" t="str">
        <f t="shared" si="41"/>
        <v/>
      </c>
      <c r="X62" s="29" t="str">
        <f t="shared" si="41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39"/>
        <v/>
      </c>
      <c r="M63" s="19" t="str">
        <f t="shared" si="34"/>
        <v/>
      </c>
      <c r="N63" s="19" t="str">
        <f t="shared" si="9"/>
        <v/>
      </c>
      <c r="O63" s="19" t="str">
        <f t="shared" si="35"/>
        <v/>
      </c>
      <c r="P63" s="19" t="str">
        <f t="shared" si="36"/>
        <v/>
      </c>
      <c r="Q63" s="19" t="str">
        <f t="shared" si="37"/>
        <v/>
      </c>
      <c r="R63" s="19" t="str">
        <f t="shared" si="13"/>
        <v/>
      </c>
      <c r="S63" s="27" t="str">
        <f t="shared" si="41"/>
        <v/>
      </c>
      <c r="T63" s="28" t="str">
        <f t="shared" si="41"/>
        <v/>
      </c>
      <c r="U63" s="28" t="str">
        <f t="shared" si="41"/>
        <v/>
      </c>
      <c r="V63" s="28" t="str">
        <f t="shared" si="41"/>
        <v/>
      </c>
      <c r="W63" s="28" t="str">
        <f t="shared" si="41"/>
        <v/>
      </c>
      <c r="X63" s="29" t="str">
        <f t="shared" si="41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39"/>
        <v/>
      </c>
      <c r="M64" s="19" t="str">
        <f t="shared" si="34"/>
        <v/>
      </c>
      <c r="N64" s="19" t="str">
        <f t="shared" si="9"/>
        <v/>
      </c>
      <c r="O64" s="19" t="str">
        <f t="shared" si="35"/>
        <v/>
      </c>
      <c r="P64" s="19" t="str">
        <f t="shared" si="36"/>
        <v/>
      </c>
      <c r="Q64" s="19" t="str">
        <f t="shared" si="37"/>
        <v/>
      </c>
      <c r="R64" s="19" t="str">
        <f t="shared" si="13"/>
        <v/>
      </c>
      <c r="S64" s="27" t="str">
        <f t="shared" si="41"/>
        <v/>
      </c>
      <c r="T64" s="28" t="str">
        <f t="shared" si="41"/>
        <v/>
      </c>
      <c r="U64" s="28" t="str">
        <f t="shared" si="41"/>
        <v/>
      </c>
      <c r="V64" s="28" t="str">
        <f t="shared" si="41"/>
        <v/>
      </c>
      <c r="W64" s="28" t="str">
        <f t="shared" si="41"/>
        <v/>
      </c>
      <c r="X64" s="29" t="str">
        <f t="shared" si="41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39"/>
        <v/>
      </c>
      <c r="M65" s="19" t="str">
        <f t="shared" si="34"/>
        <v/>
      </c>
      <c r="N65" s="19" t="str">
        <f t="shared" si="9"/>
        <v/>
      </c>
      <c r="O65" s="19" t="str">
        <f t="shared" si="35"/>
        <v/>
      </c>
      <c r="P65" s="19" t="str">
        <f t="shared" si="36"/>
        <v/>
      </c>
      <c r="Q65" s="19" t="str">
        <f t="shared" si="37"/>
        <v/>
      </c>
      <c r="R65" s="19" t="str">
        <f t="shared" si="13"/>
        <v/>
      </c>
      <c r="S65" s="27" t="str">
        <f t="shared" ref="S65:X80" si="42">IF(C65="","",((C65-C64)*1000)/($B65-$B64))</f>
        <v/>
      </c>
      <c r="T65" s="28" t="str">
        <f t="shared" si="42"/>
        <v/>
      </c>
      <c r="U65" s="28" t="str">
        <f t="shared" si="42"/>
        <v/>
      </c>
      <c r="V65" s="28" t="str">
        <f t="shared" si="42"/>
        <v/>
      </c>
      <c r="W65" s="28" t="str">
        <f t="shared" si="42"/>
        <v/>
      </c>
      <c r="X65" s="29" t="str">
        <f t="shared" si="42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39"/>
        <v/>
      </c>
      <c r="M66" s="19" t="str">
        <f t="shared" si="34"/>
        <v/>
      </c>
      <c r="N66" s="19" t="str">
        <f t="shared" si="9"/>
        <v/>
      </c>
      <c r="O66" s="19" t="str">
        <f t="shared" si="35"/>
        <v/>
      </c>
      <c r="P66" s="19" t="str">
        <f t="shared" si="36"/>
        <v/>
      </c>
      <c r="Q66" s="19" t="str">
        <f t="shared" si="37"/>
        <v/>
      </c>
      <c r="R66" s="19" t="str">
        <f t="shared" si="13"/>
        <v/>
      </c>
      <c r="S66" s="27" t="str">
        <f t="shared" si="42"/>
        <v/>
      </c>
      <c r="T66" s="28" t="str">
        <f t="shared" si="42"/>
        <v/>
      </c>
      <c r="U66" s="28" t="str">
        <f t="shared" si="42"/>
        <v/>
      </c>
      <c r="V66" s="28" t="str">
        <f t="shared" si="42"/>
        <v/>
      </c>
      <c r="W66" s="28" t="str">
        <f t="shared" si="42"/>
        <v/>
      </c>
      <c r="X66" s="29" t="str">
        <f t="shared" si="42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39"/>
        <v/>
      </c>
      <c r="M67" s="19" t="str">
        <f t="shared" si="34"/>
        <v/>
      </c>
      <c r="N67" s="19" t="str">
        <f t="shared" si="9"/>
        <v/>
      </c>
      <c r="O67" s="19" t="str">
        <f t="shared" si="35"/>
        <v/>
      </c>
      <c r="P67" s="19" t="str">
        <f t="shared" si="36"/>
        <v/>
      </c>
      <c r="Q67" s="19" t="str">
        <f t="shared" si="37"/>
        <v/>
      </c>
      <c r="R67" s="19" t="str">
        <f t="shared" si="13"/>
        <v/>
      </c>
      <c r="S67" s="27" t="str">
        <f t="shared" si="42"/>
        <v/>
      </c>
      <c r="T67" s="28" t="str">
        <f t="shared" si="42"/>
        <v/>
      </c>
      <c r="U67" s="28" t="str">
        <f t="shared" si="42"/>
        <v/>
      </c>
      <c r="V67" s="28" t="str">
        <f t="shared" si="42"/>
        <v/>
      </c>
      <c r="W67" s="28" t="str">
        <f t="shared" si="42"/>
        <v/>
      </c>
      <c r="X67" s="29" t="str">
        <f t="shared" si="42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39"/>
        <v/>
      </c>
      <c r="M68" s="19" t="str">
        <f t="shared" si="34"/>
        <v/>
      </c>
      <c r="N68" s="19" t="str">
        <f t="shared" si="9"/>
        <v/>
      </c>
      <c r="O68" s="19" t="str">
        <f t="shared" si="35"/>
        <v/>
      </c>
      <c r="P68" s="19" t="str">
        <f t="shared" si="36"/>
        <v/>
      </c>
      <c r="Q68" s="19" t="str">
        <f t="shared" si="37"/>
        <v/>
      </c>
      <c r="R68" s="19" t="str">
        <f t="shared" si="13"/>
        <v/>
      </c>
      <c r="S68" s="27" t="str">
        <f t="shared" si="42"/>
        <v/>
      </c>
      <c r="T68" s="28" t="str">
        <f t="shared" si="42"/>
        <v/>
      </c>
      <c r="U68" s="28" t="str">
        <f t="shared" si="42"/>
        <v/>
      </c>
      <c r="V68" s="28" t="str">
        <f t="shared" si="42"/>
        <v/>
      </c>
      <c r="W68" s="28" t="str">
        <f t="shared" si="42"/>
        <v/>
      </c>
      <c r="X68" s="29" t="str">
        <f t="shared" si="42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39"/>
        <v/>
      </c>
      <c r="M69" s="19" t="str">
        <f t="shared" si="34"/>
        <v/>
      </c>
      <c r="N69" s="19" t="str">
        <f t="shared" si="9"/>
        <v/>
      </c>
      <c r="O69" s="19" t="str">
        <f t="shared" si="35"/>
        <v/>
      </c>
      <c r="P69" s="19" t="str">
        <f t="shared" si="36"/>
        <v/>
      </c>
      <c r="Q69" s="19" t="str">
        <f t="shared" si="37"/>
        <v/>
      </c>
      <c r="R69" s="19" t="str">
        <f t="shared" si="13"/>
        <v/>
      </c>
      <c r="S69" s="27" t="str">
        <f t="shared" si="42"/>
        <v/>
      </c>
      <c r="T69" s="28" t="str">
        <f t="shared" si="42"/>
        <v/>
      </c>
      <c r="U69" s="28" t="str">
        <f t="shared" si="42"/>
        <v/>
      </c>
      <c r="V69" s="28" t="str">
        <f t="shared" si="42"/>
        <v/>
      </c>
      <c r="W69" s="28" t="str">
        <f t="shared" si="42"/>
        <v/>
      </c>
      <c r="X69" s="29" t="str">
        <f t="shared" si="42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39"/>
        <v/>
      </c>
      <c r="M70" s="19" t="str">
        <f t="shared" si="34"/>
        <v/>
      </c>
      <c r="N70" s="19" t="str">
        <f t="shared" si="9"/>
        <v/>
      </c>
      <c r="O70" s="19" t="str">
        <f t="shared" si="35"/>
        <v/>
      </c>
      <c r="P70" s="19" t="str">
        <f t="shared" si="36"/>
        <v/>
      </c>
      <c r="Q70" s="19" t="str">
        <f t="shared" si="37"/>
        <v/>
      </c>
      <c r="R70" s="19" t="str">
        <f t="shared" si="13"/>
        <v/>
      </c>
      <c r="S70" s="27" t="str">
        <f t="shared" si="42"/>
        <v/>
      </c>
      <c r="T70" s="28" t="str">
        <f t="shared" si="42"/>
        <v/>
      </c>
      <c r="U70" s="28" t="str">
        <f t="shared" si="42"/>
        <v/>
      </c>
      <c r="V70" s="28" t="str">
        <f t="shared" si="42"/>
        <v/>
      </c>
      <c r="W70" s="28" t="str">
        <f t="shared" si="42"/>
        <v/>
      </c>
      <c r="X70" s="29" t="str">
        <f t="shared" si="42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39"/>
        <v/>
      </c>
      <c r="M71" s="19" t="str">
        <f t="shared" si="34"/>
        <v/>
      </c>
      <c r="N71" s="19" t="str">
        <f t="shared" si="9"/>
        <v/>
      </c>
      <c r="O71" s="19" t="str">
        <f t="shared" si="35"/>
        <v/>
      </c>
      <c r="P71" s="19" t="str">
        <f t="shared" si="36"/>
        <v/>
      </c>
      <c r="Q71" s="19" t="str">
        <f t="shared" si="37"/>
        <v/>
      </c>
      <c r="R71" s="19" t="str">
        <f t="shared" si="13"/>
        <v/>
      </c>
      <c r="S71" s="27" t="str">
        <f t="shared" si="42"/>
        <v/>
      </c>
      <c r="T71" s="28" t="str">
        <f t="shared" si="42"/>
        <v/>
      </c>
      <c r="U71" s="28" t="str">
        <f t="shared" si="42"/>
        <v/>
      </c>
      <c r="V71" s="28" t="str">
        <f t="shared" si="42"/>
        <v/>
      </c>
      <c r="W71" s="28" t="str">
        <f t="shared" si="42"/>
        <v/>
      </c>
      <c r="X71" s="29" t="str">
        <f t="shared" si="42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39"/>
        <v/>
      </c>
      <c r="M72" s="19" t="str">
        <f t="shared" si="34"/>
        <v/>
      </c>
      <c r="N72" s="19" t="str">
        <f t="shared" si="9"/>
        <v/>
      </c>
      <c r="O72" s="19" t="str">
        <f t="shared" si="35"/>
        <v/>
      </c>
      <c r="P72" s="19" t="str">
        <f t="shared" si="36"/>
        <v/>
      </c>
      <c r="Q72" s="19" t="str">
        <f t="shared" si="37"/>
        <v/>
      </c>
      <c r="R72" s="19" t="str">
        <f t="shared" si="13"/>
        <v/>
      </c>
      <c r="S72" s="27" t="str">
        <f t="shared" si="42"/>
        <v/>
      </c>
      <c r="T72" s="28" t="str">
        <f t="shared" si="42"/>
        <v/>
      </c>
      <c r="U72" s="28" t="str">
        <f t="shared" si="42"/>
        <v/>
      </c>
      <c r="V72" s="28" t="str">
        <f t="shared" si="42"/>
        <v/>
      </c>
      <c r="W72" s="28" t="str">
        <f t="shared" si="42"/>
        <v/>
      </c>
      <c r="X72" s="29" t="str">
        <f t="shared" si="42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39"/>
        <v/>
      </c>
      <c r="M73" s="19" t="str">
        <f t="shared" si="34"/>
        <v/>
      </c>
      <c r="N73" s="19" t="str">
        <f t="shared" si="9"/>
        <v/>
      </c>
      <c r="O73" s="19" t="str">
        <f t="shared" si="35"/>
        <v/>
      </c>
      <c r="P73" s="19" t="str">
        <f t="shared" si="36"/>
        <v/>
      </c>
      <c r="Q73" s="19" t="str">
        <f t="shared" si="37"/>
        <v/>
      </c>
      <c r="R73" s="19" t="str">
        <f t="shared" si="13"/>
        <v/>
      </c>
      <c r="S73" s="27" t="str">
        <f t="shared" si="42"/>
        <v/>
      </c>
      <c r="T73" s="28" t="str">
        <f t="shared" si="42"/>
        <v/>
      </c>
      <c r="U73" s="28" t="str">
        <f t="shared" si="42"/>
        <v/>
      </c>
      <c r="V73" s="28" t="str">
        <f t="shared" si="42"/>
        <v/>
      </c>
      <c r="W73" s="28" t="str">
        <f t="shared" si="42"/>
        <v/>
      </c>
      <c r="X73" s="29" t="str">
        <f t="shared" si="42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39"/>
        <v/>
      </c>
      <c r="M74" s="19" t="str">
        <f t="shared" si="34"/>
        <v/>
      </c>
      <c r="N74" s="19" t="str">
        <f t="shared" si="9"/>
        <v/>
      </c>
      <c r="O74" s="19" t="str">
        <f t="shared" si="35"/>
        <v/>
      </c>
      <c r="P74" s="19" t="str">
        <f t="shared" si="36"/>
        <v/>
      </c>
      <c r="Q74" s="19" t="str">
        <f t="shared" si="37"/>
        <v/>
      </c>
      <c r="R74" s="19" t="str">
        <f t="shared" si="13"/>
        <v/>
      </c>
      <c r="S74" s="27" t="str">
        <f t="shared" si="42"/>
        <v/>
      </c>
      <c r="T74" s="28" t="str">
        <f t="shared" si="42"/>
        <v/>
      </c>
      <c r="U74" s="28" t="str">
        <f t="shared" si="42"/>
        <v/>
      </c>
      <c r="V74" s="28" t="str">
        <f t="shared" si="42"/>
        <v/>
      </c>
      <c r="W74" s="28" t="str">
        <f t="shared" si="42"/>
        <v/>
      </c>
      <c r="X74" s="29" t="str">
        <f t="shared" si="42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39"/>
        <v/>
      </c>
      <c r="M75" s="19" t="str">
        <f t="shared" si="34"/>
        <v/>
      </c>
      <c r="N75" s="19" t="str">
        <f t="shared" si="9"/>
        <v/>
      </c>
      <c r="O75" s="19" t="str">
        <f t="shared" si="35"/>
        <v/>
      </c>
      <c r="P75" s="19" t="str">
        <f t="shared" si="36"/>
        <v/>
      </c>
      <c r="Q75" s="19" t="str">
        <f t="shared" si="37"/>
        <v/>
      </c>
      <c r="R75" s="19" t="str">
        <f t="shared" si="13"/>
        <v/>
      </c>
      <c r="S75" s="27" t="str">
        <f t="shared" si="42"/>
        <v/>
      </c>
      <c r="T75" s="28" t="str">
        <f t="shared" si="42"/>
        <v/>
      </c>
      <c r="U75" s="28" t="str">
        <f t="shared" si="42"/>
        <v/>
      </c>
      <c r="V75" s="28" t="str">
        <f t="shared" si="42"/>
        <v/>
      </c>
      <c r="W75" s="28" t="str">
        <f t="shared" si="42"/>
        <v/>
      </c>
      <c r="X75" s="29" t="str">
        <f t="shared" si="42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39"/>
        <v/>
      </c>
      <c r="M76" s="19" t="str">
        <f t="shared" si="34"/>
        <v/>
      </c>
      <c r="N76" s="19" t="str">
        <f t="shared" si="9"/>
        <v/>
      </c>
      <c r="O76" s="19" t="str">
        <f t="shared" si="35"/>
        <v/>
      </c>
      <c r="P76" s="19" t="str">
        <f t="shared" si="36"/>
        <v/>
      </c>
      <c r="Q76" s="19" t="str">
        <f t="shared" si="37"/>
        <v/>
      </c>
      <c r="R76" s="19" t="str">
        <f t="shared" si="13"/>
        <v/>
      </c>
      <c r="S76" s="27" t="str">
        <f t="shared" si="42"/>
        <v/>
      </c>
      <c r="T76" s="28" t="str">
        <f t="shared" si="42"/>
        <v/>
      </c>
      <c r="U76" s="28" t="str">
        <f t="shared" si="42"/>
        <v/>
      </c>
      <c r="V76" s="28" t="str">
        <f t="shared" si="42"/>
        <v/>
      </c>
      <c r="W76" s="28" t="str">
        <f t="shared" si="42"/>
        <v/>
      </c>
      <c r="X76" s="29" t="str">
        <f t="shared" si="42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39"/>
        <v/>
      </c>
      <c r="M77" s="19" t="str">
        <f t="shared" si="34"/>
        <v/>
      </c>
      <c r="N77" s="19" t="str">
        <f t="shared" si="9"/>
        <v/>
      </c>
      <c r="O77" s="19" t="str">
        <f t="shared" si="35"/>
        <v/>
      </c>
      <c r="P77" s="19" t="str">
        <f t="shared" si="36"/>
        <v/>
      </c>
      <c r="Q77" s="19" t="str">
        <f t="shared" si="37"/>
        <v/>
      </c>
      <c r="R77" s="19" t="str">
        <f t="shared" si="13"/>
        <v/>
      </c>
      <c r="S77" s="27" t="str">
        <f t="shared" si="42"/>
        <v/>
      </c>
      <c r="T77" s="28" t="str">
        <f t="shared" si="42"/>
        <v/>
      </c>
      <c r="U77" s="28" t="str">
        <f t="shared" si="42"/>
        <v/>
      </c>
      <c r="V77" s="28" t="str">
        <f t="shared" si="42"/>
        <v/>
      </c>
      <c r="W77" s="28" t="str">
        <f t="shared" si="42"/>
        <v/>
      </c>
      <c r="X77" s="29" t="str">
        <f t="shared" si="42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39"/>
        <v/>
      </c>
      <c r="M78" s="19" t="str">
        <f t="shared" si="34"/>
        <v/>
      </c>
      <c r="N78" s="19" t="str">
        <f t="shared" si="9"/>
        <v/>
      </c>
      <c r="O78" s="19" t="str">
        <f t="shared" si="35"/>
        <v/>
      </c>
      <c r="P78" s="19" t="str">
        <f t="shared" si="36"/>
        <v/>
      </c>
      <c r="Q78" s="19" t="str">
        <f t="shared" si="37"/>
        <v/>
      </c>
      <c r="R78" s="19" t="str">
        <f t="shared" si="13"/>
        <v/>
      </c>
      <c r="S78" s="27" t="str">
        <f t="shared" si="42"/>
        <v/>
      </c>
      <c r="T78" s="28" t="str">
        <f t="shared" si="42"/>
        <v/>
      </c>
      <c r="U78" s="28" t="str">
        <f t="shared" si="42"/>
        <v/>
      </c>
      <c r="V78" s="28" t="str">
        <f t="shared" si="42"/>
        <v/>
      </c>
      <c r="W78" s="28" t="str">
        <f t="shared" si="42"/>
        <v/>
      </c>
      <c r="X78" s="29" t="str">
        <f t="shared" si="42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39"/>
        <v/>
      </c>
      <c r="M79" s="19" t="str">
        <f t="shared" si="34"/>
        <v/>
      </c>
      <c r="N79" s="19" t="str">
        <f t="shared" si="9"/>
        <v/>
      </c>
      <c r="O79" s="19" t="str">
        <f t="shared" si="35"/>
        <v/>
      </c>
      <c r="P79" s="19" t="str">
        <f t="shared" si="36"/>
        <v/>
      </c>
      <c r="Q79" s="19" t="str">
        <f t="shared" si="37"/>
        <v/>
      </c>
      <c r="R79" s="19" t="str">
        <f t="shared" si="13"/>
        <v/>
      </c>
      <c r="S79" s="27" t="str">
        <f t="shared" si="42"/>
        <v/>
      </c>
      <c r="T79" s="28" t="str">
        <f t="shared" si="42"/>
        <v/>
      </c>
      <c r="U79" s="28" t="str">
        <f t="shared" si="42"/>
        <v/>
      </c>
      <c r="V79" s="28" t="str">
        <f t="shared" si="42"/>
        <v/>
      </c>
      <c r="W79" s="28" t="str">
        <f t="shared" si="42"/>
        <v/>
      </c>
      <c r="X79" s="29" t="str">
        <f t="shared" si="42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39"/>
        <v/>
      </c>
      <c r="M80" s="19" t="str">
        <f t="shared" si="34"/>
        <v/>
      </c>
      <c r="N80" s="19" t="str">
        <f t="shared" si="9"/>
        <v/>
      </c>
      <c r="O80" s="19" t="str">
        <f t="shared" si="35"/>
        <v/>
      </c>
      <c r="P80" s="19" t="str">
        <f t="shared" si="36"/>
        <v/>
      </c>
      <c r="Q80" s="19" t="str">
        <f t="shared" si="37"/>
        <v/>
      </c>
      <c r="R80" s="19" t="str">
        <f t="shared" si="13"/>
        <v/>
      </c>
      <c r="S80" s="27" t="str">
        <f t="shared" si="42"/>
        <v/>
      </c>
      <c r="T80" s="28" t="str">
        <f t="shared" si="42"/>
        <v/>
      </c>
      <c r="U80" s="28" t="str">
        <f t="shared" si="42"/>
        <v/>
      </c>
      <c r="V80" s="28" t="str">
        <f t="shared" si="42"/>
        <v/>
      </c>
      <c r="W80" s="28" t="str">
        <f t="shared" si="42"/>
        <v/>
      </c>
      <c r="X80" s="29" t="str">
        <f t="shared" si="42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9"/>
        <v/>
      </c>
      <c r="M81" s="19" t="str">
        <f t="shared" si="34"/>
        <v/>
      </c>
      <c r="N81" s="19" t="str">
        <f t="shared" si="9"/>
        <v/>
      </c>
      <c r="O81" s="19" t="str">
        <f t="shared" si="35"/>
        <v/>
      </c>
      <c r="P81" s="19" t="str">
        <f t="shared" si="36"/>
        <v/>
      </c>
      <c r="Q81" s="19" t="str">
        <f t="shared" si="37"/>
        <v/>
      </c>
      <c r="R81" s="19" t="str">
        <f t="shared" si="13"/>
        <v/>
      </c>
      <c r="S81" s="27" t="str">
        <f t="shared" ref="S81:X96" si="43">IF(C81="","",((C81-C80)*1000)/($B81-$B80))</f>
        <v/>
      </c>
      <c r="T81" s="28" t="str">
        <f t="shared" si="43"/>
        <v/>
      </c>
      <c r="U81" s="28" t="str">
        <f t="shared" si="43"/>
        <v/>
      </c>
      <c r="V81" s="28" t="str">
        <f t="shared" si="43"/>
        <v/>
      </c>
      <c r="W81" s="28" t="str">
        <f t="shared" si="43"/>
        <v/>
      </c>
      <c r="X81" s="29" t="str">
        <f t="shared" si="43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9"/>
        <v/>
      </c>
      <c r="M82" s="19" t="str">
        <f t="shared" si="34"/>
        <v/>
      </c>
      <c r="N82" s="19" t="str">
        <f t="shared" ref="N82:N145" si="44">IF(ISBLANK(E82),"",(E82-E$17)*1000)</f>
        <v/>
      </c>
      <c r="O82" s="19" t="str">
        <f t="shared" si="35"/>
        <v/>
      </c>
      <c r="P82" s="19" t="str">
        <f t="shared" si="36"/>
        <v/>
      </c>
      <c r="Q82" s="19" t="str">
        <f t="shared" si="37"/>
        <v/>
      </c>
      <c r="R82" s="19" t="str">
        <f t="shared" ref="R82:R145" si="45">IF(ISBLANK(I82),"",(I82-I$17)*1000)</f>
        <v/>
      </c>
      <c r="S82" s="27" t="str">
        <f t="shared" si="43"/>
        <v/>
      </c>
      <c r="T82" s="28" t="str">
        <f t="shared" si="43"/>
        <v/>
      </c>
      <c r="U82" s="28" t="str">
        <f t="shared" si="43"/>
        <v/>
      </c>
      <c r="V82" s="28" t="str">
        <f t="shared" si="43"/>
        <v/>
      </c>
      <c r="W82" s="28" t="str">
        <f t="shared" si="43"/>
        <v/>
      </c>
      <c r="X82" s="29" t="str">
        <f t="shared" si="43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9"/>
        <v/>
      </c>
      <c r="M83" s="19" t="str">
        <f t="shared" si="34"/>
        <v/>
      </c>
      <c r="N83" s="19" t="str">
        <f t="shared" si="44"/>
        <v/>
      </c>
      <c r="O83" s="19" t="str">
        <f t="shared" si="35"/>
        <v/>
      </c>
      <c r="P83" s="19" t="str">
        <f t="shared" si="36"/>
        <v/>
      </c>
      <c r="Q83" s="19" t="str">
        <f t="shared" si="37"/>
        <v/>
      </c>
      <c r="R83" s="19" t="str">
        <f t="shared" si="45"/>
        <v/>
      </c>
      <c r="S83" s="27" t="str">
        <f t="shared" si="43"/>
        <v/>
      </c>
      <c r="T83" s="28" t="str">
        <f t="shared" si="43"/>
        <v/>
      </c>
      <c r="U83" s="28" t="str">
        <f t="shared" si="43"/>
        <v/>
      </c>
      <c r="V83" s="28" t="str">
        <f t="shared" si="43"/>
        <v/>
      </c>
      <c r="W83" s="28" t="str">
        <f t="shared" si="43"/>
        <v/>
      </c>
      <c r="X83" s="29" t="str">
        <f t="shared" si="43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9"/>
        <v/>
      </c>
      <c r="M84" s="19" t="str">
        <f t="shared" si="34"/>
        <v/>
      </c>
      <c r="N84" s="19" t="str">
        <f t="shared" si="44"/>
        <v/>
      </c>
      <c r="O84" s="19" t="str">
        <f t="shared" si="35"/>
        <v/>
      </c>
      <c r="P84" s="19" t="str">
        <f t="shared" si="36"/>
        <v/>
      </c>
      <c r="Q84" s="19" t="str">
        <f t="shared" si="37"/>
        <v/>
      </c>
      <c r="R84" s="19" t="str">
        <f t="shared" si="45"/>
        <v/>
      </c>
      <c r="S84" s="27" t="str">
        <f t="shared" si="43"/>
        <v/>
      </c>
      <c r="T84" s="28" t="str">
        <f t="shared" si="43"/>
        <v/>
      </c>
      <c r="U84" s="28" t="str">
        <f t="shared" si="43"/>
        <v/>
      </c>
      <c r="V84" s="28" t="str">
        <f t="shared" si="43"/>
        <v/>
      </c>
      <c r="W84" s="28" t="str">
        <f t="shared" si="43"/>
        <v/>
      </c>
      <c r="X84" s="29" t="str">
        <f t="shared" si="43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9"/>
        <v/>
      </c>
      <c r="M85" s="19" t="str">
        <f t="shared" si="34"/>
        <v/>
      </c>
      <c r="N85" s="19" t="str">
        <f t="shared" si="44"/>
        <v/>
      </c>
      <c r="O85" s="19" t="str">
        <f t="shared" si="35"/>
        <v/>
      </c>
      <c r="P85" s="19" t="str">
        <f t="shared" si="36"/>
        <v/>
      </c>
      <c r="Q85" s="19" t="str">
        <f t="shared" si="37"/>
        <v/>
      </c>
      <c r="R85" s="19" t="str">
        <f t="shared" si="45"/>
        <v/>
      </c>
      <c r="S85" s="27" t="str">
        <f t="shared" si="43"/>
        <v/>
      </c>
      <c r="T85" s="28" t="str">
        <f t="shared" si="43"/>
        <v/>
      </c>
      <c r="U85" s="28" t="str">
        <f t="shared" si="43"/>
        <v/>
      </c>
      <c r="V85" s="28" t="str">
        <f t="shared" si="43"/>
        <v/>
      </c>
      <c r="W85" s="28" t="str">
        <f t="shared" si="43"/>
        <v/>
      </c>
      <c r="X85" s="29" t="str">
        <f t="shared" si="43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9"/>
        <v/>
      </c>
      <c r="M86" s="19" t="str">
        <f t="shared" si="34"/>
        <v/>
      </c>
      <c r="N86" s="19" t="str">
        <f t="shared" si="44"/>
        <v/>
      </c>
      <c r="O86" s="19" t="str">
        <f t="shared" si="35"/>
        <v/>
      </c>
      <c r="P86" s="19" t="str">
        <f t="shared" si="36"/>
        <v/>
      </c>
      <c r="Q86" s="19" t="str">
        <f t="shared" si="37"/>
        <v/>
      </c>
      <c r="R86" s="19" t="str">
        <f t="shared" si="45"/>
        <v/>
      </c>
      <c r="S86" s="27" t="str">
        <f t="shared" si="43"/>
        <v/>
      </c>
      <c r="T86" s="28" t="str">
        <f t="shared" si="43"/>
        <v/>
      </c>
      <c r="U86" s="28" t="str">
        <f t="shared" si="43"/>
        <v/>
      </c>
      <c r="V86" s="28" t="str">
        <f t="shared" si="43"/>
        <v/>
      </c>
      <c r="W86" s="28" t="str">
        <f t="shared" si="43"/>
        <v/>
      </c>
      <c r="X86" s="29" t="str">
        <f t="shared" si="43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9"/>
        <v/>
      </c>
      <c r="M87" s="19" t="str">
        <f t="shared" si="34"/>
        <v/>
      </c>
      <c r="N87" s="19" t="str">
        <f t="shared" si="44"/>
        <v/>
      </c>
      <c r="O87" s="19" t="str">
        <f t="shared" si="35"/>
        <v/>
      </c>
      <c r="P87" s="19" t="str">
        <f t="shared" si="36"/>
        <v/>
      </c>
      <c r="Q87" s="19" t="str">
        <f t="shared" si="37"/>
        <v/>
      </c>
      <c r="R87" s="19" t="str">
        <f t="shared" si="45"/>
        <v/>
      </c>
      <c r="S87" s="27" t="str">
        <f t="shared" si="43"/>
        <v/>
      </c>
      <c r="T87" s="28" t="str">
        <f t="shared" si="43"/>
        <v/>
      </c>
      <c r="U87" s="28" t="str">
        <f t="shared" si="43"/>
        <v/>
      </c>
      <c r="V87" s="28" t="str">
        <f t="shared" si="43"/>
        <v/>
      </c>
      <c r="W87" s="28" t="str">
        <f t="shared" si="43"/>
        <v/>
      </c>
      <c r="X87" s="29" t="str">
        <f t="shared" si="43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9"/>
        <v/>
      </c>
      <c r="M88" s="19" t="str">
        <f t="shared" si="34"/>
        <v/>
      </c>
      <c r="N88" s="19" t="str">
        <f t="shared" si="44"/>
        <v/>
      </c>
      <c r="O88" s="19" t="str">
        <f t="shared" si="35"/>
        <v/>
      </c>
      <c r="P88" s="19" t="str">
        <f t="shared" si="36"/>
        <v/>
      </c>
      <c r="Q88" s="19" t="str">
        <f t="shared" si="37"/>
        <v/>
      </c>
      <c r="R88" s="19" t="str">
        <f t="shared" si="45"/>
        <v/>
      </c>
      <c r="S88" s="27" t="str">
        <f t="shared" si="43"/>
        <v/>
      </c>
      <c r="T88" s="28" t="str">
        <f t="shared" si="43"/>
        <v/>
      </c>
      <c r="U88" s="28" t="str">
        <f t="shared" si="43"/>
        <v/>
      </c>
      <c r="V88" s="28" t="str">
        <f t="shared" si="43"/>
        <v/>
      </c>
      <c r="W88" s="28" t="str">
        <f t="shared" si="43"/>
        <v/>
      </c>
      <c r="X88" s="29" t="str">
        <f t="shared" si="43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9"/>
        <v/>
      </c>
      <c r="M89" s="19" t="str">
        <f t="shared" si="34"/>
        <v/>
      </c>
      <c r="N89" s="19" t="str">
        <f t="shared" si="44"/>
        <v/>
      </c>
      <c r="O89" s="19" t="str">
        <f t="shared" si="35"/>
        <v/>
      </c>
      <c r="P89" s="19" t="str">
        <f t="shared" si="36"/>
        <v/>
      </c>
      <c r="Q89" s="19" t="str">
        <f t="shared" si="37"/>
        <v/>
      </c>
      <c r="R89" s="19" t="str">
        <f t="shared" si="45"/>
        <v/>
      </c>
      <c r="S89" s="27" t="str">
        <f t="shared" si="43"/>
        <v/>
      </c>
      <c r="T89" s="28" t="str">
        <f t="shared" si="43"/>
        <v/>
      </c>
      <c r="U89" s="28" t="str">
        <f t="shared" si="43"/>
        <v/>
      </c>
      <c r="V89" s="28" t="str">
        <f t="shared" si="43"/>
        <v/>
      </c>
      <c r="W89" s="28" t="str">
        <f t="shared" si="43"/>
        <v/>
      </c>
      <c r="X89" s="29" t="str">
        <f t="shared" si="43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9"/>
        <v/>
      </c>
      <c r="M90" s="19" t="str">
        <f t="shared" si="34"/>
        <v/>
      </c>
      <c r="N90" s="19" t="str">
        <f t="shared" si="44"/>
        <v/>
      </c>
      <c r="O90" s="19" t="str">
        <f t="shared" si="35"/>
        <v/>
      </c>
      <c r="P90" s="19" t="str">
        <f t="shared" si="36"/>
        <v/>
      </c>
      <c r="Q90" s="19" t="str">
        <f t="shared" si="37"/>
        <v/>
      </c>
      <c r="R90" s="19" t="str">
        <f t="shared" si="45"/>
        <v/>
      </c>
      <c r="S90" s="27" t="str">
        <f t="shared" si="43"/>
        <v/>
      </c>
      <c r="T90" s="28" t="str">
        <f t="shared" si="43"/>
        <v/>
      </c>
      <c r="U90" s="28" t="str">
        <f t="shared" si="43"/>
        <v/>
      </c>
      <c r="V90" s="28" t="str">
        <f t="shared" si="43"/>
        <v/>
      </c>
      <c r="W90" s="28" t="str">
        <f t="shared" si="43"/>
        <v/>
      </c>
      <c r="X90" s="29" t="str">
        <f t="shared" si="43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9"/>
        <v/>
      </c>
      <c r="M91" s="19" t="str">
        <f t="shared" si="34"/>
        <v/>
      </c>
      <c r="N91" s="19" t="str">
        <f t="shared" si="44"/>
        <v/>
      </c>
      <c r="O91" s="19" t="str">
        <f t="shared" si="35"/>
        <v/>
      </c>
      <c r="P91" s="19" t="str">
        <f t="shared" si="36"/>
        <v/>
      </c>
      <c r="Q91" s="19" t="str">
        <f t="shared" si="37"/>
        <v/>
      </c>
      <c r="R91" s="19" t="str">
        <f t="shared" si="45"/>
        <v/>
      </c>
      <c r="S91" s="27" t="str">
        <f t="shared" si="43"/>
        <v/>
      </c>
      <c r="T91" s="28" t="str">
        <f t="shared" si="43"/>
        <v/>
      </c>
      <c r="U91" s="28" t="str">
        <f t="shared" si="43"/>
        <v/>
      </c>
      <c r="V91" s="28" t="str">
        <f t="shared" si="43"/>
        <v/>
      </c>
      <c r="W91" s="28" t="str">
        <f t="shared" si="43"/>
        <v/>
      </c>
      <c r="X91" s="29" t="str">
        <f t="shared" si="43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9"/>
        <v/>
      </c>
      <c r="M92" s="19" t="str">
        <f t="shared" si="34"/>
        <v/>
      </c>
      <c r="N92" s="19" t="str">
        <f t="shared" si="44"/>
        <v/>
      </c>
      <c r="O92" s="19" t="str">
        <f t="shared" si="35"/>
        <v/>
      </c>
      <c r="P92" s="19" t="str">
        <f t="shared" si="36"/>
        <v/>
      </c>
      <c r="Q92" s="19" t="str">
        <f t="shared" si="37"/>
        <v/>
      </c>
      <c r="R92" s="19" t="str">
        <f t="shared" si="45"/>
        <v/>
      </c>
      <c r="S92" s="27" t="str">
        <f t="shared" si="43"/>
        <v/>
      </c>
      <c r="T92" s="28" t="str">
        <f t="shared" si="43"/>
        <v/>
      </c>
      <c r="U92" s="28" t="str">
        <f t="shared" si="43"/>
        <v/>
      </c>
      <c r="V92" s="28" t="str">
        <f t="shared" si="43"/>
        <v/>
      </c>
      <c r="W92" s="28" t="str">
        <f t="shared" si="43"/>
        <v/>
      </c>
      <c r="X92" s="29" t="str">
        <f t="shared" si="43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9"/>
        <v/>
      </c>
      <c r="M93" s="19" t="str">
        <f t="shared" si="34"/>
        <v/>
      </c>
      <c r="N93" s="19" t="str">
        <f t="shared" si="44"/>
        <v/>
      </c>
      <c r="O93" s="19" t="str">
        <f t="shared" si="35"/>
        <v/>
      </c>
      <c r="P93" s="19" t="str">
        <f t="shared" si="36"/>
        <v/>
      </c>
      <c r="Q93" s="19" t="str">
        <f t="shared" si="37"/>
        <v/>
      </c>
      <c r="R93" s="19" t="str">
        <f t="shared" si="45"/>
        <v/>
      </c>
      <c r="S93" s="27" t="str">
        <f t="shared" si="43"/>
        <v/>
      </c>
      <c r="T93" s="28" t="str">
        <f t="shared" si="43"/>
        <v/>
      </c>
      <c r="U93" s="28" t="str">
        <f t="shared" si="43"/>
        <v/>
      </c>
      <c r="V93" s="28" t="str">
        <f t="shared" si="43"/>
        <v/>
      </c>
      <c r="W93" s="28" t="str">
        <f t="shared" si="43"/>
        <v/>
      </c>
      <c r="X93" s="29" t="str">
        <f t="shared" si="43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9"/>
        <v/>
      </c>
      <c r="M94" s="19" t="str">
        <f t="shared" si="34"/>
        <v/>
      </c>
      <c r="N94" s="19" t="str">
        <f t="shared" si="44"/>
        <v/>
      </c>
      <c r="O94" s="19" t="str">
        <f t="shared" si="35"/>
        <v/>
      </c>
      <c r="P94" s="19" t="str">
        <f t="shared" si="36"/>
        <v/>
      </c>
      <c r="Q94" s="19" t="str">
        <f t="shared" si="37"/>
        <v/>
      </c>
      <c r="R94" s="19" t="str">
        <f t="shared" si="45"/>
        <v/>
      </c>
      <c r="S94" s="27" t="str">
        <f t="shared" si="43"/>
        <v/>
      </c>
      <c r="T94" s="28" t="str">
        <f t="shared" si="43"/>
        <v/>
      </c>
      <c r="U94" s="28" t="str">
        <f t="shared" si="43"/>
        <v/>
      </c>
      <c r="V94" s="28" t="str">
        <f t="shared" si="43"/>
        <v/>
      </c>
      <c r="W94" s="28" t="str">
        <f t="shared" si="43"/>
        <v/>
      </c>
      <c r="X94" s="29" t="str">
        <f t="shared" si="43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9"/>
        <v/>
      </c>
      <c r="M95" s="19" t="str">
        <f t="shared" si="34"/>
        <v/>
      </c>
      <c r="N95" s="19" t="str">
        <f t="shared" si="44"/>
        <v/>
      </c>
      <c r="O95" s="19" t="str">
        <f t="shared" si="35"/>
        <v/>
      </c>
      <c r="P95" s="19" t="str">
        <f t="shared" si="36"/>
        <v/>
      </c>
      <c r="Q95" s="19" t="str">
        <f t="shared" si="37"/>
        <v/>
      </c>
      <c r="R95" s="19" t="str">
        <f t="shared" si="45"/>
        <v/>
      </c>
      <c r="S95" s="27" t="str">
        <f t="shared" si="43"/>
        <v/>
      </c>
      <c r="T95" s="28" t="str">
        <f t="shared" si="43"/>
        <v/>
      </c>
      <c r="U95" s="28" t="str">
        <f t="shared" si="43"/>
        <v/>
      </c>
      <c r="V95" s="28" t="str">
        <f t="shared" si="43"/>
        <v/>
      </c>
      <c r="W95" s="28" t="str">
        <f t="shared" si="43"/>
        <v/>
      </c>
      <c r="X95" s="29" t="str">
        <f t="shared" si="43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9"/>
        <v/>
      </c>
      <c r="M96" s="19" t="str">
        <f t="shared" si="34"/>
        <v/>
      </c>
      <c r="N96" s="19" t="str">
        <f t="shared" si="44"/>
        <v/>
      </c>
      <c r="O96" s="19" t="str">
        <f t="shared" si="35"/>
        <v/>
      </c>
      <c r="P96" s="19" t="str">
        <f t="shared" si="36"/>
        <v/>
      </c>
      <c r="Q96" s="19" t="str">
        <f t="shared" si="37"/>
        <v/>
      </c>
      <c r="R96" s="19" t="str">
        <f t="shared" si="45"/>
        <v/>
      </c>
      <c r="S96" s="27" t="str">
        <f t="shared" si="43"/>
        <v/>
      </c>
      <c r="T96" s="28" t="str">
        <f t="shared" si="43"/>
        <v/>
      </c>
      <c r="U96" s="28" t="str">
        <f t="shared" si="43"/>
        <v/>
      </c>
      <c r="V96" s="28" t="str">
        <f t="shared" si="43"/>
        <v/>
      </c>
      <c r="W96" s="28" t="str">
        <f t="shared" si="43"/>
        <v/>
      </c>
      <c r="X96" s="29" t="str">
        <f t="shared" si="43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9"/>
        <v/>
      </c>
      <c r="M97" s="19" t="str">
        <f t="shared" si="34"/>
        <v/>
      </c>
      <c r="N97" s="19" t="str">
        <f t="shared" si="44"/>
        <v/>
      </c>
      <c r="O97" s="19" t="str">
        <f t="shared" si="35"/>
        <v/>
      </c>
      <c r="P97" s="19" t="str">
        <f t="shared" si="36"/>
        <v/>
      </c>
      <c r="Q97" s="19" t="str">
        <f t="shared" si="37"/>
        <v/>
      </c>
      <c r="R97" s="19" t="str">
        <f t="shared" si="45"/>
        <v/>
      </c>
      <c r="S97" s="27" t="str">
        <f t="shared" ref="S97:X112" si="46">IF(C97="","",((C97-C96)*1000)/($B97-$B96))</f>
        <v/>
      </c>
      <c r="T97" s="28" t="str">
        <f t="shared" si="46"/>
        <v/>
      </c>
      <c r="U97" s="28" t="str">
        <f t="shared" si="46"/>
        <v/>
      </c>
      <c r="V97" s="28" t="str">
        <f t="shared" si="46"/>
        <v/>
      </c>
      <c r="W97" s="28" t="str">
        <f t="shared" si="46"/>
        <v/>
      </c>
      <c r="X97" s="29" t="str">
        <f t="shared" si="46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9"/>
        <v/>
      </c>
      <c r="M98" s="19" t="str">
        <f t="shared" si="34"/>
        <v/>
      </c>
      <c r="N98" s="19" t="str">
        <f t="shared" si="44"/>
        <v/>
      </c>
      <c r="O98" s="19" t="str">
        <f t="shared" si="35"/>
        <v/>
      </c>
      <c r="P98" s="19" t="str">
        <f t="shared" si="36"/>
        <v/>
      </c>
      <c r="Q98" s="19" t="str">
        <f t="shared" si="37"/>
        <v/>
      </c>
      <c r="R98" s="19" t="str">
        <f t="shared" si="45"/>
        <v/>
      </c>
      <c r="S98" s="27" t="str">
        <f t="shared" si="46"/>
        <v/>
      </c>
      <c r="T98" s="28" t="str">
        <f t="shared" si="46"/>
        <v/>
      </c>
      <c r="U98" s="28" t="str">
        <f t="shared" si="46"/>
        <v/>
      </c>
      <c r="V98" s="28" t="str">
        <f t="shared" si="46"/>
        <v/>
      </c>
      <c r="W98" s="28" t="str">
        <f t="shared" si="46"/>
        <v/>
      </c>
      <c r="X98" s="29" t="str">
        <f t="shared" si="46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9"/>
        <v/>
      </c>
      <c r="M99" s="19" t="str">
        <f t="shared" si="34"/>
        <v/>
      </c>
      <c r="N99" s="19" t="str">
        <f t="shared" si="44"/>
        <v/>
      </c>
      <c r="O99" s="19" t="str">
        <f t="shared" si="35"/>
        <v/>
      </c>
      <c r="P99" s="19" t="str">
        <f t="shared" si="36"/>
        <v/>
      </c>
      <c r="Q99" s="19" t="str">
        <f t="shared" si="37"/>
        <v/>
      </c>
      <c r="R99" s="19" t="str">
        <f t="shared" si="45"/>
        <v/>
      </c>
      <c r="S99" s="27" t="str">
        <f t="shared" si="46"/>
        <v/>
      </c>
      <c r="T99" s="28" t="str">
        <f t="shared" si="46"/>
        <v/>
      </c>
      <c r="U99" s="28" t="str">
        <f t="shared" si="46"/>
        <v/>
      </c>
      <c r="V99" s="28" t="str">
        <f t="shared" si="46"/>
        <v/>
      </c>
      <c r="W99" s="28" t="str">
        <f t="shared" si="46"/>
        <v/>
      </c>
      <c r="X99" s="29" t="str">
        <f t="shared" si="46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9"/>
        <v/>
      </c>
      <c r="M100" s="19" t="str">
        <f t="shared" si="34"/>
        <v/>
      </c>
      <c r="N100" s="19" t="str">
        <f t="shared" si="44"/>
        <v/>
      </c>
      <c r="O100" s="19" t="str">
        <f t="shared" si="35"/>
        <v/>
      </c>
      <c r="P100" s="19" t="str">
        <f t="shared" si="36"/>
        <v/>
      </c>
      <c r="Q100" s="19" t="str">
        <f t="shared" si="37"/>
        <v/>
      </c>
      <c r="R100" s="19" t="str">
        <f t="shared" si="45"/>
        <v/>
      </c>
      <c r="S100" s="27" t="str">
        <f t="shared" si="46"/>
        <v/>
      </c>
      <c r="T100" s="28" t="str">
        <f t="shared" si="46"/>
        <v/>
      </c>
      <c r="U100" s="28" t="str">
        <f t="shared" si="46"/>
        <v/>
      </c>
      <c r="V100" s="28" t="str">
        <f t="shared" si="46"/>
        <v/>
      </c>
      <c r="W100" s="28" t="str">
        <f t="shared" si="46"/>
        <v/>
      </c>
      <c r="X100" s="29" t="str">
        <f t="shared" si="46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9"/>
        <v/>
      </c>
      <c r="M101" s="19" t="str">
        <f t="shared" si="34"/>
        <v/>
      </c>
      <c r="N101" s="19" t="str">
        <f t="shared" si="44"/>
        <v/>
      </c>
      <c r="O101" s="19" t="str">
        <f t="shared" si="35"/>
        <v/>
      </c>
      <c r="P101" s="19" t="str">
        <f t="shared" si="36"/>
        <v/>
      </c>
      <c r="Q101" s="19" t="str">
        <f t="shared" si="37"/>
        <v/>
      </c>
      <c r="R101" s="19" t="str">
        <f t="shared" si="45"/>
        <v/>
      </c>
      <c r="S101" s="27" t="str">
        <f t="shared" si="46"/>
        <v/>
      </c>
      <c r="T101" s="28" t="str">
        <f t="shared" si="46"/>
        <v/>
      </c>
      <c r="U101" s="28" t="str">
        <f t="shared" si="46"/>
        <v/>
      </c>
      <c r="V101" s="28" t="str">
        <f t="shared" si="46"/>
        <v/>
      </c>
      <c r="W101" s="28" t="str">
        <f t="shared" si="46"/>
        <v/>
      </c>
      <c r="X101" s="29" t="str">
        <f t="shared" si="46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9"/>
        <v/>
      </c>
      <c r="M102" s="19" t="str">
        <f t="shared" si="34"/>
        <v/>
      </c>
      <c r="N102" s="19" t="str">
        <f t="shared" si="44"/>
        <v/>
      </c>
      <c r="O102" s="19" t="str">
        <f t="shared" si="35"/>
        <v/>
      </c>
      <c r="P102" s="19" t="str">
        <f t="shared" si="36"/>
        <v/>
      </c>
      <c r="Q102" s="19" t="str">
        <f t="shared" si="37"/>
        <v/>
      </c>
      <c r="R102" s="19" t="str">
        <f t="shared" si="45"/>
        <v/>
      </c>
      <c r="S102" s="27" t="str">
        <f t="shared" si="46"/>
        <v/>
      </c>
      <c r="T102" s="28" t="str">
        <f t="shared" si="46"/>
        <v/>
      </c>
      <c r="U102" s="28" t="str">
        <f t="shared" si="46"/>
        <v/>
      </c>
      <c r="V102" s="28" t="str">
        <f t="shared" si="46"/>
        <v/>
      </c>
      <c r="W102" s="28" t="str">
        <f t="shared" si="46"/>
        <v/>
      </c>
      <c r="X102" s="29" t="str">
        <f t="shared" si="46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9"/>
        <v/>
      </c>
      <c r="M103" s="19" t="str">
        <f t="shared" ref="M103:M153" si="47">IF(ISBLANK(D103),"",(D103-D$38)*1000)</f>
        <v/>
      </c>
      <c r="N103" s="19" t="str">
        <f t="shared" si="44"/>
        <v/>
      </c>
      <c r="O103" s="19" t="str">
        <f t="shared" ref="O103:O153" si="48">IF(ISBLANK(F103),"",(F103-F$38)*1000)</f>
        <v/>
      </c>
      <c r="P103" s="19" t="str">
        <f t="shared" ref="P103:P153" si="49">IF(ISBLANK(G103),"",(G103-G$38)*1000)</f>
        <v/>
      </c>
      <c r="Q103" s="19" t="str">
        <f t="shared" ref="Q103:Q153" si="50">IF(ISBLANK(H103),"",(H103-H$38)*1000)</f>
        <v/>
      </c>
      <c r="R103" s="19" t="str">
        <f t="shared" si="45"/>
        <v/>
      </c>
      <c r="S103" s="27" t="str">
        <f t="shared" si="46"/>
        <v/>
      </c>
      <c r="T103" s="28" t="str">
        <f t="shared" si="46"/>
        <v/>
      </c>
      <c r="U103" s="28" t="str">
        <f t="shared" si="46"/>
        <v/>
      </c>
      <c r="V103" s="28" t="str">
        <f t="shared" si="46"/>
        <v/>
      </c>
      <c r="W103" s="28" t="str">
        <f t="shared" si="46"/>
        <v/>
      </c>
      <c r="X103" s="29" t="str">
        <f t="shared" si="46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ref="L104:L153" si="51">IF(ISBLANK(C104),"",(C104-C$39)*1000)</f>
        <v/>
      </c>
      <c r="M104" s="19" t="str">
        <f t="shared" si="47"/>
        <v/>
      </c>
      <c r="N104" s="19" t="str">
        <f t="shared" si="44"/>
        <v/>
      </c>
      <c r="O104" s="19" t="str">
        <f t="shared" si="48"/>
        <v/>
      </c>
      <c r="P104" s="19" t="str">
        <f t="shared" si="49"/>
        <v/>
      </c>
      <c r="Q104" s="19" t="str">
        <f t="shared" si="50"/>
        <v/>
      </c>
      <c r="R104" s="19" t="str">
        <f t="shared" si="45"/>
        <v/>
      </c>
      <c r="S104" s="27" t="str">
        <f t="shared" si="46"/>
        <v/>
      </c>
      <c r="T104" s="28" t="str">
        <f t="shared" si="46"/>
        <v/>
      </c>
      <c r="U104" s="28" t="str">
        <f t="shared" si="46"/>
        <v/>
      </c>
      <c r="V104" s="28" t="str">
        <f t="shared" si="46"/>
        <v/>
      </c>
      <c r="W104" s="28" t="str">
        <f t="shared" si="46"/>
        <v/>
      </c>
      <c r="X104" s="29" t="str">
        <f t="shared" si="46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51"/>
        <v/>
      </c>
      <c r="M105" s="19" t="str">
        <f t="shared" si="47"/>
        <v/>
      </c>
      <c r="N105" s="19" t="str">
        <f t="shared" si="44"/>
        <v/>
      </c>
      <c r="O105" s="19" t="str">
        <f t="shared" si="48"/>
        <v/>
      </c>
      <c r="P105" s="19" t="str">
        <f t="shared" si="49"/>
        <v/>
      </c>
      <c r="Q105" s="19" t="str">
        <f t="shared" si="50"/>
        <v/>
      </c>
      <c r="R105" s="19" t="str">
        <f t="shared" si="45"/>
        <v/>
      </c>
      <c r="S105" s="27" t="str">
        <f t="shared" si="46"/>
        <v/>
      </c>
      <c r="T105" s="28" t="str">
        <f t="shared" si="46"/>
        <v/>
      </c>
      <c r="U105" s="28" t="str">
        <f t="shared" si="46"/>
        <v/>
      </c>
      <c r="V105" s="28" t="str">
        <f t="shared" si="46"/>
        <v/>
      </c>
      <c r="W105" s="28" t="str">
        <f t="shared" si="46"/>
        <v/>
      </c>
      <c r="X105" s="29" t="str">
        <f t="shared" si="46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51"/>
        <v/>
      </c>
      <c r="M106" s="19" t="str">
        <f t="shared" si="47"/>
        <v/>
      </c>
      <c r="N106" s="19" t="str">
        <f t="shared" si="44"/>
        <v/>
      </c>
      <c r="O106" s="19" t="str">
        <f t="shared" si="48"/>
        <v/>
      </c>
      <c r="P106" s="19" t="str">
        <f t="shared" si="49"/>
        <v/>
      </c>
      <c r="Q106" s="19" t="str">
        <f t="shared" si="50"/>
        <v/>
      </c>
      <c r="R106" s="19" t="str">
        <f t="shared" si="45"/>
        <v/>
      </c>
      <c r="S106" s="27" t="str">
        <f t="shared" si="46"/>
        <v/>
      </c>
      <c r="T106" s="28" t="str">
        <f t="shared" si="46"/>
        <v/>
      </c>
      <c r="U106" s="28" t="str">
        <f t="shared" si="46"/>
        <v/>
      </c>
      <c r="V106" s="28" t="str">
        <f t="shared" si="46"/>
        <v/>
      </c>
      <c r="W106" s="28" t="str">
        <f t="shared" si="46"/>
        <v/>
      </c>
      <c r="X106" s="29" t="str">
        <f t="shared" si="46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51"/>
        <v/>
      </c>
      <c r="M107" s="19" t="str">
        <f t="shared" si="47"/>
        <v/>
      </c>
      <c r="N107" s="19" t="str">
        <f t="shared" si="44"/>
        <v/>
      </c>
      <c r="O107" s="19" t="str">
        <f t="shared" si="48"/>
        <v/>
      </c>
      <c r="P107" s="19" t="str">
        <f t="shared" si="49"/>
        <v/>
      </c>
      <c r="Q107" s="19" t="str">
        <f t="shared" si="50"/>
        <v/>
      </c>
      <c r="R107" s="19" t="str">
        <f t="shared" si="45"/>
        <v/>
      </c>
      <c r="S107" s="27" t="str">
        <f t="shared" si="46"/>
        <v/>
      </c>
      <c r="T107" s="28" t="str">
        <f t="shared" si="46"/>
        <v/>
      </c>
      <c r="U107" s="28" t="str">
        <f t="shared" si="46"/>
        <v/>
      </c>
      <c r="V107" s="28" t="str">
        <f t="shared" si="46"/>
        <v/>
      </c>
      <c r="W107" s="28" t="str">
        <f t="shared" si="46"/>
        <v/>
      </c>
      <c r="X107" s="29" t="str">
        <f t="shared" si="46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51"/>
        <v/>
      </c>
      <c r="M108" s="19" t="str">
        <f t="shared" si="47"/>
        <v/>
      </c>
      <c r="N108" s="19" t="str">
        <f t="shared" si="44"/>
        <v/>
      </c>
      <c r="O108" s="19" t="str">
        <f t="shared" si="48"/>
        <v/>
      </c>
      <c r="P108" s="19" t="str">
        <f t="shared" si="49"/>
        <v/>
      </c>
      <c r="Q108" s="19" t="str">
        <f t="shared" si="50"/>
        <v/>
      </c>
      <c r="R108" s="19" t="str">
        <f t="shared" si="45"/>
        <v/>
      </c>
      <c r="S108" s="27" t="str">
        <f t="shared" si="46"/>
        <v/>
      </c>
      <c r="T108" s="28" t="str">
        <f t="shared" si="46"/>
        <v/>
      </c>
      <c r="U108" s="28" t="str">
        <f t="shared" si="46"/>
        <v/>
      </c>
      <c r="V108" s="28" t="str">
        <f t="shared" si="46"/>
        <v/>
      </c>
      <c r="W108" s="28" t="str">
        <f t="shared" si="46"/>
        <v/>
      </c>
      <c r="X108" s="29" t="str">
        <f t="shared" si="46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51"/>
        <v/>
      </c>
      <c r="M109" s="19" t="str">
        <f t="shared" si="47"/>
        <v/>
      </c>
      <c r="N109" s="19" t="str">
        <f t="shared" si="44"/>
        <v/>
      </c>
      <c r="O109" s="19" t="str">
        <f t="shared" si="48"/>
        <v/>
      </c>
      <c r="P109" s="19" t="str">
        <f t="shared" si="49"/>
        <v/>
      </c>
      <c r="Q109" s="19" t="str">
        <f t="shared" si="50"/>
        <v/>
      </c>
      <c r="R109" s="19" t="str">
        <f t="shared" si="45"/>
        <v/>
      </c>
      <c r="S109" s="27" t="str">
        <f t="shared" si="46"/>
        <v/>
      </c>
      <c r="T109" s="28" t="str">
        <f t="shared" si="46"/>
        <v/>
      </c>
      <c r="U109" s="28" t="str">
        <f t="shared" si="46"/>
        <v/>
      </c>
      <c r="V109" s="28" t="str">
        <f t="shared" si="46"/>
        <v/>
      </c>
      <c r="W109" s="28" t="str">
        <f t="shared" si="46"/>
        <v/>
      </c>
      <c r="X109" s="29" t="str">
        <f t="shared" si="46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51"/>
        <v/>
      </c>
      <c r="M110" s="19" t="str">
        <f t="shared" si="47"/>
        <v/>
      </c>
      <c r="N110" s="19" t="str">
        <f t="shared" si="44"/>
        <v/>
      </c>
      <c r="O110" s="19" t="str">
        <f t="shared" si="48"/>
        <v/>
      </c>
      <c r="P110" s="19" t="str">
        <f t="shared" si="49"/>
        <v/>
      </c>
      <c r="Q110" s="19" t="str">
        <f t="shared" si="50"/>
        <v/>
      </c>
      <c r="R110" s="19" t="str">
        <f t="shared" si="45"/>
        <v/>
      </c>
      <c r="S110" s="27" t="str">
        <f t="shared" si="46"/>
        <v/>
      </c>
      <c r="T110" s="28" t="str">
        <f t="shared" si="46"/>
        <v/>
      </c>
      <c r="U110" s="28" t="str">
        <f t="shared" si="46"/>
        <v/>
      </c>
      <c r="V110" s="28" t="str">
        <f t="shared" si="46"/>
        <v/>
      </c>
      <c r="W110" s="28" t="str">
        <f t="shared" si="46"/>
        <v/>
      </c>
      <c r="X110" s="29" t="str">
        <f t="shared" si="46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51"/>
        <v/>
      </c>
      <c r="M111" s="19" t="str">
        <f t="shared" si="47"/>
        <v/>
      </c>
      <c r="N111" s="19" t="str">
        <f t="shared" si="44"/>
        <v/>
      </c>
      <c r="O111" s="19" t="str">
        <f t="shared" si="48"/>
        <v/>
      </c>
      <c r="P111" s="19" t="str">
        <f t="shared" si="49"/>
        <v/>
      </c>
      <c r="Q111" s="19" t="str">
        <f t="shared" si="50"/>
        <v/>
      </c>
      <c r="R111" s="19" t="str">
        <f t="shared" si="45"/>
        <v/>
      </c>
      <c r="S111" s="27" t="str">
        <f t="shared" si="46"/>
        <v/>
      </c>
      <c r="T111" s="28" t="str">
        <f t="shared" si="46"/>
        <v/>
      </c>
      <c r="U111" s="28" t="str">
        <f t="shared" si="46"/>
        <v/>
      </c>
      <c r="V111" s="28" t="str">
        <f t="shared" si="46"/>
        <v/>
      </c>
      <c r="W111" s="28" t="str">
        <f t="shared" si="46"/>
        <v/>
      </c>
      <c r="X111" s="29" t="str">
        <f t="shared" si="46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51"/>
        <v/>
      </c>
      <c r="M112" s="19" t="str">
        <f t="shared" si="47"/>
        <v/>
      </c>
      <c r="N112" s="19" t="str">
        <f t="shared" si="44"/>
        <v/>
      </c>
      <c r="O112" s="19" t="str">
        <f t="shared" si="48"/>
        <v/>
      </c>
      <c r="P112" s="19" t="str">
        <f t="shared" si="49"/>
        <v/>
      </c>
      <c r="Q112" s="19" t="str">
        <f t="shared" si="50"/>
        <v/>
      </c>
      <c r="R112" s="19" t="str">
        <f t="shared" si="45"/>
        <v/>
      </c>
      <c r="S112" s="27" t="str">
        <f t="shared" si="46"/>
        <v/>
      </c>
      <c r="T112" s="28" t="str">
        <f t="shared" si="46"/>
        <v/>
      </c>
      <c r="U112" s="28" t="str">
        <f t="shared" si="46"/>
        <v/>
      </c>
      <c r="V112" s="28" t="str">
        <f t="shared" si="46"/>
        <v/>
      </c>
      <c r="W112" s="28" t="str">
        <f t="shared" si="46"/>
        <v/>
      </c>
      <c r="X112" s="29" t="str">
        <f t="shared" si="46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51"/>
        <v/>
      </c>
      <c r="M113" s="19" t="str">
        <f t="shared" si="47"/>
        <v/>
      </c>
      <c r="N113" s="19" t="str">
        <f t="shared" si="44"/>
        <v/>
      </c>
      <c r="O113" s="19" t="str">
        <f t="shared" si="48"/>
        <v/>
      </c>
      <c r="P113" s="19" t="str">
        <f t="shared" si="49"/>
        <v/>
      </c>
      <c r="Q113" s="19" t="str">
        <f t="shared" si="50"/>
        <v/>
      </c>
      <c r="R113" s="19" t="str">
        <f t="shared" si="45"/>
        <v/>
      </c>
      <c r="S113" s="27" t="str">
        <f t="shared" ref="S113:X128" si="52">IF(C113="","",((C113-C112)*1000)/($B113-$B112))</f>
        <v/>
      </c>
      <c r="T113" s="28" t="str">
        <f t="shared" si="52"/>
        <v/>
      </c>
      <c r="U113" s="28" t="str">
        <f t="shared" si="52"/>
        <v/>
      </c>
      <c r="V113" s="28" t="str">
        <f t="shared" si="52"/>
        <v/>
      </c>
      <c r="W113" s="28" t="str">
        <f t="shared" si="52"/>
        <v/>
      </c>
      <c r="X113" s="29" t="str">
        <f t="shared" si="52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51"/>
        <v/>
      </c>
      <c r="M114" s="19" t="str">
        <f t="shared" si="47"/>
        <v/>
      </c>
      <c r="N114" s="19" t="str">
        <f t="shared" si="44"/>
        <v/>
      </c>
      <c r="O114" s="19" t="str">
        <f t="shared" si="48"/>
        <v/>
      </c>
      <c r="P114" s="19" t="str">
        <f t="shared" si="49"/>
        <v/>
      </c>
      <c r="Q114" s="19" t="str">
        <f t="shared" si="50"/>
        <v/>
      </c>
      <c r="R114" s="19" t="str">
        <f t="shared" si="45"/>
        <v/>
      </c>
      <c r="S114" s="27" t="str">
        <f t="shared" si="52"/>
        <v/>
      </c>
      <c r="T114" s="28" t="str">
        <f t="shared" si="52"/>
        <v/>
      </c>
      <c r="U114" s="28" t="str">
        <f t="shared" si="52"/>
        <v/>
      </c>
      <c r="V114" s="28" t="str">
        <f t="shared" si="52"/>
        <v/>
      </c>
      <c r="W114" s="28" t="str">
        <f t="shared" si="52"/>
        <v/>
      </c>
      <c r="X114" s="29" t="str">
        <f t="shared" si="52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51"/>
        <v/>
      </c>
      <c r="M115" s="19" t="str">
        <f t="shared" si="47"/>
        <v/>
      </c>
      <c r="N115" s="19" t="str">
        <f t="shared" si="44"/>
        <v/>
      </c>
      <c r="O115" s="19" t="str">
        <f t="shared" si="48"/>
        <v/>
      </c>
      <c r="P115" s="19" t="str">
        <f t="shared" si="49"/>
        <v/>
      </c>
      <c r="Q115" s="19" t="str">
        <f t="shared" si="50"/>
        <v/>
      </c>
      <c r="R115" s="19" t="str">
        <f t="shared" si="45"/>
        <v/>
      </c>
      <c r="S115" s="27" t="str">
        <f t="shared" si="52"/>
        <v/>
      </c>
      <c r="T115" s="28" t="str">
        <f t="shared" si="52"/>
        <v/>
      </c>
      <c r="U115" s="28" t="str">
        <f t="shared" si="52"/>
        <v/>
      </c>
      <c r="V115" s="28" t="str">
        <f t="shared" si="52"/>
        <v/>
      </c>
      <c r="W115" s="28" t="str">
        <f t="shared" si="52"/>
        <v/>
      </c>
      <c r="X115" s="29" t="str">
        <f t="shared" si="52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51"/>
        <v/>
      </c>
      <c r="M116" s="19" t="str">
        <f t="shared" si="47"/>
        <v/>
      </c>
      <c r="N116" s="19" t="str">
        <f t="shared" si="44"/>
        <v/>
      </c>
      <c r="O116" s="19" t="str">
        <f t="shared" si="48"/>
        <v/>
      </c>
      <c r="P116" s="19" t="str">
        <f t="shared" si="49"/>
        <v/>
      </c>
      <c r="Q116" s="19" t="str">
        <f t="shared" si="50"/>
        <v/>
      </c>
      <c r="R116" s="19" t="str">
        <f t="shared" si="45"/>
        <v/>
      </c>
      <c r="S116" s="27" t="str">
        <f t="shared" si="52"/>
        <v/>
      </c>
      <c r="T116" s="28" t="str">
        <f t="shared" si="52"/>
        <v/>
      </c>
      <c r="U116" s="28" t="str">
        <f t="shared" si="52"/>
        <v/>
      </c>
      <c r="V116" s="28" t="str">
        <f t="shared" si="52"/>
        <v/>
      </c>
      <c r="W116" s="28" t="str">
        <f t="shared" si="52"/>
        <v/>
      </c>
      <c r="X116" s="29" t="str">
        <f t="shared" si="52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51"/>
        <v/>
      </c>
      <c r="M117" s="19" t="str">
        <f t="shared" si="47"/>
        <v/>
      </c>
      <c r="N117" s="19" t="str">
        <f t="shared" si="44"/>
        <v/>
      </c>
      <c r="O117" s="19" t="str">
        <f t="shared" si="48"/>
        <v/>
      </c>
      <c r="P117" s="19" t="str">
        <f t="shared" si="49"/>
        <v/>
      </c>
      <c r="Q117" s="19" t="str">
        <f t="shared" si="50"/>
        <v/>
      </c>
      <c r="R117" s="19" t="str">
        <f t="shared" si="45"/>
        <v/>
      </c>
      <c r="S117" s="27" t="str">
        <f t="shared" si="52"/>
        <v/>
      </c>
      <c r="T117" s="28" t="str">
        <f t="shared" si="52"/>
        <v/>
      </c>
      <c r="U117" s="28" t="str">
        <f t="shared" si="52"/>
        <v/>
      </c>
      <c r="V117" s="28" t="str">
        <f t="shared" si="52"/>
        <v/>
      </c>
      <c r="W117" s="28" t="str">
        <f t="shared" si="52"/>
        <v/>
      </c>
      <c r="X117" s="29" t="str">
        <f t="shared" si="52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51"/>
        <v/>
      </c>
      <c r="M118" s="19" t="str">
        <f t="shared" si="47"/>
        <v/>
      </c>
      <c r="N118" s="19" t="str">
        <f t="shared" si="44"/>
        <v/>
      </c>
      <c r="O118" s="19" t="str">
        <f t="shared" si="48"/>
        <v/>
      </c>
      <c r="P118" s="19" t="str">
        <f t="shared" si="49"/>
        <v/>
      </c>
      <c r="Q118" s="19" t="str">
        <f t="shared" si="50"/>
        <v/>
      </c>
      <c r="R118" s="19" t="str">
        <f t="shared" si="45"/>
        <v/>
      </c>
      <c r="S118" s="27" t="str">
        <f t="shared" si="52"/>
        <v/>
      </c>
      <c r="T118" s="28" t="str">
        <f t="shared" si="52"/>
        <v/>
      </c>
      <c r="U118" s="28" t="str">
        <f t="shared" si="52"/>
        <v/>
      </c>
      <c r="V118" s="28" t="str">
        <f t="shared" si="52"/>
        <v/>
      </c>
      <c r="W118" s="28" t="str">
        <f t="shared" si="52"/>
        <v/>
      </c>
      <c r="X118" s="29" t="str">
        <f t="shared" si="52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51"/>
        <v/>
      </c>
      <c r="M119" s="19" t="str">
        <f t="shared" si="47"/>
        <v/>
      </c>
      <c r="N119" s="19" t="str">
        <f t="shared" si="44"/>
        <v/>
      </c>
      <c r="O119" s="19" t="str">
        <f t="shared" si="48"/>
        <v/>
      </c>
      <c r="P119" s="19" t="str">
        <f t="shared" si="49"/>
        <v/>
      </c>
      <c r="Q119" s="19" t="str">
        <f t="shared" si="50"/>
        <v/>
      </c>
      <c r="R119" s="19" t="str">
        <f t="shared" si="45"/>
        <v/>
      </c>
      <c r="S119" s="27" t="str">
        <f t="shared" si="52"/>
        <v/>
      </c>
      <c r="T119" s="28" t="str">
        <f t="shared" si="52"/>
        <v/>
      </c>
      <c r="U119" s="28" t="str">
        <f t="shared" si="52"/>
        <v/>
      </c>
      <c r="V119" s="28" t="str">
        <f t="shared" si="52"/>
        <v/>
      </c>
      <c r="W119" s="28" t="str">
        <f t="shared" si="52"/>
        <v/>
      </c>
      <c r="X119" s="29" t="str">
        <f t="shared" si="52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51"/>
        <v/>
      </c>
      <c r="M120" s="19" t="str">
        <f t="shared" si="47"/>
        <v/>
      </c>
      <c r="N120" s="19" t="str">
        <f t="shared" si="44"/>
        <v/>
      </c>
      <c r="O120" s="19" t="str">
        <f t="shared" si="48"/>
        <v/>
      </c>
      <c r="P120" s="19" t="str">
        <f t="shared" si="49"/>
        <v/>
      </c>
      <c r="Q120" s="19" t="str">
        <f t="shared" si="50"/>
        <v/>
      </c>
      <c r="R120" s="19" t="str">
        <f t="shared" si="45"/>
        <v/>
      </c>
      <c r="S120" s="27" t="str">
        <f t="shared" si="52"/>
        <v/>
      </c>
      <c r="T120" s="28" t="str">
        <f t="shared" si="52"/>
        <v/>
      </c>
      <c r="U120" s="28" t="str">
        <f t="shared" si="52"/>
        <v/>
      </c>
      <c r="V120" s="28" t="str">
        <f t="shared" si="52"/>
        <v/>
      </c>
      <c r="W120" s="28" t="str">
        <f t="shared" si="52"/>
        <v/>
      </c>
      <c r="X120" s="29" t="str">
        <f t="shared" si="52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51"/>
        <v/>
      </c>
      <c r="M121" s="19" t="str">
        <f t="shared" si="47"/>
        <v/>
      </c>
      <c r="N121" s="19" t="str">
        <f t="shared" si="44"/>
        <v/>
      </c>
      <c r="O121" s="19" t="str">
        <f t="shared" si="48"/>
        <v/>
      </c>
      <c r="P121" s="19" t="str">
        <f t="shared" si="49"/>
        <v/>
      </c>
      <c r="Q121" s="19" t="str">
        <f t="shared" si="50"/>
        <v/>
      </c>
      <c r="R121" s="19" t="str">
        <f t="shared" si="45"/>
        <v/>
      </c>
      <c r="S121" s="27" t="str">
        <f t="shared" si="52"/>
        <v/>
      </c>
      <c r="T121" s="28" t="str">
        <f t="shared" si="52"/>
        <v/>
      </c>
      <c r="U121" s="28" t="str">
        <f t="shared" si="52"/>
        <v/>
      </c>
      <c r="V121" s="28" t="str">
        <f t="shared" si="52"/>
        <v/>
      </c>
      <c r="W121" s="28" t="str">
        <f t="shared" si="52"/>
        <v/>
      </c>
      <c r="X121" s="29" t="str">
        <f t="shared" si="52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51"/>
        <v/>
      </c>
      <c r="M122" s="19" t="str">
        <f t="shared" si="47"/>
        <v/>
      </c>
      <c r="N122" s="19" t="str">
        <f t="shared" si="44"/>
        <v/>
      </c>
      <c r="O122" s="19" t="str">
        <f t="shared" si="48"/>
        <v/>
      </c>
      <c r="P122" s="19" t="str">
        <f t="shared" si="49"/>
        <v/>
      </c>
      <c r="Q122" s="19" t="str">
        <f t="shared" si="50"/>
        <v/>
      </c>
      <c r="R122" s="19" t="str">
        <f t="shared" si="45"/>
        <v/>
      </c>
      <c r="S122" s="27" t="str">
        <f t="shared" si="52"/>
        <v/>
      </c>
      <c r="T122" s="28" t="str">
        <f t="shared" si="52"/>
        <v/>
      </c>
      <c r="U122" s="28" t="str">
        <f t="shared" si="52"/>
        <v/>
      </c>
      <c r="V122" s="28" t="str">
        <f t="shared" si="52"/>
        <v/>
      </c>
      <c r="W122" s="28" t="str">
        <f t="shared" si="52"/>
        <v/>
      </c>
      <c r="X122" s="29" t="str">
        <f t="shared" si="52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51"/>
        <v/>
      </c>
      <c r="M123" s="19" t="str">
        <f t="shared" si="47"/>
        <v/>
      </c>
      <c r="N123" s="19" t="str">
        <f t="shared" si="44"/>
        <v/>
      </c>
      <c r="O123" s="19" t="str">
        <f t="shared" si="48"/>
        <v/>
      </c>
      <c r="P123" s="19" t="str">
        <f t="shared" si="49"/>
        <v/>
      </c>
      <c r="Q123" s="19" t="str">
        <f t="shared" si="50"/>
        <v/>
      </c>
      <c r="R123" s="19" t="str">
        <f t="shared" si="45"/>
        <v/>
      </c>
      <c r="S123" s="27" t="str">
        <f t="shared" si="52"/>
        <v/>
      </c>
      <c r="T123" s="28" t="str">
        <f t="shared" si="52"/>
        <v/>
      </c>
      <c r="U123" s="28" t="str">
        <f t="shared" si="52"/>
        <v/>
      </c>
      <c r="V123" s="28" t="str">
        <f t="shared" si="52"/>
        <v/>
      </c>
      <c r="W123" s="28" t="str">
        <f t="shared" si="52"/>
        <v/>
      </c>
      <c r="X123" s="29" t="str">
        <f t="shared" si="52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51"/>
        <v/>
      </c>
      <c r="M124" s="19" t="str">
        <f t="shared" si="47"/>
        <v/>
      </c>
      <c r="N124" s="19" t="str">
        <f t="shared" si="44"/>
        <v/>
      </c>
      <c r="O124" s="19" t="str">
        <f t="shared" si="48"/>
        <v/>
      </c>
      <c r="P124" s="19" t="str">
        <f t="shared" si="49"/>
        <v/>
      </c>
      <c r="Q124" s="19" t="str">
        <f t="shared" si="50"/>
        <v/>
      </c>
      <c r="R124" s="19" t="str">
        <f t="shared" si="45"/>
        <v/>
      </c>
      <c r="S124" s="27" t="str">
        <f t="shared" si="52"/>
        <v/>
      </c>
      <c r="T124" s="28" t="str">
        <f t="shared" si="52"/>
        <v/>
      </c>
      <c r="U124" s="28" t="str">
        <f t="shared" si="52"/>
        <v/>
      </c>
      <c r="V124" s="28" t="str">
        <f t="shared" si="52"/>
        <v/>
      </c>
      <c r="W124" s="28" t="str">
        <f t="shared" si="52"/>
        <v/>
      </c>
      <c r="X124" s="29" t="str">
        <f t="shared" si="52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51"/>
        <v/>
      </c>
      <c r="M125" s="19" t="str">
        <f t="shared" si="47"/>
        <v/>
      </c>
      <c r="N125" s="19" t="str">
        <f t="shared" si="44"/>
        <v/>
      </c>
      <c r="O125" s="19" t="str">
        <f t="shared" si="48"/>
        <v/>
      </c>
      <c r="P125" s="19" t="str">
        <f t="shared" si="49"/>
        <v/>
      </c>
      <c r="Q125" s="19" t="str">
        <f t="shared" si="50"/>
        <v/>
      </c>
      <c r="R125" s="19" t="str">
        <f t="shared" si="45"/>
        <v/>
      </c>
      <c r="S125" s="27" t="str">
        <f t="shared" si="52"/>
        <v/>
      </c>
      <c r="T125" s="28" t="str">
        <f t="shared" si="52"/>
        <v/>
      </c>
      <c r="U125" s="28" t="str">
        <f t="shared" si="52"/>
        <v/>
      </c>
      <c r="V125" s="28" t="str">
        <f t="shared" si="52"/>
        <v/>
      </c>
      <c r="W125" s="28" t="str">
        <f t="shared" si="52"/>
        <v/>
      </c>
      <c r="X125" s="29" t="str">
        <f t="shared" si="52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51"/>
        <v/>
      </c>
      <c r="M126" s="19" t="str">
        <f t="shared" si="47"/>
        <v/>
      </c>
      <c r="N126" s="19" t="str">
        <f t="shared" si="44"/>
        <v/>
      </c>
      <c r="O126" s="19" t="str">
        <f t="shared" si="48"/>
        <v/>
      </c>
      <c r="P126" s="19" t="str">
        <f t="shared" si="49"/>
        <v/>
      </c>
      <c r="Q126" s="19" t="str">
        <f t="shared" si="50"/>
        <v/>
      </c>
      <c r="R126" s="19" t="str">
        <f t="shared" si="45"/>
        <v/>
      </c>
      <c r="S126" s="27" t="str">
        <f t="shared" si="52"/>
        <v/>
      </c>
      <c r="T126" s="28" t="str">
        <f t="shared" si="52"/>
        <v/>
      </c>
      <c r="U126" s="28" t="str">
        <f t="shared" si="52"/>
        <v/>
      </c>
      <c r="V126" s="28" t="str">
        <f t="shared" si="52"/>
        <v/>
      </c>
      <c r="W126" s="28" t="str">
        <f t="shared" si="52"/>
        <v/>
      </c>
      <c r="X126" s="29" t="str">
        <f t="shared" si="52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51"/>
        <v/>
      </c>
      <c r="M127" s="19" t="str">
        <f t="shared" si="47"/>
        <v/>
      </c>
      <c r="N127" s="19" t="str">
        <f t="shared" si="44"/>
        <v/>
      </c>
      <c r="O127" s="19" t="str">
        <f t="shared" si="48"/>
        <v/>
      </c>
      <c r="P127" s="19" t="str">
        <f t="shared" si="49"/>
        <v/>
      </c>
      <c r="Q127" s="19" t="str">
        <f t="shared" si="50"/>
        <v/>
      </c>
      <c r="R127" s="19" t="str">
        <f t="shared" si="45"/>
        <v/>
      </c>
      <c r="S127" s="27" t="str">
        <f t="shared" si="52"/>
        <v/>
      </c>
      <c r="T127" s="28" t="str">
        <f t="shared" si="52"/>
        <v/>
      </c>
      <c r="U127" s="28" t="str">
        <f t="shared" si="52"/>
        <v/>
      </c>
      <c r="V127" s="28" t="str">
        <f t="shared" si="52"/>
        <v/>
      </c>
      <c r="W127" s="28" t="str">
        <f t="shared" si="52"/>
        <v/>
      </c>
      <c r="X127" s="29" t="str">
        <f t="shared" si="52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51"/>
        <v/>
      </c>
      <c r="M128" s="19" t="str">
        <f t="shared" si="47"/>
        <v/>
      </c>
      <c r="N128" s="19" t="str">
        <f t="shared" si="44"/>
        <v/>
      </c>
      <c r="O128" s="19" t="str">
        <f t="shared" si="48"/>
        <v/>
      </c>
      <c r="P128" s="19" t="str">
        <f t="shared" si="49"/>
        <v/>
      </c>
      <c r="Q128" s="19" t="str">
        <f t="shared" si="50"/>
        <v/>
      </c>
      <c r="R128" s="19" t="str">
        <f t="shared" si="45"/>
        <v/>
      </c>
      <c r="S128" s="27" t="str">
        <f t="shared" si="52"/>
        <v/>
      </c>
      <c r="T128" s="28" t="str">
        <f t="shared" si="52"/>
        <v/>
      </c>
      <c r="U128" s="28" t="str">
        <f t="shared" si="52"/>
        <v/>
      </c>
      <c r="V128" s="28" t="str">
        <f t="shared" si="52"/>
        <v/>
      </c>
      <c r="W128" s="28" t="str">
        <f t="shared" si="52"/>
        <v/>
      </c>
      <c r="X128" s="29" t="str">
        <f t="shared" si="52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51"/>
        <v/>
      </c>
      <c r="M129" s="19" t="str">
        <f t="shared" si="47"/>
        <v/>
      </c>
      <c r="N129" s="19" t="str">
        <f t="shared" si="44"/>
        <v/>
      </c>
      <c r="O129" s="19" t="str">
        <f t="shared" si="48"/>
        <v/>
      </c>
      <c r="P129" s="19" t="str">
        <f t="shared" si="49"/>
        <v/>
      </c>
      <c r="Q129" s="19" t="str">
        <f t="shared" si="50"/>
        <v/>
      </c>
      <c r="R129" s="19" t="str">
        <f t="shared" si="45"/>
        <v/>
      </c>
      <c r="S129" s="27" t="str">
        <f t="shared" ref="S129:X144" si="53">IF(C129="","",((C129-C128)*1000)/($B129-$B128))</f>
        <v/>
      </c>
      <c r="T129" s="28" t="str">
        <f t="shared" si="53"/>
        <v/>
      </c>
      <c r="U129" s="28" t="str">
        <f t="shared" si="53"/>
        <v/>
      </c>
      <c r="V129" s="28" t="str">
        <f t="shared" si="53"/>
        <v/>
      </c>
      <c r="W129" s="28" t="str">
        <f t="shared" si="53"/>
        <v/>
      </c>
      <c r="X129" s="29" t="str">
        <f t="shared" si="53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51"/>
        <v/>
      </c>
      <c r="M130" s="19" t="str">
        <f t="shared" si="47"/>
        <v/>
      </c>
      <c r="N130" s="19" t="str">
        <f t="shared" si="44"/>
        <v/>
      </c>
      <c r="O130" s="19" t="str">
        <f t="shared" si="48"/>
        <v/>
      </c>
      <c r="P130" s="19" t="str">
        <f t="shared" si="49"/>
        <v/>
      </c>
      <c r="Q130" s="19" t="str">
        <f t="shared" si="50"/>
        <v/>
      </c>
      <c r="R130" s="19" t="str">
        <f t="shared" si="45"/>
        <v/>
      </c>
      <c r="S130" s="27" t="str">
        <f t="shared" si="53"/>
        <v/>
      </c>
      <c r="T130" s="28" t="str">
        <f t="shared" si="53"/>
        <v/>
      </c>
      <c r="U130" s="28" t="str">
        <f t="shared" si="53"/>
        <v/>
      </c>
      <c r="V130" s="28" t="str">
        <f t="shared" si="53"/>
        <v/>
      </c>
      <c r="W130" s="28" t="str">
        <f t="shared" si="53"/>
        <v/>
      </c>
      <c r="X130" s="29" t="str">
        <f t="shared" si="53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51"/>
        <v/>
      </c>
      <c r="M131" s="19" t="str">
        <f t="shared" si="47"/>
        <v/>
      </c>
      <c r="N131" s="19" t="str">
        <f t="shared" si="44"/>
        <v/>
      </c>
      <c r="O131" s="19" t="str">
        <f t="shared" si="48"/>
        <v/>
      </c>
      <c r="P131" s="19" t="str">
        <f t="shared" si="49"/>
        <v/>
      </c>
      <c r="Q131" s="19" t="str">
        <f t="shared" si="50"/>
        <v/>
      </c>
      <c r="R131" s="19" t="str">
        <f t="shared" si="45"/>
        <v/>
      </c>
      <c r="S131" s="27" t="str">
        <f t="shared" si="53"/>
        <v/>
      </c>
      <c r="T131" s="28" t="str">
        <f t="shared" si="53"/>
        <v/>
      </c>
      <c r="U131" s="28" t="str">
        <f t="shared" si="53"/>
        <v/>
      </c>
      <c r="V131" s="28" t="str">
        <f t="shared" si="53"/>
        <v/>
      </c>
      <c r="W131" s="28" t="str">
        <f t="shared" si="53"/>
        <v/>
      </c>
      <c r="X131" s="29" t="str">
        <f t="shared" si="53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51"/>
        <v/>
      </c>
      <c r="M132" s="19" t="str">
        <f t="shared" si="47"/>
        <v/>
      </c>
      <c r="N132" s="19" t="str">
        <f t="shared" si="44"/>
        <v/>
      </c>
      <c r="O132" s="19" t="str">
        <f t="shared" si="48"/>
        <v/>
      </c>
      <c r="P132" s="19" t="str">
        <f t="shared" si="49"/>
        <v/>
      </c>
      <c r="Q132" s="19" t="str">
        <f t="shared" si="50"/>
        <v/>
      </c>
      <c r="R132" s="19" t="str">
        <f t="shared" si="45"/>
        <v/>
      </c>
      <c r="S132" s="27" t="str">
        <f t="shared" si="53"/>
        <v/>
      </c>
      <c r="T132" s="28" t="str">
        <f t="shared" si="53"/>
        <v/>
      </c>
      <c r="U132" s="28" t="str">
        <f t="shared" si="53"/>
        <v/>
      </c>
      <c r="V132" s="28" t="str">
        <f t="shared" si="53"/>
        <v/>
      </c>
      <c r="W132" s="28" t="str">
        <f t="shared" si="53"/>
        <v/>
      </c>
      <c r="X132" s="29" t="str">
        <f t="shared" si="53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51"/>
        <v/>
      </c>
      <c r="M133" s="19" t="str">
        <f t="shared" si="47"/>
        <v/>
      </c>
      <c r="N133" s="19" t="str">
        <f t="shared" si="44"/>
        <v/>
      </c>
      <c r="O133" s="19" t="str">
        <f t="shared" si="48"/>
        <v/>
      </c>
      <c r="P133" s="19" t="str">
        <f t="shared" si="49"/>
        <v/>
      </c>
      <c r="Q133" s="19" t="str">
        <f t="shared" si="50"/>
        <v/>
      </c>
      <c r="R133" s="19" t="str">
        <f t="shared" si="45"/>
        <v/>
      </c>
      <c r="S133" s="27" t="str">
        <f t="shared" si="53"/>
        <v/>
      </c>
      <c r="T133" s="28" t="str">
        <f t="shared" si="53"/>
        <v/>
      </c>
      <c r="U133" s="28" t="str">
        <f t="shared" si="53"/>
        <v/>
      </c>
      <c r="V133" s="28" t="str">
        <f t="shared" si="53"/>
        <v/>
      </c>
      <c r="W133" s="28" t="str">
        <f t="shared" si="53"/>
        <v/>
      </c>
      <c r="X133" s="29" t="str">
        <f t="shared" si="53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51"/>
        <v/>
      </c>
      <c r="M134" s="19" t="str">
        <f t="shared" si="47"/>
        <v/>
      </c>
      <c r="N134" s="19" t="str">
        <f t="shared" si="44"/>
        <v/>
      </c>
      <c r="O134" s="19" t="str">
        <f t="shared" si="48"/>
        <v/>
      </c>
      <c r="P134" s="19" t="str">
        <f t="shared" si="49"/>
        <v/>
      </c>
      <c r="Q134" s="19" t="str">
        <f t="shared" si="50"/>
        <v/>
      </c>
      <c r="R134" s="19" t="str">
        <f t="shared" si="45"/>
        <v/>
      </c>
      <c r="S134" s="27" t="str">
        <f t="shared" si="53"/>
        <v/>
      </c>
      <c r="T134" s="28" t="str">
        <f t="shared" si="53"/>
        <v/>
      </c>
      <c r="U134" s="28" t="str">
        <f t="shared" si="53"/>
        <v/>
      </c>
      <c r="V134" s="28" t="str">
        <f t="shared" si="53"/>
        <v/>
      </c>
      <c r="W134" s="28" t="str">
        <f t="shared" si="53"/>
        <v/>
      </c>
      <c r="X134" s="29" t="str">
        <f t="shared" si="53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51"/>
        <v/>
      </c>
      <c r="M135" s="19" t="str">
        <f t="shared" si="47"/>
        <v/>
      </c>
      <c r="N135" s="19" t="str">
        <f t="shared" si="44"/>
        <v/>
      </c>
      <c r="O135" s="19" t="str">
        <f t="shared" si="48"/>
        <v/>
      </c>
      <c r="P135" s="19" t="str">
        <f t="shared" si="49"/>
        <v/>
      </c>
      <c r="Q135" s="19" t="str">
        <f t="shared" si="50"/>
        <v/>
      </c>
      <c r="R135" s="19" t="str">
        <f t="shared" si="45"/>
        <v/>
      </c>
      <c r="S135" s="27" t="str">
        <f t="shared" si="53"/>
        <v/>
      </c>
      <c r="T135" s="28" t="str">
        <f t="shared" si="53"/>
        <v/>
      </c>
      <c r="U135" s="28" t="str">
        <f t="shared" si="53"/>
        <v/>
      </c>
      <c r="V135" s="28" t="str">
        <f t="shared" si="53"/>
        <v/>
      </c>
      <c r="W135" s="28" t="str">
        <f t="shared" si="53"/>
        <v/>
      </c>
      <c r="X135" s="29" t="str">
        <f t="shared" si="53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51"/>
        <v/>
      </c>
      <c r="M136" s="19" t="str">
        <f t="shared" si="47"/>
        <v/>
      </c>
      <c r="N136" s="19" t="str">
        <f t="shared" si="44"/>
        <v/>
      </c>
      <c r="O136" s="19" t="str">
        <f t="shared" si="48"/>
        <v/>
      </c>
      <c r="P136" s="19" t="str">
        <f t="shared" si="49"/>
        <v/>
      </c>
      <c r="Q136" s="19" t="str">
        <f t="shared" si="50"/>
        <v/>
      </c>
      <c r="R136" s="19" t="str">
        <f t="shared" si="45"/>
        <v/>
      </c>
      <c r="S136" s="27" t="str">
        <f t="shared" si="53"/>
        <v/>
      </c>
      <c r="T136" s="28" t="str">
        <f t="shared" si="53"/>
        <v/>
      </c>
      <c r="U136" s="28" t="str">
        <f t="shared" si="53"/>
        <v/>
      </c>
      <c r="V136" s="28" t="str">
        <f t="shared" si="53"/>
        <v/>
      </c>
      <c r="W136" s="28" t="str">
        <f t="shared" si="53"/>
        <v/>
      </c>
      <c r="X136" s="29" t="str">
        <f t="shared" si="53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51"/>
        <v/>
      </c>
      <c r="M137" s="19" t="str">
        <f t="shared" si="47"/>
        <v/>
      </c>
      <c r="N137" s="19" t="str">
        <f t="shared" si="44"/>
        <v/>
      </c>
      <c r="O137" s="19" t="str">
        <f t="shared" si="48"/>
        <v/>
      </c>
      <c r="P137" s="19" t="str">
        <f t="shared" si="49"/>
        <v/>
      </c>
      <c r="Q137" s="19" t="str">
        <f t="shared" si="50"/>
        <v/>
      </c>
      <c r="R137" s="19" t="str">
        <f t="shared" si="45"/>
        <v/>
      </c>
      <c r="S137" s="27" t="str">
        <f t="shared" si="53"/>
        <v/>
      </c>
      <c r="T137" s="28" t="str">
        <f t="shared" si="53"/>
        <v/>
      </c>
      <c r="U137" s="28" t="str">
        <f t="shared" si="53"/>
        <v/>
      </c>
      <c r="V137" s="28" t="str">
        <f t="shared" si="53"/>
        <v/>
      </c>
      <c r="W137" s="28" t="str">
        <f t="shared" si="53"/>
        <v/>
      </c>
      <c r="X137" s="29" t="str">
        <f t="shared" si="53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51"/>
        <v/>
      </c>
      <c r="M138" s="19" t="str">
        <f t="shared" si="47"/>
        <v/>
      </c>
      <c r="N138" s="19" t="str">
        <f t="shared" si="44"/>
        <v/>
      </c>
      <c r="O138" s="19" t="str">
        <f t="shared" si="48"/>
        <v/>
      </c>
      <c r="P138" s="19" t="str">
        <f t="shared" si="49"/>
        <v/>
      </c>
      <c r="Q138" s="19" t="str">
        <f t="shared" si="50"/>
        <v/>
      </c>
      <c r="R138" s="19" t="str">
        <f t="shared" si="45"/>
        <v/>
      </c>
      <c r="S138" s="27" t="str">
        <f t="shared" si="53"/>
        <v/>
      </c>
      <c r="T138" s="28" t="str">
        <f t="shared" si="53"/>
        <v/>
      </c>
      <c r="U138" s="28" t="str">
        <f t="shared" si="53"/>
        <v/>
      </c>
      <c r="V138" s="28" t="str">
        <f t="shared" si="53"/>
        <v/>
      </c>
      <c r="W138" s="28" t="str">
        <f t="shared" si="53"/>
        <v/>
      </c>
      <c r="X138" s="29" t="str">
        <f t="shared" si="53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51"/>
        <v/>
      </c>
      <c r="M139" s="19" t="str">
        <f t="shared" si="47"/>
        <v/>
      </c>
      <c r="N139" s="19" t="str">
        <f t="shared" si="44"/>
        <v/>
      </c>
      <c r="O139" s="19" t="str">
        <f t="shared" si="48"/>
        <v/>
      </c>
      <c r="P139" s="19" t="str">
        <f t="shared" si="49"/>
        <v/>
      </c>
      <c r="Q139" s="19" t="str">
        <f t="shared" si="50"/>
        <v/>
      </c>
      <c r="R139" s="19" t="str">
        <f t="shared" si="45"/>
        <v/>
      </c>
      <c r="S139" s="27" t="str">
        <f t="shared" si="53"/>
        <v/>
      </c>
      <c r="T139" s="28" t="str">
        <f t="shared" si="53"/>
        <v/>
      </c>
      <c r="U139" s="28" t="str">
        <f t="shared" si="53"/>
        <v/>
      </c>
      <c r="V139" s="28" t="str">
        <f t="shared" si="53"/>
        <v/>
      </c>
      <c r="W139" s="28" t="str">
        <f t="shared" si="53"/>
        <v/>
      </c>
      <c r="X139" s="29" t="str">
        <f t="shared" si="53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51"/>
        <v/>
      </c>
      <c r="M140" s="19" t="str">
        <f t="shared" si="47"/>
        <v/>
      </c>
      <c r="N140" s="19" t="str">
        <f t="shared" si="44"/>
        <v/>
      </c>
      <c r="O140" s="19" t="str">
        <f t="shared" si="48"/>
        <v/>
      </c>
      <c r="P140" s="19" t="str">
        <f t="shared" si="49"/>
        <v/>
      </c>
      <c r="Q140" s="19" t="str">
        <f t="shared" si="50"/>
        <v/>
      </c>
      <c r="R140" s="19" t="str">
        <f t="shared" si="45"/>
        <v/>
      </c>
      <c r="S140" s="27" t="str">
        <f t="shared" si="53"/>
        <v/>
      </c>
      <c r="T140" s="28" t="str">
        <f t="shared" si="53"/>
        <v/>
      </c>
      <c r="U140" s="28" t="str">
        <f t="shared" si="53"/>
        <v/>
      </c>
      <c r="V140" s="28" t="str">
        <f t="shared" si="53"/>
        <v/>
      </c>
      <c r="W140" s="28" t="str">
        <f t="shared" si="53"/>
        <v/>
      </c>
      <c r="X140" s="29" t="str">
        <f t="shared" si="53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51"/>
        <v/>
      </c>
      <c r="M141" s="19" t="str">
        <f t="shared" si="47"/>
        <v/>
      </c>
      <c r="N141" s="19" t="str">
        <f t="shared" si="44"/>
        <v/>
      </c>
      <c r="O141" s="19" t="str">
        <f t="shared" si="48"/>
        <v/>
      </c>
      <c r="P141" s="19" t="str">
        <f t="shared" si="49"/>
        <v/>
      </c>
      <c r="Q141" s="19" t="str">
        <f t="shared" si="50"/>
        <v/>
      </c>
      <c r="R141" s="19" t="str">
        <f t="shared" si="45"/>
        <v/>
      </c>
      <c r="S141" s="27" t="str">
        <f t="shared" si="53"/>
        <v/>
      </c>
      <c r="T141" s="28" t="str">
        <f t="shared" si="53"/>
        <v/>
      </c>
      <c r="U141" s="28" t="str">
        <f t="shared" si="53"/>
        <v/>
      </c>
      <c r="V141" s="28" t="str">
        <f t="shared" si="53"/>
        <v/>
      </c>
      <c r="W141" s="28" t="str">
        <f t="shared" si="53"/>
        <v/>
      </c>
      <c r="X141" s="29" t="str">
        <f t="shared" si="53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51"/>
        <v/>
      </c>
      <c r="M142" s="19" t="str">
        <f t="shared" si="47"/>
        <v/>
      </c>
      <c r="N142" s="19" t="str">
        <f t="shared" si="44"/>
        <v/>
      </c>
      <c r="O142" s="19" t="str">
        <f t="shared" si="48"/>
        <v/>
      </c>
      <c r="P142" s="19" t="str">
        <f t="shared" si="49"/>
        <v/>
      </c>
      <c r="Q142" s="19" t="str">
        <f t="shared" si="50"/>
        <v/>
      </c>
      <c r="R142" s="19" t="str">
        <f t="shared" si="45"/>
        <v/>
      </c>
      <c r="S142" s="27" t="str">
        <f t="shared" si="53"/>
        <v/>
      </c>
      <c r="T142" s="28" t="str">
        <f t="shared" si="53"/>
        <v/>
      </c>
      <c r="U142" s="28" t="str">
        <f t="shared" si="53"/>
        <v/>
      </c>
      <c r="V142" s="28" t="str">
        <f t="shared" si="53"/>
        <v/>
      </c>
      <c r="W142" s="28" t="str">
        <f t="shared" si="53"/>
        <v/>
      </c>
      <c r="X142" s="29" t="str">
        <f t="shared" si="53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51"/>
        <v/>
      </c>
      <c r="M143" s="19" t="str">
        <f t="shared" si="47"/>
        <v/>
      </c>
      <c r="N143" s="19" t="str">
        <f t="shared" si="44"/>
        <v/>
      </c>
      <c r="O143" s="19" t="str">
        <f t="shared" si="48"/>
        <v/>
      </c>
      <c r="P143" s="19" t="str">
        <f t="shared" si="49"/>
        <v/>
      </c>
      <c r="Q143" s="19" t="str">
        <f t="shared" si="50"/>
        <v/>
      </c>
      <c r="R143" s="19" t="str">
        <f t="shared" si="45"/>
        <v/>
      </c>
      <c r="S143" s="27" t="str">
        <f t="shared" si="53"/>
        <v/>
      </c>
      <c r="T143" s="28" t="str">
        <f t="shared" si="53"/>
        <v/>
      </c>
      <c r="U143" s="28" t="str">
        <f t="shared" si="53"/>
        <v/>
      </c>
      <c r="V143" s="28" t="str">
        <f t="shared" si="53"/>
        <v/>
      </c>
      <c r="W143" s="28" t="str">
        <f t="shared" si="53"/>
        <v/>
      </c>
      <c r="X143" s="29" t="str">
        <f t="shared" si="53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51"/>
        <v/>
      </c>
      <c r="M144" s="19" t="str">
        <f t="shared" si="47"/>
        <v/>
      </c>
      <c r="N144" s="19" t="str">
        <f t="shared" si="44"/>
        <v/>
      </c>
      <c r="O144" s="19" t="str">
        <f t="shared" si="48"/>
        <v/>
      </c>
      <c r="P144" s="19" t="str">
        <f t="shared" si="49"/>
        <v/>
      </c>
      <c r="Q144" s="19" t="str">
        <f t="shared" si="50"/>
        <v/>
      </c>
      <c r="R144" s="19" t="str">
        <f t="shared" si="45"/>
        <v/>
      </c>
      <c r="S144" s="27" t="str">
        <f t="shared" si="53"/>
        <v/>
      </c>
      <c r="T144" s="28" t="str">
        <f t="shared" si="53"/>
        <v/>
      </c>
      <c r="U144" s="28" t="str">
        <f t="shared" si="53"/>
        <v/>
      </c>
      <c r="V144" s="28" t="str">
        <f t="shared" si="53"/>
        <v/>
      </c>
      <c r="W144" s="28" t="str">
        <f t="shared" si="53"/>
        <v/>
      </c>
      <c r="X144" s="29" t="str">
        <f t="shared" si="53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1"/>
        <v/>
      </c>
      <c r="M145" s="19" t="str">
        <f t="shared" si="47"/>
        <v/>
      </c>
      <c r="N145" s="19" t="str">
        <f t="shared" si="44"/>
        <v/>
      </c>
      <c r="O145" s="19" t="str">
        <f t="shared" si="48"/>
        <v/>
      </c>
      <c r="P145" s="19" t="str">
        <f t="shared" si="49"/>
        <v/>
      </c>
      <c r="Q145" s="19" t="str">
        <f t="shared" si="50"/>
        <v/>
      </c>
      <c r="R145" s="19" t="str">
        <f t="shared" si="45"/>
        <v/>
      </c>
      <c r="S145" s="27" t="str">
        <f t="shared" ref="S145:X153" si="54">IF(C145="","",((C145-C144)*1000)/($B145-$B144))</f>
        <v/>
      </c>
      <c r="T145" s="28" t="str">
        <f t="shared" si="54"/>
        <v/>
      </c>
      <c r="U145" s="28" t="str">
        <f t="shared" si="54"/>
        <v/>
      </c>
      <c r="V145" s="28" t="str">
        <f t="shared" si="54"/>
        <v/>
      </c>
      <c r="W145" s="28" t="str">
        <f t="shared" si="54"/>
        <v/>
      </c>
      <c r="X145" s="29" t="str">
        <f t="shared" si="5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1"/>
        <v/>
      </c>
      <c r="M146" s="19" t="str">
        <f t="shared" si="47"/>
        <v/>
      </c>
      <c r="N146" s="19" t="str">
        <f t="shared" ref="N146:N153" si="55">IF(ISBLANK(E146),"",(E146-E$17)*1000)</f>
        <v/>
      </c>
      <c r="O146" s="19" t="str">
        <f t="shared" si="48"/>
        <v/>
      </c>
      <c r="P146" s="19" t="str">
        <f t="shared" si="49"/>
        <v/>
      </c>
      <c r="Q146" s="19" t="str">
        <f t="shared" si="50"/>
        <v/>
      </c>
      <c r="R146" s="19" t="str">
        <f t="shared" ref="R146:R153" si="56">IF(ISBLANK(I146),"",(I146-I$17)*1000)</f>
        <v/>
      </c>
      <c r="S146" s="27" t="str">
        <f t="shared" si="54"/>
        <v/>
      </c>
      <c r="T146" s="28" t="str">
        <f t="shared" si="54"/>
        <v/>
      </c>
      <c r="U146" s="28" t="str">
        <f t="shared" si="54"/>
        <v/>
      </c>
      <c r="V146" s="28" t="str">
        <f t="shared" si="54"/>
        <v/>
      </c>
      <c r="W146" s="28" t="str">
        <f t="shared" si="54"/>
        <v/>
      </c>
      <c r="X146" s="29" t="str">
        <f t="shared" si="5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1"/>
        <v/>
      </c>
      <c r="M147" s="19" t="str">
        <f t="shared" si="47"/>
        <v/>
      </c>
      <c r="N147" s="19" t="str">
        <f t="shared" si="55"/>
        <v/>
      </c>
      <c r="O147" s="19" t="str">
        <f t="shared" si="48"/>
        <v/>
      </c>
      <c r="P147" s="19" t="str">
        <f t="shared" si="49"/>
        <v/>
      </c>
      <c r="Q147" s="19" t="str">
        <f t="shared" si="50"/>
        <v/>
      </c>
      <c r="R147" s="19" t="str">
        <f t="shared" si="56"/>
        <v/>
      </c>
      <c r="S147" s="27" t="str">
        <f t="shared" si="54"/>
        <v/>
      </c>
      <c r="T147" s="28" t="str">
        <f t="shared" si="54"/>
        <v/>
      </c>
      <c r="U147" s="28" t="str">
        <f t="shared" si="54"/>
        <v/>
      </c>
      <c r="V147" s="28" t="str">
        <f t="shared" si="54"/>
        <v/>
      </c>
      <c r="W147" s="28" t="str">
        <f t="shared" si="54"/>
        <v/>
      </c>
      <c r="X147" s="29" t="str">
        <f t="shared" si="5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1"/>
        <v/>
      </c>
      <c r="M148" s="19" t="str">
        <f t="shared" si="47"/>
        <v/>
      </c>
      <c r="N148" s="19" t="str">
        <f t="shared" si="55"/>
        <v/>
      </c>
      <c r="O148" s="19" t="str">
        <f t="shared" si="48"/>
        <v/>
      </c>
      <c r="P148" s="19" t="str">
        <f t="shared" si="49"/>
        <v/>
      </c>
      <c r="Q148" s="19" t="str">
        <f t="shared" si="50"/>
        <v/>
      </c>
      <c r="R148" s="19" t="str">
        <f t="shared" si="56"/>
        <v/>
      </c>
      <c r="S148" s="27" t="str">
        <f t="shared" si="54"/>
        <v/>
      </c>
      <c r="T148" s="28" t="str">
        <f t="shared" si="54"/>
        <v/>
      </c>
      <c r="U148" s="28" t="str">
        <f t="shared" si="54"/>
        <v/>
      </c>
      <c r="V148" s="28" t="str">
        <f t="shared" si="54"/>
        <v/>
      </c>
      <c r="W148" s="28" t="str">
        <f t="shared" si="54"/>
        <v/>
      </c>
      <c r="X148" s="29" t="str">
        <f t="shared" si="5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1"/>
        <v/>
      </c>
      <c r="M149" s="19" t="str">
        <f t="shared" si="47"/>
        <v/>
      </c>
      <c r="N149" s="19" t="str">
        <f t="shared" si="55"/>
        <v/>
      </c>
      <c r="O149" s="19" t="str">
        <f t="shared" si="48"/>
        <v/>
      </c>
      <c r="P149" s="19" t="str">
        <f t="shared" si="49"/>
        <v/>
      </c>
      <c r="Q149" s="19" t="str">
        <f t="shared" si="50"/>
        <v/>
      </c>
      <c r="R149" s="19" t="str">
        <f t="shared" si="56"/>
        <v/>
      </c>
      <c r="S149" s="27" t="str">
        <f t="shared" si="54"/>
        <v/>
      </c>
      <c r="T149" s="28" t="str">
        <f t="shared" si="54"/>
        <v/>
      </c>
      <c r="U149" s="28" t="str">
        <f t="shared" si="54"/>
        <v/>
      </c>
      <c r="V149" s="28" t="str">
        <f t="shared" si="54"/>
        <v/>
      </c>
      <c r="W149" s="28" t="str">
        <f t="shared" si="54"/>
        <v/>
      </c>
      <c r="X149" s="29" t="str">
        <f t="shared" si="5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1"/>
        <v/>
      </c>
      <c r="M150" s="19" t="str">
        <f t="shared" si="47"/>
        <v/>
      </c>
      <c r="N150" s="19" t="str">
        <f t="shared" si="55"/>
        <v/>
      </c>
      <c r="O150" s="19" t="str">
        <f t="shared" si="48"/>
        <v/>
      </c>
      <c r="P150" s="19" t="str">
        <f t="shared" si="49"/>
        <v/>
      </c>
      <c r="Q150" s="19" t="str">
        <f t="shared" si="50"/>
        <v/>
      </c>
      <c r="R150" s="19" t="str">
        <f t="shared" si="56"/>
        <v/>
      </c>
      <c r="S150" s="27" t="str">
        <f t="shared" si="54"/>
        <v/>
      </c>
      <c r="T150" s="28" t="str">
        <f t="shared" si="54"/>
        <v/>
      </c>
      <c r="U150" s="28" t="str">
        <f t="shared" si="54"/>
        <v/>
      </c>
      <c r="V150" s="28" t="str">
        <f t="shared" si="54"/>
        <v/>
      </c>
      <c r="W150" s="28" t="str">
        <f t="shared" si="54"/>
        <v/>
      </c>
      <c r="X150" s="29" t="str">
        <f t="shared" si="5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1"/>
        <v/>
      </c>
      <c r="M151" s="19" t="str">
        <f t="shared" si="47"/>
        <v/>
      </c>
      <c r="N151" s="19" t="str">
        <f t="shared" si="55"/>
        <v/>
      </c>
      <c r="O151" s="19" t="str">
        <f t="shared" si="48"/>
        <v/>
      </c>
      <c r="P151" s="19" t="str">
        <f t="shared" si="49"/>
        <v/>
      </c>
      <c r="Q151" s="19" t="str">
        <f t="shared" si="50"/>
        <v/>
      </c>
      <c r="R151" s="19" t="str">
        <f t="shared" si="56"/>
        <v/>
      </c>
      <c r="S151" s="27" t="str">
        <f t="shared" si="54"/>
        <v/>
      </c>
      <c r="T151" s="28" t="str">
        <f t="shared" si="54"/>
        <v/>
      </c>
      <c r="U151" s="28" t="str">
        <f t="shared" si="54"/>
        <v/>
      </c>
      <c r="V151" s="28" t="str">
        <f t="shared" si="54"/>
        <v/>
      </c>
      <c r="W151" s="28" t="str">
        <f t="shared" si="54"/>
        <v/>
      </c>
      <c r="X151" s="29" t="str">
        <f t="shared" si="5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1"/>
        <v/>
      </c>
      <c r="M152" s="19" t="str">
        <f t="shared" si="47"/>
        <v/>
      </c>
      <c r="N152" s="19" t="str">
        <f t="shared" si="55"/>
        <v/>
      </c>
      <c r="O152" s="19" t="str">
        <f t="shared" si="48"/>
        <v/>
      </c>
      <c r="P152" s="19" t="str">
        <f t="shared" si="49"/>
        <v/>
      </c>
      <c r="Q152" s="19" t="str">
        <f t="shared" si="50"/>
        <v/>
      </c>
      <c r="R152" s="19" t="str">
        <f t="shared" si="56"/>
        <v/>
      </c>
      <c r="S152" s="27" t="str">
        <f t="shared" si="54"/>
        <v/>
      </c>
      <c r="T152" s="28" t="str">
        <f t="shared" si="54"/>
        <v/>
      </c>
      <c r="U152" s="28" t="str">
        <f t="shared" si="54"/>
        <v/>
      </c>
      <c r="V152" s="28" t="str">
        <f t="shared" si="54"/>
        <v/>
      </c>
      <c r="W152" s="28" t="str">
        <f t="shared" si="54"/>
        <v/>
      </c>
      <c r="X152" s="29" t="str">
        <f t="shared" si="5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1"/>
        <v/>
      </c>
      <c r="M153" s="19" t="str">
        <f t="shared" si="47"/>
        <v/>
      </c>
      <c r="N153" s="19" t="str">
        <f t="shared" si="55"/>
        <v/>
      </c>
      <c r="O153" s="19" t="str">
        <f t="shared" si="48"/>
        <v/>
      </c>
      <c r="P153" s="19" t="str">
        <f t="shared" si="49"/>
        <v/>
      </c>
      <c r="Q153" s="19" t="str">
        <f t="shared" si="50"/>
        <v/>
      </c>
      <c r="R153" s="19" t="str">
        <f t="shared" si="56"/>
        <v/>
      </c>
      <c r="S153" s="27" t="str">
        <f t="shared" si="54"/>
        <v/>
      </c>
      <c r="T153" s="28" t="str">
        <f t="shared" si="54"/>
        <v/>
      </c>
      <c r="U153" s="28" t="str">
        <f t="shared" si="54"/>
        <v/>
      </c>
      <c r="V153" s="28" t="str">
        <f t="shared" si="54"/>
        <v/>
      </c>
      <c r="W153" s="28" t="str">
        <f t="shared" si="54"/>
        <v/>
      </c>
      <c r="X153" s="29" t="str">
        <f t="shared" si="54"/>
        <v/>
      </c>
      <c r="Y153" s="24"/>
    </row>
  </sheetData>
  <sheetProtection selectLockedCells="1"/>
  <mergeCells count="38">
    <mergeCell ref="J6:Q6"/>
    <mergeCell ref="R6:V6"/>
    <mergeCell ref="W6:Y6"/>
    <mergeCell ref="E7:I7"/>
    <mergeCell ref="J7:Q7"/>
    <mergeCell ref="R7:V7"/>
    <mergeCell ref="W7:Y7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  <ignoredErrors>
    <ignoredError sqref="M17:N17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17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24" activePane="bottomLeft" state="frozen"/>
      <selection activeCell="I28" sqref="I28"/>
      <selection pane="bottomLeft" activeCell="I28" sqref="I2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TZ-115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81" t="s">
        <v>126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42391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8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42396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 t="s">
        <v>127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2189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2447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128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4">
        <v>42397</v>
      </c>
      <c r="C16" s="35">
        <v>12.555</v>
      </c>
      <c r="D16" s="36">
        <v>8.0709999999999997</v>
      </c>
      <c r="E16" s="36">
        <v>7.5350000000000001</v>
      </c>
      <c r="F16" s="37"/>
      <c r="G16" s="37"/>
      <c r="H16" s="37"/>
      <c r="I16" s="38">
        <v>116.069</v>
      </c>
      <c r="J16" s="39">
        <v>2462</v>
      </c>
      <c r="K16" s="18">
        <f t="shared" ref="K16:K19" si="0">IF(ISBLANK(J16),"",(J16-$J$8))</f>
        <v>15</v>
      </c>
      <c r="L16" s="19">
        <f t="shared" ref="L16:R31" si="1">IF(ISBLANK(C16),"",(C16-C$16)*1000)</f>
        <v>0</v>
      </c>
      <c r="M16" s="19">
        <f t="shared" si="1"/>
        <v>0</v>
      </c>
      <c r="N16" s="19">
        <f t="shared" si="1"/>
        <v>0</v>
      </c>
      <c r="O16" s="20"/>
      <c r="P16" s="20"/>
      <c r="Q16" s="20"/>
      <c r="R16" s="21">
        <f t="shared" ref="R16" si="2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42398</v>
      </c>
      <c r="C17" s="25">
        <v>12.553000000000001</v>
      </c>
      <c r="D17" s="26">
        <v>8.07</v>
      </c>
      <c r="E17" s="26">
        <v>7.5339999999999998</v>
      </c>
      <c r="F17" s="16"/>
      <c r="G17" s="16"/>
      <c r="H17" s="16"/>
      <c r="I17" s="17">
        <v>116.06699999999999</v>
      </c>
      <c r="J17" s="32">
        <v>2466</v>
      </c>
      <c r="K17" s="18">
        <f t="shared" si="0"/>
        <v>19</v>
      </c>
      <c r="L17" s="19">
        <f t="shared" si="1"/>
        <v>-1.9999999999988916</v>
      </c>
      <c r="M17" s="19">
        <f>IF(ISBLANK(D17),"",(D17-D$16)*1000)</f>
        <v>-0.99999999999944578</v>
      </c>
      <c r="N17" s="19">
        <f>IF(ISBLANK(E17),"",(E17-E$16)*1000)</f>
        <v>-1.000000000000334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>IF(ISBLANK(I17),"",(I17-I$16)*1000)</f>
        <v>-2.0000000000095497</v>
      </c>
      <c r="S17" s="27">
        <f t="shared" ref="S17:X32" si="3">IF(C17="","",((C17-C16)*1000)/($B17-$B16))</f>
        <v>-1.9999999999988916</v>
      </c>
      <c r="T17" s="28"/>
      <c r="U17" s="28"/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42401</v>
      </c>
      <c r="C18" s="25">
        <v>12.554</v>
      </c>
      <c r="D18" s="26">
        <v>8.07</v>
      </c>
      <c r="E18" s="26">
        <v>7.5339999999999998</v>
      </c>
      <c r="F18" s="16"/>
      <c r="G18" s="16"/>
      <c r="H18" s="16"/>
      <c r="I18" s="17">
        <v>116.06699999999999</v>
      </c>
      <c r="J18" s="58">
        <v>2471</v>
      </c>
      <c r="K18" s="18">
        <f t="shared" si="0"/>
        <v>24</v>
      </c>
      <c r="L18" s="19">
        <f t="shared" si="1"/>
        <v>-0.99999999999944578</v>
      </c>
      <c r="M18" s="19">
        <f t="shared" si="1"/>
        <v>-0.99999999999944578</v>
      </c>
      <c r="N18" s="19">
        <f t="shared" si="1"/>
        <v>-1.000000000000334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-2.0000000000095497</v>
      </c>
      <c r="S18" s="27">
        <f t="shared" si="3"/>
        <v>0.33333333333314857</v>
      </c>
      <c r="T18" s="28">
        <f t="shared" si="3"/>
        <v>0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42402</v>
      </c>
      <c r="C19" s="25">
        <v>12.554</v>
      </c>
      <c r="D19" s="26">
        <v>8.07</v>
      </c>
      <c r="E19" s="26">
        <v>7.5339999999999998</v>
      </c>
      <c r="F19" s="16"/>
      <c r="G19" s="16"/>
      <c r="H19" s="16"/>
      <c r="I19" s="17">
        <v>116.06699999999999</v>
      </c>
      <c r="J19" s="58">
        <v>2474</v>
      </c>
      <c r="K19" s="18">
        <f t="shared" si="0"/>
        <v>27</v>
      </c>
      <c r="L19" s="19">
        <f t="shared" si="1"/>
        <v>-0.99999999999944578</v>
      </c>
      <c r="M19" s="19">
        <f t="shared" si="1"/>
        <v>-0.99999999999944578</v>
      </c>
      <c r="N19" s="19">
        <f t="shared" si="1"/>
        <v>-1.000000000000334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-2.0000000000095497</v>
      </c>
      <c r="S19" s="27">
        <f t="shared" si="3"/>
        <v>0</v>
      </c>
      <c r="T19" s="28">
        <f t="shared" si="3"/>
        <v>0</v>
      </c>
      <c r="U19" s="28">
        <f t="shared" si="3"/>
        <v>0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42403</v>
      </c>
      <c r="C20" s="25">
        <v>12.553000000000001</v>
      </c>
      <c r="D20" s="26">
        <v>8.0690000000000008</v>
      </c>
      <c r="E20" s="26">
        <v>7.5339999999999998</v>
      </c>
      <c r="F20" s="16"/>
      <c r="G20" s="16"/>
      <c r="H20" s="16"/>
      <c r="I20" s="17">
        <v>116.066</v>
      </c>
      <c r="J20" s="58">
        <v>2479</v>
      </c>
      <c r="K20" s="18">
        <f t="shared" ref="K20" si="4">IF(ISBLANK(J20),"",(J20-$J$8))</f>
        <v>32</v>
      </c>
      <c r="L20" s="19">
        <f t="shared" si="1"/>
        <v>-1.9999999999988916</v>
      </c>
      <c r="M20" s="19">
        <f t="shared" si="1"/>
        <v>-1.9999999999988916</v>
      </c>
      <c r="N20" s="19">
        <f t="shared" si="1"/>
        <v>-1.000000000000334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-3.0000000000001137</v>
      </c>
      <c r="S20" s="27">
        <f t="shared" si="3"/>
        <v>-0.99999999999944578</v>
      </c>
      <c r="T20" s="28">
        <f t="shared" si="3"/>
        <v>-0.99999999999944578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42404</v>
      </c>
      <c r="C21" s="25">
        <v>12.553000000000001</v>
      </c>
      <c r="D21" s="26">
        <v>8.0690000000000008</v>
      </c>
      <c r="E21" s="26">
        <v>7.5339999999999998</v>
      </c>
      <c r="F21" s="16"/>
      <c r="G21" s="16"/>
      <c r="H21" s="16"/>
      <c r="I21" s="17">
        <v>116.066</v>
      </c>
      <c r="J21" s="58">
        <v>2484</v>
      </c>
      <c r="K21" s="18">
        <f t="shared" ref="K21" si="5">IF(ISBLANK(J21),"",(J21-$J$8))</f>
        <v>37</v>
      </c>
      <c r="L21" s="19">
        <f t="shared" si="1"/>
        <v>-1.9999999999988916</v>
      </c>
      <c r="M21" s="19">
        <f t="shared" si="1"/>
        <v>-1.9999999999988916</v>
      </c>
      <c r="N21" s="19">
        <f t="shared" si="1"/>
        <v>-1.000000000000334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-3.0000000000001137</v>
      </c>
      <c r="S21" s="27">
        <f t="shared" si="3"/>
        <v>0</v>
      </c>
      <c r="T21" s="28">
        <f t="shared" si="3"/>
        <v>0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42405</v>
      </c>
      <c r="C22" s="25">
        <v>12.553000000000001</v>
      </c>
      <c r="D22" s="26">
        <v>8.0690000000000008</v>
      </c>
      <c r="E22" s="26">
        <v>7.5330000000000004</v>
      </c>
      <c r="F22" s="16"/>
      <c r="G22" s="16"/>
      <c r="H22" s="16"/>
      <c r="I22" s="17">
        <v>116.065</v>
      </c>
      <c r="J22" s="58">
        <v>2488</v>
      </c>
      <c r="K22" s="18">
        <f t="shared" ref="K22" si="6">IF(ISBLANK(J22),"",(J22-$J$8))</f>
        <v>41</v>
      </c>
      <c r="L22" s="19">
        <f t="shared" si="1"/>
        <v>-1.9999999999988916</v>
      </c>
      <c r="M22" s="19">
        <f t="shared" si="1"/>
        <v>-1.9999999999988916</v>
      </c>
      <c r="N22" s="19">
        <f t="shared" si="1"/>
        <v>-1.9999999999997797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-4.0000000000048885</v>
      </c>
      <c r="S22" s="27">
        <f t="shared" si="3"/>
        <v>0</v>
      </c>
      <c r="T22" s="28">
        <f t="shared" si="3"/>
        <v>0</v>
      </c>
      <c r="U22" s="28">
        <f t="shared" si="3"/>
        <v>-0.99999999999944578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42408</v>
      </c>
      <c r="C23" s="25">
        <v>12.552</v>
      </c>
      <c r="D23" s="26">
        <v>8.0679999999999996</v>
      </c>
      <c r="E23" s="26">
        <v>7.5339999999999998</v>
      </c>
      <c r="F23" s="16"/>
      <c r="G23" s="16"/>
      <c r="H23" s="16"/>
      <c r="I23" s="17">
        <v>116.066</v>
      </c>
      <c r="J23" s="58">
        <v>2493</v>
      </c>
      <c r="K23" s="18">
        <f t="shared" ref="K23" si="7">IF(ISBLANK(J23),"",(J23-$J$8))</f>
        <v>46</v>
      </c>
      <c r="L23" s="19">
        <f t="shared" si="1"/>
        <v>-3.0000000000001137</v>
      </c>
      <c r="M23" s="19">
        <f t="shared" si="1"/>
        <v>-3.0000000000001137</v>
      </c>
      <c r="N23" s="19">
        <f t="shared" si="1"/>
        <v>-1.000000000000334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-3.0000000000001137</v>
      </c>
      <c r="S23" s="27">
        <f t="shared" si="3"/>
        <v>-0.33333333333374071</v>
      </c>
      <c r="T23" s="28">
        <f t="shared" si="3"/>
        <v>-0.33333333333374071</v>
      </c>
      <c r="U23" s="28">
        <f t="shared" si="3"/>
        <v>0.33333333333314857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42409</v>
      </c>
      <c r="C24" s="25">
        <v>12.552</v>
      </c>
      <c r="D24" s="26">
        <v>8.0690000000000008</v>
      </c>
      <c r="E24" s="26">
        <v>7.5339999999999998</v>
      </c>
      <c r="F24" s="16"/>
      <c r="G24" s="16"/>
      <c r="H24" s="16"/>
      <c r="I24" s="17">
        <v>116.066</v>
      </c>
      <c r="J24" s="58">
        <v>2496</v>
      </c>
      <c r="K24" s="18">
        <f t="shared" ref="K24" si="8">IF(ISBLANK(J24),"",(J24-$J$8))</f>
        <v>49</v>
      </c>
      <c r="L24" s="19">
        <f t="shared" si="1"/>
        <v>-3.0000000000001137</v>
      </c>
      <c r="M24" s="19">
        <f t="shared" si="1"/>
        <v>-1.9999999999988916</v>
      </c>
      <c r="N24" s="19">
        <f t="shared" si="1"/>
        <v>-1.000000000000334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-3.0000000000001137</v>
      </c>
      <c r="S24" s="27">
        <f t="shared" si="3"/>
        <v>0</v>
      </c>
      <c r="T24" s="28">
        <f t="shared" si="3"/>
        <v>1.0000000000012221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42410</v>
      </c>
      <c r="C25" s="25">
        <v>12.553000000000001</v>
      </c>
      <c r="D25" s="26">
        <v>8.0690000000000008</v>
      </c>
      <c r="E25" s="26">
        <v>7.5339999999999998</v>
      </c>
      <c r="F25" s="16"/>
      <c r="G25" s="16"/>
      <c r="H25" s="16"/>
      <c r="I25" s="17">
        <v>116.06699999999999</v>
      </c>
      <c r="J25" s="58">
        <v>2500</v>
      </c>
      <c r="K25" s="18">
        <f t="shared" ref="K25" si="9">IF(ISBLANK(J25),"",(J25-$J$8))</f>
        <v>53</v>
      </c>
      <c r="L25" s="19">
        <f t="shared" si="1"/>
        <v>-1.9999999999988916</v>
      </c>
      <c r="M25" s="19">
        <f t="shared" si="1"/>
        <v>-1.9999999999988916</v>
      </c>
      <c r="N25" s="19">
        <f t="shared" si="1"/>
        <v>-1.000000000000334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-2.0000000000095497</v>
      </c>
      <c r="S25" s="27">
        <f t="shared" si="3"/>
        <v>1.0000000000012221</v>
      </c>
      <c r="T25" s="28">
        <f t="shared" si="3"/>
        <v>0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42411</v>
      </c>
      <c r="C26" s="25">
        <v>12.552</v>
      </c>
      <c r="D26" s="26">
        <v>8.0690000000000008</v>
      </c>
      <c r="E26" s="26">
        <v>7.5339999999999998</v>
      </c>
      <c r="F26" s="16"/>
      <c r="G26" s="16"/>
      <c r="H26" s="16"/>
      <c r="I26" s="17">
        <v>116.066</v>
      </c>
      <c r="J26" s="58">
        <v>2504</v>
      </c>
      <c r="K26" s="18">
        <f t="shared" ref="K26:K31" si="10">IF(ISBLANK(J26),"",(J26-$J$8))</f>
        <v>57</v>
      </c>
      <c r="L26" s="19">
        <f t="shared" si="1"/>
        <v>-3.0000000000001137</v>
      </c>
      <c r="M26" s="19">
        <f t="shared" si="1"/>
        <v>-1.9999999999988916</v>
      </c>
      <c r="N26" s="19">
        <f t="shared" si="1"/>
        <v>-1.000000000000334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-3.0000000000001137</v>
      </c>
      <c r="S26" s="27">
        <f t="shared" si="3"/>
        <v>-1.0000000000012221</v>
      </c>
      <c r="T26" s="28">
        <f t="shared" si="3"/>
        <v>0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42417</v>
      </c>
      <c r="C27" s="25">
        <v>12.553000000000001</v>
      </c>
      <c r="D27" s="26">
        <v>8.0690000000000008</v>
      </c>
      <c r="E27" s="26">
        <v>7.5339999999999998</v>
      </c>
      <c r="F27" s="16"/>
      <c r="G27" s="16"/>
      <c r="H27" s="16"/>
      <c r="I27" s="17">
        <v>116.066</v>
      </c>
      <c r="J27" s="58">
        <v>2521</v>
      </c>
      <c r="K27" s="18">
        <f t="shared" si="10"/>
        <v>74</v>
      </c>
      <c r="L27" s="19">
        <f t="shared" si="1"/>
        <v>-1.9999999999988916</v>
      </c>
      <c r="M27" s="19">
        <f t="shared" si="1"/>
        <v>-1.9999999999988916</v>
      </c>
      <c r="N27" s="19">
        <f t="shared" si="1"/>
        <v>-1.000000000000334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-3.0000000000001137</v>
      </c>
      <c r="S27" s="27">
        <f t="shared" si="3"/>
        <v>0.16666666666687036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42424</v>
      </c>
      <c r="C28" s="25">
        <v>12.552</v>
      </c>
      <c r="D28" s="26">
        <v>8.0679999999999996</v>
      </c>
      <c r="E28" s="26">
        <v>7.5330000000000004</v>
      </c>
      <c r="F28" s="16"/>
      <c r="G28" s="16"/>
      <c r="H28" s="16"/>
      <c r="I28" s="17">
        <v>116.065</v>
      </c>
      <c r="J28" s="58">
        <v>2540.5</v>
      </c>
      <c r="K28" s="18">
        <f t="shared" si="10"/>
        <v>93.5</v>
      </c>
      <c r="L28" s="19">
        <f t="shared" si="1"/>
        <v>-3.0000000000001137</v>
      </c>
      <c r="M28" s="19">
        <f t="shared" si="1"/>
        <v>-3.0000000000001137</v>
      </c>
      <c r="N28" s="19">
        <f t="shared" si="1"/>
        <v>-1.9999999999997797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-4.0000000000048885</v>
      </c>
      <c r="S28" s="27">
        <f t="shared" si="3"/>
        <v>-0.14285714285731746</v>
      </c>
      <c r="T28" s="28">
        <f t="shared" si="3"/>
        <v>-0.14285714285731746</v>
      </c>
      <c r="U28" s="28">
        <f t="shared" si="3"/>
        <v>-0.14285714285706369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42430</v>
      </c>
      <c r="C29" s="25">
        <v>12.552</v>
      </c>
      <c r="D29" s="26">
        <v>8.0679999999999996</v>
      </c>
      <c r="E29" s="26">
        <v>7.5339999999999998</v>
      </c>
      <c r="F29" s="16"/>
      <c r="G29" s="16"/>
      <c r="H29" s="16"/>
      <c r="I29" s="17">
        <v>116.065</v>
      </c>
      <c r="J29" s="58">
        <v>2540.5</v>
      </c>
      <c r="K29" s="18">
        <f t="shared" si="10"/>
        <v>93.5</v>
      </c>
      <c r="L29" s="19">
        <f t="shared" si="1"/>
        <v>-3.0000000000001137</v>
      </c>
      <c r="M29" s="19">
        <f t="shared" si="1"/>
        <v>-3.0000000000001137</v>
      </c>
      <c r="N29" s="19">
        <f t="shared" si="1"/>
        <v>-1.000000000000334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-4.0000000000048885</v>
      </c>
      <c r="S29" s="27">
        <f t="shared" si="3"/>
        <v>0</v>
      </c>
      <c r="T29" s="28">
        <f t="shared" si="3"/>
        <v>0</v>
      </c>
      <c r="U29" s="28">
        <f t="shared" si="3"/>
        <v>0.16666666666657429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42458</v>
      </c>
      <c r="C30" s="25">
        <v>12.55</v>
      </c>
      <c r="D30" s="71">
        <v>8.0679999999999996</v>
      </c>
      <c r="E30" s="71">
        <v>7.532</v>
      </c>
      <c r="F30" s="16"/>
      <c r="G30" s="16"/>
      <c r="H30" s="16"/>
      <c r="I30" s="72">
        <v>116.065</v>
      </c>
      <c r="J30" s="58">
        <v>2571</v>
      </c>
      <c r="K30" s="18">
        <f t="shared" si="10"/>
        <v>124</v>
      </c>
      <c r="L30" s="19">
        <f t="shared" si="1"/>
        <v>-4.9999999999990052</v>
      </c>
      <c r="M30" s="19">
        <f t="shared" si="1"/>
        <v>-3.0000000000001137</v>
      </c>
      <c r="N30" s="19">
        <f t="shared" si="1"/>
        <v>-3.0000000000001137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-4.0000000000048885</v>
      </c>
      <c r="S30" s="27">
        <f t="shared" si="3"/>
        <v>-7.1428571428531845E-2</v>
      </c>
      <c r="T30" s="28">
        <f t="shared" si="3"/>
        <v>0</v>
      </c>
      <c r="U30" s="28">
        <f t="shared" si="3"/>
        <v>-7.1428571428563556E-2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 t="s">
        <v>131</v>
      </c>
    </row>
    <row r="31" spans="2:25" ht="15" customHeight="1" x14ac:dyDescent="0.2">
      <c r="B31" s="31">
        <v>42506</v>
      </c>
      <c r="C31" s="73">
        <v>12.55</v>
      </c>
      <c r="D31" s="71">
        <v>8.0679999999999996</v>
      </c>
      <c r="E31" s="26">
        <v>7.532</v>
      </c>
      <c r="F31" s="16"/>
      <c r="G31" s="16"/>
      <c r="H31" s="16"/>
      <c r="I31" s="57">
        <v>116.06100000000001</v>
      </c>
      <c r="J31" s="58">
        <v>2450</v>
      </c>
      <c r="K31" s="18">
        <f t="shared" si="10"/>
        <v>3</v>
      </c>
      <c r="L31" s="19">
        <f t="shared" si="1"/>
        <v>-4.9999999999990052</v>
      </c>
      <c r="M31" s="19">
        <f t="shared" si="1"/>
        <v>-3.0000000000001137</v>
      </c>
      <c r="N31" s="19">
        <f t="shared" si="1"/>
        <v>-3.0000000000001137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-7.9999999999955662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42507</v>
      </c>
      <c r="C32" s="73">
        <v>12.55</v>
      </c>
      <c r="D32" s="71">
        <v>8.0679999999999996</v>
      </c>
      <c r="E32" s="71">
        <v>7.532</v>
      </c>
      <c r="F32" s="16"/>
      <c r="G32" s="16"/>
      <c r="H32" s="16"/>
      <c r="I32" s="57">
        <v>116.06100000000001</v>
      </c>
      <c r="J32" s="58">
        <v>2467</v>
      </c>
      <c r="K32" s="18">
        <f t="shared" ref="K32:K35" si="11">IF(ISBLANK(J32),"",(J32-$J$8))</f>
        <v>20</v>
      </c>
      <c r="L32" s="19">
        <f t="shared" ref="L32:R68" si="12">IF(ISBLANK(C32),"",(C32-C$16)*1000)</f>
        <v>-4.9999999999990052</v>
      </c>
      <c r="M32" s="19">
        <f t="shared" si="12"/>
        <v>-3.0000000000001137</v>
      </c>
      <c r="N32" s="19">
        <f t="shared" si="12"/>
        <v>-3.0000000000001137</v>
      </c>
      <c r="O32" s="19" t="str">
        <f t="shared" si="12"/>
        <v/>
      </c>
      <c r="P32" s="19" t="str">
        <f t="shared" si="12"/>
        <v/>
      </c>
      <c r="Q32" s="19" t="str">
        <f t="shared" si="12"/>
        <v/>
      </c>
      <c r="R32" s="19">
        <f t="shared" si="12"/>
        <v>-7.9999999999955662</v>
      </c>
      <c r="S32" s="27">
        <f t="shared" si="3"/>
        <v>0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42508</v>
      </c>
      <c r="C33" s="73">
        <v>12.55</v>
      </c>
      <c r="D33" s="71">
        <v>8.0679999999999996</v>
      </c>
      <c r="E33" s="71">
        <v>7.532</v>
      </c>
      <c r="F33" s="16"/>
      <c r="G33" s="16"/>
      <c r="H33" s="16"/>
      <c r="I33" s="79">
        <v>116.06100000000001</v>
      </c>
      <c r="J33" s="58">
        <v>2467</v>
      </c>
      <c r="K33" s="18">
        <f t="shared" si="11"/>
        <v>20</v>
      </c>
      <c r="L33" s="19">
        <f t="shared" si="12"/>
        <v>-4.9999999999990052</v>
      </c>
      <c r="M33" s="19">
        <f t="shared" si="12"/>
        <v>-3.0000000000001137</v>
      </c>
      <c r="N33" s="19">
        <f t="shared" si="12"/>
        <v>-3.0000000000001137</v>
      </c>
      <c r="O33" s="19" t="str">
        <f t="shared" si="12"/>
        <v/>
      </c>
      <c r="P33" s="19" t="str">
        <f t="shared" si="12"/>
        <v/>
      </c>
      <c r="Q33" s="19" t="str">
        <f t="shared" si="12"/>
        <v/>
      </c>
      <c r="R33" s="19">
        <f t="shared" si="12"/>
        <v>-7.9999999999955662</v>
      </c>
      <c r="S33" s="27">
        <f t="shared" ref="S33:X48" si="13">IF(C33="","",((C33-C32)*1000)/($B33-$B32))</f>
        <v>0</v>
      </c>
      <c r="T33" s="28">
        <f t="shared" si="13"/>
        <v>0</v>
      </c>
      <c r="U33" s="28">
        <f t="shared" si="13"/>
        <v>0</v>
      </c>
      <c r="V33" s="28" t="str">
        <f t="shared" si="13"/>
        <v/>
      </c>
      <c r="W33" s="28" t="str">
        <f t="shared" si="13"/>
        <v/>
      </c>
      <c r="X33" s="29" t="str">
        <f t="shared" si="13"/>
        <v/>
      </c>
      <c r="Y33" s="24"/>
    </row>
    <row r="34" spans="2:25" ht="15" customHeight="1" x14ac:dyDescent="0.2">
      <c r="B34" s="31">
        <v>42509</v>
      </c>
      <c r="C34" s="73">
        <v>12.55</v>
      </c>
      <c r="D34" s="71">
        <v>8.0679999999999996</v>
      </c>
      <c r="E34" s="71">
        <v>7.532</v>
      </c>
      <c r="F34" s="16"/>
      <c r="G34" s="16"/>
      <c r="H34" s="16"/>
      <c r="I34" s="79">
        <v>116.06100000000001</v>
      </c>
      <c r="J34" s="58">
        <v>2479</v>
      </c>
      <c r="K34" s="18">
        <f t="shared" si="11"/>
        <v>32</v>
      </c>
      <c r="L34" s="19">
        <f t="shared" si="12"/>
        <v>-4.9999999999990052</v>
      </c>
      <c r="M34" s="19">
        <f t="shared" si="12"/>
        <v>-3.0000000000001137</v>
      </c>
      <c r="N34" s="19">
        <f t="shared" si="12"/>
        <v>-3.0000000000001137</v>
      </c>
      <c r="O34" s="19" t="str">
        <f t="shared" si="12"/>
        <v/>
      </c>
      <c r="P34" s="19" t="str">
        <f t="shared" si="12"/>
        <v/>
      </c>
      <c r="Q34" s="19" t="str">
        <f t="shared" si="12"/>
        <v/>
      </c>
      <c r="R34" s="19">
        <f t="shared" si="12"/>
        <v>-7.9999999999955662</v>
      </c>
      <c r="S34" s="27">
        <f t="shared" si="13"/>
        <v>0</v>
      </c>
      <c r="T34" s="28">
        <f t="shared" si="13"/>
        <v>0</v>
      </c>
      <c r="U34" s="28">
        <f t="shared" si="13"/>
        <v>0</v>
      </c>
      <c r="V34" s="28" t="str">
        <f t="shared" si="13"/>
        <v/>
      </c>
      <c r="W34" s="28" t="str">
        <f t="shared" si="13"/>
        <v/>
      </c>
      <c r="X34" s="29" t="str">
        <f t="shared" si="13"/>
        <v/>
      </c>
      <c r="Y34" s="24"/>
    </row>
    <row r="35" spans="2:25" ht="15" customHeight="1" x14ac:dyDescent="0.2">
      <c r="B35" s="31">
        <v>42510</v>
      </c>
      <c r="C35" s="73">
        <v>12.55</v>
      </c>
      <c r="D35" s="71">
        <v>8.0679999999999996</v>
      </c>
      <c r="E35" s="71">
        <v>7.532</v>
      </c>
      <c r="F35" s="16"/>
      <c r="G35" s="16"/>
      <c r="H35" s="16"/>
      <c r="I35" s="79">
        <v>116.06100000000001</v>
      </c>
      <c r="J35" s="58">
        <v>2490</v>
      </c>
      <c r="K35" s="18">
        <f t="shared" si="11"/>
        <v>43</v>
      </c>
      <c r="L35" s="19">
        <f t="shared" si="12"/>
        <v>-4.9999999999990052</v>
      </c>
      <c r="M35" s="19">
        <f t="shared" si="12"/>
        <v>-3.0000000000001137</v>
      </c>
      <c r="N35" s="19">
        <f t="shared" si="12"/>
        <v>-3.0000000000001137</v>
      </c>
      <c r="O35" s="19" t="str">
        <f t="shared" si="12"/>
        <v/>
      </c>
      <c r="P35" s="19" t="str">
        <f t="shared" si="12"/>
        <v/>
      </c>
      <c r="Q35" s="19" t="str">
        <f t="shared" si="12"/>
        <v/>
      </c>
      <c r="R35" s="19">
        <f t="shared" si="12"/>
        <v>-7.9999999999955662</v>
      </c>
      <c r="S35" s="27">
        <f t="shared" si="13"/>
        <v>0</v>
      </c>
      <c r="T35" s="28">
        <f t="shared" si="13"/>
        <v>0</v>
      </c>
      <c r="U35" s="28">
        <f t="shared" si="13"/>
        <v>0</v>
      </c>
      <c r="V35" s="28" t="str">
        <f t="shared" si="13"/>
        <v/>
      </c>
      <c r="W35" s="28" t="str">
        <f t="shared" si="13"/>
        <v/>
      </c>
      <c r="X35" s="29" t="str">
        <f t="shared" si="13"/>
        <v/>
      </c>
      <c r="Y35" s="24"/>
    </row>
    <row r="36" spans="2:25" ht="15" customHeight="1" x14ac:dyDescent="0.2">
      <c r="B36" s="31"/>
      <c r="C36" s="25"/>
      <c r="D36" s="26"/>
      <c r="E36" s="26"/>
      <c r="F36" s="47"/>
      <c r="G36" s="47"/>
      <c r="H36" s="47"/>
      <c r="I36" s="57"/>
      <c r="J36" s="58"/>
      <c r="K36" s="18"/>
      <c r="L36" s="19" t="str">
        <f t="shared" si="12"/>
        <v/>
      </c>
      <c r="M36" s="19" t="str">
        <f t="shared" si="12"/>
        <v/>
      </c>
      <c r="N36" s="19" t="str">
        <f t="shared" si="12"/>
        <v/>
      </c>
      <c r="O36" s="19" t="str">
        <f t="shared" si="12"/>
        <v/>
      </c>
      <c r="P36" s="19" t="str">
        <f t="shared" si="12"/>
        <v/>
      </c>
      <c r="Q36" s="19" t="str">
        <f t="shared" si="12"/>
        <v/>
      </c>
      <c r="R36" s="19" t="str">
        <f t="shared" si="12"/>
        <v/>
      </c>
      <c r="S36" s="27" t="str">
        <f t="shared" si="13"/>
        <v/>
      </c>
      <c r="T36" s="28" t="str">
        <f t="shared" si="13"/>
        <v/>
      </c>
      <c r="U36" s="28" t="str">
        <f t="shared" si="13"/>
        <v/>
      </c>
      <c r="V36" s="28" t="str">
        <f t="shared" si="13"/>
        <v/>
      </c>
      <c r="W36" s="28" t="str">
        <f t="shared" si="13"/>
        <v/>
      </c>
      <c r="X36" s="29" t="str">
        <f t="shared" si="13"/>
        <v/>
      </c>
      <c r="Y36" s="24"/>
    </row>
    <row r="37" spans="2:25" ht="15" customHeight="1" x14ac:dyDescent="0.2">
      <c r="B37" s="31"/>
      <c r="C37" s="25"/>
      <c r="D37" s="26"/>
      <c r="E37" s="26"/>
      <c r="F37" s="47"/>
      <c r="G37" s="47"/>
      <c r="H37" s="47"/>
      <c r="I37" s="57"/>
      <c r="J37" s="58"/>
      <c r="K37" s="18"/>
      <c r="L37" s="19" t="str">
        <f t="shared" si="12"/>
        <v/>
      </c>
      <c r="M37" s="19" t="str">
        <f t="shared" si="12"/>
        <v/>
      </c>
      <c r="N37" s="19" t="str">
        <f t="shared" si="12"/>
        <v/>
      </c>
      <c r="O37" s="19" t="str">
        <f t="shared" si="12"/>
        <v/>
      </c>
      <c r="P37" s="19" t="str">
        <f t="shared" si="12"/>
        <v/>
      </c>
      <c r="Q37" s="19" t="str">
        <f t="shared" si="12"/>
        <v/>
      </c>
      <c r="R37" s="19" t="str">
        <f t="shared" si="12"/>
        <v/>
      </c>
      <c r="S37" s="27" t="str">
        <f t="shared" si="13"/>
        <v/>
      </c>
      <c r="T37" s="28" t="str">
        <f t="shared" si="13"/>
        <v/>
      </c>
      <c r="U37" s="28" t="str">
        <f t="shared" si="13"/>
        <v/>
      </c>
      <c r="V37" s="28" t="str">
        <f t="shared" si="13"/>
        <v/>
      </c>
      <c r="W37" s="28" t="str">
        <f t="shared" si="13"/>
        <v/>
      </c>
      <c r="X37" s="29" t="str">
        <f t="shared" si="13"/>
        <v/>
      </c>
      <c r="Y37" s="24"/>
    </row>
    <row r="38" spans="2:25" ht="15" customHeight="1" x14ac:dyDescent="0.2">
      <c r="B38" s="31"/>
      <c r="C38" s="25"/>
      <c r="D38" s="26"/>
      <c r="E38" s="26"/>
      <c r="F38" s="47"/>
      <c r="G38" s="47"/>
      <c r="H38" s="47"/>
      <c r="I38" s="57"/>
      <c r="J38" s="58"/>
      <c r="K38" s="18"/>
      <c r="L38" s="19" t="str">
        <f t="shared" si="12"/>
        <v/>
      </c>
      <c r="M38" s="19" t="str">
        <f t="shared" si="12"/>
        <v/>
      </c>
      <c r="N38" s="19" t="str">
        <f t="shared" si="12"/>
        <v/>
      </c>
      <c r="O38" s="19" t="str">
        <f t="shared" si="12"/>
        <v/>
      </c>
      <c r="P38" s="19" t="str">
        <f t="shared" si="12"/>
        <v/>
      </c>
      <c r="Q38" s="19" t="str">
        <f t="shared" si="12"/>
        <v/>
      </c>
      <c r="R38" s="19" t="str">
        <f t="shared" si="12"/>
        <v/>
      </c>
      <c r="S38" s="27" t="str">
        <f t="shared" si="13"/>
        <v/>
      </c>
      <c r="T38" s="28" t="str">
        <f t="shared" si="13"/>
        <v/>
      </c>
      <c r="U38" s="28" t="str">
        <f t="shared" si="13"/>
        <v/>
      </c>
      <c r="V38" s="28" t="str">
        <f t="shared" si="13"/>
        <v/>
      </c>
      <c r="W38" s="28" t="str">
        <f t="shared" si="13"/>
        <v/>
      </c>
      <c r="X38" s="29" t="str">
        <f t="shared" si="13"/>
        <v/>
      </c>
      <c r="Y38" s="24"/>
    </row>
    <row r="39" spans="2:25" ht="15" customHeight="1" x14ac:dyDescent="0.2">
      <c r="B39" s="31"/>
      <c r="C39" s="25"/>
      <c r="D39" s="26"/>
      <c r="E39" s="26"/>
      <c r="F39" s="47"/>
      <c r="G39" s="47"/>
      <c r="H39" s="47"/>
      <c r="I39" s="57"/>
      <c r="J39" s="58"/>
      <c r="K39" s="18"/>
      <c r="L39" s="19" t="str">
        <f t="shared" si="12"/>
        <v/>
      </c>
      <c r="M39" s="19" t="str">
        <f t="shared" si="12"/>
        <v/>
      </c>
      <c r="N39" s="19" t="str">
        <f t="shared" si="12"/>
        <v/>
      </c>
      <c r="O39" s="19" t="str">
        <f t="shared" si="12"/>
        <v/>
      </c>
      <c r="P39" s="19" t="str">
        <f t="shared" si="12"/>
        <v/>
      </c>
      <c r="Q39" s="19" t="str">
        <f t="shared" si="12"/>
        <v/>
      </c>
      <c r="R39" s="19" t="str">
        <f t="shared" si="12"/>
        <v/>
      </c>
      <c r="S39" s="27" t="str">
        <f t="shared" si="13"/>
        <v/>
      </c>
      <c r="T39" s="28" t="str">
        <f t="shared" si="13"/>
        <v/>
      </c>
      <c r="U39" s="28" t="str">
        <f t="shared" si="13"/>
        <v/>
      </c>
      <c r="V39" s="28" t="str">
        <f t="shared" si="13"/>
        <v/>
      </c>
      <c r="W39" s="28" t="str">
        <f t="shared" si="13"/>
        <v/>
      </c>
      <c r="X39" s="29" t="str">
        <f t="shared" si="13"/>
        <v/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18"/>
      <c r="L40" s="19" t="str">
        <f t="shared" si="12"/>
        <v/>
      </c>
      <c r="M40" s="19" t="str">
        <f t="shared" si="12"/>
        <v/>
      </c>
      <c r="N40" s="19" t="str">
        <f t="shared" si="12"/>
        <v/>
      </c>
      <c r="O40" s="19" t="str">
        <f t="shared" si="12"/>
        <v/>
      </c>
      <c r="P40" s="19" t="str">
        <f t="shared" si="12"/>
        <v/>
      </c>
      <c r="Q40" s="19" t="str">
        <f t="shared" si="12"/>
        <v/>
      </c>
      <c r="R40" s="19" t="str">
        <f t="shared" si="12"/>
        <v/>
      </c>
      <c r="S40" s="27" t="str">
        <f t="shared" si="13"/>
        <v/>
      </c>
      <c r="T40" s="28" t="str">
        <f t="shared" si="13"/>
        <v/>
      </c>
      <c r="U40" s="28" t="str">
        <f t="shared" si="13"/>
        <v/>
      </c>
      <c r="V40" s="28" t="str">
        <f t="shared" si="13"/>
        <v/>
      </c>
      <c r="W40" s="28" t="str">
        <f t="shared" si="13"/>
        <v/>
      </c>
      <c r="X40" s="29" t="str">
        <f t="shared" si="13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18"/>
      <c r="L41" s="19" t="str">
        <f t="shared" si="12"/>
        <v/>
      </c>
      <c r="M41" s="19" t="str">
        <f t="shared" si="12"/>
        <v/>
      </c>
      <c r="N41" s="19" t="str">
        <f t="shared" si="12"/>
        <v/>
      </c>
      <c r="O41" s="19" t="str">
        <f t="shared" si="12"/>
        <v/>
      </c>
      <c r="P41" s="19" t="str">
        <f t="shared" si="12"/>
        <v/>
      </c>
      <c r="Q41" s="19" t="str">
        <f t="shared" si="12"/>
        <v/>
      </c>
      <c r="R41" s="19" t="str">
        <f t="shared" si="12"/>
        <v/>
      </c>
      <c r="S41" s="27" t="str">
        <f t="shared" si="13"/>
        <v/>
      </c>
      <c r="T41" s="28" t="str">
        <f t="shared" si="13"/>
        <v/>
      </c>
      <c r="U41" s="28" t="str">
        <f t="shared" si="13"/>
        <v/>
      </c>
      <c r="V41" s="28" t="str">
        <f t="shared" si="13"/>
        <v/>
      </c>
      <c r="W41" s="28" t="str">
        <f t="shared" si="13"/>
        <v/>
      </c>
      <c r="X41" s="29" t="str">
        <f t="shared" si="13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18"/>
      <c r="L42" s="19" t="str">
        <f t="shared" si="12"/>
        <v/>
      </c>
      <c r="M42" s="19" t="str">
        <f t="shared" si="12"/>
        <v/>
      </c>
      <c r="N42" s="19" t="str">
        <f t="shared" si="12"/>
        <v/>
      </c>
      <c r="O42" s="19" t="str">
        <f t="shared" si="12"/>
        <v/>
      </c>
      <c r="P42" s="19" t="str">
        <f t="shared" si="12"/>
        <v/>
      </c>
      <c r="Q42" s="19" t="str">
        <f t="shared" si="12"/>
        <v/>
      </c>
      <c r="R42" s="19" t="str">
        <f t="shared" si="12"/>
        <v/>
      </c>
      <c r="S42" s="27" t="str">
        <f t="shared" si="13"/>
        <v/>
      </c>
      <c r="T42" s="28" t="str">
        <f t="shared" si="13"/>
        <v/>
      </c>
      <c r="U42" s="28" t="str">
        <f t="shared" si="13"/>
        <v/>
      </c>
      <c r="V42" s="28" t="str">
        <f t="shared" si="13"/>
        <v/>
      </c>
      <c r="W42" s="28" t="str">
        <f t="shared" si="13"/>
        <v/>
      </c>
      <c r="X42" s="29" t="str">
        <f t="shared" si="13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/>
      <c r="L43" s="19" t="str">
        <f t="shared" si="12"/>
        <v/>
      </c>
      <c r="M43" s="19" t="str">
        <f t="shared" si="12"/>
        <v/>
      </c>
      <c r="N43" s="19" t="str">
        <f t="shared" si="12"/>
        <v/>
      </c>
      <c r="O43" s="19" t="str">
        <f t="shared" si="12"/>
        <v/>
      </c>
      <c r="P43" s="19" t="str">
        <f t="shared" si="12"/>
        <v/>
      </c>
      <c r="Q43" s="19" t="str">
        <f t="shared" si="12"/>
        <v/>
      </c>
      <c r="R43" s="19" t="str">
        <f t="shared" si="12"/>
        <v/>
      </c>
      <c r="S43" s="27" t="str">
        <f t="shared" si="13"/>
        <v/>
      </c>
      <c r="T43" s="28" t="str">
        <f t="shared" si="13"/>
        <v/>
      </c>
      <c r="U43" s="28" t="str">
        <f t="shared" si="13"/>
        <v/>
      </c>
      <c r="V43" s="28" t="str">
        <f t="shared" si="13"/>
        <v/>
      </c>
      <c r="W43" s="28" t="str">
        <f t="shared" si="13"/>
        <v/>
      </c>
      <c r="X43" s="29" t="str">
        <f t="shared" si="13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12"/>
        <v/>
      </c>
      <c r="M44" s="19" t="str">
        <f t="shared" si="12"/>
        <v/>
      </c>
      <c r="N44" s="19" t="str">
        <f t="shared" si="12"/>
        <v/>
      </c>
      <c r="O44" s="19" t="str">
        <f t="shared" si="12"/>
        <v/>
      </c>
      <c r="P44" s="19" t="str">
        <f t="shared" si="12"/>
        <v/>
      </c>
      <c r="Q44" s="19" t="str">
        <f t="shared" si="12"/>
        <v/>
      </c>
      <c r="R44" s="19" t="str">
        <f t="shared" si="12"/>
        <v/>
      </c>
      <c r="S44" s="27" t="str">
        <f t="shared" si="13"/>
        <v/>
      </c>
      <c r="T44" s="28" t="str">
        <f t="shared" si="13"/>
        <v/>
      </c>
      <c r="U44" s="28" t="str">
        <f t="shared" si="13"/>
        <v/>
      </c>
      <c r="V44" s="28" t="str">
        <f t="shared" si="13"/>
        <v/>
      </c>
      <c r="W44" s="28" t="str">
        <f t="shared" si="13"/>
        <v/>
      </c>
      <c r="X44" s="29" t="str">
        <f t="shared" si="13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12"/>
        <v/>
      </c>
      <c r="M45" s="19" t="str">
        <f t="shared" si="12"/>
        <v/>
      </c>
      <c r="N45" s="19" t="str">
        <f t="shared" si="12"/>
        <v/>
      </c>
      <c r="O45" s="19" t="str">
        <f t="shared" si="12"/>
        <v/>
      </c>
      <c r="P45" s="19" t="str">
        <f t="shared" si="12"/>
        <v/>
      </c>
      <c r="Q45" s="19" t="str">
        <f t="shared" si="12"/>
        <v/>
      </c>
      <c r="R45" s="19" t="str">
        <f t="shared" si="12"/>
        <v/>
      </c>
      <c r="S45" s="27" t="str">
        <f t="shared" si="13"/>
        <v/>
      </c>
      <c r="T45" s="28" t="str">
        <f t="shared" si="13"/>
        <v/>
      </c>
      <c r="U45" s="28" t="str">
        <f t="shared" si="13"/>
        <v/>
      </c>
      <c r="V45" s="28" t="str">
        <f t="shared" si="13"/>
        <v/>
      </c>
      <c r="W45" s="28" t="str">
        <f t="shared" si="13"/>
        <v/>
      </c>
      <c r="X45" s="29" t="str">
        <f t="shared" si="13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12"/>
        <v/>
      </c>
      <c r="M46" s="19" t="str">
        <f t="shared" si="12"/>
        <v/>
      </c>
      <c r="N46" s="19" t="str">
        <f t="shared" si="12"/>
        <v/>
      </c>
      <c r="O46" s="19" t="str">
        <f t="shared" si="12"/>
        <v/>
      </c>
      <c r="P46" s="19" t="str">
        <f t="shared" si="12"/>
        <v/>
      </c>
      <c r="Q46" s="19" t="str">
        <f t="shared" si="12"/>
        <v/>
      </c>
      <c r="R46" s="19" t="str">
        <f t="shared" si="12"/>
        <v/>
      </c>
      <c r="S46" s="27" t="str">
        <f t="shared" si="13"/>
        <v/>
      </c>
      <c r="T46" s="28" t="str">
        <f t="shared" si="13"/>
        <v/>
      </c>
      <c r="U46" s="28" t="str">
        <f t="shared" si="13"/>
        <v/>
      </c>
      <c r="V46" s="28" t="str">
        <f t="shared" si="13"/>
        <v/>
      </c>
      <c r="W46" s="28" t="str">
        <f t="shared" si="13"/>
        <v/>
      </c>
      <c r="X46" s="29" t="str">
        <f t="shared" si="13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12"/>
        <v/>
      </c>
      <c r="M47" s="19" t="str">
        <f t="shared" si="12"/>
        <v/>
      </c>
      <c r="N47" s="19" t="str">
        <f t="shared" si="12"/>
        <v/>
      </c>
      <c r="O47" s="19" t="str">
        <f t="shared" si="12"/>
        <v/>
      </c>
      <c r="P47" s="19" t="str">
        <f t="shared" si="12"/>
        <v/>
      </c>
      <c r="Q47" s="19" t="str">
        <f t="shared" si="12"/>
        <v/>
      </c>
      <c r="R47" s="19" t="str">
        <f t="shared" si="12"/>
        <v/>
      </c>
      <c r="S47" s="27" t="str">
        <f t="shared" si="13"/>
        <v/>
      </c>
      <c r="T47" s="28" t="str">
        <f t="shared" si="13"/>
        <v/>
      </c>
      <c r="U47" s="28" t="str">
        <f t="shared" si="13"/>
        <v/>
      </c>
      <c r="V47" s="28" t="str">
        <f t="shared" si="13"/>
        <v/>
      </c>
      <c r="W47" s="28" t="str">
        <f t="shared" si="13"/>
        <v/>
      </c>
      <c r="X47" s="29" t="str">
        <f t="shared" si="13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12"/>
        <v/>
      </c>
      <c r="M48" s="19" t="str">
        <f t="shared" si="12"/>
        <v/>
      </c>
      <c r="N48" s="19" t="str">
        <f t="shared" si="12"/>
        <v/>
      </c>
      <c r="O48" s="19" t="str">
        <f t="shared" si="12"/>
        <v/>
      </c>
      <c r="P48" s="19" t="str">
        <f t="shared" si="12"/>
        <v/>
      </c>
      <c r="Q48" s="19" t="str">
        <f t="shared" si="12"/>
        <v/>
      </c>
      <c r="R48" s="19" t="str">
        <f t="shared" si="12"/>
        <v/>
      </c>
      <c r="S48" s="27" t="str">
        <f t="shared" si="13"/>
        <v/>
      </c>
      <c r="T48" s="28" t="str">
        <f t="shared" si="13"/>
        <v/>
      </c>
      <c r="U48" s="28" t="str">
        <f t="shared" si="13"/>
        <v/>
      </c>
      <c r="V48" s="28" t="str">
        <f t="shared" si="13"/>
        <v/>
      </c>
      <c r="W48" s="28" t="str">
        <f t="shared" si="13"/>
        <v/>
      </c>
      <c r="X48" s="29" t="str">
        <f t="shared" si="13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12"/>
        <v/>
      </c>
      <c r="M49" s="19" t="str">
        <f t="shared" si="12"/>
        <v/>
      </c>
      <c r="N49" s="19" t="str">
        <f t="shared" si="12"/>
        <v/>
      </c>
      <c r="O49" s="19" t="str">
        <f t="shared" si="12"/>
        <v/>
      </c>
      <c r="P49" s="19" t="str">
        <f t="shared" si="12"/>
        <v/>
      </c>
      <c r="Q49" s="19" t="str">
        <f t="shared" si="12"/>
        <v/>
      </c>
      <c r="R49" s="19" t="str">
        <f t="shared" si="12"/>
        <v/>
      </c>
      <c r="S49" s="27" t="str">
        <f t="shared" ref="S49:X64" si="14">IF(C49="","",((C49-C48)*1000)/($B49-$B48))</f>
        <v/>
      </c>
      <c r="T49" s="28" t="str">
        <f t="shared" si="14"/>
        <v/>
      </c>
      <c r="U49" s="28" t="str">
        <f t="shared" si="14"/>
        <v/>
      </c>
      <c r="V49" s="28" t="str">
        <f t="shared" si="14"/>
        <v/>
      </c>
      <c r="W49" s="28" t="str">
        <f t="shared" si="14"/>
        <v/>
      </c>
      <c r="X49" s="29" t="str">
        <f t="shared" si="14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12"/>
        <v/>
      </c>
      <c r="M50" s="19" t="str">
        <f t="shared" si="12"/>
        <v/>
      </c>
      <c r="N50" s="19" t="str">
        <f t="shared" si="12"/>
        <v/>
      </c>
      <c r="O50" s="19" t="str">
        <f t="shared" si="12"/>
        <v/>
      </c>
      <c r="P50" s="19" t="str">
        <f t="shared" si="12"/>
        <v/>
      </c>
      <c r="Q50" s="19" t="str">
        <f t="shared" si="12"/>
        <v/>
      </c>
      <c r="R50" s="19" t="str">
        <f t="shared" si="12"/>
        <v/>
      </c>
      <c r="S50" s="27" t="str">
        <f t="shared" si="14"/>
        <v/>
      </c>
      <c r="T50" s="28" t="str">
        <f t="shared" si="14"/>
        <v/>
      </c>
      <c r="U50" s="28" t="str">
        <f t="shared" si="14"/>
        <v/>
      </c>
      <c r="V50" s="28" t="str">
        <f t="shared" si="14"/>
        <v/>
      </c>
      <c r="W50" s="28" t="str">
        <f t="shared" si="14"/>
        <v/>
      </c>
      <c r="X50" s="29" t="str">
        <f t="shared" si="14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12"/>
        <v/>
      </c>
      <c r="M51" s="19" t="str">
        <f t="shared" si="12"/>
        <v/>
      </c>
      <c r="N51" s="19" t="str">
        <f t="shared" si="12"/>
        <v/>
      </c>
      <c r="O51" s="19" t="str">
        <f t="shared" si="12"/>
        <v/>
      </c>
      <c r="P51" s="19" t="str">
        <f t="shared" si="12"/>
        <v/>
      </c>
      <c r="Q51" s="19" t="str">
        <f t="shared" si="12"/>
        <v/>
      </c>
      <c r="R51" s="19" t="str">
        <f t="shared" si="12"/>
        <v/>
      </c>
      <c r="S51" s="27" t="str">
        <f t="shared" si="14"/>
        <v/>
      </c>
      <c r="T51" s="28" t="str">
        <f t="shared" si="14"/>
        <v/>
      </c>
      <c r="U51" s="28" t="str">
        <f t="shared" si="14"/>
        <v/>
      </c>
      <c r="V51" s="28" t="str">
        <f t="shared" si="14"/>
        <v/>
      </c>
      <c r="W51" s="28" t="str">
        <f t="shared" si="14"/>
        <v/>
      </c>
      <c r="X51" s="29" t="str">
        <f t="shared" si="14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12"/>
        <v/>
      </c>
      <c r="M52" s="19" t="str">
        <f t="shared" si="12"/>
        <v/>
      </c>
      <c r="N52" s="19" t="str">
        <f t="shared" si="12"/>
        <v/>
      </c>
      <c r="O52" s="19" t="str">
        <f t="shared" si="12"/>
        <v/>
      </c>
      <c r="P52" s="19" t="str">
        <f t="shared" si="12"/>
        <v/>
      </c>
      <c r="Q52" s="19" t="str">
        <f t="shared" si="12"/>
        <v/>
      </c>
      <c r="R52" s="19" t="str">
        <f t="shared" si="12"/>
        <v/>
      </c>
      <c r="S52" s="27" t="str">
        <f t="shared" si="14"/>
        <v/>
      </c>
      <c r="T52" s="28" t="str">
        <f t="shared" si="14"/>
        <v/>
      </c>
      <c r="U52" s="28" t="str">
        <f t="shared" si="14"/>
        <v/>
      </c>
      <c r="V52" s="28" t="str">
        <f t="shared" si="14"/>
        <v/>
      </c>
      <c r="W52" s="28" t="str">
        <f t="shared" si="14"/>
        <v/>
      </c>
      <c r="X52" s="29" t="str">
        <f t="shared" si="14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12"/>
        <v/>
      </c>
      <c r="M53" s="19" t="str">
        <f t="shared" si="12"/>
        <v/>
      </c>
      <c r="N53" s="19" t="str">
        <f t="shared" si="12"/>
        <v/>
      </c>
      <c r="O53" s="19" t="str">
        <f t="shared" si="12"/>
        <v/>
      </c>
      <c r="P53" s="19" t="str">
        <f t="shared" si="12"/>
        <v/>
      </c>
      <c r="Q53" s="19" t="str">
        <f t="shared" si="12"/>
        <v/>
      </c>
      <c r="R53" s="19" t="str">
        <f t="shared" si="12"/>
        <v/>
      </c>
      <c r="S53" s="27" t="str">
        <f t="shared" si="14"/>
        <v/>
      </c>
      <c r="T53" s="28" t="str">
        <f t="shared" si="14"/>
        <v/>
      </c>
      <c r="U53" s="28" t="str">
        <f t="shared" si="14"/>
        <v/>
      </c>
      <c r="V53" s="28" t="str">
        <f t="shared" si="14"/>
        <v/>
      </c>
      <c r="W53" s="28" t="str">
        <f t="shared" si="14"/>
        <v/>
      </c>
      <c r="X53" s="29" t="str">
        <f t="shared" si="14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12"/>
        <v/>
      </c>
      <c r="M54" s="19" t="str">
        <f t="shared" si="12"/>
        <v/>
      </c>
      <c r="N54" s="19" t="str">
        <f t="shared" si="12"/>
        <v/>
      </c>
      <c r="O54" s="19" t="str">
        <f t="shared" si="12"/>
        <v/>
      </c>
      <c r="P54" s="19" t="str">
        <f t="shared" si="12"/>
        <v/>
      </c>
      <c r="Q54" s="19" t="str">
        <f t="shared" si="12"/>
        <v/>
      </c>
      <c r="R54" s="19" t="str">
        <f t="shared" si="12"/>
        <v/>
      </c>
      <c r="S54" s="27" t="str">
        <f t="shared" si="14"/>
        <v/>
      </c>
      <c r="T54" s="28" t="str">
        <f t="shared" si="14"/>
        <v/>
      </c>
      <c r="U54" s="28" t="str">
        <f t="shared" si="14"/>
        <v/>
      </c>
      <c r="V54" s="28" t="str">
        <f t="shared" si="14"/>
        <v/>
      </c>
      <c r="W54" s="28" t="str">
        <f t="shared" si="14"/>
        <v/>
      </c>
      <c r="X54" s="29" t="str">
        <f t="shared" si="14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12"/>
        <v/>
      </c>
      <c r="M55" s="19" t="str">
        <f t="shared" si="12"/>
        <v/>
      </c>
      <c r="N55" s="19" t="str">
        <f t="shared" si="12"/>
        <v/>
      </c>
      <c r="O55" s="19" t="str">
        <f t="shared" si="12"/>
        <v/>
      </c>
      <c r="P55" s="19" t="str">
        <f t="shared" si="12"/>
        <v/>
      </c>
      <c r="Q55" s="19" t="str">
        <f t="shared" si="12"/>
        <v/>
      </c>
      <c r="R55" s="19" t="str">
        <f t="shared" si="12"/>
        <v/>
      </c>
      <c r="S55" s="27" t="str">
        <f t="shared" si="14"/>
        <v/>
      </c>
      <c r="T55" s="28" t="str">
        <f t="shared" si="14"/>
        <v/>
      </c>
      <c r="U55" s="28" t="str">
        <f t="shared" si="14"/>
        <v/>
      </c>
      <c r="V55" s="28" t="str">
        <f t="shared" si="14"/>
        <v/>
      </c>
      <c r="W55" s="28" t="str">
        <f t="shared" si="14"/>
        <v/>
      </c>
      <c r="X55" s="29" t="str">
        <f t="shared" si="14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12"/>
        <v/>
      </c>
      <c r="M56" s="19" t="str">
        <f t="shared" si="12"/>
        <v/>
      </c>
      <c r="N56" s="19" t="str">
        <f t="shared" si="12"/>
        <v/>
      </c>
      <c r="O56" s="19" t="str">
        <f t="shared" si="12"/>
        <v/>
      </c>
      <c r="P56" s="19" t="str">
        <f t="shared" si="12"/>
        <v/>
      </c>
      <c r="Q56" s="19" t="str">
        <f t="shared" si="12"/>
        <v/>
      </c>
      <c r="R56" s="19" t="str">
        <f t="shared" si="12"/>
        <v/>
      </c>
      <c r="S56" s="27" t="str">
        <f t="shared" si="14"/>
        <v/>
      </c>
      <c r="T56" s="28" t="str">
        <f t="shared" si="14"/>
        <v/>
      </c>
      <c r="U56" s="28" t="str">
        <f t="shared" si="14"/>
        <v/>
      </c>
      <c r="V56" s="28" t="str">
        <f t="shared" si="14"/>
        <v/>
      </c>
      <c r="W56" s="28" t="str">
        <f t="shared" si="14"/>
        <v/>
      </c>
      <c r="X56" s="29" t="str">
        <f t="shared" si="14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12"/>
        <v/>
      </c>
      <c r="M57" s="19" t="str">
        <f t="shared" si="12"/>
        <v/>
      </c>
      <c r="N57" s="19" t="str">
        <f t="shared" si="12"/>
        <v/>
      </c>
      <c r="O57" s="19" t="str">
        <f t="shared" si="12"/>
        <v/>
      </c>
      <c r="P57" s="19" t="str">
        <f t="shared" si="12"/>
        <v/>
      </c>
      <c r="Q57" s="19" t="str">
        <f t="shared" si="12"/>
        <v/>
      </c>
      <c r="R57" s="19" t="str">
        <f t="shared" si="12"/>
        <v/>
      </c>
      <c r="S57" s="27" t="str">
        <f t="shared" si="14"/>
        <v/>
      </c>
      <c r="T57" s="28" t="str">
        <f t="shared" si="14"/>
        <v/>
      </c>
      <c r="U57" s="28" t="str">
        <f t="shared" si="14"/>
        <v/>
      </c>
      <c r="V57" s="28" t="str">
        <f t="shared" si="14"/>
        <v/>
      </c>
      <c r="W57" s="28" t="str">
        <f t="shared" si="14"/>
        <v/>
      </c>
      <c r="X57" s="29" t="str">
        <f t="shared" si="14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12"/>
        <v/>
      </c>
      <c r="M58" s="19" t="str">
        <f t="shared" si="12"/>
        <v/>
      </c>
      <c r="N58" s="19" t="str">
        <f t="shared" si="12"/>
        <v/>
      </c>
      <c r="O58" s="19" t="str">
        <f t="shared" si="12"/>
        <v/>
      </c>
      <c r="P58" s="19" t="str">
        <f t="shared" si="12"/>
        <v/>
      </c>
      <c r="Q58" s="19" t="str">
        <f t="shared" si="12"/>
        <v/>
      </c>
      <c r="R58" s="19" t="str">
        <f t="shared" si="12"/>
        <v/>
      </c>
      <c r="S58" s="27" t="str">
        <f t="shared" si="14"/>
        <v/>
      </c>
      <c r="T58" s="28" t="str">
        <f t="shared" si="14"/>
        <v/>
      </c>
      <c r="U58" s="28" t="str">
        <f t="shared" si="14"/>
        <v/>
      </c>
      <c r="V58" s="28" t="str">
        <f t="shared" si="14"/>
        <v/>
      </c>
      <c r="W58" s="28" t="str">
        <f t="shared" si="14"/>
        <v/>
      </c>
      <c r="X58" s="29" t="str">
        <f t="shared" si="14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12"/>
        <v/>
      </c>
      <c r="M59" s="19" t="str">
        <f t="shared" si="12"/>
        <v/>
      </c>
      <c r="N59" s="19" t="str">
        <f t="shared" si="12"/>
        <v/>
      </c>
      <c r="O59" s="19" t="str">
        <f t="shared" si="12"/>
        <v/>
      </c>
      <c r="P59" s="19" t="str">
        <f t="shared" si="12"/>
        <v/>
      </c>
      <c r="Q59" s="19" t="str">
        <f t="shared" si="12"/>
        <v/>
      </c>
      <c r="R59" s="19" t="str">
        <f t="shared" si="12"/>
        <v/>
      </c>
      <c r="S59" s="27" t="str">
        <f t="shared" si="14"/>
        <v/>
      </c>
      <c r="T59" s="28" t="str">
        <f t="shared" si="14"/>
        <v/>
      </c>
      <c r="U59" s="28" t="str">
        <f t="shared" si="14"/>
        <v/>
      </c>
      <c r="V59" s="28" t="str">
        <f t="shared" si="14"/>
        <v/>
      </c>
      <c r="W59" s="28" t="str">
        <f t="shared" si="14"/>
        <v/>
      </c>
      <c r="X59" s="29" t="str">
        <f t="shared" si="14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12"/>
        <v/>
      </c>
      <c r="M60" s="19" t="str">
        <f t="shared" si="12"/>
        <v/>
      </c>
      <c r="N60" s="19" t="str">
        <f t="shared" si="12"/>
        <v/>
      </c>
      <c r="O60" s="19" t="str">
        <f t="shared" si="12"/>
        <v/>
      </c>
      <c r="P60" s="19" t="str">
        <f t="shared" si="12"/>
        <v/>
      </c>
      <c r="Q60" s="19" t="str">
        <f t="shared" si="12"/>
        <v/>
      </c>
      <c r="R60" s="19" t="str">
        <f t="shared" si="12"/>
        <v/>
      </c>
      <c r="S60" s="27" t="str">
        <f t="shared" si="14"/>
        <v/>
      </c>
      <c r="T60" s="28" t="str">
        <f t="shared" si="14"/>
        <v/>
      </c>
      <c r="U60" s="28" t="str">
        <f t="shared" si="14"/>
        <v/>
      </c>
      <c r="V60" s="28" t="str">
        <f t="shared" si="14"/>
        <v/>
      </c>
      <c r="W60" s="28" t="str">
        <f t="shared" si="14"/>
        <v/>
      </c>
      <c r="X60" s="29" t="str">
        <f t="shared" si="14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12"/>
        <v/>
      </c>
      <c r="M61" s="19" t="str">
        <f t="shared" si="12"/>
        <v/>
      </c>
      <c r="N61" s="19" t="str">
        <f t="shared" si="12"/>
        <v/>
      </c>
      <c r="O61" s="19" t="str">
        <f t="shared" si="12"/>
        <v/>
      </c>
      <c r="P61" s="19" t="str">
        <f t="shared" si="12"/>
        <v/>
      </c>
      <c r="Q61" s="19" t="str">
        <f t="shared" si="12"/>
        <v/>
      </c>
      <c r="R61" s="19" t="str">
        <f t="shared" si="12"/>
        <v/>
      </c>
      <c r="S61" s="27" t="str">
        <f t="shared" si="14"/>
        <v/>
      </c>
      <c r="T61" s="28" t="str">
        <f t="shared" si="14"/>
        <v/>
      </c>
      <c r="U61" s="28" t="str">
        <f t="shared" si="14"/>
        <v/>
      </c>
      <c r="V61" s="28" t="str">
        <f t="shared" si="14"/>
        <v/>
      </c>
      <c r="W61" s="28" t="str">
        <f t="shared" si="14"/>
        <v/>
      </c>
      <c r="X61" s="29" t="str">
        <f t="shared" si="14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12"/>
        <v/>
      </c>
      <c r="M62" s="19" t="str">
        <f t="shared" si="12"/>
        <v/>
      </c>
      <c r="N62" s="19" t="str">
        <f t="shared" si="12"/>
        <v/>
      </c>
      <c r="O62" s="19" t="str">
        <f t="shared" si="12"/>
        <v/>
      </c>
      <c r="P62" s="19" t="str">
        <f t="shared" si="12"/>
        <v/>
      </c>
      <c r="Q62" s="19" t="str">
        <f t="shared" si="12"/>
        <v/>
      </c>
      <c r="R62" s="19" t="str">
        <f t="shared" si="12"/>
        <v/>
      </c>
      <c r="S62" s="27" t="str">
        <f t="shared" si="14"/>
        <v/>
      </c>
      <c r="T62" s="28" t="str">
        <f t="shared" si="14"/>
        <v/>
      </c>
      <c r="U62" s="28" t="str">
        <f t="shared" si="14"/>
        <v/>
      </c>
      <c r="V62" s="28" t="str">
        <f t="shared" si="14"/>
        <v/>
      </c>
      <c r="W62" s="28" t="str">
        <f t="shared" si="14"/>
        <v/>
      </c>
      <c r="X62" s="29" t="str">
        <f t="shared" si="14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12"/>
        <v/>
      </c>
      <c r="M63" s="19" t="str">
        <f t="shared" si="12"/>
        <v/>
      </c>
      <c r="N63" s="19" t="str">
        <f t="shared" si="12"/>
        <v/>
      </c>
      <c r="O63" s="19" t="str">
        <f t="shared" si="12"/>
        <v/>
      </c>
      <c r="P63" s="19" t="str">
        <f t="shared" si="12"/>
        <v/>
      </c>
      <c r="Q63" s="19" t="str">
        <f t="shared" si="12"/>
        <v/>
      </c>
      <c r="R63" s="19" t="str">
        <f t="shared" si="12"/>
        <v/>
      </c>
      <c r="S63" s="27" t="str">
        <f t="shared" si="14"/>
        <v/>
      </c>
      <c r="T63" s="28" t="str">
        <f t="shared" si="14"/>
        <v/>
      </c>
      <c r="U63" s="28" t="str">
        <f t="shared" si="14"/>
        <v/>
      </c>
      <c r="V63" s="28" t="str">
        <f t="shared" si="14"/>
        <v/>
      </c>
      <c r="W63" s="28" t="str">
        <f t="shared" si="14"/>
        <v/>
      </c>
      <c r="X63" s="29" t="str">
        <f t="shared" si="14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2"/>
        <v/>
      </c>
      <c r="M64" s="19" t="str">
        <f t="shared" si="12"/>
        <v/>
      </c>
      <c r="N64" s="19" t="str">
        <f t="shared" si="12"/>
        <v/>
      </c>
      <c r="O64" s="19" t="str">
        <f t="shared" si="12"/>
        <v/>
      </c>
      <c r="P64" s="19" t="str">
        <f t="shared" si="12"/>
        <v/>
      </c>
      <c r="Q64" s="19" t="str">
        <f t="shared" si="12"/>
        <v/>
      </c>
      <c r="R64" s="19" t="str">
        <f t="shared" si="12"/>
        <v/>
      </c>
      <c r="S64" s="27" t="str">
        <f t="shared" si="14"/>
        <v/>
      </c>
      <c r="T64" s="28" t="str">
        <f t="shared" si="14"/>
        <v/>
      </c>
      <c r="U64" s="28" t="str">
        <f t="shared" si="14"/>
        <v/>
      </c>
      <c r="V64" s="28" t="str">
        <f t="shared" si="14"/>
        <v/>
      </c>
      <c r="W64" s="28" t="str">
        <f t="shared" si="14"/>
        <v/>
      </c>
      <c r="X64" s="29" t="str">
        <f t="shared" si="14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2"/>
        <v/>
      </c>
      <c r="M65" s="19" t="str">
        <f t="shared" si="12"/>
        <v/>
      </c>
      <c r="N65" s="19" t="str">
        <f t="shared" si="12"/>
        <v/>
      </c>
      <c r="O65" s="19" t="str">
        <f t="shared" si="12"/>
        <v/>
      </c>
      <c r="P65" s="19" t="str">
        <f t="shared" si="12"/>
        <v/>
      </c>
      <c r="Q65" s="19" t="str">
        <f t="shared" si="12"/>
        <v/>
      </c>
      <c r="R65" s="19" t="str">
        <f t="shared" si="12"/>
        <v/>
      </c>
      <c r="S65" s="27" t="str">
        <f t="shared" ref="S65:X80" si="15">IF(C65="","",((C65-C64)*1000)/($B65-$B64))</f>
        <v/>
      </c>
      <c r="T65" s="28" t="str">
        <f t="shared" si="15"/>
        <v/>
      </c>
      <c r="U65" s="28" t="str">
        <f t="shared" si="15"/>
        <v/>
      </c>
      <c r="V65" s="28" t="str">
        <f t="shared" si="15"/>
        <v/>
      </c>
      <c r="W65" s="28" t="str">
        <f t="shared" si="15"/>
        <v/>
      </c>
      <c r="X65" s="29" t="str">
        <f t="shared" si="15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2"/>
        <v/>
      </c>
      <c r="M66" s="19" t="str">
        <f t="shared" si="12"/>
        <v/>
      </c>
      <c r="N66" s="19" t="str">
        <f t="shared" si="12"/>
        <v/>
      </c>
      <c r="O66" s="19" t="str">
        <f t="shared" si="12"/>
        <v/>
      </c>
      <c r="P66" s="19" t="str">
        <f t="shared" si="12"/>
        <v/>
      </c>
      <c r="Q66" s="19" t="str">
        <f t="shared" si="12"/>
        <v/>
      </c>
      <c r="R66" s="19" t="str">
        <f t="shared" si="12"/>
        <v/>
      </c>
      <c r="S66" s="27" t="str">
        <f t="shared" si="15"/>
        <v/>
      </c>
      <c r="T66" s="28" t="str">
        <f t="shared" si="15"/>
        <v/>
      </c>
      <c r="U66" s="28" t="str">
        <f t="shared" si="15"/>
        <v/>
      </c>
      <c r="V66" s="28" t="str">
        <f t="shared" si="15"/>
        <v/>
      </c>
      <c r="W66" s="28" t="str">
        <f t="shared" si="15"/>
        <v/>
      </c>
      <c r="X66" s="29" t="str">
        <f t="shared" si="15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2"/>
        <v/>
      </c>
      <c r="M67" s="19" t="str">
        <f t="shared" si="12"/>
        <v/>
      </c>
      <c r="N67" s="19" t="str">
        <f t="shared" si="12"/>
        <v/>
      </c>
      <c r="O67" s="19" t="str">
        <f t="shared" si="12"/>
        <v/>
      </c>
      <c r="P67" s="19" t="str">
        <f t="shared" si="12"/>
        <v/>
      </c>
      <c r="Q67" s="19" t="str">
        <f t="shared" si="12"/>
        <v/>
      </c>
      <c r="R67" s="19" t="str">
        <f t="shared" si="12"/>
        <v/>
      </c>
      <c r="S67" s="27" t="str">
        <f t="shared" si="15"/>
        <v/>
      </c>
      <c r="T67" s="28" t="str">
        <f t="shared" si="15"/>
        <v/>
      </c>
      <c r="U67" s="28" t="str">
        <f t="shared" si="15"/>
        <v/>
      </c>
      <c r="V67" s="28" t="str">
        <f t="shared" si="15"/>
        <v/>
      </c>
      <c r="W67" s="28" t="str">
        <f t="shared" si="15"/>
        <v/>
      </c>
      <c r="X67" s="29" t="str">
        <f t="shared" si="15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2"/>
        <v/>
      </c>
      <c r="M68" s="19" t="str">
        <f t="shared" si="12"/>
        <v/>
      </c>
      <c r="N68" s="19" t="str">
        <f t="shared" si="12"/>
        <v/>
      </c>
      <c r="O68" s="19" t="str">
        <f t="shared" ref="O68:R131" si="16">IF(ISBLANK(F68),"",(F68-F$16)*1000)</f>
        <v/>
      </c>
      <c r="P68" s="19" t="str">
        <f t="shared" si="16"/>
        <v/>
      </c>
      <c r="Q68" s="19" t="str">
        <f t="shared" si="16"/>
        <v/>
      </c>
      <c r="R68" s="19" t="str">
        <f t="shared" si="16"/>
        <v/>
      </c>
      <c r="S68" s="27" t="str">
        <f t="shared" si="15"/>
        <v/>
      </c>
      <c r="T68" s="28" t="str">
        <f t="shared" si="15"/>
        <v/>
      </c>
      <c r="U68" s="28" t="str">
        <f t="shared" si="15"/>
        <v/>
      </c>
      <c r="V68" s="28" t="str">
        <f t="shared" si="15"/>
        <v/>
      </c>
      <c r="W68" s="28" t="str">
        <f t="shared" si="15"/>
        <v/>
      </c>
      <c r="X68" s="29" t="str">
        <f t="shared" si="15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ref="L69:Q132" si="17">IF(ISBLANK(C69),"",(C69-C$16)*1000)</f>
        <v/>
      </c>
      <c r="M69" s="19" t="str">
        <f t="shared" si="17"/>
        <v/>
      </c>
      <c r="N69" s="19" t="str">
        <f t="shared" si="17"/>
        <v/>
      </c>
      <c r="O69" s="19" t="str">
        <f t="shared" si="16"/>
        <v/>
      </c>
      <c r="P69" s="19" t="str">
        <f t="shared" si="16"/>
        <v/>
      </c>
      <c r="Q69" s="19" t="str">
        <f t="shared" si="16"/>
        <v/>
      </c>
      <c r="R69" s="19" t="str">
        <f t="shared" si="16"/>
        <v/>
      </c>
      <c r="S69" s="27" t="str">
        <f t="shared" si="15"/>
        <v/>
      </c>
      <c r="T69" s="28" t="str">
        <f t="shared" si="15"/>
        <v/>
      </c>
      <c r="U69" s="28" t="str">
        <f t="shared" si="15"/>
        <v/>
      </c>
      <c r="V69" s="28" t="str">
        <f t="shared" si="15"/>
        <v/>
      </c>
      <c r="W69" s="28" t="str">
        <f t="shared" si="15"/>
        <v/>
      </c>
      <c r="X69" s="29" t="str">
        <f t="shared" si="15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7"/>
        <v/>
      </c>
      <c r="M70" s="19" t="str">
        <f t="shared" si="17"/>
        <v/>
      </c>
      <c r="N70" s="19" t="str">
        <f t="shared" si="17"/>
        <v/>
      </c>
      <c r="O70" s="19" t="str">
        <f t="shared" si="16"/>
        <v/>
      </c>
      <c r="P70" s="19" t="str">
        <f t="shared" si="16"/>
        <v/>
      </c>
      <c r="Q70" s="19" t="str">
        <f t="shared" si="16"/>
        <v/>
      </c>
      <c r="R70" s="19" t="str">
        <f t="shared" si="16"/>
        <v/>
      </c>
      <c r="S70" s="27" t="str">
        <f t="shared" si="15"/>
        <v/>
      </c>
      <c r="T70" s="28" t="str">
        <f t="shared" si="15"/>
        <v/>
      </c>
      <c r="U70" s="28" t="str">
        <f t="shared" si="15"/>
        <v/>
      </c>
      <c r="V70" s="28" t="str">
        <f t="shared" si="15"/>
        <v/>
      </c>
      <c r="W70" s="28" t="str">
        <f t="shared" si="15"/>
        <v/>
      </c>
      <c r="X70" s="29" t="str">
        <f t="shared" si="15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7"/>
        <v/>
      </c>
      <c r="M71" s="19" t="str">
        <f t="shared" si="17"/>
        <v/>
      </c>
      <c r="N71" s="19" t="str">
        <f t="shared" si="17"/>
        <v/>
      </c>
      <c r="O71" s="19" t="str">
        <f t="shared" si="16"/>
        <v/>
      </c>
      <c r="P71" s="19" t="str">
        <f t="shared" si="16"/>
        <v/>
      </c>
      <c r="Q71" s="19" t="str">
        <f t="shared" si="16"/>
        <v/>
      </c>
      <c r="R71" s="19" t="str">
        <f t="shared" si="16"/>
        <v/>
      </c>
      <c r="S71" s="27" t="str">
        <f t="shared" si="15"/>
        <v/>
      </c>
      <c r="T71" s="28" t="str">
        <f t="shared" si="15"/>
        <v/>
      </c>
      <c r="U71" s="28" t="str">
        <f t="shared" si="15"/>
        <v/>
      </c>
      <c r="V71" s="28" t="str">
        <f t="shared" si="15"/>
        <v/>
      </c>
      <c r="W71" s="28" t="str">
        <f t="shared" si="15"/>
        <v/>
      </c>
      <c r="X71" s="29" t="str">
        <f t="shared" si="15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7"/>
        <v/>
      </c>
      <c r="M72" s="19" t="str">
        <f t="shared" si="17"/>
        <v/>
      </c>
      <c r="N72" s="19" t="str">
        <f t="shared" si="17"/>
        <v/>
      </c>
      <c r="O72" s="19" t="str">
        <f t="shared" si="16"/>
        <v/>
      </c>
      <c r="P72" s="19" t="str">
        <f t="shared" si="16"/>
        <v/>
      </c>
      <c r="Q72" s="19" t="str">
        <f t="shared" si="16"/>
        <v/>
      </c>
      <c r="R72" s="19" t="str">
        <f t="shared" si="16"/>
        <v/>
      </c>
      <c r="S72" s="27" t="str">
        <f t="shared" si="15"/>
        <v/>
      </c>
      <c r="T72" s="28" t="str">
        <f t="shared" si="15"/>
        <v/>
      </c>
      <c r="U72" s="28" t="str">
        <f t="shared" si="15"/>
        <v/>
      </c>
      <c r="V72" s="28" t="str">
        <f t="shared" si="15"/>
        <v/>
      </c>
      <c r="W72" s="28" t="str">
        <f t="shared" si="15"/>
        <v/>
      </c>
      <c r="X72" s="29" t="str">
        <f t="shared" si="15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7"/>
        <v/>
      </c>
      <c r="M73" s="19" t="str">
        <f t="shared" si="17"/>
        <v/>
      </c>
      <c r="N73" s="19" t="str">
        <f t="shared" si="17"/>
        <v/>
      </c>
      <c r="O73" s="19" t="str">
        <f t="shared" si="16"/>
        <v/>
      </c>
      <c r="P73" s="19" t="str">
        <f t="shared" si="16"/>
        <v/>
      </c>
      <c r="Q73" s="19" t="str">
        <f t="shared" si="16"/>
        <v/>
      </c>
      <c r="R73" s="19" t="str">
        <f t="shared" si="16"/>
        <v/>
      </c>
      <c r="S73" s="27" t="str">
        <f t="shared" si="15"/>
        <v/>
      </c>
      <c r="T73" s="28" t="str">
        <f t="shared" si="15"/>
        <v/>
      </c>
      <c r="U73" s="28" t="str">
        <f t="shared" si="15"/>
        <v/>
      </c>
      <c r="V73" s="28" t="str">
        <f t="shared" si="15"/>
        <v/>
      </c>
      <c r="W73" s="28" t="str">
        <f t="shared" si="15"/>
        <v/>
      </c>
      <c r="X73" s="29" t="str">
        <f t="shared" si="15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7"/>
        <v/>
      </c>
      <c r="M74" s="19" t="str">
        <f t="shared" si="17"/>
        <v/>
      </c>
      <c r="N74" s="19" t="str">
        <f t="shared" si="17"/>
        <v/>
      </c>
      <c r="O74" s="19" t="str">
        <f t="shared" si="16"/>
        <v/>
      </c>
      <c r="P74" s="19" t="str">
        <f t="shared" si="16"/>
        <v/>
      </c>
      <c r="Q74" s="19" t="str">
        <f t="shared" si="16"/>
        <v/>
      </c>
      <c r="R74" s="19" t="str">
        <f t="shared" si="16"/>
        <v/>
      </c>
      <c r="S74" s="27" t="str">
        <f t="shared" si="15"/>
        <v/>
      </c>
      <c r="T74" s="28" t="str">
        <f t="shared" si="15"/>
        <v/>
      </c>
      <c r="U74" s="28" t="str">
        <f t="shared" si="15"/>
        <v/>
      </c>
      <c r="V74" s="28" t="str">
        <f t="shared" si="15"/>
        <v/>
      </c>
      <c r="W74" s="28" t="str">
        <f t="shared" si="15"/>
        <v/>
      </c>
      <c r="X74" s="29" t="str">
        <f t="shared" si="15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7"/>
        <v/>
      </c>
      <c r="M75" s="19" t="str">
        <f t="shared" si="17"/>
        <v/>
      </c>
      <c r="N75" s="19" t="str">
        <f t="shared" si="17"/>
        <v/>
      </c>
      <c r="O75" s="19" t="str">
        <f t="shared" si="16"/>
        <v/>
      </c>
      <c r="P75" s="19" t="str">
        <f t="shared" si="16"/>
        <v/>
      </c>
      <c r="Q75" s="19" t="str">
        <f t="shared" si="16"/>
        <v/>
      </c>
      <c r="R75" s="19" t="str">
        <f t="shared" si="16"/>
        <v/>
      </c>
      <c r="S75" s="27" t="str">
        <f t="shared" si="15"/>
        <v/>
      </c>
      <c r="T75" s="28" t="str">
        <f t="shared" si="15"/>
        <v/>
      </c>
      <c r="U75" s="28" t="str">
        <f t="shared" si="15"/>
        <v/>
      </c>
      <c r="V75" s="28" t="str">
        <f t="shared" si="15"/>
        <v/>
      </c>
      <c r="W75" s="28" t="str">
        <f t="shared" si="15"/>
        <v/>
      </c>
      <c r="X75" s="29" t="str">
        <f t="shared" si="15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7"/>
        <v/>
      </c>
      <c r="M76" s="19" t="str">
        <f t="shared" si="17"/>
        <v/>
      </c>
      <c r="N76" s="19" t="str">
        <f t="shared" si="17"/>
        <v/>
      </c>
      <c r="O76" s="19" t="str">
        <f t="shared" si="16"/>
        <v/>
      </c>
      <c r="P76" s="19" t="str">
        <f t="shared" si="16"/>
        <v/>
      </c>
      <c r="Q76" s="19" t="str">
        <f t="shared" si="16"/>
        <v/>
      </c>
      <c r="R76" s="19" t="str">
        <f t="shared" si="16"/>
        <v/>
      </c>
      <c r="S76" s="27" t="str">
        <f t="shared" si="15"/>
        <v/>
      </c>
      <c r="T76" s="28" t="str">
        <f t="shared" si="15"/>
        <v/>
      </c>
      <c r="U76" s="28" t="str">
        <f t="shared" si="15"/>
        <v/>
      </c>
      <c r="V76" s="28" t="str">
        <f t="shared" si="15"/>
        <v/>
      </c>
      <c r="W76" s="28" t="str">
        <f t="shared" si="15"/>
        <v/>
      </c>
      <c r="X76" s="29" t="str">
        <f t="shared" si="15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7"/>
        <v/>
      </c>
      <c r="M77" s="19" t="str">
        <f t="shared" si="17"/>
        <v/>
      </c>
      <c r="N77" s="19" t="str">
        <f t="shared" si="17"/>
        <v/>
      </c>
      <c r="O77" s="19" t="str">
        <f t="shared" si="16"/>
        <v/>
      </c>
      <c r="P77" s="19" t="str">
        <f t="shared" si="16"/>
        <v/>
      </c>
      <c r="Q77" s="19" t="str">
        <f t="shared" si="16"/>
        <v/>
      </c>
      <c r="R77" s="19" t="str">
        <f t="shared" si="16"/>
        <v/>
      </c>
      <c r="S77" s="27" t="str">
        <f t="shared" si="15"/>
        <v/>
      </c>
      <c r="T77" s="28" t="str">
        <f t="shared" si="15"/>
        <v/>
      </c>
      <c r="U77" s="28" t="str">
        <f t="shared" si="15"/>
        <v/>
      </c>
      <c r="V77" s="28" t="str">
        <f t="shared" si="15"/>
        <v/>
      </c>
      <c r="W77" s="28" t="str">
        <f t="shared" si="15"/>
        <v/>
      </c>
      <c r="X77" s="29" t="str">
        <f t="shared" si="15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7"/>
        <v/>
      </c>
      <c r="M78" s="19" t="str">
        <f t="shared" si="17"/>
        <v/>
      </c>
      <c r="N78" s="19" t="str">
        <f t="shared" si="17"/>
        <v/>
      </c>
      <c r="O78" s="19" t="str">
        <f t="shared" si="16"/>
        <v/>
      </c>
      <c r="P78" s="19" t="str">
        <f t="shared" si="16"/>
        <v/>
      </c>
      <c r="Q78" s="19" t="str">
        <f t="shared" si="16"/>
        <v/>
      </c>
      <c r="R78" s="19" t="str">
        <f t="shared" si="16"/>
        <v/>
      </c>
      <c r="S78" s="27" t="str">
        <f t="shared" si="15"/>
        <v/>
      </c>
      <c r="T78" s="28" t="str">
        <f t="shared" si="15"/>
        <v/>
      </c>
      <c r="U78" s="28" t="str">
        <f t="shared" si="15"/>
        <v/>
      </c>
      <c r="V78" s="28" t="str">
        <f t="shared" si="15"/>
        <v/>
      </c>
      <c r="W78" s="28" t="str">
        <f t="shared" si="15"/>
        <v/>
      </c>
      <c r="X78" s="29" t="str">
        <f t="shared" si="15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7"/>
        <v/>
      </c>
      <c r="M79" s="19" t="str">
        <f t="shared" si="17"/>
        <v/>
      </c>
      <c r="N79" s="19" t="str">
        <f t="shared" si="17"/>
        <v/>
      </c>
      <c r="O79" s="19" t="str">
        <f t="shared" si="16"/>
        <v/>
      </c>
      <c r="P79" s="19" t="str">
        <f t="shared" si="16"/>
        <v/>
      </c>
      <c r="Q79" s="19" t="str">
        <f t="shared" si="16"/>
        <v/>
      </c>
      <c r="R79" s="19" t="str">
        <f t="shared" si="16"/>
        <v/>
      </c>
      <c r="S79" s="27" t="str">
        <f t="shared" si="15"/>
        <v/>
      </c>
      <c r="T79" s="28" t="str">
        <f t="shared" si="15"/>
        <v/>
      </c>
      <c r="U79" s="28" t="str">
        <f t="shared" si="15"/>
        <v/>
      </c>
      <c r="V79" s="28" t="str">
        <f t="shared" si="15"/>
        <v/>
      </c>
      <c r="W79" s="28" t="str">
        <f t="shared" si="15"/>
        <v/>
      </c>
      <c r="X79" s="29" t="str">
        <f t="shared" si="15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7"/>
        <v/>
      </c>
      <c r="M80" s="19" t="str">
        <f t="shared" si="17"/>
        <v/>
      </c>
      <c r="N80" s="19" t="str">
        <f t="shared" si="17"/>
        <v/>
      </c>
      <c r="O80" s="19" t="str">
        <f t="shared" si="16"/>
        <v/>
      </c>
      <c r="P80" s="19" t="str">
        <f t="shared" si="16"/>
        <v/>
      </c>
      <c r="Q80" s="19" t="str">
        <f t="shared" si="16"/>
        <v/>
      </c>
      <c r="R80" s="19" t="str">
        <f t="shared" si="16"/>
        <v/>
      </c>
      <c r="S80" s="27" t="str">
        <f t="shared" si="15"/>
        <v/>
      </c>
      <c r="T80" s="28" t="str">
        <f t="shared" si="15"/>
        <v/>
      </c>
      <c r="U80" s="28" t="str">
        <f t="shared" si="15"/>
        <v/>
      </c>
      <c r="V80" s="28" t="str">
        <f t="shared" si="15"/>
        <v/>
      </c>
      <c r="W80" s="28" t="str">
        <f t="shared" si="15"/>
        <v/>
      </c>
      <c r="X80" s="29" t="str">
        <f t="shared" si="15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7"/>
        <v/>
      </c>
      <c r="M81" s="19" t="str">
        <f t="shared" si="17"/>
        <v/>
      </c>
      <c r="N81" s="19" t="str">
        <f t="shared" si="17"/>
        <v/>
      </c>
      <c r="O81" s="19" t="str">
        <f t="shared" si="16"/>
        <v/>
      </c>
      <c r="P81" s="19" t="str">
        <f t="shared" si="16"/>
        <v/>
      </c>
      <c r="Q81" s="19" t="str">
        <f t="shared" si="16"/>
        <v/>
      </c>
      <c r="R81" s="19" t="str">
        <f t="shared" si="16"/>
        <v/>
      </c>
      <c r="S81" s="27" t="str">
        <f t="shared" ref="S81:X96" si="18">IF(C81="","",((C81-C80)*1000)/($B81-$B80))</f>
        <v/>
      </c>
      <c r="T81" s="28" t="str">
        <f t="shared" si="18"/>
        <v/>
      </c>
      <c r="U81" s="28" t="str">
        <f t="shared" si="18"/>
        <v/>
      </c>
      <c r="V81" s="28" t="str">
        <f t="shared" si="18"/>
        <v/>
      </c>
      <c r="W81" s="28" t="str">
        <f t="shared" si="18"/>
        <v/>
      </c>
      <c r="X81" s="29" t="str">
        <f t="shared" si="18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7"/>
        <v/>
      </c>
      <c r="M82" s="19" t="str">
        <f t="shared" si="17"/>
        <v/>
      </c>
      <c r="N82" s="19" t="str">
        <f t="shared" si="17"/>
        <v/>
      </c>
      <c r="O82" s="19" t="str">
        <f t="shared" si="16"/>
        <v/>
      </c>
      <c r="P82" s="19" t="str">
        <f t="shared" si="16"/>
        <v/>
      </c>
      <c r="Q82" s="19" t="str">
        <f t="shared" si="16"/>
        <v/>
      </c>
      <c r="R82" s="19" t="str">
        <f t="shared" si="16"/>
        <v/>
      </c>
      <c r="S82" s="27" t="str">
        <f t="shared" si="18"/>
        <v/>
      </c>
      <c r="T82" s="28" t="str">
        <f t="shared" si="18"/>
        <v/>
      </c>
      <c r="U82" s="28" t="str">
        <f t="shared" si="18"/>
        <v/>
      </c>
      <c r="V82" s="28" t="str">
        <f t="shared" si="18"/>
        <v/>
      </c>
      <c r="W82" s="28" t="str">
        <f t="shared" si="18"/>
        <v/>
      </c>
      <c r="X82" s="29" t="str">
        <f t="shared" si="18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7"/>
        <v/>
      </c>
      <c r="M83" s="19" t="str">
        <f t="shared" si="17"/>
        <v/>
      </c>
      <c r="N83" s="19" t="str">
        <f t="shared" si="17"/>
        <v/>
      </c>
      <c r="O83" s="19" t="str">
        <f t="shared" si="16"/>
        <v/>
      </c>
      <c r="P83" s="19" t="str">
        <f t="shared" si="16"/>
        <v/>
      </c>
      <c r="Q83" s="19" t="str">
        <f t="shared" si="16"/>
        <v/>
      </c>
      <c r="R83" s="19" t="str">
        <f t="shared" si="16"/>
        <v/>
      </c>
      <c r="S83" s="27" t="str">
        <f t="shared" si="18"/>
        <v/>
      </c>
      <c r="T83" s="28" t="str">
        <f t="shared" si="18"/>
        <v/>
      </c>
      <c r="U83" s="28" t="str">
        <f t="shared" si="18"/>
        <v/>
      </c>
      <c r="V83" s="28" t="str">
        <f t="shared" si="18"/>
        <v/>
      </c>
      <c r="W83" s="28" t="str">
        <f t="shared" si="18"/>
        <v/>
      </c>
      <c r="X83" s="29" t="str">
        <f t="shared" si="18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7"/>
        <v/>
      </c>
      <c r="M84" s="19" t="str">
        <f t="shared" si="17"/>
        <v/>
      </c>
      <c r="N84" s="19" t="str">
        <f t="shared" si="17"/>
        <v/>
      </c>
      <c r="O84" s="19" t="str">
        <f t="shared" si="16"/>
        <v/>
      </c>
      <c r="P84" s="19" t="str">
        <f t="shared" si="16"/>
        <v/>
      </c>
      <c r="Q84" s="19" t="str">
        <f t="shared" si="16"/>
        <v/>
      </c>
      <c r="R84" s="19" t="str">
        <f t="shared" si="16"/>
        <v/>
      </c>
      <c r="S84" s="27" t="str">
        <f t="shared" si="18"/>
        <v/>
      </c>
      <c r="T84" s="28" t="str">
        <f t="shared" si="18"/>
        <v/>
      </c>
      <c r="U84" s="28" t="str">
        <f t="shared" si="18"/>
        <v/>
      </c>
      <c r="V84" s="28" t="str">
        <f t="shared" si="18"/>
        <v/>
      </c>
      <c r="W84" s="28" t="str">
        <f t="shared" si="18"/>
        <v/>
      </c>
      <c r="X84" s="29" t="str">
        <f t="shared" si="18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7"/>
        <v/>
      </c>
      <c r="M85" s="19" t="str">
        <f t="shared" si="17"/>
        <v/>
      </c>
      <c r="N85" s="19" t="str">
        <f t="shared" si="17"/>
        <v/>
      </c>
      <c r="O85" s="19" t="str">
        <f t="shared" si="16"/>
        <v/>
      </c>
      <c r="P85" s="19" t="str">
        <f t="shared" si="16"/>
        <v/>
      </c>
      <c r="Q85" s="19" t="str">
        <f t="shared" si="16"/>
        <v/>
      </c>
      <c r="R85" s="19" t="str">
        <f t="shared" si="16"/>
        <v/>
      </c>
      <c r="S85" s="27" t="str">
        <f t="shared" si="18"/>
        <v/>
      </c>
      <c r="T85" s="28" t="str">
        <f t="shared" si="18"/>
        <v/>
      </c>
      <c r="U85" s="28" t="str">
        <f t="shared" si="18"/>
        <v/>
      </c>
      <c r="V85" s="28" t="str">
        <f t="shared" si="18"/>
        <v/>
      </c>
      <c r="W85" s="28" t="str">
        <f t="shared" si="18"/>
        <v/>
      </c>
      <c r="X85" s="29" t="str">
        <f t="shared" si="18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7"/>
        <v/>
      </c>
      <c r="M86" s="19" t="str">
        <f t="shared" si="17"/>
        <v/>
      </c>
      <c r="N86" s="19" t="str">
        <f t="shared" si="17"/>
        <v/>
      </c>
      <c r="O86" s="19" t="str">
        <f t="shared" si="16"/>
        <v/>
      </c>
      <c r="P86" s="19" t="str">
        <f t="shared" si="16"/>
        <v/>
      </c>
      <c r="Q86" s="19" t="str">
        <f t="shared" si="16"/>
        <v/>
      </c>
      <c r="R86" s="19" t="str">
        <f t="shared" si="16"/>
        <v/>
      </c>
      <c r="S86" s="27" t="str">
        <f t="shared" si="18"/>
        <v/>
      </c>
      <c r="T86" s="28" t="str">
        <f t="shared" si="18"/>
        <v/>
      </c>
      <c r="U86" s="28" t="str">
        <f t="shared" si="18"/>
        <v/>
      </c>
      <c r="V86" s="28" t="str">
        <f t="shared" si="18"/>
        <v/>
      </c>
      <c r="W86" s="28" t="str">
        <f t="shared" si="18"/>
        <v/>
      </c>
      <c r="X86" s="29" t="str">
        <f t="shared" si="18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7"/>
        <v/>
      </c>
      <c r="M87" s="19" t="str">
        <f t="shared" si="17"/>
        <v/>
      </c>
      <c r="N87" s="19" t="str">
        <f t="shared" si="17"/>
        <v/>
      </c>
      <c r="O87" s="19" t="str">
        <f t="shared" si="16"/>
        <v/>
      </c>
      <c r="P87" s="19" t="str">
        <f t="shared" si="16"/>
        <v/>
      </c>
      <c r="Q87" s="19" t="str">
        <f t="shared" si="16"/>
        <v/>
      </c>
      <c r="R87" s="19" t="str">
        <f t="shared" si="16"/>
        <v/>
      </c>
      <c r="S87" s="27" t="str">
        <f t="shared" si="18"/>
        <v/>
      </c>
      <c r="T87" s="28" t="str">
        <f t="shared" si="18"/>
        <v/>
      </c>
      <c r="U87" s="28" t="str">
        <f t="shared" si="18"/>
        <v/>
      </c>
      <c r="V87" s="28" t="str">
        <f t="shared" si="18"/>
        <v/>
      </c>
      <c r="W87" s="28" t="str">
        <f t="shared" si="18"/>
        <v/>
      </c>
      <c r="X87" s="29" t="str">
        <f t="shared" si="18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7"/>
        <v/>
      </c>
      <c r="M88" s="19" t="str">
        <f t="shared" si="17"/>
        <v/>
      </c>
      <c r="N88" s="19" t="str">
        <f t="shared" si="17"/>
        <v/>
      </c>
      <c r="O88" s="19" t="str">
        <f t="shared" si="16"/>
        <v/>
      </c>
      <c r="P88" s="19" t="str">
        <f t="shared" si="16"/>
        <v/>
      </c>
      <c r="Q88" s="19" t="str">
        <f t="shared" si="16"/>
        <v/>
      </c>
      <c r="R88" s="19" t="str">
        <f t="shared" si="16"/>
        <v/>
      </c>
      <c r="S88" s="27" t="str">
        <f t="shared" si="18"/>
        <v/>
      </c>
      <c r="T88" s="28" t="str">
        <f t="shared" si="18"/>
        <v/>
      </c>
      <c r="U88" s="28" t="str">
        <f t="shared" si="18"/>
        <v/>
      </c>
      <c r="V88" s="28" t="str">
        <f t="shared" si="18"/>
        <v/>
      </c>
      <c r="W88" s="28" t="str">
        <f t="shared" si="18"/>
        <v/>
      </c>
      <c r="X88" s="29" t="str">
        <f t="shared" si="18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7"/>
        <v/>
      </c>
      <c r="M89" s="19" t="str">
        <f t="shared" si="17"/>
        <v/>
      </c>
      <c r="N89" s="19" t="str">
        <f t="shared" si="17"/>
        <v/>
      </c>
      <c r="O89" s="19" t="str">
        <f t="shared" si="16"/>
        <v/>
      </c>
      <c r="P89" s="19" t="str">
        <f t="shared" si="16"/>
        <v/>
      </c>
      <c r="Q89" s="19" t="str">
        <f t="shared" si="16"/>
        <v/>
      </c>
      <c r="R89" s="19" t="str">
        <f t="shared" si="16"/>
        <v/>
      </c>
      <c r="S89" s="27" t="str">
        <f t="shared" si="18"/>
        <v/>
      </c>
      <c r="T89" s="28" t="str">
        <f t="shared" si="18"/>
        <v/>
      </c>
      <c r="U89" s="28" t="str">
        <f t="shared" si="18"/>
        <v/>
      </c>
      <c r="V89" s="28" t="str">
        <f t="shared" si="18"/>
        <v/>
      </c>
      <c r="W89" s="28" t="str">
        <f t="shared" si="18"/>
        <v/>
      </c>
      <c r="X89" s="29" t="str">
        <f t="shared" si="18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7"/>
        <v/>
      </c>
      <c r="M90" s="19" t="str">
        <f t="shared" si="17"/>
        <v/>
      </c>
      <c r="N90" s="19" t="str">
        <f t="shared" si="17"/>
        <v/>
      </c>
      <c r="O90" s="19" t="str">
        <f t="shared" si="16"/>
        <v/>
      </c>
      <c r="P90" s="19" t="str">
        <f t="shared" si="16"/>
        <v/>
      </c>
      <c r="Q90" s="19" t="str">
        <f t="shared" si="16"/>
        <v/>
      </c>
      <c r="R90" s="19" t="str">
        <f t="shared" si="16"/>
        <v/>
      </c>
      <c r="S90" s="27" t="str">
        <f t="shared" si="18"/>
        <v/>
      </c>
      <c r="T90" s="28" t="str">
        <f t="shared" si="18"/>
        <v/>
      </c>
      <c r="U90" s="28" t="str">
        <f t="shared" si="18"/>
        <v/>
      </c>
      <c r="V90" s="28" t="str">
        <f t="shared" si="18"/>
        <v/>
      </c>
      <c r="W90" s="28" t="str">
        <f t="shared" si="18"/>
        <v/>
      </c>
      <c r="X90" s="29" t="str">
        <f t="shared" si="18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7"/>
        <v/>
      </c>
      <c r="M91" s="19" t="str">
        <f t="shared" si="17"/>
        <v/>
      </c>
      <c r="N91" s="19" t="str">
        <f t="shared" si="17"/>
        <v/>
      </c>
      <c r="O91" s="19" t="str">
        <f t="shared" si="16"/>
        <v/>
      </c>
      <c r="P91" s="19" t="str">
        <f t="shared" si="16"/>
        <v/>
      </c>
      <c r="Q91" s="19" t="str">
        <f t="shared" si="16"/>
        <v/>
      </c>
      <c r="R91" s="19" t="str">
        <f t="shared" si="16"/>
        <v/>
      </c>
      <c r="S91" s="27" t="str">
        <f t="shared" si="18"/>
        <v/>
      </c>
      <c r="T91" s="28" t="str">
        <f t="shared" si="18"/>
        <v/>
      </c>
      <c r="U91" s="28" t="str">
        <f t="shared" si="18"/>
        <v/>
      </c>
      <c r="V91" s="28" t="str">
        <f t="shared" si="18"/>
        <v/>
      </c>
      <c r="W91" s="28" t="str">
        <f t="shared" si="18"/>
        <v/>
      </c>
      <c r="X91" s="29" t="str">
        <f t="shared" si="18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7"/>
        <v/>
      </c>
      <c r="M92" s="19" t="str">
        <f t="shared" si="17"/>
        <v/>
      </c>
      <c r="N92" s="19" t="str">
        <f t="shared" si="17"/>
        <v/>
      </c>
      <c r="O92" s="19" t="str">
        <f t="shared" si="16"/>
        <v/>
      </c>
      <c r="P92" s="19" t="str">
        <f t="shared" si="16"/>
        <v/>
      </c>
      <c r="Q92" s="19" t="str">
        <f t="shared" si="16"/>
        <v/>
      </c>
      <c r="R92" s="19" t="str">
        <f t="shared" si="16"/>
        <v/>
      </c>
      <c r="S92" s="27" t="str">
        <f t="shared" si="18"/>
        <v/>
      </c>
      <c r="T92" s="28" t="str">
        <f t="shared" si="18"/>
        <v/>
      </c>
      <c r="U92" s="28" t="str">
        <f t="shared" si="18"/>
        <v/>
      </c>
      <c r="V92" s="28" t="str">
        <f t="shared" si="18"/>
        <v/>
      </c>
      <c r="W92" s="28" t="str">
        <f t="shared" si="18"/>
        <v/>
      </c>
      <c r="X92" s="29" t="str">
        <f t="shared" si="18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7"/>
        <v/>
      </c>
      <c r="M93" s="19" t="str">
        <f t="shared" si="17"/>
        <v/>
      </c>
      <c r="N93" s="19" t="str">
        <f t="shared" si="17"/>
        <v/>
      </c>
      <c r="O93" s="19" t="str">
        <f t="shared" si="16"/>
        <v/>
      </c>
      <c r="P93" s="19" t="str">
        <f t="shared" si="16"/>
        <v/>
      </c>
      <c r="Q93" s="19" t="str">
        <f t="shared" si="16"/>
        <v/>
      </c>
      <c r="R93" s="19" t="str">
        <f t="shared" si="16"/>
        <v/>
      </c>
      <c r="S93" s="27" t="str">
        <f t="shared" si="18"/>
        <v/>
      </c>
      <c r="T93" s="28" t="str">
        <f t="shared" si="18"/>
        <v/>
      </c>
      <c r="U93" s="28" t="str">
        <f t="shared" si="18"/>
        <v/>
      </c>
      <c r="V93" s="28" t="str">
        <f t="shared" si="18"/>
        <v/>
      </c>
      <c r="W93" s="28" t="str">
        <f t="shared" si="18"/>
        <v/>
      </c>
      <c r="X93" s="29" t="str">
        <f t="shared" si="18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7"/>
        <v/>
      </c>
      <c r="M94" s="19" t="str">
        <f t="shared" si="17"/>
        <v/>
      </c>
      <c r="N94" s="19" t="str">
        <f t="shared" si="17"/>
        <v/>
      </c>
      <c r="O94" s="19" t="str">
        <f t="shared" si="16"/>
        <v/>
      </c>
      <c r="P94" s="19" t="str">
        <f t="shared" si="16"/>
        <v/>
      </c>
      <c r="Q94" s="19" t="str">
        <f t="shared" si="16"/>
        <v/>
      </c>
      <c r="R94" s="19" t="str">
        <f t="shared" si="16"/>
        <v/>
      </c>
      <c r="S94" s="27" t="str">
        <f t="shared" si="18"/>
        <v/>
      </c>
      <c r="T94" s="28" t="str">
        <f t="shared" si="18"/>
        <v/>
      </c>
      <c r="U94" s="28" t="str">
        <f t="shared" si="18"/>
        <v/>
      </c>
      <c r="V94" s="28" t="str">
        <f t="shared" si="18"/>
        <v/>
      </c>
      <c r="W94" s="28" t="str">
        <f t="shared" si="18"/>
        <v/>
      </c>
      <c r="X94" s="29" t="str">
        <f t="shared" si="18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17"/>
        <v/>
      </c>
      <c r="M95" s="19" t="str">
        <f t="shared" si="17"/>
        <v/>
      </c>
      <c r="N95" s="19" t="str">
        <f t="shared" si="17"/>
        <v/>
      </c>
      <c r="O95" s="19" t="str">
        <f t="shared" si="16"/>
        <v/>
      </c>
      <c r="P95" s="19" t="str">
        <f t="shared" si="16"/>
        <v/>
      </c>
      <c r="Q95" s="19" t="str">
        <f t="shared" si="16"/>
        <v/>
      </c>
      <c r="R95" s="19" t="str">
        <f t="shared" si="16"/>
        <v/>
      </c>
      <c r="S95" s="27" t="str">
        <f t="shared" si="18"/>
        <v/>
      </c>
      <c r="T95" s="28" t="str">
        <f t="shared" si="18"/>
        <v/>
      </c>
      <c r="U95" s="28" t="str">
        <f t="shared" si="18"/>
        <v/>
      </c>
      <c r="V95" s="28" t="str">
        <f t="shared" si="18"/>
        <v/>
      </c>
      <c r="W95" s="28" t="str">
        <f t="shared" si="18"/>
        <v/>
      </c>
      <c r="X95" s="29" t="str">
        <f t="shared" si="18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7"/>
        <v/>
      </c>
      <c r="M96" s="19" t="str">
        <f t="shared" si="17"/>
        <v/>
      </c>
      <c r="N96" s="19" t="str">
        <f t="shared" si="17"/>
        <v/>
      </c>
      <c r="O96" s="19" t="str">
        <f t="shared" si="16"/>
        <v/>
      </c>
      <c r="P96" s="19" t="str">
        <f t="shared" si="16"/>
        <v/>
      </c>
      <c r="Q96" s="19" t="str">
        <f t="shared" si="16"/>
        <v/>
      </c>
      <c r="R96" s="19" t="str">
        <f t="shared" si="16"/>
        <v/>
      </c>
      <c r="S96" s="27" t="str">
        <f t="shared" si="18"/>
        <v/>
      </c>
      <c r="T96" s="28" t="str">
        <f t="shared" si="18"/>
        <v/>
      </c>
      <c r="U96" s="28" t="str">
        <f t="shared" si="18"/>
        <v/>
      </c>
      <c r="V96" s="28" t="str">
        <f t="shared" si="18"/>
        <v/>
      </c>
      <c r="W96" s="28" t="str">
        <f t="shared" si="18"/>
        <v/>
      </c>
      <c r="X96" s="29" t="str">
        <f t="shared" si="18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7"/>
        <v/>
      </c>
      <c r="M97" s="19" t="str">
        <f t="shared" si="17"/>
        <v/>
      </c>
      <c r="N97" s="19" t="str">
        <f t="shared" si="17"/>
        <v/>
      </c>
      <c r="O97" s="19" t="str">
        <f t="shared" si="16"/>
        <v/>
      </c>
      <c r="P97" s="19" t="str">
        <f t="shared" si="16"/>
        <v/>
      </c>
      <c r="Q97" s="19" t="str">
        <f t="shared" si="16"/>
        <v/>
      </c>
      <c r="R97" s="19" t="str">
        <f t="shared" si="16"/>
        <v/>
      </c>
      <c r="S97" s="27" t="str">
        <f t="shared" ref="S97:X112" si="19">IF(C97="","",((C97-C96)*1000)/($B97-$B96))</f>
        <v/>
      </c>
      <c r="T97" s="28" t="str">
        <f t="shared" si="19"/>
        <v/>
      </c>
      <c r="U97" s="28" t="str">
        <f t="shared" si="19"/>
        <v/>
      </c>
      <c r="V97" s="28" t="str">
        <f t="shared" si="19"/>
        <v/>
      </c>
      <c r="W97" s="28" t="str">
        <f t="shared" si="19"/>
        <v/>
      </c>
      <c r="X97" s="29" t="str">
        <f t="shared" si="1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7"/>
        <v/>
      </c>
      <c r="M98" s="19" t="str">
        <f t="shared" si="17"/>
        <v/>
      </c>
      <c r="N98" s="19" t="str">
        <f t="shared" si="17"/>
        <v/>
      </c>
      <c r="O98" s="19" t="str">
        <f t="shared" si="16"/>
        <v/>
      </c>
      <c r="P98" s="19" t="str">
        <f t="shared" si="16"/>
        <v/>
      </c>
      <c r="Q98" s="19" t="str">
        <f t="shared" si="16"/>
        <v/>
      </c>
      <c r="R98" s="19" t="str">
        <f t="shared" si="16"/>
        <v/>
      </c>
      <c r="S98" s="27" t="str">
        <f t="shared" si="19"/>
        <v/>
      </c>
      <c r="T98" s="28" t="str">
        <f t="shared" si="19"/>
        <v/>
      </c>
      <c r="U98" s="28" t="str">
        <f t="shared" si="19"/>
        <v/>
      </c>
      <c r="V98" s="28" t="str">
        <f t="shared" si="19"/>
        <v/>
      </c>
      <c r="W98" s="28" t="str">
        <f t="shared" si="19"/>
        <v/>
      </c>
      <c r="X98" s="29" t="str">
        <f t="shared" si="1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7"/>
        <v/>
      </c>
      <c r="M99" s="19" t="str">
        <f t="shared" si="17"/>
        <v/>
      </c>
      <c r="N99" s="19" t="str">
        <f t="shared" si="17"/>
        <v/>
      </c>
      <c r="O99" s="19" t="str">
        <f t="shared" si="16"/>
        <v/>
      </c>
      <c r="P99" s="19" t="str">
        <f t="shared" si="16"/>
        <v/>
      </c>
      <c r="Q99" s="19" t="str">
        <f t="shared" si="16"/>
        <v/>
      </c>
      <c r="R99" s="19" t="str">
        <f t="shared" si="16"/>
        <v/>
      </c>
      <c r="S99" s="27" t="str">
        <f t="shared" si="19"/>
        <v/>
      </c>
      <c r="T99" s="28" t="str">
        <f t="shared" si="19"/>
        <v/>
      </c>
      <c r="U99" s="28" t="str">
        <f t="shared" si="19"/>
        <v/>
      </c>
      <c r="V99" s="28" t="str">
        <f t="shared" si="19"/>
        <v/>
      </c>
      <c r="W99" s="28" t="str">
        <f t="shared" si="19"/>
        <v/>
      </c>
      <c r="X99" s="29" t="str">
        <f t="shared" si="1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7"/>
        <v/>
      </c>
      <c r="M100" s="19" t="str">
        <f t="shared" si="17"/>
        <v/>
      </c>
      <c r="N100" s="19" t="str">
        <f t="shared" si="17"/>
        <v/>
      </c>
      <c r="O100" s="19" t="str">
        <f t="shared" si="16"/>
        <v/>
      </c>
      <c r="P100" s="19" t="str">
        <f t="shared" si="16"/>
        <v/>
      </c>
      <c r="Q100" s="19" t="str">
        <f t="shared" si="16"/>
        <v/>
      </c>
      <c r="R100" s="19" t="str">
        <f t="shared" si="16"/>
        <v/>
      </c>
      <c r="S100" s="27" t="str">
        <f t="shared" si="19"/>
        <v/>
      </c>
      <c r="T100" s="28" t="str">
        <f t="shared" si="19"/>
        <v/>
      </c>
      <c r="U100" s="28" t="str">
        <f t="shared" si="19"/>
        <v/>
      </c>
      <c r="V100" s="28" t="str">
        <f t="shared" si="19"/>
        <v/>
      </c>
      <c r="W100" s="28" t="str">
        <f t="shared" si="19"/>
        <v/>
      </c>
      <c r="X100" s="29" t="str">
        <f t="shared" si="1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7"/>
        <v/>
      </c>
      <c r="M101" s="19" t="str">
        <f t="shared" si="17"/>
        <v/>
      </c>
      <c r="N101" s="19" t="str">
        <f t="shared" si="17"/>
        <v/>
      </c>
      <c r="O101" s="19" t="str">
        <f t="shared" si="16"/>
        <v/>
      </c>
      <c r="P101" s="19" t="str">
        <f t="shared" si="16"/>
        <v/>
      </c>
      <c r="Q101" s="19" t="str">
        <f t="shared" si="16"/>
        <v/>
      </c>
      <c r="R101" s="19" t="str">
        <f t="shared" si="16"/>
        <v/>
      </c>
      <c r="S101" s="27" t="str">
        <f t="shared" si="19"/>
        <v/>
      </c>
      <c r="T101" s="28" t="str">
        <f t="shared" si="19"/>
        <v/>
      </c>
      <c r="U101" s="28" t="str">
        <f t="shared" si="19"/>
        <v/>
      </c>
      <c r="V101" s="28" t="str">
        <f t="shared" si="19"/>
        <v/>
      </c>
      <c r="W101" s="28" t="str">
        <f t="shared" si="19"/>
        <v/>
      </c>
      <c r="X101" s="29" t="str">
        <f t="shared" si="1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7"/>
        <v/>
      </c>
      <c r="M102" s="19" t="str">
        <f t="shared" si="17"/>
        <v/>
      </c>
      <c r="N102" s="19" t="str">
        <f t="shared" si="17"/>
        <v/>
      </c>
      <c r="O102" s="19" t="str">
        <f t="shared" si="16"/>
        <v/>
      </c>
      <c r="P102" s="19" t="str">
        <f t="shared" si="16"/>
        <v/>
      </c>
      <c r="Q102" s="19" t="str">
        <f t="shared" si="16"/>
        <v/>
      </c>
      <c r="R102" s="19" t="str">
        <f t="shared" si="16"/>
        <v/>
      </c>
      <c r="S102" s="27" t="str">
        <f t="shared" si="19"/>
        <v/>
      </c>
      <c r="T102" s="28" t="str">
        <f t="shared" si="19"/>
        <v/>
      </c>
      <c r="U102" s="28" t="str">
        <f t="shared" si="19"/>
        <v/>
      </c>
      <c r="V102" s="28" t="str">
        <f t="shared" si="19"/>
        <v/>
      </c>
      <c r="W102" s="28" t="str">
        <f t="shared" si="19"/>
        <v/>
      </c>
      <c r="X102" s="29" t="str">
        <f t="shared" si="1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7"/>
        <v/>
      </c>
      <c r="M103" s="19" t="str">
        <f t="shared" si="17"/>
        <v/>
      </c>
      <c r="N103" s="19" t="str">
        <f t="shared" si="17"/>
        <v/>
      </c>
      <c r="O103" s="19" t="str">
        <f t="shared" si="16"/>
        <v/>
      </c>
      <c r="P103" s="19" t="str">
        <f t="shared" si="16"/>
        <v/>
      </c>
      <c r="Q103" s="19" t="str">
        <f t="shared" si="16"/>
        <v/>
      </c>
      <c r="R103" s="19" t="str">
        <f t="shared" si="16"/>
        <v/>
      </c>
      <c r="S103" s="27" t="str">
        <f t="shared" si="19"/>
        <v/>
      </c>
      <c r="T103" s="28" t="str">
        <f t="shared" si="19"/>
        <v/>
      </c>
      <c r="U103" s="28" t="str">
        <f t="shared" si="19"/>
        <v/>
      </c>
      <c r="V103" s="28" t="str">
        <f t="shared" si="19"/>
        <v/>
      </c>
      <c r="W103" s="28" t="str">
        <f t="shared" si="19"/>
        <v/>
      </c>
      <c r="X103" s="29" t="str">
        <f t="shared" si="1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7"/>
        <v/>
      </c>
      <c r="M104" s="19" t="str">
        <f t="shared" si="17"/>
        <v/>
      </c>
      <c r="N104" s="19" t="str">
        <f t="shared" si="17"/>
        <v/>
      </c>
      <c r="O104" s="19" t="str">
        <f t="shared" si="16"/>
        <v/>
      </c>
      <c r="P104" s="19" t="str">
        <f t="shared" si="16"/>
        <v/>
      </c>
      <c r="Q104" s="19" t="str">
        <f t="shared" si="16"/>
        <v/>
      </c>
      <c r="R104" s="19" t="str">
        <f t="shared" si="16"/>
        <v/>
      </c>
      <c r="S104" s="27" t="str">
        <f t="shared" si="19"/>
        <v/>
      </c>
      <c r="T104" s="28" t="str">
        <f t="shared" si="19"/>
        <v/>
      </c>
      <c r="U104" s="28" t="str">
        <f t="shared" si="19"/>
        <v/>
      </c>
      <c r="V104" s="28" t="str">
        <f t="shared" si="19"/>
        <v/>
      </c>
      <c r="W104" s="28" t="str">
        <f t="shared" si="19"/>
        <v/>
      </c>
      <c r="X104" s="29" t="str">
        <f t="shared" si="1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7"/>
        <v/>
      </c>
      <c r="M105" s="19" t="str">
        <f t="shared" si="17"/>
        <v/>
      </c>
      <c r="N105" s="19" t="str">
        <f t="shared" si="17"/>
        <v/>
      </c>
      <c r="O105" s="19" t="str">
        <f t="shared" si="16"/>
        <v/>
      </c>
      <c r="P105" s="19" t="str">
        <f t="shared" si="16"/>
        <v/>
      </c>
      <c r="Q105" s="19" t="str">
        <f t="shared" si="16"/>
        <v/>
      </c>
      <c r="R105" s="19" t="str">
        <f t="shared" si="16"/>
        <v/>
      </c>
      <c r="S105" s="27" t="str">
        <f t="shared" si="19"/>
        <v/>
      </c>
      <c r="T105" s="28" t="str">
        <f t="shared" si="19"/>
        <v/>
      </c>
      <c r="U105" s="28" t="str">
        <f t="shared" si="19"/>
        <v/>
      </c>
      <c r="V105" s="28" t="str">
        <f t="shared" si="19"/>
        <v/>
      </c>
      <c r="W105" s="28" t="str">
        <f t="shared" si="19"/>
        <v/>
      </c>
      <c r="X105" s="29" t="str">
        <f t="shared" si="1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7"/>
        <v/>
      </c>
      <c r="M106" s="19" t="str">
        <f t="shared" si="17"/>
        <v/>
      </c>
      <c r="N106" s="19" t="str">
        <f t="shared" si="17"/>
        <v/>
      </c>
      <c r="O106" s="19" t="str">
        <f t="shared" si="16"/>
        <v/>
      </c>
      <c r="P106" s="19" t="str">
        <f t="shared" si="16"/>
        <v/>
      </c>
      <c r="Q106" s="19" t="str">
        <f t="shared" si="16"/>
        <v/>
      </c>
      <c r="R106" s="19" t="str">
        <f t="shared" si="16"/>
        <v/>
      </c>
      <c r="S106" s="27" t="str">
        <f t="shared" si="19"/>
        <v/>
      </c>
      <c r="T106" s="28" t="str">
        <f t="shared" si="19"/>
        <v/>
      </c>
      <c r="U106" s="28" t="str">
        <f t="shared" si="19"/>
        <v/>
      </c>
      <c r="V106" s="28" t="str">
        <f t="shared" si="19"/>
        <v/>
      </c>
      <c r="W106" s="28" t="str">
        <f t="shared" si="19"/>
        <v/>
      </c>
      <c r="X106" s="29" t="str">
        <f t="shared" si="1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7"/>
        <v/>
      </c>
      <c r="M107" s="19" t="str">
        <f t="shared" si="17"/>
        <v/>
      </c>
      <c r="N107" s="19" t="str">
        <f t="shared" si="17"/>
        <v/>
      </c>
      <c r="O107" s="19" t="str">
        <f t="shared" si="16"/>
        <v/>
      </c>
      <c r="P107" s="19" t="str">
        <f t="shared" si="16"/>
        <v/>
      </c>
      <c r="Q107" s="19" t="str">
        <f t="shared" si="16"/>
        <v/>
      </c>
      <c r="R107" s="19" t="str">
        <f t="shared" si="16"/>
        <v/>
      </c>
      <c r="S107" s="27" t="str">
        <f t="shared" si="19"/>
        <v/>
      </c>
      <c r="T107" s="28" t="str">
        <f t="shared" si="19"/>
        <v/>
      </c>
      <c r="U107" s="28" t="str">
        <f t="shared" si="19"/>
        <v/>
      </c>
      <c r="V107" s="28" t="str">
        <f t="shared" si="19"/>
        <v/>
      </c>
      <c r="W107" s="28" t="str">
        <f t="shared" si="19"/>
        <v/>
      </c>
      <c r="X107" s="29" t="str">
        <f t="shared" si="1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7"/>
        <v/>
      </c>
      <c r="M108" s="19" t="str">
        <f t="shared" si="17"/>
        <v/>
      </c>
      <c r="N108" s="19" t="str">
        <f t="shared" si="17"/>
        <v/>
      </c>
      <c r="O108" s="19" t="str">
        <f t="shared" si="16"/>
        <v/>
      </c>
      <c r="P108" s="19" t="str">
        <f t="shared" si="16"/>
        <v/>
      </c>
      <c r="Q108" s="19" t="str">
        <f t="shared" si="16"/>
        <v/>
      </c>
      <c r="R108" s="19" t="str">
        <f t="shared" si="16"/>
        <v/>
      </c>
      <c r="S108" s="27" t="str">
        <f t="shared" si="19"/>
        <v/>
      </c>
      <c r="T108" s="28" t="str">
        <f t="shared" si="19"/>
        <v/>
      </c>
      <c r="U108" s="28" t="str">
        <f t="shared" si="19"/>
        <v/>
      </c>
      <c r="V108" s="28" t="str">
        <f t="shared" si="19"/>
        <v/>
      </c>
      <c r="W108" s="28" t="str">
        <f t="shared" si="19"/>
        <v/>
      </c>
      <c r="X108" s="29" t="str">
        <f t="shared" si="1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7"/>
        <v/>
      </c>
      <c r="M109" s="19" t="str">
        <f t="shared" si="17"/>
        <v/>
      </c>
      <c r="N109" s="19" t="str">
        <f t="shared" si="17"/>
        <v/>
      </c>
      <c r="O109" s="19" t="str">
        <f t="shared" si="16"/>
        <v/>
      </c>
      <c r="P109" s="19" t="str">
        <f t="shared" si="16"/>
        <v/>
      </c>
      <c r="Q109" s="19" t="str">
        <f t="shared" si="16"/>
        <v/>
      </c>
      <c r="R109" s="19" t="str">
        <f t="shared" si="16"/>
        <v/>
      </c>
      <c r="S109" s="27" t="str">
        <f t="shared" si="19"/>
        <v/>
      </c>
      <c r="T109" s="28" t="str">
        <f t="shared" si="19"/>
        <v/>
      </c>
      <c r="U109" s="28" t="str">
        <f t="shared" si="19"/>
        <v/>
      </c>
      <c r="V109" s="28" t="str">
        <f t="shared" si="19"/>
        <v/>
      </c>
      <c r="W109" s="28" t="str">
        <f t="shared" si="19"/>
        <v/>
      </c>
      <c r="X109" s="29" t="str">
        <f t="shared" si="1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7"/>
        <v/>
      </c>
      <c r="M110" s="19" t="str">
        <f t="shared" si="17"/>
        <v/>
      </c>
      <c r="N110" s="19" t="str">
        <f t="shared" si="17"/>
        <v/>
      </c>
      <c r="O110" s="19" t="str">
        <f t="shared" si="16"/>
        <v/>
      </c>
      <c r="P110" s="19" t="str">
        <f t="shared" si="16"/>
        <v/>
      </c>
      <c r="Q110" s="19" t="str">
        <f t="shared" si="16"/>
        <v/>
      </c>
      <c r="R110" s="19" t="str">
        <f t="shared" si="16"/>
        <v/>
      </c>
      <c r="S110" s="27" t="str">
        <f t="shared" si="19"/>
        <v/>
      </c>
      <c r="T110" s="28" t="str">
        <f t="shared" si="19"/>
        <v/>
      </c>
      <c r="U110" s="28" t="str">
        <f t="shared" si="19"/>
        <v/>
      </c>
      <c r="V110" s="28" t="str">
        <f t="shared" si="19"/>
        <v/>
      </c>
      <c r="W110" s="28" t="str">
        <f t="shared" si="19"/>
        <v/>
      </c>
      <c r="X110" s="29" t="str">
        <f t="shared" si="1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7"/>
        <v/>
      </c>
      <c r="M111" s="19" t="str">
        <f t="shared" si="17"/>
        <v/>
      </c>
      <c r="N111" s="19" t="str">
        <f t="shared" si="17"/>
        <v/>
      </c>
      <c r="O111" s="19" t="str">
        <f t="shared" si="16"/>
        <v/>
      </c>
      <c r="P111" s="19" t="str">
        <f t="shared" si="16"/>
        <v/>
      </c>
      <c r="Q111" s="19" t="str">
        <f t="shared" si="16"/>
        <v/>
      </c>
      <c r="R111" s="19" t="str">
        <f t="shared" si="16"/>
        <v/>
      </c>
      <c r="S111" s="27" t="str">
        <f t="shared" si="19"/>
        <v/>
      </c>
      <c r="T111" s="28" t="str">
        <f t="shared" si="19"/>
        <v/>
      </c>
      <c r="U111" s="28" t="str">
        <f t="shared" si="19"/>
        <v/>
      </c>
      <c r="V111" s="28" t="str">
        <f t="shared" si="19"/>
        <v/>
      </c>
      <c r="W111" s="28" t="str">
        <f t="shared" si="19"/>
        <v/>
      </c>
      <c r="X111" s="29" t="str">
        <f t="shared" si="1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7"/>
        <v/>
      </c>
      <c r="M112" s="19" t="str">
        <f t="shared" si="17"/>
        <v/>
      </c>
      <c r="N112" s="19" t="str">
        <f t="shared" si="17"/>
        <v/>
      </c>
      <c r="O112" s="19" t="str">
        <f t="shared" si="16"/>
        <v/>
      </c>
      <c r="P112" s="19" t="str">
        <f t="shared" si="16"/>
        <v/>
      </c>
      <c r="Q112" s="19" t="str">
        <f t="shared" si="16"/>
        <v/>
      </c>
      <c r="R112" s="19" t="str">
        <f t="shared" si="16"/>
        <v/>
      </c>
      <c r="S112" s="27" t="str">
        <f t="shared" si="19"/>
        <v/>
      </c>
      <c r="T112" s="28" t="str">
        <f t="shared" si="19"/>
        <v/>
      </c>
      <c r="U112" s="28" t="str">
        <f t="shared" si="19"/>
        <v/>
      </c>
      <c r="V112" s="28" t="str">
        <f t="shared" si="19"/>
        <v/>
      </c>
      <c r="W112" s="28" t="str">
        <f t="shared" si="19"/>
        <v/>
      </c>
      <c r="X112" s="29" t="str">
        <f t="shared" si="1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7"/>
        <v/>
      </c>
      <c r="M113" s="19" t="str">
        <f t="shared" si="17"/>
        <v/>
      </c>
      <c r="N113" s="19" t="str">
        <f t="shared" si="17"/>
        <v/>
      </c>
      <c r="O113" s="19" t="str">
        <f t="shared" si="16"/>
        <v/>
      </c>
      <c r="P113" s="19" t="str">
        <f t="shared" si="16"/>
        <v/>
      </c>
      <c r="Q113" s="19" t="str">
        <f t="shared" si="16"/>
        <v/>
      </c>
      <c r="R113" s="19" t="str">
        <f t="shared" si="16"/>
        <v/>
      </c>
      <c r="S113" s="27" t="str">
        <f t="shared" ref="S113:X128" si="20">IF(C113="","",((C113-C112)*1000)/($B113-$B112))</f>
        <v/>
      </c>
      <c r="T113" s="28" t="str">
        <f t="shared" si="20"/>
        <v/>
      </c>
      <c r="U113" s="28" t="str">
        <f t="shared" si="20"/>
        <v/>
      </c>
      <c r="V113" s="28" t="str">
        <f t="shared" si="20"/>
        <v/>
      </c>
      <c r="W113" s="28" t="str">
        <f t="shared" si="20"/>
        <v/>
      </c>
      <c r="X113" s="29" t="str">
        <f t="shared" si="20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7"/>
        <v/>
      </c>
      <c r="M114" s="19" t="str">
        <f t="shared" si="17"/>
        <v/>
      </c>
      <c r="N114" s="19" t="str">
        <f t="shared" si="17"/>
        <v/>
      </c>
      <c r="O114" s="19" t="str">
        <f t="shared" si="16"/>
        <v/>
      </c>
      <c r="P114" s="19" t="str">
        <f t="shared" si="16"/>
        <v/>
      </c>
      <c r="Q114" s="19" t="str">
        <f t="shared" si="16"/>
        <v/>
      </c>
      <c r="R114" s="19" t="str">
        <f t="shared" si="16"/>
        <v/>
      </c>
      <c r="S114" s="27" t="str">
        <f t="shared" si="20"/>
        <v/>
      </c>
      <c r="T114" s="28" t="str">
        <f t="shared" si="20"/>
        <v/>
      </c>
      <c r="U114" s="28" t="str">
        <f t="shared" si="20"/>
        <v/>
      </c>
      <c r="V114" s="28" t="str">
        <f t="shared" si="20"/>
        <v/>
      </c>
      <c r="W114" s="28" t="str">
        <f t="shared" si="20"/>
        <v/>
      </c>
      <c r="X114" s="29" t="str">
        <f t="shared" si="20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7"/>
        <v/>
      </c>
      <c r="M115" s="19" t="str">
        <f t="shared" si="17"/>
        <v/>
      </c>
      <c r="N115" s="19" t="str">
        <f t="shared" si="17"/>
        <v/>
      </c>
      <c r="O115" s="19" t="str">
        <f t="shared" si="16"/>
        <v/>
      </c>
      <c r="P115" s="19" t="str">
        <f t="shared" si="16"/>
        <v/>
      </c>
      <c r="Q115" s="19" t="str">
        <f t="shared" si="16"/>
        <v/>
      </c>
      <c r="R115" s="19" t="str">
        <f t="shared" si="16"/>
        <v/>
      </c>
      <c r="S115" s="27" t="str">
        <f t="shared" si="20"/>
        <v/>
      </c>
      <c r="T115" s="28" t="str">
        <f t="shared" si="20"/>
        <v/>
      </c>
      <c r="U115" s="28" t="str">
        <f t="shared" si="20"/>
        <v/>
      </c>
      <c r="V115" s="28" t="str">
        <f t="shared" si="20"/>
        <v/>
      </c>
      <c r="W115" s="28" t="str">
        <f t="shared" si="20"/>
        <v/>
      </c>
      <c r="X115" s="29" t="str">
        <f t="shared" si="20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7"/>
        <v/>
      </c>
      <c r="M116" s="19" t="str">
        <f t="shared" si="17"/>
        <v/>
      </c>
      <c r="N116" s="19" t="str">
        <f t="shared" si="17"/>
        <v/>
      </c>
      <c r="O116" s="19" t="str">
        <f t="shared" si="16"/>
        <v/>
      </c>
      <c r="P116" s="19" t="str">
        <f t="shared" si="16"/>
        <v/>
      </c>
      <c r="Q116" s="19" t="str">
        <f t="shared" si="16"/>
        <v/>
      </c>
      <c r="R116" s="19" t="str">
        <f t="shared" si="16"/>
        <v/>
      </c>
      <c r="S116" s="27" t="str">
        <f t="shared" si="20"/>
        <v/>
      </c>
      <c r="T116" s="28" t="str">
        <f t="shared" si="20"/>
        <v/>
      </c>
      <c r="U116" s="28" t="str">
        <f t="shared" si="20"/>
        <v/>
      </c>
      <c r="V116" s="28" t="str">
        <f t="shared" si="20"/>
        <v/>
      </c>
      <c r="W116" s="28" t="str">
        <f t="shared" si="20"/>
        <v/>
      </c>
      <c r="X116" s="29" t="str">
        <f t="shared" si="20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7"/>
        <v/>
      </c>
      <c r="M117" s="19" t="str">
        <f t="shared" si="17"/>
        <v/>
      </c>
      <c r="N117" s="19" t="str">
        <f t="shared" si="17"/>
        <v/>
      </c>
      <c r="O117" s="19" t="str">
        <f t="shared" si="16"/>
        <v/>
      </c>
      <c r="P117" s="19" t="str">
        <f t="shared" si="16"/>
        <v/>
      </c>
      <c r="Q117" s="19" t="str">
        <f t="shared" si="16"/>
        <v/>
      </c>
      <c r="R117" s="19" t="str">
        <f t="shared" si="16"/>
        <v/>
      </c>
      <c r="S117" s="27" t="str">
        <f t="shared" si="20"/>
        <v/>
      </c>
      <c r="T117" s="28" t="str">
        <f t="shared" si="20"/>
        <v/>
      </c>
      <c r="U117" s="28" t="str">
        <f t="shared" si="20"/>
        <v/>
      </c>
      <c r="V117" s="28" t="str">
        <f t="shared" si="20"/>
        <v/>
      </c>
      <c r="W117" s="28" t="str">
        <f t="shared" si="20"/>
        <v/>
      </c>
      <c r="X117" s="29" t="str">
        <f t="shared" si="20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17"/>
        <v/>
      </c>
      <c r="M118" s="19" t="str">
        <f t="shared" si="17"/>
        <v/>
      </c>
      <c r="N118" s="19" t="str">
        <f t="shared" si="17"/>
        <v/>
      </c>
      <c r="O118" s="19" t="str">
        <f t="shared" si="16"/>
        <v/>
      </c>
      <c r="P118" s="19" t="str">
        <f t="shared" si="16"/>
        <v/>
      </c>
      <c r="Q118" s="19" t="str">
        <f t="shared" si="16"/>
        <v/>
      </c>
      <c r="R118" s="19" t="str">
        <f t="shared" si="16"/>
        <v/>
      </c>
      <c r="S118" s="27" t="str">
        <f t="shared" si="20"/>
        <v/>
      </c>
      <c r="T118" s="28" t="str">
        <f t="shared" si="20"/>
        <v/>
      </c>
      <c r="U118" s="28" t="str">
        <f t="shared" si="20"/>
        <v/>
      </c>
      <c r="V118" s="28" t="str">
        <f t="shared" si="20"/>
        <v/>
      </c>
      <c r="W118" s="28" t="str">
        <f t="shared" si="20"/>
        <v/>
      </c>
      <c r="X118" s="29" t="str">
        <f t="shared" si="20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17"/>
        <v/>
      </c>
      <c r="M119" s="19" t="str">
        <f t="shared" si="17"/>
        <v/>
      </c>
      <c r="N119" s="19" t="str">
        <f t="shared" si="17"/>
        <v/>
      </c>
      <c r="O119" s="19" t="str">
        <f t="shared" si="16"/>
        <v/>
      </c>
      <c r="P119" s="19" t="str">
        <f t="shared" si="16"/>
        <v/>
      </c>
      <c r="Q119" s="19" t="str">
        <f t="shared" si="16"/>
        <v/>
      </c>
      <c r="R119" s="19" t="str">
        <f t="shared" si="16"/>
        <v/>
      </c>
      <c r="S119" s="27" t="str">
        <f t="shared" si="20"/>
        <v/>
      </c>
      <c r="T119" s="28" t="str">
        <f t="shared" si="20"/>
        <v/>
      </c>
      <c r="U119" s="28" t="str">
        <f t="shared" si="20"/>
        <v/>
      </c>
      <c r="V119" s="28" t="str">
        <f t="shared" si="20"/>
        <v/>
      </c>
      <c r="W119" s="28" t="str">
        <f t="shared" si="20"/>
        <v/>
      </c>
      <c r="X119" s="29" t="str">
        <f t="shared" si="20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17"/>
        <v/>
      </c>
      <c r="M120" s="19" t="str">
        <f t="shared" si="17"/>
        <v/>
      </c>
      <c r="N120" s="19" t="str">
        <f t="shared" si="17"/>
        <v/>
      </c>
      <c r="O120" s="19" t="str">
        <f t="shared" si="16"/>
        <v/>
      </c>
      <c r="P120" s="19" t="str">
        <f t="shared" si="16"/>
        <v/>
      </c>
      <c r="Q120" s="19" t="str">
        <f t="shared" si="16"/>
        <v/>
      </c>
      <c r="R120" s="19" t="str">
        <f t="shared" si="16"/>
        <v/>
      </c>
      <c r="S120" s="27" t="str">
        <f t="shared" si="20"/>
        <v/>
      </c>
      <c r="T120" s="28" t="str">
        <f t="shared" si="20"/>
        <v/>
      </c>
      <c r="U120" s="28" t="str">
        <f t="shared" si="20"/>
        <v/>
      </c>
      <c r="V120" s="28" t="str">
        <f t="shared" si="20"/>
        <v/>
      </c>
      <c r="W120" s="28" t="str">
        <f t="shared" si="20"/>
        <v/>
      </c>
      <c r="X120" s="29" t="str">
        <f t="shared" si="20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17"/>
        <v/>
      </c>
      <c r="M121" s="19" t="str">
        <f t="shared" si="17"/>
        <v/>
      </c>
      <c r="N121" s="19" t="str">
        <f t="shared" si="17"/>
        <v/>
      </c>
      <c r="O121" s="19" t="str">
        <f t="shared" si="16"/>
        <v/>
      </c>
      <c r="P121" s="19" t="str">
        <f t="shared" si="16"/>
        <v/>
      </c>
      <c r="Q121" s="19" t="str">
        <f t="shared" si="16"/>
        <v/>
      </c>
      <c r="R121" s="19" t="str">
        <f t="shared" si="16"/>
        <v/>
      </c>
      <c r="S121" s="27" t="str">
        <f t="shared" si="20"/>
        <v/>
      </c>
      <c r="T121" s="28" t="str">
        <f t="shared" si="20"/>
        <v/>
      </c>
      <c r="U121" s="28" t="str">
        <f t="shared" si="20"/>
        <v/>
      </c>
      <c r="V121" s="28" t="str">
        <f t="shared" si="20"/>
        <v/>
      </c>
      <c r="W121" s="28" t="str">
        <f t="shared" si="20"/>
        <v/>
      </c>
      <c r="X121" s="29" t="str">
        <f t="shared" si="20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17"/>
        <v/>
      </c>
      <c r="M122" s="19" t="str">
        <f t="shared" si="17"/>
        <v/>
      </c>
      <c r="N122" s="19" t="str">
        <f t="shared" si="17"/>
        <v/>
      </c>
      <c r="O122" s="19" t="str">
        <f t="shared" si="16"/>
        <v/>
      </c>
      <c r="P122" s="19" t="str">
        <f t="shared" si="16"/>
        <v/>
      </c>
      <c r="Q122" s="19" t="str">
        <f t="shared" si="16"/>
        <v/>
      </c>
      <c r="R122" s="19" t="str">
        <f t="shared" si="16"/>
        <v/>
      </c>
      <c r="S122" s="27" t="str">
        <f t="shared" si="20"/>
        <v/>
      </c>
      <c r="T122" s="28" t="str">
        <f t="shared" si="20"/>
        <v/>
      </c>
      <c r="U122" s="28" t="str">
        <f t="shared" si="20"/>
        <v/>
      </c>
      <c r="V122" s="28" t="str">
        <f t="shared" si="20"/>
        <v/>
      </c>
      <c r="W122" s="28" t="str">
        <f t="shared" si="20"/>
        <v/>
      </c>
      <c r="X122" s="29" t="str">
        <f t="shared" si="20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17"/>
        <v/>
      </c>
      <c r="M123" s="19" t="str">
        <f t="shared" si="17"/>
        <v/>
      </c>
      <c r="N123" s="19" t="str">
        <f t="shared" si="17"/>
        <v/>
      </c>
      <c r="O123" s="19" t="str">
        <f t="shared" si="16"/>
        <v/>
      </c>
      <c r="P123" s="19" t="str">
        <f t="shared" si="16"/>
        <v/>
      </c>
      <c r="Q123" s="19" t="str">
        <f t="shared" si="16"/>
        <v/>
      </c>
      <c r="R123" s="19" t="str">
        <f t="shared" si="16"/>
        <v/>
      </c>
      <c r="S123" s="27" t="str">
        <f t="shared" si="20"/>
        <v/>
      </c>
      <c r="T123" s="28" t="str">
        <f t="shared" si="20"/>
        <v/>
      </c>
      <c r="U123" s="28" t="str">
        <f t="shared" si="20"/>
        <v/>
      </c>
      <c r="V123" s="28" t="str">
        <f t="shared" si="20"/>
        <v/>
      </c>
      <c r="W123" s="28" t="str">
        <f t="shared" si="20"/>
        <v/>
      </c>
      <c r="X123" s="29" t="str">
        <f t="shared" si="20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17"/>
        <v/>
      </c>
      <c r="M124" s="19" t="str">
        <f t="shared" si="17"/>
        <v/>
      </c>
      <c r="N124" s="19" t="str">
        <f t="shared" si="17"/>
        <v/>
      </c>
      <c r="O124" s="19" t="str">
        <f t="shared" si="16"/>
        <v/>
      </c>
      <c r="P124" s="19" t="str">
        <f t="shared" si="16"/>
        <v/>
      </c>
      <c r="Q124" s="19" t="str">
        <f t="shared" si="16"/>
        <v/>
      </c>
      <c r="R124" s="19" t="str">
        <f t="shared" si="16"/>
        <v/>
      </c>
      <c r="S124" s="27" t="str">
        <f t="shared" si="20"/>
        <v/>
      </c>
      <c r="T124" s="28" t="str">
        <f t="shared" si="20"/>
        <v/>
      </c>
      <c r="U124" s="28" t="str">
        <f t="shared" si="20"/>
        <v/>
      </c>
      <c r="V124" s="28" t="str">
        <f t="shared" si="20"/>
        <v/>
      </c>
      <c r="W124" s="28" t="str">
        <f t="shared" si="20"/>
        <v/>
      </c>
      <c r="X124" s="29" t="str">
        <f t="shared" si="20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17"/>
        <v/>
      </c>
      <c r="M125" s="19" t="str">
        <f t="shared" si="17"/>
        <v/>
      </c>
      <c r="N125" s="19" t="str">
        <f t="shared" si="17"/>
        <v/>
      </c>
      <c r="O125" s="19" t="str">
        <f t="shared" si="16"/>
        <v/>
      </c>
      <c r="P125" s="19" t="str">
        <f t="shared" si="16"/>
        <v/>
      </c>
      <c r="Q125" s="19" t="str">
        <f t="shared" si="16"/>
        <v/>
      </c>
      <c r="R125" s="19" t="str">
        <f t="shared" si="16"/>
        <v/>
      </c>
      <c r="S125" s="27" t="str">
        <f t="shared" si="20"/>
        <v/>
      </c>
      <c r="T125" s="28" t="str">
        <f t="shared" si="20"/>
        <v/>
      </c>
      <c r="U125" s="28" t="str">
        <f t="shared" si="20"/>
        <v/>
      </c>
      <c r="V125" s="28" t="str">
        <f t="shared" si="20"/>
        <v/>
      </c>
      <c r="W125" s="28" t="str">
        <f t="shared" si="20"/>
        <v/>
      </c>
      <c r="X125" s="29" t="str">
        <f t="shared" si="20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17"/>
        <v/>
      </c>
      <c r="M126" s="19" t="str">
        <f t="shared" si="17"/>
        <v/>
      </c>
      <c r="N126" s="19" t="str">
        <f t="shared" si="17"/>
        <v/>
      </c>
      <c r="O126" s="19" t="str">
        <f t="shared" si="16"/>
        <v/>
      </c>
      <c r="P126" s="19" t="str">
        <f t="shared" si="16"/>
        <v/>
      </c>
      <c r="Q126" s="19" t="str">
        <f t="shared" si="16"/>
        <v/>
      </c>
      <c r="R126" s="19" t="str">
        <f t="shared" si="16"/>
        <v/>
      </c>
      <c r="S126" s="27" t="str">
        <f t="shared" si="20"/>
        <v/>
      </c>
      <c r="T126" s="28" t="str">
        <f t="shared" si="20"/>
        <v/>
      </c>
      <c r="U126" s="28" t="str">
        <f t="shared" si="20"/>
        <v/>
      </c>
      <c r="V126" s="28" t="str">
        <f t="shared" si="20"/>
        <v/>
      </c>
      <c r="W126" s="28" t="str">
        <f t="shared" si="20"/>
        <v/>
      </c>
      <c r="X126" s="29" t="str">
        <f t="shared" si="20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17"/>
        <v/>
      </c>
      <c r="M127" s="19" t="str">
        <f t="shared" si="17"/>
        <v/>
      </c>
      <c r="N127" s="19" t="str">
        <f t="shared" si="17"/>
        <v/>
      </c>
      <c r="O127" s="19" t="str">
        <f t="shared" si="16"/>
        <v/>
      </c>
      <c r="P127" s="19" t="str">
        <f t="shared" si="16"/>
        <v/>
      </c>
      <c r="Q127" s="19" t="str">
        <f t="shared" si="16"/>
        <v/>
      </c>
      <c r="R127" s="19" t="str">
        <f t="shared" si="16"/>
        <v/>
      </c>
      <c r="S127" s="27" t="str">
        <f t="shared" si="20"/>
        <v/>
      </c>
      <c r="T127" s="28" t="str">
        <f t="shared" si="20"/>
        <v/>
      </c>
      <c r="U127" s="28" t="str">
        <f t="shared" si="20"/>
        <v/>
      </c>
      <c r="V127" s="28" t="str">
        <f t="shared" si="20"/>
        <v/>
      </c>
      <c r="W127" s="28" t="str">
        <f t="shared" si="20"/>
        <v/>
      </c>
      <c r="X127" s="29" t="str">
        <f t="shared" si="20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17"/>
        <v/>
      </c>
      <c r="M128" s="19" t="str">
        <f t="shared" si="17"/>
        <v/>
      </c>
      <c r="N128" s="19" t="str">
        <f t="shared" si="17"/>
        <v/>
      </c>
      <c r="O128" s="19" t="str">
        <f t="shared" si="16"/>
        <v/>
      </c>
      <c r="P128" s="19" t="str">
        <f t="shared" si="16"/>
        <v/>
      </c>
      <c r="Q128" s="19" t="str">
        <f t="shared" si="16"/>
        <v/>
      </c>
      <c r="R128" s="19" t="str">
        <f t="shared" si="16"/>
        <v/>
      </c>
      <c r="S128" s="27" t="str">
        <f t="shared" si="20"/>
        <v/>
      </c>
      <c r="T128" s="28" t="str">
        <f t="shared" si="20"/>
        <v/>
      </c>
      <c r="U128" s="28" t="str">
        <f t="shared" si="20"/>
        <v/>
      </c>
      <c r="V128" s="28" t="str">
        <f t="shared" si="20"/>
        <v/>
      </c>
      <c r="W128" s="28" t="str">
        <f t="shared" si="20"/>
        <v/>
      </c>
      <c r="X128" s="29" t="str">
        <f t="shared" si="20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17"/>
        <v/>
      </c>
      <c r="M129" s="19" t="str">
        <f t="shared" si="17"/>
        <v/>
      </c>
      <c r="N129" s="19" t="str">
        <f t="shared" si="17"/>
        <v/>
      </c>
      <c r="O129" s="19" t="str">
        <f t="shared" si="16"/>
        <v/>
      </c>
      <c r="P129" s="19" t="str">
        <f t="shared" si="16"/>
        <v/>
      </c>
      <c r="Q129" s="19" t="str">
        <f t="shared" si="16"/>
        <v/>
      </c>
      <c r="R129" s="19" t="str">
        <f t="shared" si="16"/>
        <v/>
      </c>
      <c r="S129" s="27" t="str">
        <f t="shared" ref="S129:X144" si="21">IF(C129="","",((C129-C128)*1000)/($B129-$B128))</f>
        <v/>
      </c>
      <c r="T129" s="28" t="str">
        <f t="shared" si="21"/>
        <v/>
      </c>
      <c r="U129" s="28" t="str">
        <f t="shared" si="21"/>
        <v/>
      </c>
      <c r="V129" s="28" t="str">
        <f t="shared" si="21"/>
        <v/>
      </c>
      <c r="W129" s="28" t="str">
        <f t="shared" si="21"/>
        <v/>
      </c>
      <c r="X129" s="29" t="str">
        <f t="shared" si="21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17"/>
        <v/>
      </c>
      <c r="M130" s="19" t="str">
        <f t="shared" si="17"/>
        <v/>
      </c>
      <c r="N130" s="19" t="str">
        <f t="shared" si="17"/>
        <v/>
      </c>
      <c r="O130" s="19" t="str">
        <f t="shared" si="16"/>
        <v/>
      </c>
      <c r="P130" s="19" t="str">
        <f t="shared" si="16"/>
        <v/>
      </c>
      <c r="Q130" s="19" t="str">
        <f t="shared" si="16"/>
        <v/>
      </c>
      <c r="R130" s="19" t="str">
        <f t="shared" si="16"/>
        <v/>
      </c>
      <c r="S130" s="27" t="str">
        <f t="shared" si="21"/>
        <v/>
      </c>
      <c r="T130" s="28" t="str">
        <f t="shared" si="21"/>
        <v/>
      </c>
      <c r="U130" s="28" t="str">
        <f t="shared" si="21"/>
        <v/>
      </c>
      <c r="V130" s="28" t="str">
        <f t="shared" si="21"/>
        <v/>
      </c>
      <c r="W130" s="28" t="str">
        <f t="shared" si="21"/>
        <v/>
      </c>
      <c r="X130" s="29" t="str">
        <f t="shared" si="21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17"/>
        <v/>
      </c>
      <c r="M131" s="19" t="str">
        <f t="shared" si="17"/>
        <v/>
      </c>
      <c r="N131" s="19" t="str">
        <f t="shared" si="17"/>
        <v/>
      </c>
      <c r="O131" s="19" t="str">
        <f t="shared" si="16"/>
        <v/>
      </c>
      <c r="P131" s="19" t="str">
        <f t="shared" si="16"/>
        <v/>
      </c>
      <c r="Q131" s="19" t="str">
        <f t="shared" si="16"/>
        <v/>
      </c>
      <c r="R131" s="19" t="str">
        <f t="shared" ref="R131:R152" si="22">IF(ISBLANK(I131),"",(I131-I$16)*1000)</f>
        <v/>
      </c>
      <c r="S131" s="27" t="str">
        <f t="shared" si="21"/>
        <v/>
      </c>
      <c r="T131" s="28" t="str">
        <f t="shared" si="21"/>
        <v/>
      </c>
      <c r="U131" s="28" t="str">
        <f t="shared" si="21"/>
        <v/>
      </c>
      <c r="V131" s="28" t="str">
        <f t="shared" si="21"/>
        <v/>
      </c>
      <c r="W131" s="28" t="str">
        <f t="shared" si="21"/>
        <v/>
      </c>
      <c r="X131" s="29" t="str">
        <f t="shared" si="21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17"/>
        <v/>
      </c>
      <c r="M132" s="19" t="str">
        <f t="shared" si="17"/>
        <v/>
      </c>
      <c r="N132" s="19" t="str">
        <f t="shared" si="17"/>
        <v/>
      </c>
      <c r="O132" s="19" t="str">
        <f t="shared" si="17"/>
        <v/>
      </c>
      <c r="P132" s="19" t="str">
        <f t="shared" si="17"/>
        <v/>
      </c>
      <c r="Q132" s="19" t="str">
        <f t="shared" si="17"/>
        <v/>
      </c>
      <c r="R132" s="19" t="str">
        <f t="shared" si="22"/>
        <v/>
      </c>
      <c r="S132" s="27" t="str">
        <f t="shared" si="21"/>
        <v/>
      </c>
      <c r="T132" s="28" t="str">
        <f t="shared" si="21"/>
        <v/>
      </c>
      <c r="U132" s="28" t="str">
        <f t="shared" si="21"/>
        <v/>
      </c>
      <c r="V132" s="28" t="str">
        <f t="shared" si="21"/>
        <v/>
      </c>
      <c r="W132" s="28" t="str">
        <f t="shared" si="21"/>
        <v/>
      </c>
      <c r="X132" s="29" t="str">
        <f t="shared" si="21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ref="L133:Q153" si="23">IF(ISBLANK(C133),"",(C133-C$16)*1000)</f>
        <v/>
      </c>
      <c r="M133" s="19" t="str">
        <f t="shared" si="23"/>
        <v/>
      </c>
      <c r="N133" s="19" t="str">
        <f t="shared" si="23"/>
        <v/>
      </c>
      <c r="O133" s="19" t="str">
        <f t="shared" si="23"/>
        <v/>
      </c>
      <c r="P133" s="19" t="str">
        <f t="shared" si="23"/>
        <v/>
      </c>
      <c r="Q133" s="19" t="str">
        <f t="shared" si="23"/>
        <v/>
      </c>
      <c r="R133" s="19" t="str">
        <f t="shared" si="22"/>
        <v/>
      </c>
      <c r="S133" s="27" t="str">
        <f t="shared" si="21"/>
        <v/>
      </c>
      <c r="T133" s="28" t="str">
        <f t="shared" si="21"/>
        <v/>
      </c>
      <c r="U133" s="28" t="str">
        <f t="shared" si="21"/>
        <v/>
      </c>
      <c r="V133" s="28" t="str">
        <f t="shared" si="21"/>
        <v/>
      </c>
      <c r="W133" s="28" t="str">
        <f t="shared" si="21"/>
        <v/>
      </c>
      <c r="X133" s="29" t="str">
        <f t="shared" si="21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3"/>
        <v/>
      </c>
      <c r="M134" s="19" t="str">
        <f t="shared" si="23"/>
        <v/>
      </c>
      <c r="N134" s="19" t="str">
        <f t="shared" si="23"/>
        <v/>
      </c>
      <c r="O134" s="19" t="str">
        <f t="shared" si="23"/>
        <v/>
      </c>
      <c r="P134" s="19" t="str">
        <f t="shared" si="23"/>
        <v/>
      </c>
      <c r="Q134" s="19" t="str">
        <f t="shared" si="23"/>
        <v/>
      </c>
      <c r="R134" s="19" t="str">
        <f t="shared" si="22"/>
        <v/>
      </c>
      <c r="S134" s="27" t="str">
        <f t="shared" si="21"/>
        <v/>
      </c>
      <c r="T134" s="28" t="str">
        <f t="shared" si="21"/>
        <v/>
      </c>
      <c r="U134" s="28" t="str">
        <f t="shared" si="21"/>
        <v/>
      </c>
      <c r="V134" s="28" t="str">
        <f t="shared" si="21"/>
        <v/>
      </c>
      <c r="W134" s="28" t="str">
        <f t="shared" si="21"/>
        <v/>
      </c>
      <c r="X134" s="29" t="str">
        <f t="shared" si="21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3"/>
        <v/>
      </c>
      <c r="M135" s="19" t="str">
        <f t="shared" si="23"/>
        <v/>
      </c>
      <c r="N135" s="19" t="str">
        <f t="shared" si="23"/>
        <v/>
      </c>
      <c r="O135" s="19" t="str">
        <f t="shared" si="23"/>
        <v/>
      </c>
      <c r="P135" s="19" t="str">
        <f t="shared" si="23"/>
        <v/>
      </c>
      <c r="Q135" s="19" t="str">
        <f t="shared" si="23"/>
        <v/>
      </c>
      <c r="R135" s="19" t="str">
        <f t="shared" si="22"/>
        <v/>
      </c>
      <c r="S135" s="27" t="str">
        <f t="shared" si="21"/>
        <v/>
      </c>
      <c r="T135" s="28" t="str">
        <f t="shared" si="21"/>
        <v/>
      </c>
      <c r="U135" s="28" t="str">
        <f t="shared" si="21"/>
        <v/>
      </c>
      <c r="V135" s="28" t="str">
        <f t="shared" si="21"/>
        <v/>
      </c>
      <c r="W135" s="28" t="str">
        <f t="shared" si="21"/>
        <v/>
      </c>
      <c r="X135" s="29" t="str">
        <f t="shared" si="21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3"/>
        <v/>
      </c>
      <c r="M136" s="19" t="str">
        <f t="shared" si="23"/>
        <v/>
      </c>
      <c r="N136" s="19" t="str">
        <f t="shared" si="23"/>
        <v/>
      </c>
      <c r="O136" s="19" t="str">
        <f t="shared" si="23"/>
        <v/>
      </c>
      <c r="P136" s="19" t="str">
        <f t="shared" si="23"/>
        <v/>
      </c>
      <c r="Q136" s="19" t="str">
        <f t="shared" si="23"/>
        <v/>
      </c>
      <c r="R136" s="19" t="str">
        <f t="shared" si="22"/>
        <v/>
      </c>
      <c r="S136" s="27" t="str">
        <f t="shared" si="21"/>
        <v/>
      </c>
      <c r="T136" s="28" t="str">
        <f t="shared" si="21"/>
        <v/>
      </c>
      <c r="U136" s="28" t="str">
        <f t="shared" si="21"/>
        <v/>
      </c>
      <c r="V136" s="28" t="str">
        <f t="shared" si="21"/>
        <v/>
      </c>
      <c r="W136" s="28" t="str">
        <f t="shared" si="21"/>
        <v/>
      </c>
      <c r="X136" s="29" t="str">
        <f t="shared" si="21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3"/>
        <v/>
      </c>
      <c r="M137" s="19" t="str">
        <f t="shared" si="23"/>
        <v/>
      </c>
      <c r="N137" s="19" t="str">
        <f t="shared" si="23"/>
        <v/>
      </c>
      <c r="O137" s="19" t="str">
        <f t="shared" si="23"/>
        <v/>
      </c>
      <c r="P137" s="19" t="str">
        <f t="shared" si="23"/>
        <v/>
      </c>
      <c r="Q137" s="19" t="str">
        <f t="shared" si="23"/>
        <v/>
      </c>
      <c r="R137" s="19" t="str">
        <f t="shared" si="22"/>
        <v/>
      </c>
      <c r="S137" s="27" t="str">
        <f t="shared" si="21"/>
        <v/>
      </c>
      <c r="T137" s="28" t="str">
        <f t="shared" si="21"/>
        <v/>
      </c>
      <c r="U137" s="28" t="str">
        <f t="shared" si="21"/>
        <v/>
      </c>
      <c r="V137" s="28" t="str">
        <f t="shared" si="21"/>
        <v/>
      </c>
      <c r="W137" s="28" t="str">
        <f t="shared" si="21"/>
        <v/>
      </c>
      <c r="X137" s="29" t="str">
        <f t="shared" si="21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3"/>
        <v/>
      </c>
      <c r="M138" s="19" t="str">
        <f t="shared" si="23"/>
        <v/>
      </c>
      <c r="N138" s="19" t="str">
        <f t="shared" si="23"/>
        <v/>
      </c>
      <c r="O138" s="19" t="str">
        <f t="shared" si="23"/>
        <v/>
      </c>
      <c r="P138" s="19" t="str">
        <f t="shared" si="23"/>
        <v/>
      </c>
      <c r="Q138" s="19" t="str">
        <f t="shared" si="23"/>
        <v/>
      </c>
      <c r="R138" s="19" t="str">
        <f t="shared" si="22"/>
        <v/>
      </c>
      <c r="S138" s="27" t="str">
        <f t="shared" si="21"/>
        <v/>
      </c>
      <c r="T138" s="28" t="str">
        <f t="shared" si="21"/>
        <v/>
      </c>
      <c r="U138" s="28" t="str">
        <f t="shared" si="21"/>
        <v/>
      </c>
      <c r="V138" s="28" t="str">
        <f t="shared" si="21"/>
        <v/>
      </c>
      <c r="W138" s="28" t="str">
        <f t="shared" si="21"/>
        <v/>
      </c>
      <c r="X138" s="29" t="str">
        <f t="shared" si="21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3"/>
        <v/>
      </c>
      <c r="M139" s="19" t="str">
        <f t="shared" si="23"/>
        <v/>
      </c>
      <c r="N139" s="19" t="str">
        <f t="shared" si="23"/>
        <v/>
      </c>
      <c r="O139" s="19" t="str">
        <f t="shared" si="23"/>
        <v/>
      </c>
      <c r="P139" s="19" t="str">
        <f t="shared" si="23"/>
        <v/>
      </c>
      <c r="Q139" s="19" t="str">
        <f t="shared" si="23"/>
        <v/>
      </c>
      <c r="R139" s="19" t="str">
        <f t="shared" si="22"/>
        <v/>
      </c>
      <c r="S139" s="27" t="str">
        <f t="shared" si="21"/>
        <v/>
      </c>
      <c r="T139" s="28" t="str">
        <f t="shared" si="21"/>
        <v/>
      </c>
      <c r="U139" s="28" t="str">
        <f t="shared" si="21"/>
        <v/>
      </c>
      <c r="V139" s="28" t="str">
        <f t="shared" si="21"/>
        <v/>
      </c>
      <c r="W139" s="28" t="str">
        <f t="shared" si="21"/>
        <v/>
      </c>
      <c r="X139" s="29" t="str">
        <f t="shared" si="21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3"/>
        <v/>
      </c>
      <c r="M140" s="19" t="str">
        <f t="shared" si="23"/>
        <v/>
      </c>
      <c r="N140" s="19" t="str">
        <f t="shared" si="23"/>
        <v/>
      </c>
      <c r="O140" s="19" t="str">
        <f t="shared" si="23"/>
        <v/>
      </c>
      <c r="P140" s="19" t="str">
        <f t="shared" si="23"/>
        <v/>
      </c>
      <c r="Q140" s="19" t="str">
        <f t="shared" si="23"/>
        <v/>
      </c>
      <c r="R140" s="19" t="str">
        <f t="shared" si="22"/>
        <v/>
      </c>
      <c r="S140" s="27" t="str">
        <f t="shared" si="21"/>
        <v/>
      </c>
      <c r="T140" s="28" t="str">
        <f t="shared" si="21"/>
        <v/>
      </c>
      <c r="U140" s="28" t="str">
        <f t="shared" si="21"/>
        <v/>
      </c>
      <c r="V140" s="28" t="str">
        <f t="shared" si="21"/>
        <v/>
      </c>
      <c r="W140" s="28" t="str">
        <f t="shared" si="21"/>
        <v/>
      </c>
      <c r="X140" s="29" t="str">
        <f t="shared" si="21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3"/>
        <v/>
      </c>
      <c r="M141" s="19" t="str">
        <f t="shared" si="23"/>
        <v/>
      </c>
      <c r="N141" s="19" t="str">
        <f t="shared" si="23"/>
        <v/>
      </c>
      <c r="O141" s="19" t="str">
        <f t="shared" si="23"/>
        <v/>
      </c>
      <c r="P141" s="19" t="str">
        <f t="shared" si="23"/>
        <v/>
      </c>
      <c r="Q141" s="19" t="str">
        <f t="shared" si="23"/>
        <v/>
      </c>
      <c r="R141" s="19" t="str">
        <f t="shared" si="22"/>
        <v/>
      </c>
      <c r="S141" s="27" t="str">
        <f t="shared" si="21"/>
        <v/>
      </c>
      <c r="T141" s="28" t="str">
        <f t="shared" si="21"/>
        <v/>
      </c>
      <c r="U141" s="28" t="str">
        <f t="shared" si="21"/>
        <v/>
      </c>
      <c r="V141" s="28" t="str">
        <f t="shared" si="21"/>
        <v/>
      </c>
      <c r="W141" s="28" t="str">
        <f t="shared" si="21"/>
        <v/>
      </c>
      <c r="X141" s="29" t="str">
        <f t="shared" si="21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3"/>
        <v/>
      </c>
      <c r="M142" s="19" t="str">
        <f t="shared" si="23"/>
        <v/>
      </c>
      <c r="N142" s="19" t="str">
        <f t="shared" si="23"/>
        <v/>
      </c>
      <c r="O142" s="19" t="str">
        <f t="shared" si="23"/>
        <v/>
      </c>
      <c r="P142" s="19" t="str">
        <f t="shared" si="23"/>
        <v/>
      </c>
      <c r="Q142" s="19" t="str">
        <f t="shared" si="23"/>
        <v/>
      </c>
      <c r="R142" s="19" t="str">
        <f t="shared" si="22"/>
        <v/>
      </c>
      <c r="S142" s="27" t="str">
        <f t="shared" si="21"/>
        <v/>
      </c>
      <c r="T142" s="28" t="str">
        <f t="shared" si="21"/>
        <v/>
      </c>
      <c r="U142" s="28" t="str">
        <f t="shared" si="21"/>
        <v/>
      </c>
      <c r="V142" s="28" t="str">
        <f t="shared" si="21"/>
        <v/>
      </c>
      <c r="W142" s="28" t="str">
        <f t="shared" si="21"/>
        <v/>
      </c>
      <c r="X142" s="29" t="str">
        <f t="shared" si="21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3"/>
        <v/>
      </c>
      <c r="M143" s="19" t="str">
        <f t="shared" si="23"/>
        <v/>
      </c>
      <c r="N143" s="19" t="str">
        <f t="shared" si="23"/>
        <v/>
      </c>
      <c r="O143" s="19" t="str">
        <f t="shared" si="23"/>
        <v/>
      </c>
      <c r="P143" s="19" t="str">
        <f t="shared" si="23"/>
        <v/>
      </c>
      <c r="Q143" s="19" t="str">
        <f t="shared" si="23"/>
        <v/>
      </c>
      <c r="R143" s="19" t="str">
        <f t="shared" si="22"/>
        <v/>
      </c>
      <c r="S143" s="27" t="str">
        <f t="shared" si="21"/>
        <v/>
      </c>
      <c r="T143" s="28" t="str">
        <f t="shared" si="21"/>
        <v/>
      </c>
      <c r="U143" s="28" t="str">
        <f t="shared" si="21"/>
        <v/>
      </c>
      <c r="V143" s="28" t="str">
        <f t="shared" si="21"/>
        <v/>
      </c>
      <c r="W143" s="28" t="str">
        <f t="shared" si="21"/>
        <v/>
      </c>
      <c r="X143" s="29" t="str">
        <f t="shared" si="21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3"/>
        <v/>
      </c>
      <c r="M144" s="19" t="str">
        <f t="shared" si="23"/>
        <v/>
      </c>
      <c r="N144" s="19" t="str">
        <f t="shared" si="23"/>
        <v/>
      </c>
      <c r="O144" s="19" t="str">
        <f t="shared" si="23"/>
        <v/>
      </c>
      <c r="P144" s="19" t="str">
        <f t="shared" si="23"/>
        <v/>
      </c>
      <c r="Q144" s="19" t="str">
        <f t="shared" si="23"/>
        <v/>
      </c>
      <c r="R144" s="19" t="str">
        <f t="shared" si="22"/>
        <v/>
      </c>
      <c r="S144" s="27" t="str">
        <f t="shared" si="21"/>
        <v/>
      </c>
      <c r="T144" s="28" t="str">
        <f t="shared" si="21"/>
        <v/>
      </c>
      <c r="U144" s="28" t="str">
        <f t="shared" si="21"/>
        <v/>
      </c>
      <c r="V144" s="28" t="str">
        <f t="shared" si="21"/>
        <v/>
      </c>
      <c r="W144" s="28" t="str">
        <f t="shared" si="21"/>
        <v/>
      </c>
      <c r="X144" s="29" t="str">
        <f t="shared" si="21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3"/>
        <v/>
      </c>
      <c r="M145" s="19" t="str">
        <f t="shared" si="23"/>
        <v/>
      </c>
      <c r="N145" s="19" t="str">
        <f t="shared" si="23"/>
        <v/>
      </c>
      <c r="O145" s="19" t="str">
        <f t="shared" si="23"/>
        <v/>
      </c>
      <c r="P145" s="19" t="str">
        <f t="shared" si="23"/>
        <v/>
      </c>
      <c r="Q145" s="19" t="str">
        <f t="shared" si="23"/>
        <v/>
      </c>
      <c r="R145" s="19" t="str">
        <f t="shared" si="22"/>
        <v/>
      </c>
      <c r="S145" s="27" t="str">
        <f t="shared" ref="S145:X153" si="24">IF(C145="","",((C145-C144)*1000)/($B145-$B144))</f>
        <v/>
      </c>
      <c r="T145" s="28" t="str">
        <f t="shared" si="24"/>
        <v/>
      </c>
      <c r="U145" s="28" t="str">
        <f t="shared" si="24"/>
        <v/>
      </c>
      <c r="V145" s="28" t="str">
        <f t="shared" si="24"/>
        <v/>
      </c>
      <c r="W145" s="28" t="str">
        <f t="shared" si="24"/>
        <v/>
      </c>
      <c r="X145" s="29" t="str">
        <f t="shared" si="2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3"/>
        <v/>
      </c>
      <c r="M146" s="19" t="str">
        <f t="shared" si="23"/>
        <v/>
      </c>
      <c r="N146" s="19" t="str">
        <f t="shared" si="23"/>
        <v/>
      </c>
      <c r="O146" s="19" t="str">
        <f t="shared" si="23"/>
        <v/>
      </c>
      <c r="P146" s="19" t="str">
        <f t="shared" si="23"/>
        <v/>
      </c>
      <c r="Q146" s="19" t="str">
        <f t="shared" si="23"/>
        <v/>
      </c>
      <c r="R146" s="19" t="str">
        <f t="shared" si="22"/>
        <v/>
      </c>
      <c r="S146" s="27" t="str">
        <f t="shared" si="24"/>
        <v/>
      </c>
      <c r="T146" s="28" t="str">
        <f t="shared" si="24"/>
        <v/>
      </c>
      <c r="U146" s="28" t="str">
        <f t="shared" si="24"/>
        <v/>
      </c>
      <c r="V146" s="28" t="str">
        <f t="shared" si="24"/>
        <v/>
      </c>
      <c r="W146" s="28" t="str">
        <f t="shared" si="24"/>
        <v/>
      </c>
      <c r="X146" s="29" t="str">
        <f t="shared" si="2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3"/>
        <v/>
      </c>
      <c r="M147" s="19" t="str">
        <f t="shared" si="23"/>
        <v/>
      </c>
      <c r="N147" s="19" t="str">
        <f t="shared" si="23"/>
        <v/>
      </c>
      <c r="O147" s="19" t="str">
        <f t="shared" si="23"/>
        <v/>
      </c>
      <c r="P147" s="19" t="str">
        <f t="shared" si="23"/>
        <v/>
      </c>
      <c r="Q147" s="19" t="str">
        <f t="shared" si="23"/>
        <v/>
      </c>
      <c r="R147" s="19" t="str">
        <f t="shared" si="22"/>
        <v/>
      </c>
      <c r="S147" s="27" t="str">
        <f t="shared" si="24"/>
        <v/>
      </c>
      <c r="T147" s="28" t="str">
        <f t="shared" si="24"/>
        <v/>
      </c>
      <c r="U147" s="28" t="str">
        <f t="shared" si="24"/>
        <v/>
      </c>
      <c r="V147" s="28" t="str">
        <f t="shared" si="24"/>
        <v/>
      </c>
      <c r="W147" s="28" t="str">
        <f t="shared" si="24"/>
        <v/>
      </c>
      <c r="X147" s="29" t="str">
        <f t="shared" si="2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3"/>
        <v/>
      </c>
      <c r="M148" s="19" t="str">
        <f t="shared" si="23"/>
        <v/>
      </c>
      <c r="N148" s="19" t="str">
        <f t="shared" si="23"/>
        <v/>
      </c>
      <c r="O148" s="19" t="str">
        <f t="shared" si="23"/>
        <v/>
      </c>
      <c r="P148" s="19" t="str">
        <f t="shared" si="23"/>
        <v/>
      </c>
      <c r="Q148" s="19" t="str">
        <f t="shared" si="23"/>
        <v/>
      </c>
      <c r="R148" s="19" t="str">
        <f t="shared" si="22"/>
        <v/>
      </c>
      <c r="S148" s="27" t="str">
        <f t="shared" si="24"/>
        <v/>
      </c>
      <c r="T148" s="28" t="str">
        <f t="shared" si="24"/>
        <v/>
      </c>
      <c r="U148" s="28" t="str">
        <f t="shared" si="24"/>
        <v/>
      </c>
      <c r="V148" s="28" t="str">
        <f t="shared" si="24"/>
        <v/>
      </c>
      <c r="W148" s="28" t="str">
        <f t="shared" si="24"/>
        <v/>
      </c>
      <c r="X148" s="29" t="str">
        <f t="shared" si="2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3"/>
        <v/>
      </c>
      <c r="M149" s="19" t="str">
        <f t="shared" si="23"/>
        <v/>
      </c>
      <c r="N149" s="19" t="str">
        <f t="shared" si="23"/>
        <v/>
      </c>
      <c r="O149" s="19" t="str">
        <f t="shared" si="23"/>
        <v/>
      </c>
      <c r="P149" s="19" t="str">
        <f t="shared" si="23"/>
        <v/>
      </c>
      <c r="Q149" s="19" t="str">
        <f t="shared" si="23"/>
        <v/>
      </c>
      <c r="R149" s="19" t="str">
        <f t="shared" si="22"/>
        <v/>
      </c>
      <c r="S149" s="27" t="str">
        <f t="shared" si="24"/>
        <v/>
      </c>
      <c r="T149" s="28" t="str">
        <f t="shared" si="24"/>
        <v/>
      </c>
      <c r="U149" s="28" t="str">
        <f t="shared" si="24"/>
        <v/>
      </c>
      <c r="V149" s="28" t="str">
        <f t="shared" si="24"/>
        <v/>
      </c>
      <c r="W149" s="28" t="str">
        <f t="shared" si="24"/>
        <v/>
      </c>
      <c r="X149" s="29" t="str">
        <f t="shared" si="2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3"/>
        <v/>
      </c>
      <c r="M150" s="19" t="str">
        <f t="shared" si="23"/>
        <v/>
      </c>
      <c r="N150" s="19" t="str">
        <f t="shared" si="23"/>
        <v/>
      </c>
      <c r="O150" s="19" t="str">
        <f t="shared" si="23"/>
        <v/>
      </c>
      <c r="P150" s="19" t="str">
        <f t="shared" si="23"/>
        <v/>
      </c>
      <c r="Q150" s="19" t="str">
        <f t="shared" si="23"/>
        <v/>
      </c>
      <c r="R150" s="19" t="str">
        <f t="shared" si="22"/>
        <v/>
      </c>
      <c r="S150" s="27" t="str">
        <f t="shared" si="24"/>
        <v/>
      </c>
      <c r="T150" s="28" t="str">
        <f t="shared" si="24"/>
        <v/>
      </c>
      <c r="U150" s="28" t="str">
        <f t="shared" si="24"/>
        <v/>
      </c>
      <c r="V150" s="28" t="str">
        <f t="shared" si="24"/>
        <v/>
      </c>
      <c r="W150" s="28" t="str">
        <f t="shared" si="24"/>
        <v/>
      </c>
      <c r="X150" s="29" t="str">
        <f t="shared" si="2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3"/>
        <v/>
      </c>
      <c r="M151" s="19" t="str">
        <f t="shared" si="23"/>
        <v/>
      </c>
      <c r="N151" s="19" t="str">
        <f t="shared" si="23"/>
        <v/>
      </c>
      <c r="O151" s="19" t="str">
        <f t="shared" si="23"/>
        <v/>
      </c>
      <c r="P151" s="19" t="str">
        <f t="shared" si="23"/>
        <v/>
      </c>
      <c r="Q151" s="19" t="str">
        <f t="shared" si="23"/>
        <v/>
      </c>
      <c r="R151" s="19" t="str">
        <f t="shared" si="22"/>
        <v/>
      </c>
      <c r="S151" s="27" t="str">
        <f t="shared" si="24"/>
        <v/>
      </c>
      <c r="T151" s="28" t="str">
        <f t="shared" si="24"/>
        <v/>
      </c>
      <c r="U151" s="28" t="str">
        <f t="shared" si="24"/>
        <v/>
      </c>
      <c r="V151" s="28" t="str">
        <f t="shared" si="24"/>
        <v/>
      </c>
      <c r="W151" s="28" t="str">
        <f t="shared" si="24"/>
        <v/>
      </c>
      <c r="X151" s="29" t="str">
        <f t="shared" si="2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3"/>
        <v/>
      </c>
      <c r="M152" s="19" t="str">
        <f t="shared" si="23"/>
        <v/>
      </c>
      <c r="N152" s="19" t="str">
        <f t="shared" si="23"/>
        <v/>
      </c>
      <c r="O152" s="19" t="str">
        <f t="shared" si="23"/>
        <v/>
      </c>
      <c r="P152" s="19" t="str">
        <f t="shared" si="23"/>
        <v/>
      </c>
      <c r="Q152" s="19" t="str">
        <f t="shared" si="23"/>
        <v/>
      </c>
      <c r="R152" s="19" t="str">
        <f t="shared" si="22"/>
        <v/>
      </c>
      <c r="S152" s="27" t="str">
        <f t="shared" si="24"/>
        <v/>
      </c>
      <c r="T152" s="28" t="str">
        <f t="shared" si="24"/>
        <v/>
      </c>
      <c r="U152" s="28" t="str">
        <f t="shared" si="24"/>
        <v/>
      </c>
      <c r="V152" s="28" t="str">
        <f t="shared" si="24"/>
        <v/>
      </c>
      <c r="W152" s="28" t="str">
        <f t="shared" si="24"/>
        <v/>
      </c>
      <c r="X152" s="29" t="str">
        <f t="shared" si="2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3"/>
        <v/>
      </c>
      <c r="M153" s="19" t="str">
        <f>IF(ISBLANK(D153),"",(D153-D$16)*1000)</f>
        <v/>
      </c>
      <c r="N153" s="19" t="str">
        <f>IF(ISBLANK(E153),"",(E153-E$16)*1000)</f>
        <v/>
      </c>
      <c r="O153" s="19" t="str">
        <f t="shared" si="23"/>
        <v/>
      </c>
      <c r="P153" s="19" t="str">
        <f t="shared" si="23"/>
        <v/>
      </c>
      <c r="Q153" s="19" t="str">
        <f t="shared" si="23"/>
        <v/>
      </c>
      <c r="R153" s="19" t="str">
        <f>IF(ISBLANK(I153),"",(I153-I$16)*1000)</f>
        <v/>
      </c>
      <c r="S153" s="27" t="str">
        <f t="shared" si="24"/>
        <v/>
      </c>
      <c r="T153" s="28" t="str">
        <f t="shared" si="24"/>
        <v/>
      </c>
      <c r="U153" s="28" t="str">
        <f t="shared" si="24"/>
        <v/>
      </c>
      <c r="V153" s="28" t="str">
        <f t="shared" si="24"/>
        <v/>
      </c>
      <c r="W153" s="28" t="str">
        <f t="shared" si="24"/>
        <v/>
      </c>
      <c r="X153" s="29" t="str">
        <f t="shared" si="24"/>
        <v/>
      </c>
      <c r="Y153" s="24"/>
    </row>
  </sheetData>
  <sheetProtection selectLockedCells="1"/>
  <mergeCells count="38">
    <mergeCell ref="J6:Q6"/>
    <mergeCell ref="R6:V6"/>
    <mergeCell ref="W6:Y6"/>
    <mergeCell ref="E7:I7"/>
    <mergeCell ref="J7:Q7"/>
    <mergeCell ref="R7:V7"/>
    <mergeCell ref="W7:Y7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18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2" activePane="bottomLeft" state="frozen"/>
      <selection activeCell="G40" sqref="G40"/>
      <selection pane="bottomLeft" activeCell="G40" sqref="G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TZ-116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71" t="s">
        <v>3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  <c r="R4" s="166"/>
      <c r="S4" s="167"/>
      <c r="T4" s="167"/>
      <c r="U4" s="167"/>
      <c r="V4" s="167"/>
      <c r="W4" s="167"/>
      <c r="X4" s="168"/>
      <c r="Y4" s="170"/>
    </row>
    <row r="5" spans="1:35" ht="27" customHeight="1" x14ac:dyDescent="0.2">
      <c r="B5" s="141"/>
      <c r="C5" s="142"/>
      <c r="D5" s="142"/>
      <c r="E5" s="145" t="s">
        <v>4</v>
      </c>
      <c r="F5" s="146"/>
      <c r="G5" s="146"/>
      <c r="H5" s="146"/>
      <c r="I5" s="146"/>
      <c r="J5" s="181" t="s">
        <v>126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42395</v>
      </c>
      <c r="X5" s="148"/>
      <c r="Y5" s="149"/>
    </row>
    <row r="6" spans="1:35" ht="27" customHeight="1" x14ac:dyDescent="0.2">
      <c r="B6" s="143"/>
      <c r="C6" s="144"/>
      <c r="D6" s="144"/>
      <c r="E6" s="110" t="s">
        <v>7</v>
      </c>
      <c r="F6" s="111"/>
      <c r="G6" s="111"/>
      <c r="H6" s="111"/>
      <c r="I6" s="111"/>
      <c r="J6" s="18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42401</v>
      </c>
      <c r="X6" s="158"/>
      <c r="Y6" s="159"/>
    </row>
    <row r="7" spans="1:35" ht="27" customHeight="1" x14ac:dyDescent="0.2">
      <c r="B7" s="143"/>
      <c r="C7" s="144"/>
      <c r="D7" s="144"/>
      <c r="E7" s="110" t="s">
        <v>9</v>
      </c>
      <c r="F7" s="111"/>
      <c r="G7" s="111"/>
      <c r="H7" s="111"/>
      <c r="I7" s="111"/>
      <c r="J7" s="151" t="s">
        <v>132</v>
      </c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2198</v>
      </c>
      <c r="X7" s="151"/>
      <c r="Y7" s="152"/>
    </row>
    <row r="8" spans="1:35" ht="27" customHeight="1" thickBot="1" x14ac:dyDescent="0.25">
      <c r="B8" s="143"/>
      <c r="C8" s="144"/>
      <c r="D8" s="144"/>
      <c r="E8" s="153" t="s">
        <v>11</v>
      </c>
      <c r="F8" s="107"/>
      <c r="G8" s="107"/>
      <c r="H8" s="107"/>
      <c r="I8" s="107"/>
      <c r="J8" s="154">
        <v>2456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128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75"/>
      <c r="C10" s="176"/>
      <c r="D10" s="176"/>
      <c r="E10" s="176"/>
      <c r="F10" s="176"/>
      <c r="G10" s="176"/>
      <c r="H10" s="176"/>
      <c r="I10" s="176"/>
      <c r="J10" s="177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75"/>
      <c r="C11" s="176"/>
      <c r="D11" s="176"/>
      <c r="E11" s="176"/>
      <c r="F11" s="176"/>
      <c r="G11" s="176"/>
      <c r="H11" s="176"/>
      <c r="I11" s="176"/>
      <c r="J11" s="177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78"/>
      <c r="C12" s="179"/>
      <c r="D12" s="179"/>
      <c r="E12" s="179"/>
      <c r="F12" s="179"/>
      <c r="G12" s="179"/>
      <c r="H12" s="179"/>
      <c r="I12" s="179"/>
      <c r="J12" s="180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0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3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1">
        <v>42401</v>
      </c>
      <c r="C16" s="25">
        <v>12.45</v>
      </c>
      <c r="D16" s="26"/>
      <c r="E16" s="26"/>
      <c r="F16" s="16"/>
      <c r="G16" s="16"/>
      <c r="H16" s="16"/>
      <c r="I16" s="17"/>
      <c r="J16" s="58">
        <v>2471</v>
      </c>
      <c r="K16" s="18">
        <f t="shared" ref="K16:K18" si="0">IF(ISBLANK(J16),"",(J16-$J$8))</f>
        <v>15</v>
      </c>
      <c r="L16" s="19">
        <f t="shared" ref="L16:Q31" si="1">IF(ISBLANK(C16),"",(C16-C$16)*1000)</f>
        <v>0</v>
      </c>
      <c r="M16" s="19" t="str">
        <f t="shared" si="1"/>
        <v/>
      </c>
      <c r="N16" s="19" t="str">
        <f t="shared" si="1"/>
        <v/>
      </c>
      <c r="O16" s="20"/>
      <c r="P16" s="20"/>
      <c r="Q16" s="20"/>
      <c r="R16" s="21" t="str">
        <f t="shared" ref="R16" si="2">IF(ISBLANK(I16),"",(I16-I$16)*1000)</f>
        <v/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42402</v>
      </c>
      <c r="C17" s="25">
        <v>12.45</v>
      </c>
      <c r="D17" s="26"/>
      <c r="E17" s="26"/>
      <c r="F17" s="16"/>
      <c r="G17" s="16"/>
      <c r="H17" s="16"/>
      <c r="I17" s="17"/>
      <c r="J17" s="58">
        <v>2474</v>
      </c>
      <c r="K17" s="18">
        <f t="shared" si="0"/>
        <v>18</v>
      </c>
      <c r="L17" s="19">
        <f t="shared" si="1"/>
        <v>0</v>
      </c>
      <c r="M17" s="19" t="str">
        <f>IF(ISBLANK(D17),"",(D17-D$16)*1000)</f>
        <v/>
      </c>
      <c r="N17" s="19" t="str">
        <f>IF(ISBLANK(E17),"",(E17-E$16)*1000)</f>
        <v/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 t="str">
        <f>IF(ISBLANK(I17),"",(I17-I$16)*1000)</f>
        <v/>
      </c>
      <c r="S17" s="27">
        <f t="shared" ref="S17:X32" si="3">IF(C17="","",((C17-C16)*1000)/($B17-$B16))</f>
        <v>0</v>
      </c>
      <c r="T17" s="28"/>
      <c r="U17" s="28"/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42403</v>
      </c>
      <c r="C18" s="25">
        <v>12.45</v>
      </c>
      <c r="D18" s="26">
        <v>7.93</v>
      </c>
      <c r="E18" s="26">
        <v>7.3970000000000002</v>
      </c>
      <c r="F18" s="16"/>
      <c r="G18" s="16"/>
      <c r="H18" s="16"/>
      <c r="I18" s="17">
        <v>115.776</v>
      </c>
      <c r="J18" s="58">
        <v>2479</v>
      </c>
      <c r="K18" s="18">
        <f t="shared" si="0"/>
        <v>23</v>
      </c>
      <c r="L18" s="19">
        <f t="shared" si="1"/>
        <v>0</v>
      </c>
      <c r="M18" s="19">
        <f>IF(ISBLANK(D18),"",(D18-D$18)*1000)</f>
        <v>0</v>
      </c>
      <c r="N18" s="19">
        <f>IF(ISBLANK(E18),"",(E18-E$18)*1000)</f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>IF(ISBLANK(I18),"",(I18-I$18)*1000)</f>
        <v>0</v>
      </c>
      <c r="S18" s="27">
        <f t="shared" si="3"/>
        <v>0</v>
      </c>
      <c r="T18" s="28"/>
      <c r="U18" s="28"/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42404</v>
      </c>
      <c r="C19" s="25">
        <v>12.448</v>
      </c>
      <c r="D19" s="26">
        <v>7.9290000000000003</v>
      </c>
      <c r="E19" s="26">
        <v>7.3970000000000002</v>
      </c>
      <c r="F19" s="16"/>
      <c r="G19" s="16"/>
      <c r="H19" s="16"/>
      <c r="I19" s="17">
        <v>115.777</v>
      </c>
      <c r="J19" s="58">
        <v>2484</v>
      </c>
      <c r="K19" s="18">
        <f t="shared" ref="K19" si="4">IF(ISBLANK(J19),"",(J19-$J$8))</f>
        <v>28</v>
      </c>
      <c r="L19" s="19">
        <f t="shared" si="1"/>
        <v>-1.9999999999988916</v>
      </c>
      <c r="M19" s="19">
        <f t="shared" ref="M19:M82" si="5">IF(ISBLANK(D19),"",(D19-D$18)*1000)</f>
        <v>-0.99999999999944578</v>
      </c>
      <c r="N19" s="19">
        <f t="shared" ref="N19:N82" si="6">IF(ISBLANK(E19),"",(E19-E$18)*1000)</f>
        <v>0</v>
      </c>
      <c r="O19" s="19" t="str">
        <f t="shared" ref="O19:O33" si="7">IF(ISBLANK(F19),"",(F19-F$16)*1000)</f>
        <v/>
      </c>
      <c r="P19" s="19" t="str">
        <f t="shared" ref="P19:P33" si="8">IF(ISBLANK(G19),"",(G19-G$16)*1000)</f>
        <v/>
      </c>
      <c r="Q19" s="19" t="str">
        <f t="shared" ref="Q19:Q33" si="9">IF(ISBLANK(H19),"",(H19-H$16)*1000)</f>
        <v/>
      </c>
      <c r="R19" s="19">
        <f t="shared" ref="R19:R82" si="10">IF(ISBLANK(I19),"",(I19-I$18)*1000)</f>
        <v>1.0000000000047748</v>
      </c>
      <c r="S19" s="27">
        <f t="shared" si="3"/>
        <v>-1.9999999999988916</v>
      </c>
      <c r="T19" s="28">
        <f t="shared" si="3"/>
        <v>-0.99999999999944578</v>
      </c>
      <c r="U19" s="28">
        <f t="shared" si="3"/>
        <v>0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42405</v>
      </c>
      <c r="C20" s="25">
        <v>12.448</v>
      </c>
      <c r="D20" s="26">
        <v>7.9290000000000003</v>
      </c>
      <c r="E20" s="26">
        <v>7.3979999999999997</v>
      </c>
      <c r="F20" s="16"/>
      <c r="G20" s="16"/>
      <c r="H20" s="16"/>
      <c r="I20" s="17">
        <v>115.777</v>
      </c>
      <c r="J20" s="58">
        <v>2488</v>
      </c>
      <c r="K20" s="18">
        <f t="shared" ref="K20" si="11">IF(ISBLANK(J20),"",(J20-$J$8))</f>
        <v>32</v>
      </c>
      <c r="L20" s="19">
        <f t="shared" si="1"/>
        <v>-1.9999999999988916</v>
      </c>
      <c r="M20" s="19">
        <f t="shared" si="5"/>
        <v>-0.99999999999944578</v>
      </c>
      <c r="N20" s="19">
        <f t="shared" si="6"/>
        <v>0.99999999999944578</v>
      </c>
      <c r="O20" s="19" t="str">
        <f t="shared" si="7"/>
        <v/>
      </c>
      <c r="P20" s="19" t="str">
        <f t="shared" si="8"/>
        <v/>
      </c>
      <c r="Q20" s="19" t="str">
        <f t="shared" si="9"/>
        <v/>
      </c>
      <c r="R20" s="19">
        <f t="shared" si="10"/>
        <v>1.0000000000047748</v>
      </c>
      <c r="S20" s="27">
        <f t="shared" si="3"/>
        <v>0</v>
      </c>
      <c r="T20" s="28">
        <f t="shared" si="3"/>
        <v>0</v>
      </c>
      <c r="U20" s="28">
        <f t="shared" si="3"/>
        <v>0.99999999999944578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42408</v>
      </c>
      <c r="C21" s="25">
        <v>12.449</v>
      </c>
      <c r="D21" s="26">
        <v>7.9269999999999996</v>
      </c>
      <c r="E21" s="26">
        <v>7.3979999999999997</v>
      </c>
      <c r="F21" s="16"/>
      <c r="G21" s="16"/>
      <c r="H21" s="16"/>
      <c r="I21" s="17">
        <v>115.777</v>
      </c>
      <c r="J21" s="58">
        <v>2493</v>
      </c>
      <c r="K21" s="18">
        <f t="shared" ref="K21" si="12">IF(ISBLANK(J21),"",(J21-$J$8))</f>
        <v>37</v>
      </c>
      <c r="L21" s="19">
        <f t="shared" si="1"/>
        <v>-0.99999999999944578</v>
      </c>
      <c r="M21" s="19">
        <f t="shared" si="5"/>
        <v>-3.0000000000001137</v>
      </c>
      <c r="N21" s="19">
        <f t="shared" si="6"/>
        <v>0.99999999999944578</v>
      </c>
      <c r="O21" s="19" t="str">
        <f t="shared" si="7"/>
        <v/>
      </c>
      <c r="P21" s="19" t="str">
        <f t="shared" si="8"/>
        <v/>
      </c>
      <c r="Q21" s="19" t="str">
        <f t="shared" si="9"/>
        <v/>
      </c>
      <c r="R21" s="19">
        <f t="shared" si="10"/>
        <v>1.0000000000047748</v>
      </c>
      <c r="S21" s="27">
        <f t="shared" si="3"/>
        <v>0.33333333333314857</v>
      </c>
      <c r="T21" s="28">
        <f t="shared" si="3"/>
        <v>-0.66666666666688934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42409</v>
      </c>
      <c r="C22" s="25">
        <v>12.448</v>
      </c>
      <c r="D22" s="26">
        <v>7.93</v>
      </c>
      <c r="E22" s="26">
        <v>7.3959999999999999</v>
      </c>
      <c r="F22" s="16"/>
      <c r="G22" s="16"/>
      <c r="H22" s="16"/>
      <c r="I22" s="17">
        <v>115.77800000000001</v>
      </c>
      <c r="J22" s="58">
        <v>2496</v>
      </c>
      <c r="K22" s="18">
        <f t="shared" ref="K22" si="13">IF(ISBLANK(J22),"",(J22-$J$8))</f>
        <v>40</v>
      </c>
      <c r="L22" s="19">
        <f t="shared" si="1"/>
        <v>-1.9999999999988916</v>
      </c>
      <c r="M22" s="19">
        <f t="shared" si="5"/>
        <v>0</v>
      </c>
      <c r="N22" s="19">
        <f t="shared" si="6"/>
        <v>-1.000000000000334</v>
      </c>
      <c r="O22" s="19" t="str">
        <f t="shared" si="7"/>
        <v/>
      </c>
      <c r="P22" s="19" t="str">
        <f t="shared" si="8"/>
        <v/>
      </c>
      <c r="Q22" s="19" t="str">
        <f t="shared" si="9"/>
        <v/>
      </c>
      <c r="R22" s="19">
        <f t="shared" si="10"/>
        <v>2.0000000000095497</v>
      </c>
      <c r="S22" s="27">
        <f t="shared" si="3"/>
        <v>-0.99999999999944578</v>
      </c>
      <c r="T22" s="28">
        <f t="shared" si="3"/>
        <v>3.0000000000001137</v>
      </c>
      <c r="U22" s="28">
        <f t="shared" si="3"/>
        <v>-1.9999999999997797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42410</v>
      </c>
      <c r="C23" s="25">
        <v>12.446999999999999</v>
      </c>
      <c r="D23" s="26">
        <v>7.9269999999999996</v>
      </c>
      <c r="E23" s="26">
        <v>7.3970000000000002</v>
      </c>
      <c r="F23" s="16"/>
      <c r="G23" s="16"/>
      <c r="H23" s="16"/>
      <c r="I23" s="17">
        <v>115.77800000000001</v>
      </c>
      <c r="J23" s="58">
        <v>2500</v>
      </c>
      <c r="K23" s="18">
        <f t="shared" ref="K23" si="14">IF(ISBLANK(J23),"",(J23-$J$8))</f>
        <v>44</v>
      </c>
      <c r="L23" s="19">
        <f t="shared" si="1"/>
        <v>-3.0000000000001137</v>
      </c>
      <c r="M23" s="19">
        <f t="shared" si="5"/>
        <v>-3.0000000000001137</v>
      </c>
      <c r="N23" s="19">
        <f t="shared" si="6"/>
        <v>0</v>
      </c>
      <c r="O23" s="19" t="str">
        <f t="shared" si="7"/>
        <v/>
      </c>
      <c r="P23" s="19" t="str">
        <f t="shared" si="8"/>
        <v/>
      </c>
      <c r="Q23" s="19" t="str">
        <f t="shared" si="9"/>
        <v/>
      </c>
      <c r="R23" s="19">
        <f t="shared" si="10"/>
        <v>2.0000000000095497</v>
      </c>
      <c r="S23" s="27">
        <f t="shared" si="3"/>
        <v>-1.0000000000012221</v>
      </c>
      <c r="T23" s="28">
        <f t="shared" si="3"/>
        <v>-3.0000000000001137</v>
      </c>
      <c r="U23" s="28">
        <f t="shared" si="3"/>
        <v>1.000000000000334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42411</v>
      </c>
      <c r="C24" s="25">
        <v>12.446999999999999</v>
      </c>
      <c r="D24" s="26">
        <v>7.9269999999999996</v>
      </c>
      <c r="E24" s="26">
        <v>7.3970000000000002</v>
      </c>
      <c r="F24" s="16"/>
      <c r="G24" s="16"/>
      <c r="H24" s="16"/>
      <c r="I24" s="17">
        <v>115.777</v>
      </c>
      <c r="J24" s="58">
        <v>2504</v>
      </c>
      <c r="K24" s="18">
        <f t="shared" ref="K24:K29" si="15">IF(ISBLANK(J24),"",(J24-$J$8))</f>
        <v>48</v>
      </c>
      <c r="L24" s="19">
        <f t="shared" si="1"/>
        <v>-3.0000000000001137</v>
      </c>
      <c r="M24" s="19">
        <f t="shared" si="5"/>
        <v>-3.0000000000001137</v>
      </c>
      <c r="N24" s="19">
        <f t="shared" si="6"/>
        <v>0</v>
      </c>
      <c r="O24" s="19" t="str">
        <f t="shared" si="7"/>
        <v/>
      </c>
      <c r="P24" s="19" t="str">
        <f t="shared" si="8"/>
        <v/>
      </c>
      <c r="Q24" s="19" t="str">
        <f t="shared" si="9"/>
        <v/>
      </c>
      <c r="R24" s="19">
        <f t="shared" si="10"/>
        <v>1.0000000000047748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42417</v>
      </c>
      <c r="C25" s="25">
        <v>12.448</v>
      </c>
      <c r="D25" s="26">
        <v>7.9279999999999999</v>
      </c>
      <c r="E25" s="26">
        <v>7.3959999999999999</v>
      </c>
      <c r="F25" s="16"/>
      <c r="G25" s="16"/>
      <c r="H25" s="16"/>
      <c r="I25" s="17">
        <v>115.777</v>
      </c>
      <c r="J25" s="58">
        <v>2521</v>
      </c>
      <c r="K25" s="18">
        <f t="shared" si="15"/>
        <v>65</v>
      </c>
      <c r="L25" s="19">
        <f t="shared" si="1"/>
        <v>-1.9999999999988916</v>
      </c>
      <c r="M25" s="19">
        <f t="shared" si="5"/>
        <v>-1.9999999999997797</v>
      </c>
      <c r="N25" s="19">
        <f t="shared" si="6"/>
        <v>-1.000000000000334</v>
      </c>
      <c r="O25" s="19" t="str">
        <f t="shared" si="7"/>
        <v/>
      </c>
      <c r="P25" s="19" t="str">
        <f t="shared" si="8"/>
        <v/>
      </c>
      <c r="Q25" s="19" t="str">
        <f t="shared" si="9"/>
        <v/>
      </c>
      <c r="R25" s="19">
        <f t="shared" si="10"/>
        <v>1.0000000000047748</v>
      </c>
      <c r="S25" s="27">
        <f t="shared" si="3"/>
        <v>0.16666666666687036</v>
      </c>
      <c r="T25" s="28">
        <f t="shared" si="3"/>
        <v>0.16666666666672234</v>
      </c>
      <c r="U25" s="28">
        <f t="shared" si="3"/>
        <v>-0.16666666666672234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42424</v>
      </c>
      <c r="C26" s="25">
        <v>12.448</v>
      </c>
      <c r="D26" s="26">
        <v>7.9290000000000003</v>
      </c>
      <c r="E26" s="26">
        <v>7.3970000000000002</v>
      </c>
      <c r="F26" s="16"/>
      <c r="G26" s="16"/>
      <c r="H26" s="16"/>
      <c r="I26" s="17">
        <v>115.777</v>
      </c>
      <c r="J26" s="58">
        <v>2540.5</v>
      </c>
      <c r="K26" s="18">
        <f t="shared" si="15"/>
        <v>84.5</v>
      </c>
      <c r="L26" s="19">
        <f t="shared" si="1"/>
        <v>-1.9999999999988916</v>
      </c>
      <c r="M26" s="19">
        <f t="shared" si="5"/>
        <v>-0.99999999999944578</v>
      </c>
      <c r="N26" s="19">
        <f t="shared" si="6"/>
        <v>0</v>
      </c>
      <c r="O26" s="19" t="str">
        <f t="shared" si="7"/>
        <v/>
      </c>
      <c r="P26" s="19" t="str">
        <f t="shared" si="8"/>
        <v/>
      </c>
      <c r="Q26" s="19" t="str">
        <f t="shared" si="9"/>
        <v/>
      </c>
      <c r="R26" s="19">
        <f t="shared" si="10"/>
        <v>1.0000000000047748</v>
      </c>
      <c r="S26" s="27">
        <f t="shared" si="3"/>
        <v>0</v>
      </c>
      <c r="T26" s="28">
        <f t="shared" si="3"/>
        <v>0.14285714285719056</v>
      </c>
      <c r="U26" s="28">
        <f t="shared" si="3"/>
        <v>0.14285714285719056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42430</v>
      </c>
      <c r="C27" s="25">
        <v>12.448</v>
      </c>
      <c r="D27" s="26">
        <v>7.9290000000000003</v>
      </c>
      <c r="E27" s="26">
        <v>7.3979999999999997</v>
      </c>
      <c r="F27" s="16"/>
      <c r="G27" s="16"/>
      <c r="H27" s="16"/>
      <c r="I27" s="17">
        <v>115.777</v>
      </c>
      <c r="J27" s="58">
        <v>2540.5</v>
      </c>
      <c r="K27" s="18">
        <f t="shared" si="15"/>
        <v>84.5</v>
      </c>
      <c r="L27" s="19">
        <f t="shared" si="1"/>
        <v>-1.9999999999988916</v>
      </c>
      <c r="M27" s="19">
        <f t="shared" si="5"/>
        <v>-0.99999999999944578</v>
      </c>
      <c r="N27" s="19">
        <f t="shared" si="6"/>
        <v>0.99999999999944578</v>
      </c>
      <c r="O27" s="19" t="str">
        <f t="shared" si="7"/>
        <v/>
      </c>
      <c r="P27" s="19" t="str">
        <f t="shared" si="8"/>
        <v/>
      </c>
      <c r="Q27" s="19" t="str">
        <f t="shared" si="9"/>
        <v/>
      </c>
      <c r="R27" s="19">
        <f t="shared" si="10"/>
        <v>1.0000000000047748</v>
      </c>
      <c r="S27" s="27">
        <f t="shared" si="3"/>
        <v>0</v>
      </c>
      <c r="T27" s="28">
        <f t="shared" si="3"/>
        <v>0</v>
      </c>
      <c r="U27" s="28">
        <f t="shared" si="3"/>
        <v>0.16666666666657429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42458</v>
      </c>
      <c r="C28" s="25">
        <v>12.445</v>
      </c>
      <c r="D28" s="26">
        <v>7.9279999999999999</v>
      </c>
      <c r="E28" s="26">
        <v>7.3959999999999999</v>
      </c>
      <c r="F28" s="16"/>
      <c r="G28" s="16"/>
      <c r="H28" s="16"/>
      <c r="I28" s="17">
        <v>115.776</v>
      </c>
      <c r="J28" s="58">
        <v>2571</v>
      </c>
      <c r="K28" s="18">
        <f t="shared" si="15"/>
        <v>115</v>
      </c>
      <c r="L28" s="19">
        <f t="shared" si="1"/>
        <v>-4.9999999999990052</v>
      </c>
      <c r="M28" s="19">
        <f t="shared" si="5"/>
        <v>-1.9999999999997797</v>
      </c>
      <c r="N28" s="19">
        <f t="shared" si="6"/>
        <v>-1.000000000000334</v>
      </c>
      <c r="O28" s="19" t="str">
        <f t="shared" si="7"/>
        <v/>
      </c>
      <c r="P28" s="19" t="str">
        <f t="shared" si="8"/>
        <v/>
      </c>
      <c r="Q28" s="19" t="str">
        <f t="shared" si="9"/>
        <v/>
      </c>
      <c r="R28" s="19">
        <f t="shared" si="10"/>
        <v>0</v>
      </c>
      <c r="S28" s="27">
        <f t="shared" si="3"/>
        <v>-0.1071428571428612</v>
      </c>
      <c r="T28" s="28">
        <f t="shared" si="3"/>
        <v>-3.571428571429764E-2</v>
      </c>
      <c r="U28" s="28">
        <f t="shared" si="3"/>
        <v>-7.1428571428563556E-2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42506</v>
      </c>
      <c r="C29" s="73">
        <v>12.445</v>
      </c>
      <c r="D29" s="71">
        <v>7.9279999999999999</v>
      </c>
      <c r="E29" s="71">
        <v>7.3959999999999999</v>
      </c>
      <c r="F29" s="16"/>
      <c r="G29" s="16"/>
      <c r="H29" s="16"/>
      <c r="I29" s="17">
        <v>115.771</v>
      </c>
      <c r="J29" s="58">
        <v>2450</v>
      </c>
      <c r="K29" s="18">
        <f t="shared" si="15"/>
        <v>-6</v>
      </c>
      <c r="L29" s="19">
        <f t="shared" si="1"/>
        <v>-4.9999999999990052</v>
      </c>
      <c r="M29" s="19">
        <f t="shared" si="5"/>
        <v>-1.9999999999997797</v>
      </c>
      <c r="N29" s="19">
        <f t="shared" si="6"/>
        <v>-1.000000000000334</v>
      </c>
      <c r="O29" s="19" t="str">
        <f t="shared" si="7"/>
        <v/>
      </c>
      <c r="P29" s="19" t="str">
        <f t="shared" si="8"/>
        <v/>
      </c>
      <c r="Q29" s="19" t="str">
        <f t="shared" si="9"/>
        <v/>
      </c>
      <c r="R29" s="19">
        <f t="shared" si="10"/>
        <v>-4.9999999999954525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42507</v>
      </c>
      <c r="C30" s="73">
        <v>12.445</v>
      </c>
      <c r="D30" s="71">
        <v>7.9279999999999999</v>
      </c>
      <c r="E30" s="26">
        <v>7.3970000000000002</v>
      </c>
      <c r="F30" s="16"/>
      <c r="G30" s="16"/>
      <c r="H30" s="16"/>
      <c r="I30" s="17">
        <v>115.771</v>
      </c>
      <c r="J30" s="58">
        <v>2459</v>
      </c>
      <c r="K30" s="18">
        <f t="shared" ref="K30" si="16">IF(ISBLANK(J30),"",(J30-$J$8))</f>
        <v>3</v>
      </c>
      <c r="L30" s="19">
        <f t="shared" si="1"/>
        <v>-4.9999999999990052</v>
      </c>
      <c r="M30" s="19">
        <f t="shared" si="5"/>
        <v>-1.9999999999997797</v>
      </c>
      <c r="N30" s="19">
        <f t="shared" si="6"/>
        <v>0</v>
      </c>
      <c r="O30" s="19" t="str">
        <f t="shared" si="7"/>
        <v/>
      </c>
      <c r="P30" s="19" t="str">
        <f t="shared" si="8"/>
        <v/>
      </c>
      <c r="Q30" s="19" t="str">
        <f t="shared" si="9"/>
        <v/>
      </c>
      <c r="R30" s="19">
        <f t="shared" si="10"/>
        <v>-4.9999999999954525</v>
      </c>
      <c r="S30" s="27">
        <f t="shared" si="3"/>
        <v>0</v>
      </c>
      <c r="T30" s="28">
        <f t="shared" si="3"/>
        <v>0</v>
      </c>
      <c r="U30" s="28">
        <f t="shared" si="3"/>
        <v>1.000000000000334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42508</v>
      </c>
      <c r="C31" s="73">
        <v>12.445</v>
      </c>
      <c r="D31" s="71">
        <v>7.9279999999999999</v>
      </c>
      <c r="E31" s="71">
        <v>7.3970000000000002</v>
      </c>
      <c r="F31" s="16"/>
      <c r="G31" s="16"/>
      <c r="H31" s="16"/>
      <c r="I31" s="17">
        <v>115.77</v>
      </c>
      <c r="J31" s="58">
        <v>2467</v>
      </c>
      <c r="K31" s="18">
        <f t="shared" ref="K31" si="17">IF(ISBLANK(J31),"",(J31-$J$8))</f>
        <v>11</v>
      </c>
      <c r="L31" s="19">
        <f t="shared" si="1"/>
        <v>-4.9999999999990052</v>
      </c>
      <c r="M31" s="19">
        <f t="shared" si="5"/>
        <v>-1.9999999999997797</v>
      </c>
      <c r="N31" s="19">
        <f t="shared" si="6"/>
        <v>0</v>
      </c>
      <c r="O31" s="19" t="str">
        <f t="shared" si="7"/>
        <v/>
      </c>
      <c r="P31" s="19" t="str">
        <f t="shared" si="8"/>
        <v/>
      </c>
      <c r="Q31" s="19" t="str">
        <f t="shared" si="9"/>
        <v/>
      </c>
      <c r="R31" s="19">
        <f t="shared" si="10"/>
        <v>-6.0000000000002274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42509</v>
      </c>
      <c r="C32" s="25">
        <v>12.44</v>
      </c>
      <c r="D32" s="71">
        <v>7.9279999999999999</v>
      </c>
      <c r="E32" s="71">
        <v>7.3970000000000002</v>
      </c>
      <c r="F32" s="16"/>
      <c r="G32" s="16"/>
      <c r="H32" s="16"/>
      <c r="I32" s="72">
        <v>115.77</v>
      </c>
      <c r="J32" s="58">
        <v>2479</v>
      </c>
      <c r="K32" s="18">
        <f t="shared" ref="K32:K36" si="18">IF(ISBLANK(J32),"",(J32-$J$8))</f>
        <v>23</v>
      </c>
      <c r="L32" s="19">
        <f t="shared" ref="L32:L68" si="19">IF(ISBLANK(C32),"",(C32-C$16)*1000)</f>
        <v>-9.9999999999997868</v>
      </c>
      <c r="M32" s="19">
        <f t="shared" si="5"/>
        <v>-1.9999999999997797</v>
      </c>
      <c r="N32" s="19">
        <f t="shared" si="6"/>
        <v>0</v>
      </c>
      <c r="O32" s="19" t="str">
        <f t="shared" si="7"/>
        <v/>
      </c>
      <c r="P32" s="19" t="str">
        <f t="shared" si="8"/>
        <v/>
      </c>
      <c r="Q32" s="19" t="str">
        <f t="shared" si="9"/>
        <v/>
      </c>
      <c r="R32" s="19">
        <f t="shared" si="10"/>
        <v>-6.0000000000002274</v>
      </c>
      <c r="S32" s="27">
        <f t="shared" si="3"/>
        <v>-5.0000000000007816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42510</v>
      </c>
      <c r="C33" s="25">
        <v>12.435</v>
      </c>
      <c r="D33" s="71">
        <v>7.9279999999999999</v>
      </c>
      <c r="E33" s="71">
        <v>7.3970000000000002</v>
      </c>
      <c r="F33" s="16"/>
      <c r="G33" s="16"/>
      <c r="H33" s="16"/>
      <c r="I33" s="72">
        <v>115.77</v>
      </c>
      <c r="J33" s="58">
        <v>2490</v>
      </c>
      <c r="K33" s="18">
        <f t="shared" si="18"/>
        <v>34</v>
      </c>
      <c r="L33" s="19">
        <f t="shared" si="19"/>
        <v>-14.999999999998792</v>
      </c>
      <c r="M33" s="19">
        <f t="shared" si="5"/>
        <v>-1.9999999999997797</v>
      </c>
      <c r="N33" s="19">
        <f t="shared" si="6"/>
        <v>0</v>
      </c>
      <c r="O33" s="19" t="str">
        <f t="shared" si="7"/>
        <v/>
      </c>
      <c r="P33" s="19" t="str">
        <f t="shared" si="8"/>
        <v/>
      </c>
      <c r="Q33" s="19" t="str">
        <f t="shared" si="9"/>
        <v/>
      </c>
      <c r="R33" s="19">
        <f t="shared" si="10"/>
        <v>-6.0000000000002274</v>
      </c>
      <c r="S33" s="27">
        <f t="shared" ref="S33:X48" si="20">IF(C33="","",((C33-C32)*1000)/($B33-$B32))</f>
        <v>-4.9999999999990052</v>
      </c>
      <c r="T33" s="28">
        <f t="shared" si="20"/>
        <v>0</v>
      </c>
      <c r="U33" s="28">
        <f t="shared" si="20"/>
        <v>0</v>
      </c>
      <c r="V33" s="28" t="str">
        <f t="shared" si="20"/>
        <v/>
      </c>
      <c r="W33" s="28" t="str">
        <f t="shared" si="20"/>
        <v/>
      </c>
      <c r="X33" s="29" t="str">
        <f t="shared" si="20"/>
        <v/>
      </c>
      <c r="Y33" s="24"/>
    </row>
    <row r="34" spans="2:25" ht="15" customHeight="1" x14ac:dyDescent="0.2">
      <c r="B34" s="31">
        <v>42513</v>
      </c>
      <c r="C34" s="25">
        <v>12.438000000000001</v>
      </c>
      <c r="D34" s="26">
        <v>7.9269999999999996</v>
      </c>
      <c r="E34" s="26">
        <v>7.3949999999999996</v>
      </c>
      <c r="F34" s="47">
        <v>12.944000000000001</v>
      </c>
      <c r="G34" s="47">
        <v>10.542</v>
      </c>
      <c r="H34" s="47">
        <v>10.362</v>
      </c>
      <c r="I34" s="57">
        <v>115.773</v>
      </c>
      <c r="J34" s="58">
        <v>2500</v>
      </c>
      <c r="K34" s="18">
        <f t="shared" si="18"/>
        <v>44</v>
      </c>
      <c r="L34" s="19">
        <f t="shared" si="19"/>
        <v>-11.999999999998678</v>
      </c>
      <c r="M34" s="19">
        <f t="shared" si="5"/>
        <v>-3.0000000000001137</v>
      </c>
      <c r="N34" s="19">
        <f t="shared" si="6"/>
        <v>-2.0000000000006679</v>
      </c>
      <c r="O34" s="19">
        <f>IF(ISBLANK(F34),"",((F34-F$34)*1000+L$34))</f>
        <v>-11.999999999998678</v>
      </c>
      <c r="P34" s="19">
        <f>IF(ISBLANK(G34),"",(G34-G$34)*1000)</f>
        <v>0</v>
      </c>
      <c r="Q34" s="19">
        <f>IF(ISBLANK(H34),"",(H34-H$34)*1000)</f>
        <v>0</v>
      </c>
      <c r="R34" s="19">
        <f t="shared" si="10"/>
        <v>-3.0000000000001137</v>
      </c>
      <c r="S34" s="27">
        <f t="shared" si="20"/>
        <v>1.000000000000038</v>
      </c>
      <c r="T34" s="28">
        <f t="shared" si="20"/>
        <v>-0.33333333333344467</v>
      </c>
      <c r="U34" s="28">
        <f t="shared" si="20"/>
        <v>-0.66666666666688934</v>
      </c>
      <c r="V34" s="28"/>
      <c r="W34" s="28"/>
      <c r="X34" s="29"/>
      <c r="Y34" s="24"/>
    </row>
    <row r="35" spans="2:25" ht="15" customHeight="1" x14ac:dyDescent="0.2">
      <c r="B35" s="31">
        <v>42514</v>
      </c>
      <c r="C35" s="25">
        <v>12.438000000000001</v>
      </c>
      <c r="D35" s="26">
        <v>7.9260000000000002</v>
      </c>
      <c r="E35" s="26">
        <v>7.3949999999999996</v>
      </c>
      <c r="F35" s="47">
        <v>12.945</v>
      </c>
      <c r="G35" s="47">
        <v>10.542999999999999</v>
      </c>
      <c r="H35" s="47">
        <v>10.362</v>
      </c>
      <c r="I35" s="57">
        <v>115.77200000000001</v>
      </c>
      <c r="J35" s="58">
        <v>2515</v>
      </c>
      <c r="K35" s="18">
        <f t="shared" si="18"/>
        <v>59</v>
      </c>
      <c r="L35" s="19">
        <f t="shared" si="19"/>
        <v>-11.999999999998678</v>
      </c>
      <c r="M35" s="19">
        <f t="shared" si="5"/>
        <v>-3.9999999999995595</v>
      </c>
      <c r="N35" s="19">
        <f t="shared" si="6"/>
        <v>-2.0000000000006679</v>
      </c>
      <c r="O35" s="19">
        <f t="shared" ref="O35:O98" si="21">IF(ISBLANK(F35),"",((F35-F$34)*1000+L$34))</f>
        <v>-10.999999999999233</v>
      </c>
      <c r="P35" s="19">
        <f t="shared" ref="P35:P98" si="22">IF(ISBLANK(G35),"",(G35-G$34)*1000)</f>
        <v>0.99999999999944578</v>
      </c>
      <c r="Q35" s="19">
        <f t="shared" ref="Q35:Q98" si="23">IF(ISBLANK(H35),"",(H35-H$34)*1000)</f>
        <v>0</v>
      </c>
      <c r="R35" s="19">
        <f t="shared" si="10"/>
        <v>-3.9999999999906777</v>
      </c>
      <c r="S35" s="27">
        <f t="shared" si="20"/>
        <v>0</v>
      </c>
      <c r="T35" s="28">
        <f t="shared" si="20"/>
        <v>-0.99999999999944578</v>
      </c>
      <c r="U35" s="28">
        <f t="shared" si="20"/>
        <v>0</v>
      </c>
      <c r="V35" s="28">
        <f t="shared" si="20"/>
        <v>0.99999999999944578</v>
      </c>
      <c r="W35" s="28">
        <f t="shared" si="20"/>
        <v>0.99999999999944578</v>
      </c>
      <c r="X35" s="29">
        <f t="shared" si="20"/>
        <v>0</v>
      </c>
      <c r="Y35" s="24"/>
    </row>
    <row r="36" spans="2:25" ht="15" customHeight="1" x14ac:dyDescent="0.2">
      <c r="B36" s="31">
        <v>42515</v>
      </c>
      <c r="C36" s="25">
        <v>12.438000000000001</v>
      </c>
      <c r="D36" s="26">
        <v>7.9249999999999998</v>
      </c>
      <c r="E36" s="26">
        <v>7.3949999999999996</v>
      </c>
      <c r="F36" s="47">
        <v>12.945</v>
      </c>
      <c r="G36" s="47">
        <v>10.542999999999999</v>
      </c>
      <c r="H36" s="47">
        <v>10.362</v>
      </c>
      <c r="I36" s="57">
        <v>115.771</v>
      </c>
      <c r="J36" s="58">
        <v>2524</v>
      </c>
      <c r="K36" s="18">
        <f t="shared" si="18"/>
        <v>68</v>
      </c>
      <c r="L36" s="19">
        <f t="shared" si="19"/>
        <v>-11.999999999998678</v>
      </c>
      <c r="M36" s="19">
        <f t="shared" si="5"/>
        <v>-4.9999999999998934</v>
      </c>
      <c r="N36" s="19">
        <f t="shared" si="6"/>
        <v>-2.0000000000006679</v>
      </c>
      <c r="O36" s="19">
        <f t="shared" si="21"/>
        <v>-10.999999999999233</v>
      </c>
      <c r="P36" s="19">
        <f t="shared" si="22"/>
        <v>0.99999999999944578</v>
      </c>
      <c r="Q36" s="19">
        <f t="shared" si="23"/>
        <v>0</v>
      </c>
      <c r="R36" s="19">
        <f t="shared" si="10"/>
        <v>-4.9999999999954525</v>
      </c>
      <c r="S36" s="27">
        <f t="shared" si="20"/>
        <v>0</v>
      </c>
      <c r="T36" s="28">
        <f t="shared" si="20"/>
        <v>-1.000000000000334</v>
      </c>
      <c r="U36" s="28">
        <f t="shared" si="20"/>
        <v>0</v>
      </c>
      <c r="V36" s="28">
        <f t="shared" si="20"/>
        <v>0</v>
      </c>
      <c r="W36" s="28">
        <f t="shared" si="20"/>
        <v>0</v>
      </c>
      <c r="X36" s="29">
        <f t="shared" si="20"/>
        <v>0</v>
      </c>
      <c r="Y36" s="24"/>
    </row>
    <row r="37" spans="2:25" ht="15" customHeight="1" x14ac:dyDescent="0.2">
      <c r="B37" s="31">
        <v>42516</v>
      </c>
      <c r="C37" s="25">
        <v>12.438000000000001</v>
      </c>
      <c r="D37" s="26">
        <v>7.9269999999999996</v>
      </c>
      <c r="E37" s="26">
        <v>7.3940000000000001</v>
      </c>
      <c r="F37" s="47">
        <v>12.945</v>
      </c>
      <c r="G37" s="47">
        <v>10.542999999999999</v>
      </c>
      <c r="H37" s="47">
        <v>10.362</v>
      </c>
      <c r="I37" s="57">
        <v>115.771</v>
      </c>
      <c r="J37" s="58">
        <v>2524</v>
      </c>
      <c r="K37" s="18">
        <f t="shared" ref="K37" si="24">IF(ISBLANK(J37),"",(J37-$J$8))</f>
        <v>68</v>
      </c>
      <c r="L37" s="19">
        <f t="shared" si="19"/>
        <v>-11.999999999998678</v>
      </c>
      <c r="M37" s="19">
        <f t="shared" si="5"/>
        <v>-3.0000000000001137</v>
      </c>
      <c r="N37" s="19">
        <f t="shared" si="6"/>
        <v>-3.0000000000001137</v>
      </c>
      <c r="O37" s="19">
        <f t="shared" si="21"/>
        <v>-10.999999999999233</v>
      </c>
      <c r="P37" s="19">
        <f t="shared" si="22"/>
        <v>0.99999999999944578</v>
      </c>
      <c r="Q37" s="19">
        <f t="shared" si="23"/>
        <v>0</v>
      </c>
      <c r="R37" s="19">
        <f t="shared" si="10"/>
        <v>-4.9999999999954525</v>
      </c>
      <c r="S37" s="27">
        <f t="shared" si="20"/>
        <v>0</v>
      </c>
      <c r="T37" s="28">
        <f t="shared" si="20"/>
        <v>1.9999999999997797</v>
      </c>
      <c r="U37" s="28">
        <f t="shared" si="20"/>
        <v>-0.99999999999944578</v>
      </c>
      <c r="V37" s="28">
        <f t="shared" si="20"/>
        <v>0</v>
      </c>
      <c r="W37" s="28">
        <f t="shared" si="20"/>
        <v>0</v>
      </c>
      <c r="X37" s="29">
        <f t="shared" si="20"/>
        <v>0</v>
      </c>
      <c r="Y37" s="24"/>
    </row>
    <row r="38" spans="2:25" ht="15" customHeight="1" x14ac:dyDescent="0.2">
      <c r="B38" s="31">
        <v>42522</v>
      </c>
      <c r="C38" s="73">
        <v>12.438000000000001</v>
      </c>
      <c r="D38" s="26">
        <v>7.9240000000000004</v>
      </c>
      <c r="E38" s="71">
        <v>7.3940000000000001</v>
      </c>
      <c r="F38" s="78">
        <v>12.945</v>
      </c>
      <c r="G38" s="47">
        <v>10.542999999999999</v>
      </c>
      <c r="H38" s="78">
        <v>10.362</v>
      </c>
      <c r="I38" s="57">
        <v>115.77</v>
      </c>
      <c r="J38" s="58">
        <v>2543</v>
      </c>
      <c r="K38" s="18">
        <f t="shared" ref="K38:K40" si="25">IF(ISBLANK(J38),"",(J38-$J$8))</f>
        <v>87</v>
      </c>
      <c r="L38" s="19">
        <f t="shared" si="19"/>
        <v>-11.999999999998678</v>
      </c>
      <c r="M38" s="19">
        <f t="shared" si="5"/>
        <v>-5.9999999999993392</v>
      </c>
      <c r="N38" s="19">
        <f t="shared" si="6"/>
        <v>-3.0000000000001137</v>
      </c>
      <c r="O38" s="19">
        <f t="shared" si="21"/>
        <v>-10.999999999999233</v>
      </c>
      <c r="P38" s="19">
        <f t="shared" si="22"/>
        <v>0.99999999999944578</v>
      </c>
      <c r="Q38" s="19">
        <f t="shared" si="23"/>
        <v>0</v>
      </c>
      <c r="R38" s="19">
        <f t="shared" si="10"/>
        <v>-6.0000000000002274</v>
      </c>
      <c r="S38" s="27">
        <f t="shared" si="20"/>
        <v>0</v>
      </c>
      <c r="T38" s="28">
        <f t="shared" si="20"/>
        <v>-0.49999999999987094</v>
      </c>
      <c r="U38" s="28">
        <f t="shared" si="20"/>
        <v>0</v>
      </c>
      <c r="V38" s="28">
        <f t="shared" si="20"/>
        <v>0</v>
      </c>
      <c r="W38" s="28">
        <f t="shared" si="20"/>
        <v>0</v>
      </c>
      <c r="X38" s="29">
        <f t="shared" si="20"/>
        <v>0</v>
      </c>
      <c r="Y38" s="24"/>
    </row>
    <row r="39" spans="2:25" ht="15" customHeight="1" x14ac:dyDescent="0.2">
      <c r="B39" s="31">
        <v>42529</v>
      </c>
      <c r="C39" s="73">
        <v>12.438000000000001</v>
      </c>
      <c r="D39" s="26">
        <v>7.9249999999999998</v>
      </c>
      <c r="E39" s="71">
        <v>7.3940000000000001</v>
      </c>
      <c r="F39" s="78">
        <v>12.945</v>
      </c>
      <c r="G39" s="47">
        <v>10.544</v>
      </c>
      <c r="H39" s="78">
        <v>10.362</v>
      </c>
      <c r="I39" s="57">
        <v>115.77</v>
      </c>
      <c r="J39" s="58">
        <v>2603</v>
      </c>
      <c r="K39" s="18">
        <f t="shared" si="25"/>
        <v>147</v>
      </c>
      <c r="L39" s="19">
        <f t="shared" si="19"/>
        <v>-11.999999999998678</v>
      </c>
      <c r="M39" s="19">
        <f t="shared" si="5"/>
        <v>-4.9999999999998934</v>
      </c>
      <c r="N39" s="19">
        <f t="shared" si="6"/>
        <v>-3.0000000000001137</v>
      </c>
      <c r="O39" s="19">
        <f t="shared" si="21"/>
        <v>-10.999999999999233</v>
      </c>
      <c r="P39" s="19">
        <f t="shared" si="22"/>
        <v>2.0000000000006679</v>
      </c>
      <c r="Q39" s="19">
        <f t="shared" si="23"/>
        <v>0</v>
      </c>
      <c r="R39" s="19">
        <f t="shared" si="10"/>
        <v>-6.0000000000002274</v>
      </c>
      <c r="S39" s="27">
        <f t="shared" si="20"/>
        <v>0</v>
      </c>
      <c r="T39" s="28">
        <f t="shared" si="20"/>
        <v>0.14285714285706369</v>
      </c>
      <c r="U39" s="28">
        <f t="shared" si="20"/>
        <v>0</v>
      </c>
      <c r="V39" s="28">
        <f t="shared" si="20"/>
        <v>0</v>
      </c>
      <c r="W39" s="28">
        <f t="shared" si="20"/>
        <v>0.14285714285731746</v>
      </c>
      <c r="X39" s="29">
        <f t="shared" si="20"/>
        <v>0</v>
      </c>
      <c r="Y39" s="24"/>
    </row>
    <row r="40" spans="2:25" ht="15" customHeight="1" x14ac:dyDescent="0.2">
      <c r="B40" s="31">
        <v>42558</v>
      </c>
      <c r="C40" s="73">
        <v>12.438000000000001</v>
      </c>
      <c r="D40" s="26">
        <v>7.9240000000000004</v>
      </c>
      <c r="E40" s="71">
        <v>7.3940000000000001</v>
      </c>
      <c r="F40" s="78">
        <v>12.945</v>
      </c>
      <c r="G40" s="47">
        <v>10.544</v>
      </c>
      <c r="H40" s="78">
        <v>10.362</v>
      </c>
      <c r="I40" s="57">
        <v>115.771</v>
      </c>
      <c r="J40" s="58">
        <v>2689</v>
      </c>
      <c r="K40" s="18">
        <f t="shared" si="25"/>
        <v>233</v>
      </c>
      <c r="L40" s="19">
        <f t="shared" si="19"/>
        <v>-11.999999999998678</v>
      </c>
      <c r="M40" s="19">
        <f t="shared" si="5"/>
        <v>-5.9999999999993392</v>
      </c>
      <c r="N40" s="19">
        <f t="shared" si="6"/>
        <v>-3.0000000000001137</v>
      </c>
      <c r="O40" s="19">
        <f t="shared" si="21"/>
        <v>-10.999999999999233</v>
      </c>
      <c r="P40" s="19">
        <f t="shared" si="22"/>
        <v>2.0000000000006679</v>
      </c>
      <c r="Q40" s="19">
        <f t="shared" si="23"/>
        <v>0</v>
      </c>
      <c r="R40" s="19">
        <f t="shared" si="10"/>
        <v>-4.9999999999954525</v>
      </c>
      <c r="S40" s="27">
        <f t="shared" si="20"/>
        <v>0</v>
      </c>
      <c r="T40" s="28">
        <f t="shared" si="20"/>
        <v>-3.4482758620670545E-2</v>
      </c>
      <c r="U40" s="28">
        <f t="shared" si="20"/>
        <v>0</v>
      </c>
      <c r="V40" s="28">
        <f t="shared" si="20"/>
        <v>0</v>
      </c>
      <c r="W40" s="28">
        <f t="shared" si="20"/>
        <v>0</v>
      </c>
      <c r="X40" s="29">
        <f t="shared" si="20"/>
        <v>0</v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18"/>
      <c r="L41" s="19" t="str">
        <f t="shared" si="19"/>
        <v/>
      </c>
      <c r="M41" s="19" t="str">
        <f t="shared" si="5"/>
        <v/>
      </c>
      <c r="N41" s="19" t="str">
        <f t="shared" si="6"/>
        <v/>
      </c>
      <c r="O41" s="19" t="str">
        <f t="shared" si="21"/>
        <v/>
      </c>
      <c r="P41" s="19" t="str">
        <f t="shared" si="22"/>
        <v/>
      </c>
      <c r="Q41" s="19" t="str">
        <f t="shared" si="23"/>
        <v/>
      </c>
      <c r="R41" s="19" t="str">
        <f t="shared" si="10"/>
        <v/>
      </c>
      <c r="S41" s="27" t="str">
        <f t="shared" si="20"/>
        <v/>
      </c>
      <c r="T41" s="28" t="str">
        <f t="shared" si="20"/>
        <v/>
      </c>
      <c r="U41" s="28" t="str">
        <f t="shared" si="20"/>
        <v/>
      </c>
      <c r="V41" s="28" t="str">
        <f t="shared" si="20"/>
        <v/>
      </c>
      <c r="W41" s="28" t="str">
        <f t="shared" si="20"/>
        <v/>
      </c>
      <c r="X41" s="29" t="str">
        <f t="shared" si="20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18"/>
      <c r="L42" s="19" t="str">
        <f t="shared" si="19"/>
        <v/>
      </c>
      <c r="M42" s="19" t="str">
        <f t="shared" si="5"/>
        <v/>
      </c>
      <c r="N42" s="19" t="str">
        <f t="shared" si="6"/>
        <v/>
      </c>
      <c r="O42" s="19" t="str">
        <f t="shared" si="21"/>
        <v/>
      </c>
      <c r="P42" s="19" t="str">
        <f t="shared" si="22"/>
        <v/>
      </c>
      <c r="Q42" s="19" t="str">
        <f t="shared" si="23"/>
        <v/>
      </c>
      <c r="R42" s="19" t="str">
        <f t="shared" si="10"/>
        <v/>
      </c>
      <c r="S42" s="27" t="str">
        <f t="shared" si="20"/>
        <v/>
      </c>
      <c r="T42" s="28" t="str">
        <f t="shared" si="20"/>
        <v/>
      </c>
      <c r="U42" s="28" t="str">
        <f t="shared" si="20"/>
        <v/>
      </c>
      <c r="V42" s="28" t="str">
        <f t="shared" si="20"/>
        <v/>
      </c>
      <c r="W42" s="28" t="str">
        <f t="shared" si="20"/>
        <v/>
      </c>
      <c r="X42" s="29" t="str">
        <f t="shared" si="20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/>
      <c r="L43" s="19" t="str">
        <f t="shared" si="19"/>
        <v/>
      </c>
      <c r="M43" s="19" t="str">
        <f t="shared" si="5"/>
        <v/>
      </c>
      <c r="N43" s="19" t="str">
        <f t="shared" si="6"/>
        <v/>
      </c>
      <c r="O43" s="19" t="str">
        <f t="shared" si="21"/>
        <v/>
      </c>
      <c r="P43" s="19" t="str">
        <f t="shared" si="22"/>
        <v/>
      </c>
      <c r="Q43" s="19" t="str">
        <f t="shared" si="23"/>
        <v/>
      </c>
      <c r="R43" s="19" t="str">
        <f t="shared" si="10"/>
        <v/>
      </c>
      <c r="S43" s="27" t="str">
        <f t="shared" si="20"/>
        <v/>
      </c>
      <c r="T43" s="28" t="str">
        <f t="shared" si="20"/>
        <v/>
      </c>
      <c r="U43" s="28" t="str">
        <f t="shared" si="20"/>
        <v/>
      </c>
      <c r="V43" s="28" t="str">
        <f t="shared" si="20"/>
        <v/>
      </c>
      <c r="W43" s="28" t="str">
        <f t="shared" si="20"/>
        <v/>
      </c>
      <c r="X43" s="29" t="str">
        <f t="shared" si="20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19"/>
        <v/>
      </c>
      <c r="M44" s="19" t="str">
        <f t="shared" si="5"/>
        <v/>
      </c>
      <c r="N44" s="19" t="str">
        <f t="shared" si="6"/>
        <v/>
      </c>
      <c r="O44" s="19" t="str">
        <f t="shared" si="21"/>
        <v/>
      </c>
      <c r="P44" s="19" t="str">
        <f t="shared" si="22"/>
        <v/>
      </c>
      <c r="Q44" s="19" t="str">
        <f t="shared" si="23"/>
        <v/>
      </c>
      <c r="R44" s="19" t="str">
        <f t="shared" si="10"/>
        <v/>
      </c>
      <c r="S44" s="27" t="str">
        <f t="shared" si="20"/>
        <v/>
      </c>
      <c r="T44" s="28" t="str">
        <f t="shared" si="20"/>
        <v/>
      </c>
      <c r="U44" s="28" t="str">
        <f t="shared" si="20"/>
        <v/>
      </c>
      <c r="V44" s="28" t="str">
        <f t="shared" si="20"/>
        <v/>
      </c>
      <c r="W44" s="28" t="str">
        <f t="shared" si="20"/>
        <v/>
      </c>
      <c r="X44" s="29" t="str">
        <f t="shared" si="20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19"/>
        <v/>
      </c>
      <c r="M45" s="19" t="str">
        <f t="shared" si="5"/>
        <v/>
      </c>
      <c r="N45" s="19" t="str">
        <f t="shared" si="6"/>
        <v/>
      </c>
      <c r="O45" s="19" t="str">
        <f t="shared" si="21"/>
        <v/>
      </c>
      <c r="P45" s="19" t="str">
        <f t="shared" si="22"/>
        <v/>
      </c>
      <c r="Q45" s="19" t="str">
        <f t="shared" si="23"/>
        <v/>
      </c>
      <c r="R45" s="19" t="str">
        <f t="shared" si="10"/>
        <v/>
      </c>
      <c r="S45" s="27" t="str">
        <f t="shared" si="20"/>
        <v/>
      </c>
      <c r="T45" s="28" t="str">
        <f t="shared" si="20"/>
        <v/>
      </c>
      <c r="U45" s="28" t="str">
        <f t="shared" si="20"/>
        <v/>
      </c>
      <c r="V45" s="28" t="str">
        <f t="shared" si="20"/>
        <v/>
      </c>
      <c r="W45" s="28" t="str">
        <f t="shared" si="20"/>
        <v/>
      </c>
      <c r="X45" s="29" t="str">
        <f t="shared" si="20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19"/>
        <v/>
      </c>
      <c r="M46" s="19" t="str">
        <f t="shared" si="5"/>
        <v/>
      </c>
      <c r="N46" s="19" t="str">
        <f t="shared" si="6"/>
        <v/>
      </c>
      <c r="O46" s="19" t="str">
        <f t="shared" si="21"/>
        <v/>
      </c>
      <c r="P46" s="19" t="str">
        <f t="shared" si="22"/>
        <v/>
      </c>
      <c r="Q46" s="19" t="str">
        <f t="shared" si="23"/>
        <v/>
      </c>
      <c r="R46" s="19" t="str">
        <f t="shared" si="10"/>
        <v/>
      </c>
      <c r="S46" s="27" t="str">
        <f t="shared" si="20"/>
        <v/>
      </c>
      <c r="T46" s="28" t="str">
        <f t="shared" si="20"/>
        <v/>
      </c>
      <c r="U46" s="28" t="str">
        <f t="shared" si="20"/>
        <v/>
      </c>
      <c r="V46" s="28" t="str">
        <f t="shared" si="20"/>
        <v/>
      </c>
      <c r="W46" s="28" t="str">
        <f t="shared" si="20"/>
        <v/>
      </c>
      <c r="X46" s="29" t="str">
        <f t="shared" si="20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19"/>
        <v/>
      </c>
      <c r="M47" s="19" t="str">
        <f t="shared" si="5"/>
        <v/>
      </c>
      <c r="N47" s="19" t="str">
        <f t="shared" si="6"/>
        <v/>
      </c>
      <c r="O47" s="19" t="str">
        <f t="shared" si="21"/>
        <v/>
      </c>
      <c r="P47" s="19" t="str">
        <f t="shared" si="22"/>
        <v/>
      </c>
      <c r="Q47" s="19" t="str">
        <f t="shared" si="23"/>
        <v/>
      </c>
      <c r="R47" s="19" t="str">
        <f t="shared" si="10"/>
        <v/>
      </c>
      <c r="S47" s="27" t="str">
        <f t="shared" si="20"/>
        <v/>
      </c>
      <c r="T47" s="28" t="str">
        <f t="shared" si="20"/>
        <v/>
      </c>
      <c r="U47" s="28" t="str">
        <f t="shared" si="20"/>
        <v/>
      </c>
      <c r="V47" s="28" t="str">
        <f t="shared" si="20"/>
        <v/>
      </c>
      <c r="W47" s="28" t="str">
        <f t="shared" si="20"/>
        <v/>
      </c>
      <c r="X47" s="29" t="str">
        <f t="shared" si="20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19"/>
        <v/>
      </c>
      <c r="M48" s="19" t="str">
        <f t="shared" si="5"/>
        <v/>
      </c>
      <c r="N48" s="19" t="str">
        <f t="shared" si="6"/>
        <v/>
      </c>
      <c r="O48" s="19" t="str">
        <f t="shared" si="21"/>
        <v/>
      </c>
      <c r="P48" s="19" t="str">
        <f t="shared" si="22"/>
        <v/>
      </c>
      <c r="Q48" s="19" t="str">
        <f t="shared" si="23"/>
        <v/>
      </c>
      <c r="R48" s="19" t="str">
        <f t="shared" si="10"/>
        <v/>
      </c>
      <c r="S48" s="27" t="str">
        <f t="shared" si="20"/>
        <v/>
      </c>
      <c r="T48" s="28" t="str">
        <f t="shared" si="20"/>
        <v/>
      </c>
      <c r="U48" s="28" t="str">
        <f t="shared" si="20"/>
        <v/>
      </c>
      <c r="V48" s="28" t="str">
        <f t="shared" si="20"/>
        <v/>
      </c>
      <c r="W48" s="28" t="str">
        <f t="shared" si="20"/>
        <v/>
      </c>
      <c r="X48" s="29" t="str">
        <f t="shared" si="20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19"/>
        <v/>
      </c>
      <c r="M49" s="19" t="str">
        <f t="shared" si="5"/>
        <v/>
      </c>
      <c r="N49" s="19" t="str">
        <f t="shared" si="6"/>
        <v/>
      </c>
      <c r="O49" s="19" t="str">
        <f t="shared" si="21"/>
        <v/>
      </c>
      <c r="P49" s="19" t="str">
        <f t="shared" si="22"/>
        <v/>
      </c>
      <c r="Q49" s="19" t="str">
        <f t="shared" si="23"/>
        <v/>
      </c>
      <c r="R49" s="19" t="str">
        <f t="shared" si="10"/>
        <v/>
      </c>
      <c r="S49" s="27" t="str">
        <f t="shared" ref="S49:X64" si="26">IF(C49="","",((C49-C48)*1000)/($B49-$B48))</f>
        <v/>
      </c>
      <c r="T49" s="28" t="str">
        <f t="shared" si="26"/>
        <v/>
      </c>
      <c r="U49" s="28" t="str">
        <f t="shared" si="26"/>
        <v/>
      </c>
      <c r="V49" s="28" t="str">
        <f t="shared" si="26"/>
        <v/>
      </c>
      <c r="W49" s="28" t="str">
        <f t="shared" si="26"/>
        <v/>
      </c>
      <c r="X49" s="29" t="str">
        <f t="shared" si="26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19"/>
        <v/>
      </c>
      <c r="M50" s="19" t="str">
        <f t="shared" si="5"/>
        <v/>
      </c>
      <c r="N50" s="19" t="str">
        <f t="shared" si="6"/>
        <v/>
      </c>
      <c r="O50" s="19" t="str">
        <f t="shared" si="21"/>
        <v/>
      </c>
      <c r="P50" s="19" t="str">
        <f t="shared" si="22"/>
        <v/>
      </c>
      <c r="Q50" s="19" t="str">
        <f t="shared" si="23"/>
        <v/>
      </c>
      <c r="R50" s="19" t="str">
        <f t="shared" si="10"/>
        <v/>
      </c>
      <c r="S50" s="27" t="str">
        <f t="shared" si="26"/>
        <v/>
      </c>
      <c r="T50" s="28" t="str">
        <f t="shared" si="26"/>
        <v/>
      </c>
      <c r="U50" s="28" t="str">
        <f t="shared" si="26"/>
        <v/>
      </c>
      <c r="V50" s="28" t="str">
        <f t="shared" si="26"/>
        <v/>
      </c>
      <c r="W50" s="28" t="str">
        <f t="shared" si="26"/>
        <v/>
      </c>
      <c r="X50" s="29" t="str">
        <f t="shared" si="26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19"/>
        <v/>
      </c>
      <c r="M51" s="19" t="str">
        <f t="shared" si="5"/>
        <v/>
      </c>
      <c r="N51" s="19" t="str">
        <f t="shared" si="6"/>
        <v/>
      </c>
      <c r="O51" s="19" t="str">
        <f t="shared" si="21"/>
        <v/>
      </c>
      <c r="P51" s="19" t="str">
        <f t="shared" si="22"/>
        <v/>
      </c>
      <c r="Q51" s="19" t="str">
        <f t="shared" si="23"/>
        <v/>
      </c>
      <c r="R51" s="19" t="str">
        <f t="shared" si="10"/>
        <v/>
      </c>
      <c r="S51" s="27" t="str">
        <f t="shared" si="26"/>
        <v/>
      </c>
      <c r="T51" s="28" t="str">
        <f t="shared" si="26"/>
        <v/>
      </c>
      <c r="U51" s="28" t="str">
        <f t="shared" si="26"/>
        <v/>
      </c>
      <c r="V51" s="28" t="str">
        <f t="shared" si="26"/>
        <v/>
      </c>
      <c r="W51" s="28" t="str">
        <f t="shared" si="26"/>
        <v/>
      </c>
      <c r="X51" s="29" t="str">
        <f t="shared" si="26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19"/>
        <v/>
      </c>
      <c r="M52" s="19" t="str">
        <f t="shared" si="5"/>
        <v/>
      </c>
      <c r="N52" s="19" t="str">
        <f t="shared" si="6"/>
        <v/>
      </c>
      <c r="O52" s="19" t="str">
        <f t="shared" si="21"/>
        <v/>
      </c>
      <c r="P52" s="19" t="str">
        <f t="shared" si="22"/>
        <v/>
      </c>
      <c r="Q52" s="19" t="str">
        <f t="shared" si="23"/>
        <v/>
      </c>
      <c r="R52" s="19" t="str">
        <f t="shared" si="10"/>
        <v/>
      </c>
      <c r="S52" s="27" t="str">
        <f t="shared" si="26"/>
        <v/>
      </c>
      <c r="T52" s="28" t="str">
        <f t="shared" si="26"/>
        <v/>
      </c>
      <c r="U52" s="28" t="str">
        <f t="shared" si="26"/>
        <v/>
      </c>
      <c r="V52" s="28" t="str">
        <f t="shared" si="26"/>
        <v/>
      </c>
      <c r="W52" s="28" t="str">
        <f t="shared" si="26"/>
        <v/>
      </c>
      <c r="X52" s="29" t="str">
        <f t="shared" si="26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19"/>
        <v/>
      </c>
      <c r="M53" s="19" t="str">
        <f t="shared" si="5"/>
        <v/>
      </c>
      <c r="N53" s="19" t="str">
        <f t="shared" si="6"/>
        <v/>
      </c>
      <c r="O53" s="19" t="str">
        <f t="shared" si="21"/>
        <v/>
      </c>
      <c r="P53" s="19" t="str">
        <f t="shared" si="22"/>
        <v/>
      </c>
      <c r="Q53" s="19" t="str">
        <f t="shared" si="23"/>
        <v/>
      </c>
      <c r="R53" s="19" t="str">
        <f t="shared" si="10"/>
        <v/>
      </c>
      <c r="S53" s="27" t="str">
        <f t="shared" si="26"/>
        <v/>
      </c>
      <c r="T53" s="28" t="str">
        <f t="shared" si="26"/>
        <v/>
      </c>
      <c r="U53" s="28" t="str">
        <f t="shared" si="26"/>
        <v/>
      </c>
      <c r="V53" s="28" t="str">
        <f t="shared" si="26"/>
        <v/>
      </c>
      <c r="W53" s="28" t="str">
        <f t="shared" si="26"/>
        <v/>
      </c>
      <c r="X53" s="29" t="str">
        <f t="shared" si="26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19"/>
        <v/>
      </c>
      <c r="M54" s="19" t="str">
        <f t="shared" si="5"/>
        <v/>
      </c>
      <c r="N54" s="19" t="str">
        <f t="shared" si="6"/>
        <v/>
      </c>
      <c r="O54" s="19" t="str">
        <f t="shared" si="21"/>
        <v/>
      </c>
      <c r="P54" s="19" t="str">
        <f t="shared" si="22"/>
        <v/>
      </c>
      <c r="Q54" s="19" t="str">
        <f t="shared" si="23"/>
        <v/>
      </c>
      <c r="R54" s="19" t="str">
        <f t="shared" si="10"/>
        <v/>
      </c>
      <c r="S54" s="27" t="str">
        <f t="shared" si="26"/>
        <v/>
      </c>
      <c r="T54" s="28" t="str">
        <f t="shared" si="26"/>
        <v/>
      </c>
      <c r="U54" s="28" t="str">
        <f t="shared" si="26"/>
        <v/>
      </c>
      <c r="V54" s="28" t="str">
        <f t="shared" si="26"/>
        <v/>
      </c>
      <c r="W54" s="28" t="str">
        <f t="shared" si="26"/>
        <v/>
      </c>
      <c r="X54" s="29" t="str">
        <f t="shared" si="26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19"/>
        <v/>
      </c>
      <c r="M55" s="19" t="str">
        <f t="shared" si="5"/>
        <v/>
      </c>
      <c r="N55" s="19" t="str">
        <f t="shared" si="6"/>
        <v/>
      </c>
      <c r="O55" s="19" t="str">
        <f t="shared" si="21"/>
        <v/>
      </c>
      <c r="P55" s="19" t="str">
        <f t="shared" si="22"/>
        <v/>
      </c>
      <c r="Q55" s="19" t="str">
        <f t="shared" si="23"/>
        <v/>
      </c>
      <c r="R55" s="19" t="str">
        <f t="shared" si="10"/>
        <v/>
      </c>
      <c r="S55" s="27" t="str">
        <f t="shared" si="26"/>
        <v/>
      </c>
      <c r="T55" s="28" t="str">
        <f t="shared" si="26"/>
        <v/>
      </c>
      <c r="U55" s="28" t="str">
        <f t="shared" si="26"/>
        <v/>
      </c>
      <c r="V55" s="28" t="str">
        <f t="shared" si="26"/>
        <v/>
      </c>
      <c r="W55" s="28" t="str">
        <f t="shared" si="26"/>
        <v/>
      </c>
      <c r="X55" s="29" t="str">
        <f t="shared" si="26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19"/>
        <v/>
      </c>
      <c r="M56" s="19" t="str">
        <f t="shared" si="5"/>
        <v/>
      </c>
      <c r="N56" s="19" t="str">
        <f t="shared" si="6"/>
        <v/>
      </c>
      <c r="O56" s="19" t="str">
        <f t="shared" si="21"/>
        <v/>
      </c>
      <c r="P56" s="19" t="str">
        <f t="shared" si="22"/>
        <v/>
      </c>
      <c r="Q56" s="19" t="str">
        <f t="shared" si="23"/>
        <v/>
      </c>
      <c r="R56" s="19" t="str">
        <f t="shared" si="10"/>
        <v/>
      </c>
      <c r="S56" s="27" t="str">
        <f t="shared" si="26"/>
        <v/>
      </c>
      <c r="T56" s="28" t="str">
        <f t="shared" si="26"/>
        <v/>
      </c>
      <c r="U56" s="28" t="str">
        <f t="shared" si="26"/>
        <v/>
      </c>
      <c r="V56" s="28" t="str">
        <f t="shared" si="26"/>
        <v/>
      </c>
      <c r="W56" s="28" t="str">
        <f t="shared" si="26"/>
        <v/>
      </c>
      <c r="X56" s="29" t="str">
        <f t="shared" si="26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19"/>
        <v/>
      </c>
      <c r="M57" s="19" t="str">
        <f t="shared" si="5"/>
        <v/>
      </c>
      <c r="N57" s="19" t="str">
        <f t="shared" si="6"/>
        <v/>
      </c>
      <c r="O57" s="19" t="str">
        <f t="shared" si="21"/>
        <v/>
      </c>
      <c r="P57" s="19" t="str">
        <f t="shared" si="22"/>
        <v/>
      </c>
      <c r="Q57" s="19" t="str">
        <f t="shared" si="23"/>
        <v/>
      </c>
      <c r="R57" s="19" t="str">
        <f t="shared" si="10"/>
        <v/>
      </c>
      <c r="S57" s="27" t="str">
        <f t="shared" si="26"/>
        <v/>
      </c>
      <c r="T57" s="28" t="str">
        <f t="shared" si="26"/>
        <v/>
      </c>
      <c r="U57" s="28" t="str">
        <f t="shared" si="26"/>
        <v/>
      </c>
      <c r="V57" s="28" t="str">
        <f t="shared" si="26"/>
        <v/>
      </c>
      <c r="W57" s="28" t="str">
        <f t="shared" si="26"/>
        <v/>
      </c>
      <c r="X57" s="29" t="str">
        <f t="shared" si="26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19"/>
        <v/>
      </c>
      <c r="M58" s="19" t="str">
        <f t="shared" si="5"/>
        <v/>
      </c>
      <c r="N58" s="19" t="str">
        <f t="shared" si="6"/>
        <v/>
      </c>
      <c r="O58" s="19" t="str">
        <f t="shared" si="21"/>
        <v/>
      </c>
      <c r="P58" s="19" t="str">
        <f t="shared" si="22"/>
        <v/>
      </c>
      <c r="Q58" s="19" t="str">
        <f t="shared" si="23"/>
        <v/>
      </c>
      <c r="R58" s="19" t="str">
        <f t="shared" si="10"/>
        <v/>
      </c>
      <c r="S58" s="27" t="str">
        <f t="shared" si="26"/>
        <v/>
      </c>
      <c r="T58" s="28" t="str">
        <f t="shared" si="26"/>
        <v/>
      </c>
      <c r="U58" s="28" t="str">
        <f t="shared" si="26"/>
        <v/>
      </c>
      <c r="V58" s="28" t="str">
        <f t="shared" si="26"/>
        <v/>
      </c>
      <c r="W58" s="28" t="str">
        <f t="shared" si="26"/>
        <v/>
      </c>
      <c r="X58" s="29" t="str">
        <f t="shared" si="26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19"/>
        <v/>
      </c>
      <c r="M59" s="19" t="str">
        <f t="shared" si="5"/>
        <v/>
      </c>
      <c r="N59" s="19" t="str">
        <f t="shared" si="6"/>
        <v/>
      </c>
      <c r="O59" s="19" t="str">
        <f t="shared" si="21"/>
        <v/>
      </c>
      <c r="P59" s="19" t="str">
        <f t="shared" si="22"/>
        <v/>
      </c>
      <c r="Q59" s="19" t="str">
        <f t="shared" si="23"/>
        <v/>
      </c>
      <c r="R59" s="19" t="str">
        <f t="shared" si="10"/>
        <v/>
      </c>
      <c r="S59" s="27" t="str">
        <f t="shared" si="26"/>
        <v/>
      </c>
      <c r="T59" s="28" t="str">
        <f t="shared" si="26"/>
        <v/>
      </c>
      <c r="U59" s="28" t="str">
        <f t="shared" si="26"/>
        <v/>
      </c>
      <c r="V59" s="28" t="str">
        <f t="shared" si="26"/>
        <v/>
      </c>
      <c r="W59" s="28" t="str">
        <f t="shared" si="26"/>
        <v/>
      </c>
      <c r="X59" s="29" t="str">
        <f t="shared" si="26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19"/>
        <v/>
      </c>
      <c r="M60" s="19" t="str">
        <f t="shared" si="5"/>
        <v/>
      </c>
      <c r="N60" s="19" t="str">
        <f t="shared" si="6"/>
        <v/>
      </c>
      <c r="O60" s="19" t="str">
        <f t="shared" si="21"/>
        <v/>
      </c>
      <c r="P60" s="19" t="str">
        <f t="shared" si="22"/>
        <v/>
      </c>
      <c r="Q60" s="19" t="str">
        <f t="shared" si="23"/>
        <v/>
      </c>
      <c r="R60" s="19" t="str">
        <f t="shared" si="10"/>
        <v/>
      </c>
      <c r="S60" s="27" t="str">
        <f t="shared" si="26"/>
        <v/>
      </c>
      <c r="T60" s="28" t="str">
        <f t="shared" si="26"/>
        <v/>
      </c>
      <c r="U60" s="28" t="str">
        <f t="shared" si="26"/>
        <v/>
      </c>
      <c r="V60" s="28" t="str">
        <f t="shared" si="26"/>
        <v/>
      </c>
      <c r="W60" s="28" t="str">
        <f t="shared" si="26"/>
        <v/>
      </c>
      <c r="X60" s="29" t="str">
        <f t="shared" si="26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19"/>
        <v/>
      </c>
      <c r="M61" s="19" t="str">
        <f t="shared" si="5"/>
        <v/>
      </c>
      <c r="N61" s="19" t="str">
        <f t="shared" si="6"/>
        <v/>
      </c>
      <c r="O61" s="19" t="str">
        <f t="shared" si="21"/>
        <v/>
      </c>
      <c r="P61" s="19" t="str">
        <f t="shared" si="22"/>
        <v/>
      </c>
      <c r="Q61" s="19" t="str">
        <f t="shared" si="23"/>
        <v/>
      </c>
      <c r="R61" s="19" t="str">
        <f t="shared" si="10"/>
        <v/>
      </c>
      <c r="S61" s="27" t="str">
        <f t="shared" si="26"/>
        <v/>
      </c>
      <c r="T61" s="28" t="str">
        <f t="shared" si="26"/>
        <v/>
      </c>
      <c r="U61" s="28" t="str">
        <f t="shared" si="26"/>
        <v/>
      </c>
      <c r="V61" s="28" t="str">
        <f t="shared" si="26"/>
        <v/>
      </c>
      <c r="W61" s="28" t="str">
        <f t="shared" si="26"/>
        <v/>
      </c>
      <c r="X61" s="29" t="str">
        <f t="shared" si="26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19"/>
        <v/>
      </c>
      <c r="M62" s="19" t="str">
        <f t="shared" si="5"/>
        <v/>
      </c>
      <c r="N62" s="19" t="str">
        <f t="shared" si="6"/>
        <v/>
      </c>
      <c r="O62" s="19" t="str">
        <f t="shared" si="21"/>
        <v/>
      </c>
      <c r="P62" s="19" t="str">
        <f t="shared" si="22"/>
        <v/>
      </c>
      <c r="Q62" s="19" t="str">
        <f t="shared" si="23"/>
        <v/>
      </c>
      <c r="R62" s="19" t="str">
        <f t="shared" si="10"/>
        <v/>
      </c>
      <c r="S62" s="27" t="str">
        <f t="shared" si="26"/>
        <v/>
      </c>
      <c r="T62" s="28" t="str">
        <f t="shared" si="26"/>
        <v/>
      </c>
      <c r="U62" s="28" t="str">
        <f t="shared" si="26"/>
        <v/>
      </c>
      <c r="V62" s="28" t="str">
        <f t="shared" si="26"/>
        <v/>
      </c>
      <c r="W62" s="28" t="str">
        <f t="shared" si="26"/>
        <v/>
      </c>
      <c r="X62" s="29" t="str">
        <f t="shared" si="26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19"/>
        <v/>
      </c>
      <c r="M63" s="19" t="str">
        <f t="shared" si="5"/>
        <v/>
      </c>
      <c r="N63" s="19" t="str">
        <f t="shared" si="6"/>
        <v/>
      </c>
      <c r="O63" s="19" t="str">
        <f t="shared" si="21"/>
        <v/>
      </c>
      <c r="P63" s="19" t="str">
        <f t="shared" si="22"/>
        <v/>
      </c>
      <c r="Q63" s="19" t="str">
        <f t="shared" si="23"/>
        <v/>
      </c>
      <c r="R63" s="19" t="str">
        <f t="shared" si="10"/>
        <v/>
      </c>
      <c r="S63" s="27" t="str">
        <f t="shared" si="26"/>
        <v/>
      </c>
      <c r="T63" s="28" t="str">
        <f t="shared" si="26"/>
        <v/>
      </c>
      <c r="U63" s="28" t="str">
        <f t="shared" si="26"/>
        <v/>
      </c>
      <c r="V63" s="28" t="str">
        <f t="shared" si="26"/>
        <v/>
      </c>
      <c r="W63" s="28" t="str">
        <f t="shared" si="26"/>
        <v/>
      </c>
      <c r="X63" s="29" t="str">
        <f t="shared" si="26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9"/>
        <v/>
      </c>
      <c r="M64" s="19" t="str">
        <f t="shared" si="5"/>
        <v/>
      </c>
      <c r="N64" s="19" t="str">
        <f t="shared" si="6"/>
        <v/>
      </c>
      <c r="O64" s="19" t="str">
        <f t="shared" si="21"/>
        <v/>
      </c>
      <c r="P64" s="19" t="str">
        <f t="shared" si="22"/>
        <v/>
      </c>
      <c r="Q64" s="19" t="str">
        <f t="shared" si="23"/>
        <v/>
      </c>
      <c r="R64" s="19" t="str">
        <f t="shared" si="10"/>
        <v/>
      </c>
      <c r="S64" s="27" t="str">
        <f t="shared" si="26"/>
        <v/>
      </c>
      <c r="T64" s="28" t="str">
        <f t="shared" si="26"/>
        <v/>
      </c>
      <c r="U64" s="28" t="str">
        <f t="shared" si="26"/>
        <v/>
      </c>
      <c r="V64" s="28" t="str">
        <f t="shared" si="26"/>
        <v/>
      </c>
      <c r="W64" s="28" t="str">
        <f t="shared" si="26"/>
        <v/>
      </c>
      <c r="X64" s="29" t="str">
        <f t="shared" si="26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9"/>
        <v/>
      </c>
      <c r="M65" s="19" t="str">
        <f t="shared" si="5"/>
        <v/>
      </c>
      <c r="N65" s="19" t="str">
        <f t="shared" si="6"/>
        <v/>
      </c>
      <c r="O65" s="19" t="str">
        <f t="shared" si="21"/>
        <v/>
      </c>
      <c r="P65" s="19" t="str">
        <f t="shared" si="22"/>
        <v/>
      </c>
      <c r="Q65" s="19" t="str">
        <f t="shared" si="23"/>
        <v/>
      </c>
      <c r="R65" s="19" t="str">
        <f t="shared" si="10"/>
        <v/>
      </c>
      <c r="S65" s="27" t="str">
        <f t="shared" ref="S65:X80" si="27">IF(C65="","",((C65-C64)*1000)/($B65-$B64))</f>
        <v/>
      </c>
      <c r="T65" s="28" t="str">
        <f t="shared" si="27"/>
        <v/>
      </c>
      <c r="U65" s="28" t="str">
        <f t="shared" si="27"/>
        <v/>
      </c>
      <c r="V65" s="28" t="str">
        <f t="shared" si="27"/>
        <v/>
      </c>
      <c r="W65" s="28" t="str">
        <f t="shared" si="27"/>
        <v/>
      </c>
      <c r="X65" s="29" t="str">
        <f t="shared" si="27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9"/>
        <v/>
      </c>
      <c r="M66" s="19" t="str">
        <f t="shared" si="5"/>
        <v/>
      </c>
      <c r="N66" s="19" t="str">
        <f t="shared" si="6"/>
        <v/>
      </c>
      <c r="O66" s="19" t="str">
        <f t="shared" si="21"/>
        <v/>
      </c>
      <c r="P66" s="19" t="str">
        <f t="shared" si="22"/>
        <v/>
      </c>
      <c r="Q66" s="19" t="str">
        <f t="shared" si="23"/>
        <v/>
      </c>
      <c r="R66" s="19" t="str">
        <f t="shared" si="10"/>
        <v/>
      </c>
      <c r="S66" s="27" t="str">
        <f t="shared" si="27"/>
        <v/>
      </c>
      <c r="T66" s="28" t="str">
        <f t="shared" si="27"/>
        <v/>
      </c>
      <c r="U66" s="28" t="str">
        <f t="shared" si="27"/>
        <v/>
      </c>
      <c r="V66" s="28" t="str">
        <f t="shared" si="27"/>
        <v/>
      </c>
      <c r="W66" s="28" t="str">
        <f t="shared" si="27"/>
        <v/>
      </c>
      <c r="X66" s="29" t="str">
        <f t="shared" si="27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9"/>
        <v/>
      </c>
      <c r="M67" s="19" t="str">
        <f t="shared" si="5"/>
        <v/>
      </c>
      <c r="N67" s="19" t="str">
        <f t="shared" si="6"/>
        <v/>
      </c>
      <c r="O67" s="19" t="str">
        <f t="shared" si="21"/>
        <v/>
      </c>
      <c r="P67" s="19" t="str">
        <f t="shared" si="22"/>
        <v/>
      </c>
      <c r="Q67" s="19" t="str">
        <f t="shared" si="23"/>
        <v/>
      </c>
      <c r="R67" s="19" t="str">
        <f t="shared" si="10"/>
        <v/>
      </c>
      <c r="S67" s="27" t="str">
        <f t="shared" si="27"/>
        <v/>
      </c>
      <c r="T67" s="28" t="str">
        <f t="shared" si="27"/>
        <v/>
      </c>
      <c r="U67" s="28" t="str">
        <f t="shared" si="27"/>
        <v/>
      </c>
      <c r="V67" s="28" t="str">
        <f t="shared" si="27"/>
        <v/>
      </c>
      <c r="W67" s="28" t="str">
        <f t="shared" si="27"/>
        <v/>
      </c>
      <c r="X67" s="29" t="str">
        <f t="shared" si="27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9"/>
        <v/>
      </c>
      <c r="M68" s="19" t="str">
        <f t="shared" si="5"/>
        <v/>
      </c>
      <c r="N68" s="19" t="str">
        <f t="shared" si="6"/>
        <v/>
      </c>
      <c r="O68" s="19" t="str">
        <f t="shared" si="21"/>
        <v/>
      </c>
      <c r="P68" s="19" t="str">
        <f t="shared" si="22"/>
        <v/>
      </c>
      <c r="Q68" s="19" t="str">
        <f t="shared" si="23"/>
        <v/>
      </c>
      <c r="R68" s="19" t="str">
        <f t="shared" si="10"/>
        <v/>
      </c>
      <c r="S68" s="27" t="str">
        <f t="shared" si="27"/>
        <v/>
      </c>
      <c r="T68" s="28" t="str">
        <f t="shared" si="27"/>
        <v/>
      </c>
      <c r="U68" s="28" t="str">
        <f t="shared" si="27"/>
        <v/>
      </c>
      <c r="V68" s="28" t="str">
        <f t="shared" si="27"/>
        <v/>
      </c>
      <c r="W68" s="28" t="str">
        <f t="shared" si="27"/>
        <v/>
      </c>
      <c r="X68" s="29" t="str">
        <f t="shared" si="27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ref="L69:L132" si="28">IF(ISBLANK(C69),"",(C69-C$16)*1000)</f>
        <v/>
      </c>
      <c r="M69" s="19" t="str">
        <f t="shared" si="5"/>
        <v/>
      </c>
      <c r="N69" s="19" t="str">
        <f t="shared" si="6"/>
        <v/>
      </c>
      <c r="O69" s="19" t="str">
        <f t="shared" si="21"/>
        <v/>
      </c>
      <c r="P69" s="19" t="str">
        <f t="shared" si="22"/>
        <v/>
      </c>
      <c r="Q69" s="19" t="str">
        <f t="shared" si="23"/>
        <v/>
      </c>
      <c r="R69" s="19" t="str">
        <f t="shared" si="10"/>
        <v/>
      </c>
      <c r="S69" s="27" t="str">
        <f t="shared" si="27"/>
        <v/>
      </c>
      <c r="T69" s="28" t="str">
        <f t="shared" si="27"/>
        <v/>
      </c>
      <c r="U69" s="28" t="str">
        <f t="shared" si="27"/>
        <v/>
      </c>
      <c r="V69" s="28" t="str">
        <f t="shared" si="27"/>
        <v/>
      </c>
      <c r="W69" s="28" t="str">
        <f t="shared" si="27"/>
        <v/>
      </c>
      <c r="X69" s="29" t="str">
        <f t="shared" si="27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28"/>
        <v/>
      </c>
      <c r="M70" s="19" t="str">
        <f t="shared" si="5"/>
        <v/>
      </c>
      <c r="N70" s="19" t="str">
        <f t="shared" si="6"/>
        <v/>
      </c>
      <c r="O70" s="19" t="str">
        <f t="shared" si="21"/>
        <v/>
      </c>
      <c r="P70" s="19" t="str">
        <f t="shared" si="22"/>
        <v/>
      </c>
      <c r="Q70" s="19" t="str">
        <f t="shared" si="23"/>
        <v/>
      </c>
      <c r="R70" s="19" t="str">
        <f t="shared" si="10"/>
        <v/>
      </c>
      <c r="S70" s="27" t="str">
        <f t="shared" si="27"/>
        <v/>
      </c>
      <c r="T70" s="28" t="str">
        <f t="shared" si="27"/>
        <v/>
      </c>
      <c r="U70" s="28" t="str">
        <f t="shared" si="27"/>
        <v/>
      </c>
      <c r="V70" s="28" t="str">
        <f t="shared" si="27"/>
        <v/>
      </c>
      <c r="W70" s="28" t="str">
        <f t="shared" si="27"/>
        <v/>
      </c>
      <c r="X70" s="29" t="str">
        <f t="shared" si="27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28"/>
        <v/>
      </c>
      <c r="M71" s="19" t="str">
        <f t="shared" si="5"/>
        <v/>
      </c>
      <c r="N71" s="19" t="str">
        <f t="shared" si="6"/>
        <v/>
      </c>
      <c r="O71" s="19" t="str">
        <f t="shared" si="21"/>
        <v/>
      </c>
      <c r="P71" s="19" t="str">
        <f t="shared" si="22"/>
        <v/>
      </c>
      <c r="Q71" s="19" t="str">
        <f t="shared" si="23"/>
        <v/>
      </c>
      <c r="R71" s="19" t="str">
        <f t="shared" si="10"/>
        <v/>
      </c>
      <c r="S71" s="27" t="str">
        <f t="shared" si="27"/>
        <v/>
      </c>
      <c r="T71" s="28" t="str">
        <f t="shared" si="27"/>
        <v/>
      </c>
      <c r="U71" s="28" t="str">
        <f t="shared" si="27"/>
        <v/>
      </c>
      <c r="V71" s="28" t="str">
        <f t="shared" si="27"/>
        <v/>
      </c>
      <c r="W71" s="28" t="str">
        <f t="shared" si="27"/>
        <v/>
      </c>
      <c r="X71" s="29" t="str">
        <f t="shared" si="27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28"/>
        <v/>
      </c>
      <c r="M72" s="19" t="str">
        <f t="shared" si="5"/>
        <v/>
      </c>
      <c r="N72" s="19" t="str">
        <f t="shared" si="6"/>
        <v/>
      </c>
      <c r="O72" s="19" t="str">
        <f t="shared" si="21"/>
        <v/>
      </c>
      <c r="P72" s="19" t="str">
        <f t="shared" si="22"/>
        <v/>
      </c>
      <c r="Q72" s="19" t="str">
        <f t="shared" si="23"/>
        <v/>
      </c>
      <c r="R72" s="19" t="str">
        <f t="shared" si="10"/>
        <v/>
      </c>
      <c r="S72" s="27" t="str">
        <f t="shared" si="27"/>
        <v/>
      </c>
      <c r="T72" s="28" t="str">
        <f t="shared" si="27"/>
        <v/>
      </c>
      <c r="U72" s="28" t="str">
        <f t="shared" si="27"/>
        <v/>
      </c>
      <c r="V72" s="28" t="str">
        <f t="shared" si="27"/>
        <v/>
      </c>
      <c r="W72" s="28" t="str">
        <f t="shared" si="27"/>
        <v/>
      </c>
      <c r="X72" s="29" t="str">
        <f t="shared" si="27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28"/>
        <v/>
      </c>
      <c r="M73" s="19" t="str">
        <f t="shared" si="5"/>
        <v/>
      </c>
      <c r="N73" s="19" t="str">
        <f t="shared" si="6"/>
        <v/>
      </c>
      <c r="O73" s="19" t="str">
        <f t="shared" si="21"/>
        <v/>
      </c>
      <c r="P73" s="19" t="str">
        <f t="shared" si="22"/>
        <v/>
      </c>
      <c r="Q73" s="19" t="str">
        <f t="shared" si="23"/>
        <v/>
      </c>
      <c r="R73" s="19" t="str">
        <f t="shared" si="10"/>
        <v/>
      </c>
      <c r="S73" s="27" t="str">
        <f t="shared" si="27"/>
        <v/>
      </c>
      <c r="T73" s="28" t="str">
        <f t="shared" si="27"/>
        <v/>
      </c>
      <c r="U73" s="28" t="str">
        <f t="shared" si="27"/>
        <v/>
      </c>
      <c r="V73" s="28" t="str">
        <f t="shared" si="27"/>
        <v/>
      </c>
      <c r="W73" s="28" t="str">
        <f t="shared" si="27"/>
        <v/>
      </c>
      <c r="X73" s="29" t="str">
        <f t="shared" si="27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28"/>
        <v/>
      </c>
      <c r="M74" s="19" t="str">
        <f t="shared" si="5"/>
        <v/>
      </c>
      <c r="N74" s="19" t="str">
        <f t="shared" si="6"/>
        <v/>
      </c>
      <c r="O74" s="19" t="str">
        <f t="shared" si="21"/>
        <v/>
      </c>
      <c r="P74" s="19" t="str">
        <f t="shared" si="22"/>
        <v/>
      </c>
      <c r="Q74" s="19" t="str">
        <f t="shared" si="23"/>
        <v/>
      </c>
      <c r="R74" s="19" t="str">
        <f t="shared" si="10"/>
        <v/>
      </c>
      <c r="S74" s="27" t="str">
        <f t="shared" si="27"/>
        <v/>
      </c>
      <c r="T74" s="28" t="str">
        <f t="shared" si="27"/>
        <v/>
      </c>
      <c r="U74" s="28" t="str">
        <f t="shared" si="27"/>
        <v/>
      </c>
      <c r="V74" s="28" t="str">
        <f t="shared" si="27"/>
        <v/>
      </c>
      <c r="W74" s="28" t="str">
        <f t="shared" si="27"/>
        <v/>
      </c>
      <c r="X74" s="29" t="str">
        <f t="shared" si="27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28"/>
        <v/>
      </c>
      <c r="M75" s="19" t="str">
        <f t="shared" si="5"/>
        <v/>
      </c>
      <c r="N75" s="19" t="str">
        <f t="shared" si="6"/>
        <v/>
      </c>
      <c r="O75" s="19" t="str">
        <f t="shared" si="21"/>
        <v/>
      </c>
      <c r="P75" s="19" t="str">
        <f t="shared" si="22"/>
        <v/>
      </c>
      <c r="Q75" s="19" t="str">
        <f t="shared" si="23"/>
        <v/>
      </c>
      <c r="R75" s="19" t="str">
        <f t="shared" si="10"/>
        <v/>
      </c>
      <c r="S75" s="27" t="str">
        <f t="shared" si="27"/>
        <v/>
      </c>
      <c r="T75" s="28" t="str">
        <f t="shared" si="27"/>
        <v/>
      </c>
      <c r="U75" s="28" t="str">
        <f t="shared" si="27"/>
        <v/>
      </c>
      <c r="V75" s="28" t="str">
        <f t="shared" si="27"/>
        <v/>
      </c>
      <c r="W75" s="28" t="str">
        <f t="shared" si="27"/>
        <v/>
      </c>
      <c r="X75" s="29" t="str">
        <f t="shared" si="27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28"/>
        <v/>
      </c>
      <c r="M76" s="19" t="str">
        <f t="shared" si="5"/>
        <v/>
      </c>
      <c r="N76" s="19" t="str">
        <f t="shared" si="6"/>
        <v/>
      </c>
      <c r="O76" s="19" t="str">
        <f t="shared" si="21"/>
        <v/>
      </c>
      <c r="P76" s="19" t="str">
        <f t="shared" si="22"/>
        <v/>
      </c>
      <c r="Q76" s="19" t="str">
        <f t="shared" si="23"/>
        <v/>
      </c>
      <c r="R76" s="19" t="str">
        <f t="shared" si="10"/>
        <v/>
      </c>
      <c r="S76" s="27" t="str">
        <f t="shared" si="27"/>
        <v/>
      </c>
      <c r="T76" s="28" t="str">
        <f t="shared" si="27"/>
        <v/>
      </c>
      <c r="U76" s="28" t="str">
        <f t="shared" si="27"/>
        <v/>
      </c>
      <c r="V76" s="28" t="str">
        <f t="shared" si="27"/>
        <v/>
      </c>
      <c r="W76" s="28" t="str">
        <f t="shared" si="27"/>
        <v/>
      </c>
      <c r="X76" s="29" t="str">
        <f t="shared" si="27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28"/>
        <v/>
      </c>
      <c r="M77" s="19" t="str">
        <f t="shared" si="5"/>
        <v/>
      </c>
      <c r="N77" s="19" t="str">
        <f t="shared" si="6"/>
        <v/>
      </c>
      <c r="O77" s="19" t="str">
        <f t="shared" si="21"/>
        <v/>
      </c>
      <c r="P77" s="19" t="str">
        <f t="shared" si="22"/>
        <v/>
      </c>
      <c r="Q77" s="19" t="str">
        <f t="shared" si="23"/>
        <v/>
      </c>
      <c r="R77" s="19" t="str">
        <f t="shared" si="10"/>
        <v/>
      </c>
      <c r="S77" s="27" t="str">
        <f t="shared" si="27"/>
        <v/>
      </c>
      <c r="T77" s="28" t="str">
        <f t="shared" si="27"/>
        <v/>
      </c>
      <c r="U77" s="28" t="str">
        <f t="shared" si="27"/>
        <v/>
      </c>
      <c r="V77" s="28" t="str">
        <f t="shared" si="27"/>
        <v/>
      </c>
      <c r="W77" s="28" t="str">
        <f t="shared" si="27"/>
        <v/>
      </c>
      <c r="X77" s="29" t="str">
        <f t="shared" si="27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28"/>
        <v/>
      </c>
      <c r="M78" s="19" t="str">
        <f t="shared" si="5"/>
        <v/>
      </c>
      <c r="N78" s="19" t="str">
        <f t="shared" si="6"/>
        <v/>
      </c>
      <c r="O78" s="19" t="str">
        <f t="shared" si="21"/>
        <v/>
      </c>
      <c r="P78" s="19" t="str">
        <f t="shared" si="22"/>
        <v/>
      </c>
      <c r="Q78" s="19" t="str">
        <f t="shared" si="23"/>
        <v/>
      </c>
      <c r="R78" s="19" t="str">
        <f t="shared" si="10"/>
        <v/>
      </c>
      <c r="S78" s="27" t="str">
        <f t="shared" si="27"/>
        <v/>
      </c>
      <c r="T78" s="28" t="str">
        <f t="shared" si="27"/>
        <v/>
      </c>
      <c r="U78" s="28" t="str">
        <f t="shared" si="27"/>
        <v/>
      </c>
      <c r="V78" s="28" t="str">
        <f t="shared" si="27"/>
        <v/>
      </c>
      <c r="W78" s="28" t="str">
        <f t="shared" si="27"/>
        <v/>
      </c>
      <c r="X78" s="29" t="str">
        <f t="shared" si="27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28"/>
        <v/>
      </c>
      <c r="M79" s="19" t="str">
        <f t="shared" si="5"/>
        <v/>
      </c>
      <c r="N79" s="19" t="str">
        <f t="shared" si="6"/>
        <v/>
      </c>
      <c r="O79" s="19" t="str">
        <f t="shared" si="21"/>
        <v/>
      </c>
      <c r="P79" s="19" t="str">
        <f t="shared" si="22"/>
        <v/>
      </c>
      <c r="Q79" s="19" t="str">
        <f t="shared" si="23"/>
        <v/>
      </c>
      <c r="R79" s="19" t="str">
        <f t="shared" si="10"/>
        <v/>
      </c>
      <c r="S79" s="27" t="str">
        <f t="shared" si="27"/>
        <v/>
      </c>
      <c r="T79" s="28" t="str">
        <f t="shared" si="27"/>
        <v/>
      </c>
      <c r="U79" s="28" t="str">
        <f t="shared" si="27"/>
        <v/>
      </c>
      <c r="V79" s="28" t="str">
        <f t="shared" si="27"/>
        <v/>
      </c>
      <c r="W79" s="28" t="str">
        <f t="shared" si="27"/>
        <v/>
      </c>
      <c r="X79" s="29" t="str">
        <f t="shared" si="27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28"/>
        <v/>
      </c>
      <c r="M80" s="19" t="str">
        <f t="shared" si="5"/>
        <v/>
      </c>
      <c r="N80" s="19" t="str">
        <f t="shared" si="6"/>
        <v/>
      </c>
      <c r="O80" s="19" t="str">
        <f t="shared" si="21"/>
        <v/>
      </c>
      <c r="P80" s="19" t="str">
        <f t="shared" si="22"/>
        <v/>
      </c>
      <c r="Q80" s="19" t="str">
        <f t="shared" si="23"/>
        <v/>
      </c>
      <c r="R80" s="19" t="str">
        <f t="shared" si="10"/>
        <v/>
      </c>
      <c r="S80" s="27" t="str">
        <f t="shared" si="27"/>
        <v/>
      </c>
      <c r="T80" s="28" t="str">
        <f t="shared" si="27"/>
        <v/>
      </c>
      <c r="U80" s="28" t="str">
        <f t="shared" si="27"/>
        <v/>
      </c>
      <c r="V80" s="28" t="str">
        <f t="shared" si="27"/>
        <v/>
      </c>
      <c r="W80" s="28" t="str">
        <f t="shared" si="27"/>
        <v/>
      </c>
      <c r="X80" s="29" t="str">
        <f t="shared" si="27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28"/>
        <v/>
      </c>
      <c r="M81" s="19" t="str">
        <f t="shared" si="5"/>
        <v/>
      </c>
      <c r="N81" s="19" t="str">
        <f t="shared" si="6"/>
        <v/>
      </c>
      <c r="O81" s="19" t="str">
        <f t="shared" si="21"/>
        <v/>
      </c>
      <c r="P81" s="19" t="str">
        <f t="shared" si="22"/>
        <v/>
      </c>
      <c r="Q81" s="19" t="str">
        <f t="shared" si="23"/>
        <v/>
      </c>
      <c r="R81" s="19" t="str">
        <f t="shared" si="10"/>
        <v/>
      </c>
      <c r="S81" s="27" t="str">
        <f t="shared" ref="S81:X96" si="29">IF(C81="","",((C81-C80)*1000)/($B81-$B80))</f>
        <v/>
      </c>
      <c r="T81" s="28" t="str">
        <f t="shared" si="29"/>
        <v/>
      </c>
      <c r="U81" s="28" t="str">
        <f t="shared" si="29"/>
        <v/>
      </c>
      <c r="V81" s="28" t="str">
        <f t="shared" si="29"/>
        <v/>
      </c>
      <c r="W81" s="28" t="str">
        <f t="shared" si="29"/>
        <v/>
      </c>
      <c r="X81" s="29" t="str">
        <f t="shared" si="29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28"/>
        <v/>
      </c>
      <c r="M82" s="19" t="str">
        <f t="shared" si="5"/>
        <v/>
      </c>
      <c r="N82" s="19" t="str">
        <f t="shared" si="6"/>
        <v/>
      </c>
      <c r="O82" s="19" t="str">
        <f t="shared" si="21"/>
        <v/>
      </c>
      <c r="P82" s="19" t="str">
        <f t="shared" si="22"/>
        <v/>
      </c>
      <c r="Q82" s="19" t="str">
        <f t="shared" si="23"/>
        <v/>
      </c>
      <c r="R82" s="19" t="str">
        <f t="shared" si="10"/>
        <v/>
      </c>
      <c r="S82" s="27" t="str">
        <f t="shared" si="29"/>
        <v/>
      </c>
      <c r="T82" s="28" t="str">
        <f t="shared" si="29"/>
        <v/>
      </c>
      <c r="U82" s="28" t="str">
        <f t="shared" si="29"/>
        <v/>
      </c>
      <c r="V82" s="28" t="str">
        <f t="shared" si="29"/>
        <v/>
      </c>
      <c r="W82" s="28" t="str">
        <f t="shared" si="29"/>
        <v/>
      </c>
      <c r="X82" s="29" t="str">
        <f t="shared" si="29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28"/>
        <v/>
      </c>
      <c r="M83" s="19" t="str">
        <f t="shared" ref="M83:M146" si="30">IF(ISBLANK(D83),"",(D83-D$18)*1000)</f>
        <v/>
      </c>
      <c r="N83" s="19" t="str">
        <f t="shared" ref="N83:N146" si="31">IF(ISBLANK(E83),"",(E83-E$18)*1000)</f>
        <v/>
      </c>
      <c r="O83" s="19" t="str">
        <f t="shared" si="21"/>
        <v/>
      </c>
      <c r="P83" s="19" t="str">
        <f t="shared" si="22"/>
        <v/>
      </c>
      <c r="Q83" s="19" t="str">
        <f t="shared" si="23"/>
        <v/>
      </c>
      <c r="R83" s="19" t="str">
        <f t="shared" ref="R83:R146" si="32">IF(ISBLANK(I83),"",(I83-I$18)*1000)</f>
        <v/>
      </c>
      <c r="S83" s="27" t="str">
        <f t="shared" si="29"/>
        <v/>
      </c>
      <c r="T83" s="28" t="str">
        <f t="shared" si="29"/>
        <v/>
      </c>
      <c r="U83" s="28" t="str">
        <f t="shared" si="29"/>
        <v/>
      </c>
      <c r="V83" s="28" t="str">
        <f t="shared" si="29"/>
        <v/>
      </c>
      <c r="W83" s="28" t="str">
        <f t="shared" si="29"/>
        <v/>
      </c>
      <c r="X83" s="29" t="str">
        <f t="shared" si="29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28"/>
        <v/>
      </c>
      <c r="M84" s="19" t="str">
        <f t="shared" si="30"/>
        <v/>
      </c>
      <c r="N84" s="19" t="str">
        <f t="shared" si="31"/>
        <v/>
      </c>
      <c r="O84" s="19" t="str">
        <f t="shared" si="21"/>
        <v/>
      </c>
      <c r="P84" s="19" t="str">
        <f t="shared" si="22"/>
        <v/>
      </c>
      <c r="Q84" s="19" t="str">
        <f t="shared" si="23"/>
        <v/>
      </c>
      <c r="R84" s="19" t="str">
        <f t="shared" si="32"/>
        <v/>
      </c>
      <c r="S84" s="27" t="str">
        <f t="shared" si="29"/>
        <v/>
      </c>
      <c r="T84" s="28" t="str">
        <f t="shared" si="29"/>
        <v/>
      </c>
      <c r="U84" s="28" t="str">
        <f t="shared" si="29"/>
        <v/>
      </c>
      <c r="V84" s="28" t="str">
        <f t="shared" si="29"/>
        <v/>
      </c>
      <c r="W84" s="28" t="str">
        <f t="shared" si="29"/>
        <v/>
      </c>
      <c r="X84" s="29" t="str">
        <f t="shared" si="29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28"/>
        <v/>
      </c>
      <c r="M85" s="19" t="str">
        <f t="shared" si="30"/>
        <v/>
      </c>
      <c r="N85" s="19" t="str">
        <f t="shared" si="31"/>
        <v/>
      </c>
      <c r="O85" s="19" t="str">
        <f t="shared" si="21"/>
        <v/>
      </c>
      <c r="P85" s="19" t="str">
        <f t="shared" si="22"/>
        <v/>
      </c>
      <c r="Q85" s="19" t="str">
        <f t="shared" si="23"/>
        <v/>
      </c>
      <c r="R85" s="19" t="str">
        <f t="shared" si="32"/>
        <v/>
      </c>
      <c r="S85" s="27" t="str">
        <f t="shared" si="29"/>
        <v/>
      </c>
      <c r="T85" s="28" t="str">
        <f t="shared" si="29"/>
        <v/>
      </c>
      <c r="U85" s="28" t="str">
        <f t="shared" si="29"/>
        <v/>
      </c>
      <c r="V85" s="28" t="str">
        <f t="shared" si="29"/>
        <v/>
      </c>
      <c r="W85" s="28" t="str">
        <f t="shared" si="29"/>
        <v/>
      </c>
      <c r="X85" s="29" t="str">
        <f t="shared" si="29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28"/>
        <v/>
      </c>
      <c r="M86" s="19" t="str">
        <f t="shared" si="30"/>
        <v/>
      </c>
      <c r="N86" s="19" t="str">
        <f t="shared" si="31"/>
        <v/>
      </c>
      <c r="O86" s="19" t="str">
        <f t="shared" si="21"/>
        <v/>
      </c>
      <c r="P86" s="19" t="str">
        <f t="shared" si="22"/>
        <v/>
      </c>
      <c r="Q86" s="19" t="str">
        <f t="shared" si="23"/>
        <v/>
      </c>
      <c r="R86" s="19" t="str">
        <f t="shared" si="32"/>
        <v/>
      </c>
      <c r="S86" s="27" t="str">
        <f t="shared" si="29"/>
        <v/>
      </c>
      <c r="T86" s="28" t="str">
        <f t="shared" si="29"/>
        <v/>
      </c>
      <c r="U86" s="28" t="str">
        <f t="shared" si="29"/>
        <v/>
      </c>
      <c r="V86" s="28" t="str">
        <f t="shared" si="29"/>
        <v/>
      </c>
      <c r="W86" s="28" t="str">
        <f t="shared" si="29"/>
        <v/>
      </c>
      <c r="X86" s="29" t="str">
        <f t="shared" si="29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28"/>
        <v/>
      </c>
      <c r="M87" s="19" t="str">
        <f t="shared" si="30"/>
        <v/>
      </c>
      <c r="N87" s="19" t="str">
        <f t="shared" si="31"/>
        <v/>
      </c>
      <c r="O87" s="19" t="str">
        <f t="shared" si="21"/>
        <v/>
      </c>
      <c r="P87" s="19" t="str">
        <f t="shared" si="22"/>
        <v/>
      </c>
      <c r="Q87" s="19" t="str">
        <f t="shared" si="23"/>
        <v/>
      </c>
      <c r="R87" s="19" t="str">
        <f t="shared" si="32"/>
        <v/>
      </c>
      <c r="S87" s="27" t="str">
        <f t="shared" si="29"/>
        <v/>
      </c>
      <c r="T87" s="28" t="str">
        <f t="shared" si="29"/>
        <v/>
      </c>
      <c r="U87" s="28" t="str">
        <f t="shared" si="29"/>
        <v/>
      </c>
      <c r="V87" s="28" t="str">
        <f t="shared" si="29"/>
        <v/>
      </c>
      <c r="W87" s="28" t="str">
        <f t="shared" si="29"/>
        <v/>
      </c>
      <c r="X87" s="29" t="str">
        <f t="shared" si="29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28"/>
        <v/>
      </c>
      <c r="M88" s="19" t="str">
        <f t="shared" si="30"/>
        <v/>
      </c>
      <c r="N88" s="19" t="str">
        <f t="shared" si="31"/>
        <v/>
      </c>
      <c r="O88" s="19" t="str">
        <f t="shared" si="21"/>
        <v/>
      </c>
      <c r="P88" s="19" t="str">
        <f t="shared" si="22"/>
        <v/>
      </c>
      <c r="Q88" s="19" t="str">
        <f t="shared" si="23"/>
        <v/>
      </c>
      <c r="R88" s="19" t="str">
        <f t="shared" si="32"/>
        <v/>
      </c>
      <c r="S88" s="27" t="str">
        <f t="shared" si="29"/>
        <v/>
      </c>
      <c r="T88" s="28" t="str">
        <f t="shared" si="29"/>
        <v/>
      </c>
      <c r="U88" s="28" t="str">
        <f t="shared" si="29"/>
        <v/>
      </c>
      <c r="V88" s="28" t="str">
        <f t="shared" si="29"/>
        <v/>
      </c>
      <c r="W88" s="28" t="str">
        <f t="shared" si="29"/>
        <v/>
      </c>
      <c r="X88" s="29" t="str">
        <f t="shared" si="29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28"/>
        <v/>
      </c>
      <c r="M89" s="19" t="str">
        <f t="shared" si="30"/>
        <v/>
      </c>
      <c r="N89" s="19" t="str">
        <f t="shared" si="31"/>
        <v/>
      </c>
      <c r="O89" s="19" t="str">
        <f t="shared" si="21"/>
        <v/>
      </c>
      <c r="P89" s="19" t="str">
        <f t="shared" si="22"/>
        <v/>
      </c>
      <c r="Q89" s="19" t="str">
        <f t="shared" si="23"/>
        <v/>
      </c>
      <c r="R89" s="19" t="str">
        <f t="shared" si="32"/>
        <v/>
      </c>
      <c r="S89" s="27" t="str">
        <f t="shared" si="29"/>
        <v/>
      </c>
      <c r="T89" s="28" t="str">
        <f t="shared" si="29"/>
        <v/>
      </c>
      <c r="U89" s="28" t="str">
        <f t="shared" si="29"/>
        <v/>
      </c>
      <c r="V89" s="28" t="str">
        <f t="shared" si="29"/>
        <v/>
      </c>
      <c r="W89" s="28" t="str">
        <f t="shared" si="29"/>
        <v/>
      </c>
      <c r="X89" s="29" t="str">
        <f t="shared" si="29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28"/>
        <v/>
      </c>
      <c r="M90" s="19" t="str">
        <f t="shared" si="30"/>
        <v/>
      </c>
      <c r="N90" s="19" t="str">
        <f t="shared" si="31"/>
        <v/>
      </c>
      <c r="O90" s="19" t="str">
        <f t="shared" si="21"/>
        <v/>
      </c>
      <c r="P90" s="19" t="str">
        <f t="shared" si="22"/>
        <v/>
      </c>
      <c r="Q90" s="19" t="str">
        <f t="shared" si="23"/>
        <v/>
      </c>
      <c r="R90" s="19" t="str">
        <f t="shared" si="32"/>
        <v/>
      </c>
      <c r="S90" s="27" t="str">
        <f t="shared" si="29"/>
        <v/>
      </c>
      <c r="T90" s="28" t="str">
        <f t="shared" si="29"/>
        <v/>
      </c>
      <c r="U90" s="28" t="str">
        <f t="shared" si="29"/>
        <v/>
      </c>
      <c r="V90" s="28" t="str">
        <f t="shared" si="29"/>
        <v/>
      </c>
      <c r="W90" s="28" t="str">
        <f t="shared" si="29"/>
        <v/>
      </c>
      <c r="X90" s="29" t="str">
        <f t="shared" si="29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28"/>
        <v/>
      </c>
      <c r="M91" s="19" t="str">
        <f t="shared" si="30"/>
        <v/>
      </c>
      <c r="N91" s="19" t="str">
        <f t="shared" si="31"/>
        <v/>
      </c>
      <c r="O91" s="19" t="str">
        <f t="shared" si="21"/>
        <v/>
      </c>
      <c r="P91" s="19" t="str">
        <f t="shared" si="22"/>
        <v/>
      </c>
      <c r="Q91" s="19" t="str">
        <f t="shared" si="23"/>
        <v/>
      </c>
      <c r="R91" s="19" t="str">
        <f t="shared" si="32"/>
        <v/>
      </c>
      <c r="S91" s="27" t="str">
        <f t="shared" si="29"/>
        <v/>
      </c>
      <c r="T91" s="28" t="str">
        <f t="shared" si="29"/>
        <v/>
      </c>
      <c r="U91" s="28" t="str">
        <f t="shared" si="29"/>
        <v/>
      </c>
      <c r="V91" s="28" t="str">
        <f t="shared" si="29"/>
        <v/>
      </c>
      <c r="W91" s="28" t="str">
        <f t="shared" si="29"/>
        <v/>
      </c>
      <c r="X91" s="29" t="str">
        <f t="shared" si="29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28"/>
        <v/>
      </c>
      <c r="M92" s="19" t="str">
        <f t="shared" si="30"/>
        <v/>
      </c>
      <c r="N92" s="19" t="str">
        <f t="shared" si="31"/>
        <v/>
      </c>
      <c r="O92" s="19" t="str">
        <f t="shared" si="21"/>
        <v/>
      </c>
      <c r="P92" s="19" t="str">
        <f t="shared" si="22"/>
        <v/>
      </c>
      <c r="Q92" s="19" t="str">
        <f t="shared" si="23"/>
        <v/>
      </c>
      <c r="R92" s="19" t="str">
        <f t="shared" si="32"/>
        <v/>
      </c>
      <c r="S92" s="27" t="str">
        <f t="shared" si="29"/>
        <v/>
      </c>
      <c r="T92" s="28" t="str">
        <f t="shared" si="29"/>
        <v/>
      </c>
      <c r="U92" s="28" t="str">
        <f t="shared" si="29"/>
        <v/>
      </c>
      <c r="V92" s="28" t="str">
        <f t="shared" si="29"/>
        <v/>
      </c>
      <c r="W92" s="28" t="str">
        <f t="shared" si="29"/>
        <v/>
      </c>
      <c r="X92" s="29" t="str">
        <f t="shared" si="29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28"/>
        <v/>
      </c>
      <c r="M93" s="19" t="str">
        <f t="shared" si="30"/>
        <v/>
      </c>
      <c r="N93" s="19" t="str">
        <f t="shared" si="31"/>
        <v/>
      </c>
      <c r="O93" s="19" t="str">
        <f t="shared" si="21"/>
        <v/>
      </c>
      <c r="P93" s="19" t="str">
        <f t="shared" si="22"/>
        <v/>
      </c>
      <c r="Q93" s="19" t="str">
        <f t="shared" si="23"/>
        <v/>
      </c>
      <c r="R93" s="19" t="str">
        <f t="shared" si="32"/>
        <v/>
      </c>
      <c r="S93" s="27" t="str">
        <f t="shared" si="29"/>
        <v/>
      </c>
      <c r="T93" s="28" t="str">
        <f t="shared" si="29"/>
        <v/>
      </c>
      <c r="U93" s="28" t="str">
        <f t="shared" si="29"/>
        <v/>
      </c>
      <c r="V93" s="28" t="str">
        <f t="shared" si="29"/>
        <v/>
      </c>
      <c r="W93" s="28" t="str">
        <f t="shared" si="29"/>
        <v/>
      </c>
      <c r="X93" s="29" t="str">
        <f t="shared" si="29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28"/>
        <v/>
      </c>
      <c r="M94" s="19" t="str">
        <f t="shared" si="30"/>
        <v/>
      </c>
      <c r="N94" s="19" t="str">
        <f t="shared" si="31"/>
        <v/>
      </c>
      <c r="O94" s="19" t="str">
        <f t="shared" si="21"/>
        <v/>
      </c>
      <c r="P94" s="19" t="str">
        <f t="shared" si="22"/>
        <v/>
      </c>
      <c r="Q94" s="19" t="str">
        <f t="shared" si="23"/>
        <v/>
      </c>
      <c r="R94" s="19" t="str">
        <f t="shared" si="32"/>
        <v/>
      </c>
      <c r="S94" s="27" t="str">
        <f t="shared" si="29"/>
        <v/>
      </c>
      <c r="T94" s="28" t="str">
        <f t="shared" si="29"/>
        <v/>
      </c>
      <c r="U94" s="28" t="str">
        <f t="shared" si="29"/>
        <v/>
      </c>
      <c r="V94" s="28" t="str">
        <f t="shared" si="29"/>
        <v/>
      </c>
      <c r="W94" s="28" t="str">
        <f t="shared" si="29"/>
        <v/>
      </c>
      <c r="X94" s="29" t="str">
        <f t="shared" si="29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28"/>
        <v/>
      </c>
      <c r="M95" s="19" t="str">
        <f t="shared" si="30"/>
        <v/>
      </c>
      <c r="N95" s="19" t="str">
        <f t="shared" si="31"/>
        <v/>
      </c>
      <c r="O95" s="19" t="str">
        <f t="shared" si="21"/>
        <v/>
      </c>
      <c r="P95" s="19" t="str">
        <f t="shared" si="22"/>
        <v/>
      </c>
      <c r="Q95" s="19" t="str">
        <f t="shared" si="23"/>
        <v/>
      </c>
      <c r="R95" s="19" t="str">
        <f t="shared" si="32"/>
        <v/>
      </c>
      <c r="S95" s="27" t="str">
        <f t="shared" si="29"/>
        <v/>
      </c>
      <c r="T95" s="28" t="str">
        <f t="shared" si="29"/>
        <v/>
      </c>
      <c r="U95" s="28" t="str">
        <f t="shared" si="29"/>
        <v/>
      </c>
      <c r="V95" s="28" t="str">
        <f t="shared" si="29"/>
        <v/>
      </c>
      <c r="W95" s="28" t="str">
        <f t="shared" si="29"/>
        <v/>
      </c>
      <c r="X95" s="29" t="str">
        <f t="shared" si="29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8"/>
        <v/>
      </c>
      <c r="M96" s="19" t="str">
        <f t="shared" si="30"/>
        <v/>
      </c>
      <c r="N96" s="19" t="str">
        <f t="shared" si="31"/>
        <v/>
      </c>
      <c r="O96" s="19" t="str">
        <f t="shared" si="21"/>
        <v/>
      </c>
      <c r="P96" s="19" t="str">
        <f t="shared" si="22"/>
        <v/>
      </c>
      <c r="Q96" s="19" t="str">
        <f t="shared" si="23"/>
        <v/>
      </c>
      <c r="R96" s="19" t="str">
        <f t="shared" si="32"/>
        <v/>
      </c>
      <c r="S96" s="27" t="str">
        <f t="shared" si="29"/>
        <v/>
      </c>
      <c r="T96" s="28" t="str">
        <f t="shared" si="29"/>
        <v/>
      </c>
      <c r="U96" s="28" t="str">
        <f t="shared" si="29"/>
        <v/>
      </c>
      <c r="V96" s="28" t="str">
        <f t="shared" si="29"/>
        <v/>
      </c>
      <c r="W96" s="28" t="str">
        <f t="shared" si="29"/>
        <v/>
      </c>
      <c r="X96" s="29" t="str">
        <f t="shared" si="29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8"/>
        <v/>
      </c>
      <c r="M97" s="19" t="str">
        <f t="shared" si="30"/>
        <v/>
      </c>
      <c r="N97" s="19" t="str">
        <f t="shared" si="31"/>
        <v/>
      </c>
      <c r="O97" s="19" t="str">
        <f t="shared" si="21"/>
        <v/>
      </c>
      <c r="P97" s="19" t="str">
        <f t="shared" si="22"/>
        <v/>
      </c>
      <c r="Q97" s="19" t="str">
        <f t="shared" si="23"/>
        <v/>
      </c>
      <c r="R97" s="19" t="str">
        <f t="shared" si="32"/>
        <v/>
      </c>
      <c r="S97" s="27" t="str">
        <f t="shared" ref="S97:X112" si="33">IF(C97="","",((C97-C96)*1000)/($B97-$B96))</f>
        <v/>
      </c>
      <c r="T97" s="28" t="str">
        <f t="shared" si="33"/>
        <v/>
      </c>
      <c r="U97" s="28" t="str">
        <f t="shared" si="33"/>
        <v/>
      </c>
      <c r="V97" s="28" t="str">
        <f t="shared" si="33"/>
        <v/>
      </c>
      <c r="W97" s="28" t="str">
        <f t="shared" si="33"/>
        <v/>
      </c>
      <c r="X97" s="29" t="str">
        <f t="shared" si="3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8"/>
        <v/>
      </c>
      <c r="M98" s="19" t="str">
        <f t="shared" si="30"/>
        <v/>
      </c>
      <c r="N98" s="19" t="str">
        <f t="shared" si="31"/>
        <v/>
      </c>
      <c r="O98" s="19" t="str">
        <f t="shared" si="21"/>
        <v/>
      </c>
      <c r="P98" s="19" t="str">
        <f t="shared" si="22"/>
        <v/>
      </c>
      <c r="Q98" s="19" t="str">
        <f t="shared" si="23"/>
        <v/>
      </c>
      <c r="R98" s="19" t="str">
        <f t="shared" si="32"/>
        <v/>
      </c>
      <c r="S98" s="27" t="str">
        <f t="shared" si="33"/>
        <v/>
      </c>
      <c r="T98" s="28" t="str">
        <f t="shared" si="33"/>
        <v/>
      </c>
      <c r="U98" s="28" t="str">
        <f t="shared" si="33"/>
        <v/>
      </c>
      <c r="V98" s="28" t="str">
        <f t="shared" si="33"/>
        <v/>
      </c>
      <c r="W98" s="28" t="str">
        <f t="shared" si="33"/>
        <v/>
      </c>
      <c r="X98" s="29" t="str">
        <f t="shared" si="3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8"/>
        <v/>
      </c>
      <c r="M99" s="19" t="str">
        <f t="shared" si="30"/>
        <v/>
      </c>
      <c r="N99" s="19" t="str">
        <f t="shared" si="31"/>
        <v/>
      </c>
      <c r="O99" s="19" t="str">
        <f t="shared" ref="O99:O153" si="34">IF(ISBLANK(F99),"",((F99-F$34)*1000+L$34))</f>
        <v/>
      </c>
      <c r="P99" s="19" t="str">
        <f t="shared" ref="P99:P153" si="35">IF(ISBLANK(G99),"",(G99-G$34)*1000)</f>
        <v/>
      </c>
      <c r="Q99" s="19" t="str">
        <f t="shared" ref="Q99:Q153" si="36">IF(ISBLANK(H99),"",(H99-H$34)*1000)</f>
        <v/>
      </c>
      <c r="R99" s="19" t="str">
        <f t="shared" si="32"/>
        <v/>
      </c>
      <c r="S99" s="27" t="str">
        <f t="shared" si="33"/>
        <v/>
      </c>
      <c r="T99" s="28" t="str">
        <f t="shared" si="33"/>
        <v/>
      </c>
      <c r="U99" s="28" t="str">
        <f t="shared" si="33"/>
        <v/>
      </c>
      <c r="V99" s="28" t="str">
        <f t="shared" si="33"/>
        <v/>
      </c>
      <c r="W99" s="28" t="str">
        <f t="shared" si="33"/>
        <v/>
      </c>
      <c r="X99" s="29" t="str">
        <f t="shared" si="3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8"/>
        <v/>
      </c>
      <c r="M100" s="19" t="str">
        <f t="shared" si="30"/>
        <v/>
      </c>
      <c r="N100" s="19" t="str">
        <f t="shared" si="31"/>
        <v/>
      </c>
      <c r="O100" s="19" t="str">
        <f t="shared" si="34"/>
        <v/>
      </c>
      <c r="P100" s="19" t="str">
        <f t="shared" si="35"/>
        <v/>
      </c>
      <c r="Q100" s="19" t="str">
        <f t="shared" si="36"/>
        <v/>
      </c>
      <c r="R100" s="19" t="str">
        <f t="shared" si="32"/>
        <v/>
      </c>
      <c r="S100" s="27" t="str">
        <f t="shared" si="33"/>
        <v/>
      </c>
      <c r="T100" s="28" t="str">
        <f t="shared" si="33"/>
        <v/>
      </c>
      <c r="U100" s="28" t="str">
        <f t="shared" si="33"/>
        <v/>
      </c>
      <c r="V100" s="28" t="str">
        <f t="shared" si="33"/>
        <v/>
      </c>
      <c r="W100" s="28" t="str">
        <f t="shared" si="33"/>
        <v/>
      </c>
      <c r="X100" s="29" t="str">
        <f t="shared" si="3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8"/>
        <v/>
      </c>
      <c r="M101" s="19" t="str">
        <f t="shared" si="30"/>
        <v/>
      </c>
      <c r="N101" s="19" t="str">
        <f t="shared" si="31"/>
        <v/>
      </c>
      <c r="O101" s="19" t="str">
        <f t="shared" si="34"/>
        <v/>
      </c>
      <c r="P101" s="19" t="str">
        <f t="shared" si="35"/>
        <v/>
      </c>
      <c r="Q101" s="19" t="str">
        <f t="shared" si="36"/>
        <v/>
      </c>
      <c r="R101" s="19" t="str">
        <f t="shared" si="32"/>
        <v/>
      </c>
      <c r="S101" s="27" t="str">
        <f t="shared" si="33"/>
        <v/>
      </c>
      <c r="T101" s="28" t="str">
        <f t="shared" si="33"/>
        <v/>
      </c>
      <c r="U101" s="28" t="str">
        <f t="shared" si="33"/>
        <v/>
      </c>
      <c r="V101" s="28" t="str">
        <f t="shared" si="33"/>
        <v/>
      </c>
      <c r="W101" s="28" t="str">
        <f t="shared" si="33"/>
        <v/>
      </c>
      <c r="X101" s="29" t="str">
        <f t="shared" si="3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8"/>
        <v/>
      </c>
      <c r="M102" s="19" t="str">
        <f t="shared" si="30"/>
        <v/>
      </c>
      <c r="N102" s="19" t="str">
        <f t="shared" si="31"/>
        <v/>
      </c>
      <c r="O102" s="19" t="str">
        <f t="shared" si="34"/>
        <v/>
      </c>
      <c r="P102" s="19" t="str">
        <f t="shared" si="35"/>
        <v/>
      </c>
      <c r="Q102" s="19" t="str">
        <f t="shared" si="36"/>
        <v/>
      </c>
      <c r="R102" s="19" t="str">
        <f t="shared" si="32"/>
        <v/>
      </c>
      <c r="S102" s="27" t="str">
        <f t="shared" si="33"/>
        <v/>
      </c>
      <c r="T102" s="28" t="str">
        <f t="shared" si="33"/>
        <v/>
      </c>
      <c r="U102" s="28" t="str">
        <f t="shared" si="33"/>
        <v/>
      </c>
      <c r="V102" s="28" t="str">
        <f t="shared" si="33"/>
        <v/>
      </c>
      <c r="W102" s="28" t="str">
        <f t="shared" si="33"/>
        <v/>
      </c>
      <c r="X102" s="29" t="str">
        <f t="shared" si="3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8"/>
        <v/>
      </c>
      <c r="M103" s="19" t="str">
        <f t="shared" si="30"/>
        <v/>
      </c>
      <c r="N103" s="19" t="str">
        <f t="shared" si="31"/>
        <v/>
      </c>
      <c r="O103" s="19" t="str">
        <f t="shared" si="34"/>
        <v/>
      </c>
      <c r="P103" s="19" t="str">
        <f t="shared" si="35"/>
        <v/>
      </c>
      <c r="Q103" s="19" t="str">
        <f t="shared" si="36"/>
        <v/>
      </c>
      <c r="R103" s="19" t="str">
        <f t="shared" si="32"/>
        <v/>
      </c>
      <c r="S103" s="27" t="str">
        <f t="shared" si="33"/>
        <v/>
      </c>
      <c r="T103" s="28" t="str">
        <f t="shared" si="33"/>
        <v/>
      </c>
      <c r="U103" s="28" t="str">
        <f t="shared" si="33"/>
        <v/>
      </c>
      <c r="V103" s="28" t="str">
        <f t="shared" si="33"/>
        <v/>
      </c>
      <c r="W103" s="28" t="str">
        <f t="shared" si="33"/>
        <v/>
      </c>
      <c r="X103" s="29" t="str">
        <f t="shared" si="3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8"/>
        <v/>
      </c>
      <c r="M104" s="19" t="str">
        <f t="shared" si="30"/>
        <v/>
      </c>
      <c r="N104" s="19" t="str">
        <f t="shared" si="31"/>
        <v/>
      </c>
      <c r="O104" s="19" t="str">
        <f t="shared" si="34"/>
        <v/>
      </c>
      <c r="P104" s="19" t="str">
        <f t="shared" si="35"/>
        <v/>
      </c>
      <c r="Q104" s="19" t="str">
        <f t="shared" si="36"/>
        <v/>
      </c>
      <c r="R104" s="19" t="str">
        <f t="shared" si="32"/>
        <v/>
      </c>
      <c r="S104" s="27" t="str">
        <f t="shared" si="33"/>
        <v/>
      </c>
      <c r="T104" s="28" t="str">
        <f t="shared" si="33"/>
        <v/>
      </c>
      <c r="U104" s="28" t="str">
        <f t="shared" si="33"/>
        <v/>
      </c>
      <c r="V104" s="28" t="str">
        <f t="shared" si="33"/>
        <v/>
      </c>
      <c r="W104" s="28" t="str">
        <f t="shared" si="33"/>
        <v/>
      </c>
      <c r="X104" s="29" t="str">
        <f t="shared" si="3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8"/>
        <v/>
      </c>
      <c r="M105" s="19" t="str">
        <f t="shared" si="30"/>
        <v/>
      </c>
      <c r="N105" s="19" t="str">
        <f t="shared" si="31"/>
        <v/>
      </c>
      <c r="O105" s="19" t="str">
        <f t="shared" si="34"/>
        <v/>
      </c>
      <c r="P105" s="19" t="str">
        <f t="shared" si="35"/>
        <v/>
      </c>
      <c r="Q105" s="19" t="str">
        <f t="shared" si="36"/>
        <v/>
      </c>
      <c r="R105" s="19" t="str">
        <f t="shared" si="32"/>
        <v/>
      </c>
      <c r="S105" s="27" t="str">
        <f t="shared" si="33"/>
        <v/>
      </c>
      <c r="T105" s="28" t="str">
        <f t="shared" si="33"/>
        <v/>
      </c>
      <c r="U105" s="28" t="str">
        <f t="shared" si="33"/>
        <v/>
      </c>
      <c r="V105" s="28" t="str">
        <f t="shared" si="33"/>
        <v/>
      </c>
      <c r="W105" s="28" t="str">
        <f t="shared" si="33"/>
        <v/>
      </c>
      <c r="X105" s="29" t="str">
        <f t="shared" si="3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8"/>
        <v/>
      </c>
      <c r="M106" s="19" t="str">
        <f t="shared" si="30"/>
        <v/>
      </c>
      <c r="N106" s="19" t="str">
        <f t="shared" si="31"/>
        <v/>
      </c>
      <c r="O106" s="19" t="str">
        <f t="shared" si="34"/>
        <v/>
      </c>
      <c r="P106" s="19" t="str">
        <f t="shared" si="35"/>
        <v/>
      </c>
      <c r="Q106" s="19" t="str">
        <f t="shared" si="36"/>
        <v/>
      </c>
      <c r="R106" s="19" t="str">
        <f t="shared" si="32"/>
        <v/>
      </c>
      <c r="S106" s="27" t="str">
        <f t="shared" si="33"/>
        <v/>
      </c>
      <c r="T106" s="28" t="str">
        <f t="shared" si="33"/>
        <v/>
      </c>
      <c r="U106" s="28" t="str">
        <f t="shared" si="33"/>
        <v/>
      </c>
      <c r="V106" s="28" t="str">
        <f t="shared" si="33"/>
        <v/>
      </c>
      <c r="W106" s="28" t="str">
        <f t="shared" si="33"/>
        <v/>
      </c>
      <c r="X106" s="29" t="str">
        <f t="shared" si="3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8"/>
        <v/>
      </c>
      <c r="M107" s="19" t="str">
        <f t="shared" si="30"/>
        <v/>
      </c>
      <c r="N107" s="19" t="str">
        <f t="shared" si="31"/>
        <v/>
      </c>
      <c r="O107" s="19" t="str">
        <f t="shared" si="34"/>
        <v/>
      </c>
      <c r="P107" s="19" t="str">
        <f t="shared" si="35"/>
        <v/>
      </c>
      <c r="Q107" s="19" t="str">
        <f t="shared" si="36"/>
        <v/>
      </c>
      <c r="R107" s="19" t="str">
        <f t="shared" si="32"/>
        <v/>
      </c>
      <c r="S107" s="27" t="str">
        <f t="shared" si="33"/>
        <v/>
      </c>
      <c r="T107" s="28" t="str">
        <f t="shared" si="33"/>
        <v/>
      </c>
      <c r="U107" s="28" t="str">
        <f t="shared" si="33"/>
        <v/>
      </c>
      <c r="V107" s="28" t="str">
        <f t="shared" si="33"/>
        <v/>
      </c>
      <c r="W107" s="28" t="str">
        <f t="shared" si="33"/>
        <v/>
      </c>
      <c r="X107" s="29" t="str">
        <f t="shared" si="3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8"/>
        <v/>
      </c>
      <c r="M108" s="19" t="str">
        <f t="shared" si="30"/>
        <v/>
      </c>
      <c r="N108" s="19" t="str">
        <f t="shared" si="31"/>
        <v/>
      </c>
      <c r="O108" s="19" t="str">
        <f t="shared" si="34"/>
        <v/>
      </c>
      <c r="P108" s="19" t="str">
        <f t="shared" si="35"/>
        <v/>
      </c>
      <c r="Q108" s="19" t="str">
        <f t="shared" si="36"/>
        <v/>
      </c>
      <c r="R108" s="19" t="str">
        <f t="shared" si="32"/>
        <v/>
      </c>
      <c r="S108" s="27" t="str">
        <f t="shared" si="33"/>
        <v/>
      </c>
      <c r="T108" s="28" t="str">
        <f t="shared" si="33"/>
        <v/>
      </c>
      <c r="U108" s="28" t="str">
        <f t="shared" si="33"/>
        <v/>
      </c>
      <c r="V108" s="28" t="str">
        <f t="shared" si="33"/>
        <v/>
      </c>
      <c r="W108" s="28" t="str">
        <f t="shared" si="33"/>
        <v/>
      </c>
      <c r="X108" s="29" t="str">
        <f t="shared" si="3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8"/>
        <v/>
      </c>
      <c r="M109" s="19" t="str">
        <f t="shared" si="30"/>
        <v/>
      </c>
      <c r="N109" s="19" t="str">
        <f t="shared" si="31"/>
        <v/>
      </c>
      <c r="O109" s="19" t="str">
        <f t="shared" si="34"/>
        <v/>
      </c>
      <c r="P109" s="19" t="str">
        <f t="shared" si="35"/>
        <v/>
      </c>
      <c r="Q109" s="19" t="str">
        <f t="shared" si="36"/>
        <v/>
      </c>
      <c r="R109" s="19" t="str">
        <f t="shared" si="32"/>
        <v/>
      </c>
      <c r="S109" s="27" t="str">
        <f t="shared" si="33"/>
        <v/>
      </c>
      <c r="T109" s="28" t="str">
        <f t="shared" si="33"/>
        <v/>
      </c>
      <c r="U109" s="28" t="str">
        <f t="shared" si="33"/>
        <v/>
      </c>
      <c r="V109" s="28" t="str">
        <f t="shared" si="33"/>
        <v/>
      </c>
      <c r="W109" s="28" t="str">
        <f t="shared" si="33"/>
        <v/>
      </c>
      <c r="X109" s="29" t="str">
        <f t="shared" si="3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8"/>
        <v/>
      </c>
      <c r="M110" s="19" t="str">
        <f t="shared" si="30"/>
        <v/>
      </c>
      <c r="N110" s="19" t="str">
        <f t="shared" si="31"/>
        <v/>
      </c>
      <c r="O110" s="19" t="str">
        <f t="shared" si="34"/>
        <v/>
      </c>
      <c r="P110" s="19" t="str">
        <f t="shared" si="35"/>
        <v/>
      </c>
      <c r="Q110" s="19" t="str">
        <f t="shared" si="36"/>
        <v/>
      </c>
      <c r="R110" s="19" t="str">
        <f t="shared" si="32"/>
        <v/>
      </c>
      <c r="S110" s="27" t="str">
        <f t="shared" si="33"/>
        <v/>
      </c>
      <c r="T110" s="28" t="str">
        <f t="shared" si="33"/>
        <v/>
      </c>
      <c r="U110" s="28" t="str">
        <f t="shared" si="33"/>
        <v/>
      </c>
      <c r="V110" s="28" t="str">
        <f t="shared" si="33"/>
        <v/>
      </c>
      <c r="W110" s="28" t="str">
        <f t="shared" si="33"/>
        <v/>
      </c>
      <c r="X110" s="29" t="str">
        <f t="shared" si="3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8"/>
        <v/>
      </c>
      <c r="M111" s="19" t="str">
        <f t="shared" si="30"/>
        <v/>
      </c>
      <c r="N111" s="19" t="str">
        <f t="shared" si="31"/>
        <v/>
      </c>
      <c r="O111" s="19" t="str">
        <f t="shared" si="34"/>
        <v/>
      </c>
      <c r="P111" s="19" t="str">
        <f t="shared" si="35"/>
        <v/>
      </c>
      <c r="Q111" s="19" t="str">
        <f t="shared" si="36"/>
        <v/>
      </c>
      <c r="R111" s="19" t="str">
        <f t="shared" si="32"/>
        <v/>
      </c>
      <c r="S111" s="27" t="str">
        <f t="shared" si="33"/>
        <v/>
      </c>
      <c r="T111" s="28" t="str">
        <f t="shared" si="33"/>
        <v/>
      </c>
      <c r="U111" s="28" t="str">
        <f t="shared" si="33"/>
        <v/>
      </c>
      <c r="V111" s="28" t="str">
        <f t="shared" si="33"/>
        <v/>
      </c>
      <c r="W111" s="28" t="str">
        <f t="shared" si="33"/>
        <v/>
      </c>
      <c r="X111" s="29" t="str">
        <f t="shared" si="3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8"/>
        <v/>
      </c>
      <c r="M112" s="19" t="str">
        <f t="shared" si="30"/>
        <v/>
      </c>
      <c r="N112" s="19" t="str">
        <f t="shared" si="31"/>
        <v/>
      </c>
      <c r="O112" s="19" t="str">
        <f t="shared" si="34"/>
        <v/>
      </c>
      <c r="P112" s="19" t="str">
        <f t="shared" si="35"/>
        <v/>
      </c>
      <c r="Q112" s="19" t="str">
        <f t="shared" si="36"/>
        <v/>
      </c>
      <c r="R112" s="19" t="str">
        <f t="shared" si="32"/>
        <v/>
      </c>
      <c r="S112" s="27" t="str">
        <f t="shared" si="33"/>
        <v/>
      </c>
      <c r="T112" s="28" t="str">
        <f t="shared" si="33"/>
        <v/>
      </c>
      <c r="U112" s="28" t="str">
        <f t="shared" si="33"/>
        <v/>
      </c>
      <c r="V112" s="28" t="str">
        <f t="shared" si="33"/>
        <v/>
      </c>
      <c r="W112" s="28" t="str">
        <f t="shared" si="33"/>
        <v/>
      </c>
      <c r="X112" s="29" t="str">
        <f t="shared" si="3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8"/>
        <v/>
      </c>
      <c r="M113" s="19" t="str">
        <f t="shared" si="30"/>
        <v/>
      </c>
      <c r="N113" s="19" t="str">
        <f t="shared" si="31"/>
        <v/>
      </c>
      <c r="O113" s="19" t="str">
        <f t="shared" si="34"/>
        <v/>
      </c>
      <c r="P113" s="19" t="str">
        <f t="shared" si="35"/>
        <v/>
      </c>
      <c r="Q113" s="19" t="str">
        <f t="shared" si="36"/>
        <v/>
      </c>
      <c r="R113" s="19" t="str">
        <f t="shared" si="32"/>
        <v/>
      </c>
      <c r="S113" s="27" t="str">
        <f t="shared" ref="S113:X128" si="37">IF(C113="","",((C113-C112)*1000)/($B113-$B112))</f>
        <v/>
      </c>
      <c r="T113" s="28" t="str">
        <f t="shared" si="37"/>
        <v/>
      </c>
      <c r="U113" s="28" t="str">
        <f t="shared" si="37"/>
        <v/>
      </c>
      <c r="V113" s="28" t="str">
        <f t="shared" si="37"/>
        <v/>
      </c>
      <c r="W113" s="28" t="str">
        <f t="shared" si="37"/>
        <v/>
      </c>
      <c r="X113" s="29" t="str">
        <f t="shared" si="37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8"/>
        <v/>
      </c>
      <c r="M114" s="19" t="str">
        <f t="shared" si="30"/>
        <v/>
      </c>
      <c r="N114" s="19" t="str">
        <f t="shared" si="31"/>
        <v/>
      </c>
      <c r="O114" s="19" t="str">
        <f t="shared" si="34"/>
        <v/>
      </c>
      <c r="P114" s="19" t="str">
        <f t="shared" si="35"/>
        <v/>
      </c>
      <c r="Q114" s="19" t="str">
        <f t="shared" si="36"/>
        <v/>
      </c>
      <c r="R114" s="19" t="str">
        <f t="shared" si="32"/>
        <v/>
      </c>
      <c r="S114" s="27" t="str">
        <f t="shared" si="37"/>
        <v/>
      </c>
      <c r="T114" s="28" t="str">
        <f t="shared" si="37"/>
        <v/>
      </c>
      <c r="U114" s="28" t="str">
        <f t="shared" si="37"/>
        <v/>
      </c>
      <c r="V114" s="28" t="str">
        <f t="shared" si="37"/>
        <v/>
      </c>
      <c r="W114" s="28" t="str">
        <f t="shared" si="37"/>
        <v/>
      </c>
      <c r="X114" s="29" t="str">
        <f t="shared" si="3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8"/>
        <v/>
      </c>
      <c r="M115" s="19" t="str">
        <f t="shared" si="30"/>
        <v/>
      </c>
      <c r="N115" s="19" t="str">
        <f t="shared" si="31"/>
        <v/>
      </c>
      <c r="O115" s="19" t="str">
        <f t="shared" si="34"/>
        <v/>
      </c>
      <c r="P115" s="19" t="str">
        <f t="shared" si="35"/>
        <v/>
      </c>
      <c r="Q115" s="19" t="str">
        <f t="shared" si="36"/>
        <v/>
      </c>
      <c r="R115" s="19" t="str">
        <f t="shared" si="32"/>
        <v/>
      </c>
      <c r="S115" s="27" t="str">
        <f t="shared" si="37"/>
        <v/>
      </c>
      <c r="T115" s="28" t="str">
        <f t="shared" si="37"/>
        <v/>
      </c>
      <c r="U115" s="28" t="str">
        <f t="shared" si="37"/>
        <v/>
      </c>
      <c r="V115" s="28" t="str">
        <f t="shared" si="37"/>
        <v/>
      </c>
      <c r="W115" s="28" t="str">
        <f t="shared" si="37"/>
        <v/>
      </c>
      <c r="X115" s="29" t="str">
        <f t="shared" si="3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8"/>
        <v/>
      </c>
      <c r="M116" s="19" t="str">
        <f t="shared" si="30"/>
        <v/>
      </c>
      <c r="N116" s="19" t="str">
        <f t="shared" si="31"/>
        <v/>
      </c>
      <c r="O116" s="19" t="str">
        <f t="shared" si="34"/>
        <v/>
      </c>
      <c r="P116" s="19" t="str">
        <f t="shared" si="35"/>
        <v/>
      </c>
      <c r="Q116" s="19" t="str">
        <f t="shared" si="36"/>
        <v/>
      </c>
      <c r="R116" s="19" t="str">
        <f t="shared" si="32"/>
        <v/>
      </c>
      <c r="S116" s="27" t="str">
        <f t="shared" si="37"/>
        <v/>
      </c>
      <c r="T116" s="28" t="str">
        <f t="shared" si="37"/>
        <v/>
      </c>
      <c r="U116" s="28" t="str">
        <f t="shared" si="37"/>
        <v/>
      </c>
      <c r="V116" s="28" t="str">
        <f t="shared" si="37"/>
        <v/>
      </c>
      <c r="W116" s="28" t="str">
        <f t="shared" si="37"/>
        <v/>
      </c>
      <c r="X116" s="29" t="str">
        <f t="shared" si="3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28"/>
        <v/>
      </c>
      <c r="M117" s="19" t="str">
        <f t="shared" si="30"/>
        <v/>
      </c>
      <c r="N117" s="19" t="str">
        <f t="shared" si="31"/>
        <v/>
      </c>
      <c r="O117" s="19" t="str">
        <f t="shared" si="34"/>
        <v/>
      </c>
      <c r="P117" s="19" t="str">
        <f t="shared" si="35"/>
        <v/>
      </c>
      <c r="Q117" s="19" t="str">
        <f t="shared" si="36"/>
        <v/>
      </c>
      <c r="R117" s="19" t="str">
        <f t="shared" si="32"/>
        <v/>
      </c>
      <c r="S117" s="27" t="str">
        <f t="shared" si="37"/>
        <v/>
      </c>
      <c r="T117" s="28" t="str">
        <f t="shared" si="37"/>
        <v/>
      </c>
      <c r="U117" s="28" t="str">
        <f t="shared" si="37"/>
        <v/>
      </c>
      <c r="V117" s="28" t="str">
        <f t="shared" si="37"/>
        <v/>
      </c>
      <c r="W117" s="28" t="str">
        <f t="shared" si="37"/>
        <v/>
      </c>
      <c r="X117" s="29" t="str">
        <f t="shared" si="3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28"/>
        <v/>
      </c>
      <c r="M118" s="19" t="str">
        <f t="shared" si="30"/>
        <v/>
      </c>
      <c r="N118" s="19" t="str">
        <f t="shared" si="31"/>
        <v/>
      </c>
      <c r="O118" s="19" t="str">
        <f t="shared" si="34"/>
        <v/>
      </c>
      <c r="P118" s="19" t="str">
        <f t="shared" si="35"/>
        <v/>
      </c>
      <c r="Q118" s="19" t="str">
        <f t="shared" si="36"/>
        <v/>
      </c>
      <c r="R118" s="19" t="str">
        <f t="shared" si="32"/>
        <v/>
      </c>
      <c r="S118" s="27" t="str">
        <f t="shared" si="37"/>
        <v/>
      </c>
      <c r="T118" s="28" t="str">
        <f t="shared" si="37"/>
        <v/>
      </c>
      <c r="U118" s="28" t="str">
        <f t="shared" si="37"/>
        <v/>
      </c>
      <c r="V118" s="28" t="str">
        <f t="shared" si="37"/>
        <v/>
      </c>
      <c r="W118" s="28" t="str">
        <f t="shared" si="37"/>
        <v/>
      </c>
      <c r="X118" s="29" t="str">
        <f t="shared" si="3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8"/>
        <v/>
      </c>
      <c r="M119" s="19" t="str">
        <f t="shared" si="30"/>
        <v/>
      </c>
      <c r="N119" s="19" t="str">
        <f t="shared" si="31"/>
        <v/>
      </c>
      <c r="O119" s="19" t="str">
        <f t="shared" si="34"/>
        <v/>
      </c>
      <c r="P119" s="19" t="str">
        <f t="shared" si="35"/>
        <v/>
      </c>
      <c r="Q119" s="19" t="str">
        <f t="shared" si="36"/>
        <v/>
      </c>
      <c r="R119" s="19" t="str">
        <f t="shared" si="32"/>
        <v/>
      </c>
      <c r="S119" s="27" t="str">
        <f t="shared" si="37"/>
        <v/>
      </c>
      <c r="T119" s="28" t="str">
        <f t="shared" si="37"/>
        <v/>
      </c>
      <c r="U119" s="28" t="str">
        <f t="shared" si="37"/>
        <v/>
      </c>
      <c r="V119" s="28" t="str">
        <f t="shared" si="37"/>
        <v/>
      </c>
      <c r="W119" s="28" t="str">
        <f t="shared" si="37"/>
        <v/>
      </c>
      <c r="X119" s="29" t="str">
        <f t="shared" si="3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8"/>
        <v/>
      </c>
      <c r="M120" s="19" t="str">
        <f t="shared" si="30"/>
        <v/>
      </c>
      <c r="N120" s="19" t="str">
        <f t="shared" si="31"/>
        <v/>
      </c>
      <c r="O120" s="19" t="str">
        <f t="shared" si="34"/>
        <v/>
      </c>
      <c r="P120" s="19" t="str">
        <f t="shared" si="35"/>
        <v/>
      </c>
      <c r="Q120" s="19" t="str">
        <f t="shared" si="36"/>
        <v/>
      </c>
      <c r="R120" s="19" t="str">
        <f t="shared" si="32"/>
        <v/>
      </c>
      <c r="S120" s="27" t="str">
        <f t="shared" si="37"/>
        <v/>
      </c>
      <c r="T120" s="28" t="str">
        <f t="shared" si="37"/>
        <v/>
      </c>
      <c r="U120" s="28" t="str">
        <f t="shared" si="37"/>
        <v/>
      </c>
      <c r="V120" s="28" t="str">
        <f t="shared" si="37"/>
        <v/>
      </c>
      <c r="W120" s="28" t="str">
        <f t="shared" si="37"/>
        <v/>
      </c>
      <c r="X120" s="29" t="str">
        <f t="shared" si="3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8"/>
        <v/>
      </c>
      <c r="M121" s="19" t="str">
        <f t="shared" si="30"/>
        <v/>
      </c>
      <c r="N121" s="19" t="str">
        <f t="shared" si="31"/>
        <v/>
      </c>
      <c r="O121" s="19" t="str">
        <f t="shared" si="34"/>
        <v/>
      </c>
      <c r="P121" s="19" t="str">
        <f t="shared" si="35"/>
        <v/>
      </c>
      <c r="Q121" s="19" t="str">
        <f t="shared" si="36"/>
        <v/>
      </c>
      <c r="R121" s="19" t="str">
        <f t="shared" si="32"/>
        <v/>
      </c>
      <c r="S121" s="27" t="str">
        <f t="shared" si="37"/>
        <v/>
      </c>
      <c r="T121" s="28" t="str">
        <f t="shared" si="37"/>
        <v/>
      </c>
      <c r="U121" s="28" t="str">
        <f t="shared" si="37"/>
        <v/>
      </c>
      <c r="V121" s="28" t="str">
        <f t="shared" si="37"/>
        <v/>
      </c>
      <c r="W121" s="28" t="str">
        <f t="shared" si="37"/>
        <v/>
      </c>
      <c r="X121" s="29" t="str">
        <f t="shared" si="3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8"/>
        <v/>
      </c>
      <c r="M122" s="19" t="str">
        <f t="shared" si="30"/>
        <v/>
      </c>
      <c r="N122" s="19" t="str">
        <f t="shared" si="31"/>
        <v/>
      </c>
      <c r="O122" s="19" t="str">
        <f t="shared" si="34"/>
        <v/>
      </c>
      <c r="P122" s="19" t="str">
        <f t="shared" si="35"/>
        <v/>
      </c>
      <c r="Q122" s="19" t="str">
        <f t="shared" si="36"/>
        <v/>
      </c>
      <c r="R122" s="19" t="str">
        <f t="shared" si="32"/>
        <v/>
      </c>
      <c r="S122" s="27" t="str">
        <f t="shared" si="37"/>
        <v/>
      </c>
      <c r="T122" s="28" t="str">
        <f t="shared" si="37"/>
        <v/>
      </c>
      <c r="U122" s="28" t="str">
        <f t="shared" si="37"/>
        <v/>
      </c>
      <c r="V122" s="28" t="str">
        <f t="shared" si="37"/>
        <v/>
      </c>
      <c r="W122" s="28" t="str">
        <f t="shared" si="37"/>
        <v/>
      </c>
      <c r="X122" s="29" t="str">
        <f t="shared" si="3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8"/>
        <v/>
      </c>
      <c r="M123" s="19" t="str">
        <f t="shared" si="30"/>
        <v/>
      </c>
      <c r="N123" s="19" t="str">
        <f t="shared" si="31"/>
        <v/>
      </c>
      <c r="O123" s="19" t="str">
        <f t="shared" si="34"/>
        <v/>
      </c>
      <c r="P123" s="19" t="str">
        <f t="shared" si="35"/>
        <v/>
      </c>
      <c r="Q123" s="19" t="str">
        <f t="shared" si="36"/>
        <v/>
      </c>
      <c r="R123" s="19" t="str">
        <f t="shared" si="32"/>
        <v/>
      </c>
      <c r="S123" s="27" t="str">
        <f t="shared" si="37"/>
        <v/>
      </c>
      <c r="T123" s="28" t="str">
        <f t="shared" si="37"/>
        <v/>
      </c>
      <c r="U123" s="28" t="str">
        <f t="shared" si="37"/>
        <v/>
      </c>
      <c r="V123" s="28" t="str">
        <f t="shared" si="37"/>
        <v/>
      </c>
      <c r="W123" s="28" t="str">
        <f t="shared" si="37"/>
        <v/>
      </c>
      <c r="X123" s="29" t="str">
        <f t="shared" si="3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8"/>
        <v/>
      </c>
      <c r="M124" s="19" t="str">
        <f t="shared" si="30"/>
        <v/>
      </c>
      <c r="N124" s="19" t="str">
        <f t="shared" si="31"/>
        <v/>
      </c>
      <c r="O124" s="19" t="str">
        <f t="shared" si="34"/>
        <v/>
      </c>
      <c r="P124" s="19" t="str">
        <f t="shared" si="35"/>
        <v/>
      </c>
      <c r="Q124" s="19" t="str">
        <f t="shared" si="36"/>
        <v/>
      </c>
      <c r="R124" s="19" t="str">
        <f t="shared" si="32"/>
        <v/>
      </c>
      <c r="S124" s="27" t="str">
        <f t="shared" si="37"/>
        <v/>
      </c>
      <c r="T124" s="28" t="str">
        <f t="shared" si="37"/>
        <v/>
      </c>
      <c r="U124" s="28" t="str">
        <f t="shared" si="37"/>
        <v/>
      </c>
      <c r="V124" s="28" t="str">
        <f t="shared" si="37"/>
        <v/>
      </c>
      <c r="W124" s="28" t="str">
        <f t="shared" si="37"/>
        <v/>
      </c>
      <c r="X124" s="29" t="str">
        <f t="shared" si="3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8"/>
        <v/>
      </c>
      <c r="M125" s="19" t="str">
        <f t="shared" si="30"/>
        <v/>
      </c>
      <c r="N125" s="19" t="str">
        <f t="shared" si="31"/>
        <v/>
      </c>
      <c r="O125" s="19" t="str">
        <f t="shared" si="34"/>
        <v/>
      </c>
      <c r="P125" s="19" t="str">
        <f t="shared" si="35"/>
        <v/>
      </c>
      <c r="Q125" s="19" t="str">
        <f t="shared" si="36"/>
        <v/>
      </c>
      <c r="R125" s="19" t="str">
        <f t="shared" si="32"/>
        <v/>
      </c>
      <c r="S125" s="27" t="str">
        <f t="shared" si="37"/>
        <v/>
      </c>
      <c r="T125" s="28" t="str">
        <f t="shared" si="37"/>
        <v/>
      </c>
      <c r="U125" s="28" t="str">
        <f t="shared" si="37"/>
        <v/>
      </c>
      <c r="V125" s="28" t="str">
        <f t="shared" si="37"/>
        <v/>
      </c>
      <c r="W125" s="28" t="str">
        <f t="shared" si="37"/>
        <v/>
      </c>
      <c r="X125" s="29" t="str">
        <f t="shared" si="3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8"/>
        <v/>
      </c>
      <c r="M126" s="19" t="str">
        <f t="shared" si="30"/>
        <v/>
      </c>
      <c r="N126" s="19" t="str">
        <f t="shared" si="31"/>
        <v/>
      </c>
      <c r="O126" s="19" t="str">
        <f t="shared" si="34"/>
        <v/>
      </c>
      <c r="P126" s="19" t="str">
        <f t="shared" si="35"/>
        <v/>
      </c>
      <c r="Q126" s="19" t="str">
        <f t="shared" si="36"/>
        <v/>
      </c>
      <c r="R126" s="19" t="str">
        <f t="shared" si="32"/>
        <v/>
      </c>
      <c r="S126" s="27" t="str">
        <f t="shared" si="37"/>
        <v/>
      </c>
      <c r="T126" s="28" t="str">
        <f t="shared" si="37"/>
        <v/>
      </c>
      <c r="U126" s="28" t="str">
        <f t="shared" si="37"/>
        <v/>
      </c>
      <c r="V126" s="28" t="str">
        <f t="shared" si="37"/>
        <v/>
      </c>
      <c r="W126" s="28" t="str">
        <f t="shared" si="37"/>
        <v/>
      </c>
      <c r="X126" s="29" t="str">
        <f t="shared" si="3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8"/>
        <v/>
      </c>
      <c r="M127" s="19" t="str">
        <f t="shared" si="30"/>
        <v/>
      </c>
      <c r="N127" s="19" t="str">
        <f t="shared" si="31"/>
        <v/>
      </c>
      <c r="O127" s="19" t="str">
        <f t="shared" si="34"/>
        <v/>
      </c>
      <c r="P127" s="19" t="str">
        <f t="shared" si="35"/>
        <v/>
      </c>
      <c r="Q127" s="19" t="str">
        <f t="shared" si="36"/>
        <v/>
      </c>
      <c r="R127" s="19" t="str">
        <f t="shared" si="32"/>
        <v/>
      </c>
      <c r="S127" s="27" t="str">
        <f t="shared" si="37"/>
        <v/>
      </c>
      <c r="T127" s="28" t="str">
        <f t="shared" si="37"/>
        <v/>
      </c>
      <c r="U127" s="28" t="str">
        <f t="shared" si="37"/>
        <v/>
      </c>
      <c r="V127" s="28" t="str">
        <f t="shared" si="37"/>
        <v/>
      </c>
      <c r="W127" s="28" t="str">
        <f t="shared" si="37"/>
        <v/>
      </c>
      <c r="X127" s="29" t="str">
        <f t="shared" si="3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8"/>
        <v/>
      </c>
      <c r="M128" s="19" t="str">
        <f t="shared" si="30"/>
        <v/>
      </c>
      <c r="N128" s="19" t="str">
        <f t="shared" si="31"/>
        <v/>
      </c>
      <c r="O128" s="19" t="str">
        <f t="shared" si="34"/>
        <v/>
      </c>
      <c r="P128" s="19" t="str">
        <f t="shared" si="35"/>
        <v/>
      </c>
      <c r="Q128" s="19" t="str">
        <f t="shared" si="36"/>
        <v/>
      </c>
      <c r="R128" s="19" t="str">
        <f t="shared" si="32"/>
        <v/>
      </c>
      <c r="S128" s="27" t="str">
        <f t="shared" si="37"/>
        <v/>
      </c>
      <c r="T128" s="28" t="str">
        <f t="shared" si="37"/>
        <v/>
      </c>
      <c r="U128" s="28" t="str">
        <f t="shared" si="37"/>
        <v/>
      </c>
      <c r="V128" s="28" t="str">
        <f t="shared" si="37"/>
        <v/>
      </c>
      <c r="W128" s="28" t="str">
        <f t="shared" si="37"/>
        <v/>
      </c>
      <c r="X128" s="29" t="str">
        <f t="shared" si="3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8"/>
        <v/>
      </c>
      <c r="M129" s="19" t="str">
        <f t="shared" si="30"/>
        <v/>
      </c>
      <c r="N129" s="19" t="str">
        <f t="shared" si="31"/>
        <v/>
      </c>
      <c r="O129" s="19" t="str">
        <f t="shared" si="34"/>
        <v/>
      </c>
      <c r="P129" s="19" t="str">
        <f t="shared" si="35"/>
        <v/>
      </c>
      <c r="Q129" s="19" t="str">
        <f t="shared" si="36"/>
        <v/>
      </c>
      <c r="R129" s="19" t="str">
        <f t="shared" si="32"/>
        <v/>
      </c>
      <c r="S129" s="27" t="str">
        <f t="shared" ref="S129:X144" si="38">IF(C129="","",((C129-C128)*1000)/($B129-$B128))</f>
        <v/>
      </c>
      <c r="T129" s="28" t="str">
        <f t="shared" si="38"/>
        <v/>
      </c>
      <c r="U129" s="28" t="str">
        <f t="shared" si="38"/>
        <v/>
      </c>
      <c r="V129" s="28" t="str">
        <f t="shared" si="38"/>
        <v/>
      </c>
      <c r="W129" s="28" t="str">
        <f t="shared" si="38"/>
        <v/>
      </c>
      <c r="X129" s="29" t="str">
        <f t="shared" si="38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8"/>
        <v/>
      </c>
      <c r="M130" s="19" t="str">
        <f t="shared" si="30"/>
        <v/>
      </c>
      <c r="N130" s="19" t="str">
        <f t="shared" si="31"/>
        <v/>
      </c>
      <c r="O130" s="19" t="str">
        <f t="shared" si="34"/>
        <v/>
      </c>
      <c r="P130" s="19" t="str">
        <f t="shared" si="35"/>
        <v/>
      </c>
      <c r="Q130" s="19" t="str">
        <f t="shared" si="36"/>
        <v/>
      </c>
      <c r="R130" s="19" t="str">
        <f t="shared" si="32"/>
        <v/>
      </c>
      <c r="S130" s="27" t="str">
        <f t="shared" si="38"/>
        <v/>
      </c>
      <c r="T130" s="28" t="str">
        <f t="shared" si="38"/>
        <v/>
      </c>
      <c r="U130" s="28" t="str">
        <f t="shared" si="38"/>
        <v/>
      </c>
      <c r="V130" s="28" t="str">
        <f t="shared" si="38"/>
        <v/>
      </c>
      <c r="W130" s="28" t="str">
        <f t="shared" si="38"/>
        <v/>
      </c>
      <c r="X130" s="29" t="str">
        <f t="shared" si="38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8"/>
        <v/>
      </c>
      <c r="M131" s="19" t="str">
        <f t="shared" si="30"/>
        <v/>
      </c>
      <c r="N131" s="19" t="str">
        <f t="shared" si="31"/>
        <v/>
      </c>
      <c r="O131" s="19" t="str">
        <f t="shared" si="34"/>
        <v/>
      </c>
      <c r="P131" s="19" t="str">
        <f t="shared" si="35"/>
        <v/>
      </c>
      <c r="Q131" s="19" t="str">
        <f t="shared" si="36"/>
        <v/>
      </c>
      <c r="R131" s="19" t="str">
        <f t="shared" si="32"/>
        <v/>
      </c>
      <c r="S131" s="27" t="str">
        <f t="shared" si="38"/>
        <v/>
      </c>
      <c r="T131" s="28" t="str">
        <f t="shared" si="38"/>
        <v/>
      </c>
      <c r="U131" s="28" t="str">
        <f t="shared" si="38"/>
        <v/>
      </c>
      <c r="V131" s="28" t="str">
        <f t="shared" si="38"/>
        <v/>
      </c>
      <c r="W131" s="28" t="str">
        <f t="shared" si="38"/>
        <v/>
      </c>
      <c r="X131" s="29" t="str">
        <f t="shared" si="38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8"/>
        <v/>
      </c>
      <c r="M132" s="19" t="str">
        <f t="shared" si="30"/>
        <v/>
      </c>
      <c r="N132" s="19" t="str">
        <f t="shared" si="31"/>
        <v/>
      </c>
      <c r="O132" s="19" t="str">
        <f t="shared" si="34"/>
        <v/>
      </c>
      <c r="P132" s="19" t="str">
        <f t="shared" si="35"/>
        <v/>
      </c>
      <c r="Q132" s="19" t="str">
        <f t="shared" si="36"/>
        <v/>
      </c>
      <c r="R132" s="19" t="str">
        <f t="shared" si="32"/>
        <v/>
      </c>
      <c r="S132" s="27" t="str">
        <f t="shared" si="38"/>
        <v/>
      </c>
      <c r="T132" s="28" t="str">
        <f t="shared" si="38"/>
        <v/>
      </c>
      <c r="U132" s="28" t="str">
        <f t="shared" si="38"/>
        <v/>
      </c>
      <c r="V132" s="28" t="str">
        <f t="shared" si="38"/>
        <v/>
      </c>
      <c r="W132" s="28" t="str">
        <f t="shared" si="38"/>
        <v/>
      </c>
      <c r="X132" s="29" t="str">
        <f t="shared" si="38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ref="L133:L153" si="39">IF(ISBLANK(C133),"",(C133-C$16)*1000)</f>
        <v/>
      </c>
      <c r="M133" s="19" t="str">
        <f t="shared" si="30"/>
        <v/>
      </c>
      <c r="N133" s="19" t="str">
        <f t="shared" si="31"/>
        <v/>
      </c>
      <c r="O133" s="19" t="str">
        <f t="shared" si="34"/>
        <v/>
      </c>
      <c r="P133" s="19" t="str">
        <f t="shared" si="35"/>
        <v/>
      </c>
      <c r="Q133" s="19" t="str">
        <f t="shared" si="36"/>
        <v/>
      </c>
      <c r="R133" s="19" t="str">
        <f t="shared" si="32"/>
        <v/>
      </c>
      <c r="S133" s="27" t="str">
        <f t="shared" si="38"/>
        <v/>
      </c>
      <c r="T133" s="28" t="str">
        <f t="shared" si="38"/>
        <v/>
      </c>
      <c r="U133" s="28" t="str">
        <f t="shared" si="38"/>
        <v/>
      </c>
      <c r="V133" s="28" t="str">
        <f t="shared" si="38"/>
        <v/>
      </c>
      <c r="W133" s="28" t="str">
        <f t="shared" si="38"/>
        <v/>
      </c>
      <c r="X133" s="29" t="str">
        <f t="shared" si="38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9"/>
        <v/>
      </c>
      <c r="M134" s="19" t="str">
        <f t="shared" si="30"/>
        <v/>
      </c>
      <c r="N134" s="19" t="str">
        <f t="shared" si="31"/>
        <v/>
      </c>
      <c r="O134" s="19" t="str">
        <f t="shared" si="34"/>
        <v/>
      </c>
      <c r="P134" s="19" t="str">
        <f t="shared" si="35"/>
        <v/>
      </c>
      <c r="Q134" s="19" t="str">
        <f t="shared" si="36"/>
        <v/>
      </c>
      <c r="R134" s="19" t="str">
        <f t="shared" si="32"/>
        <v/>
      </c>
      <c r="S134" s="27" t="str">
        <f t="shared" si="38"/>
        <v/>
      </c>
      <c r="T134" s="28" t="str">
        <f t="shared" si="38"/>
        <v/>
      </c>
      <c r="U134" s="28" t="str">
        <f t="shared" si="38"/>
        <v/>
      </c>
      <c r="V134" s="28" t="str">
        <f t="shared" si="38"/>
        <v/>
      </c>
      <c r="W134" s="28" t="str">
        <f t="shared" si="38"/>
        <v/>
      </c>
      <c r="X134" s="29" t="str">
        <f t="shared" si="38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9"/>
        <v/>
      </c>
      <c r="M135" s="19" t="str">
        <f t="shared" si="30"/>
        <v/>
      </c>
      <c r="N135" s="19" t="str">
        <f t="shared" si="31"/>
        <v/>
      </c>
      <c r="O135" s="19" t="str">
        <f t="shared" si="34"/>
        <v/>
      </c>
      <c r="P135" s="19" t="str">
        <f t="shared" si="35"/>
        <v/>
      </c>
      <c r="Q135" s="19" t="str">
        <f t="shared" si="36"/>
        <v/>
      </c>
      <c r="R135" s="19" t="str">
        <f t="shared" si="32"/>
        <v/>
      </c>
      <c r="S135" s="27" t="str">
        <f t="shared" si="38"/>
        <v/>
      </c>
      <c r="T135" s="28" t="str">
        <f t="shared" si="38"/>
        <v/>
      </c>
      <c r="U135" s="28" t="str">
        <f t="shared" si="38"/>
        <v/>
      </c>
      <c r="V135" s="28" t="str">
        <f t="shared" si="38"/>
        <v/>
      </c>
      <c r="W135" s="28" t="str">
        <f t="shared" si="38"/>
        <v/>
      </c>
      <c r="X135" s="29" t="str">
        <f t="shared" si="38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9"/>
        <v/>
      </c>
      <c r="M136" s="19" t="str">
        <f t="shared" si="30"/>
        <v/>
      </c>
      <c r="N136" s="19" t="str">
        <f t="shared" si="31"/>
        <v/>
      </c>
      <c r="O136" s="19" t="str">
        <f t="shared" si="34"/>
        <v/>
      </c>
      <c r="P136" s="19" t="str">
        <f t="shared" si="35"/>
        <v/>
      </c>
      <c r="Q136" s="19" t="str">
        <f t="shared" si="36"/>
        <v/>
      </c>
      <c r="R136" s="19" t="str">
        <f t="shared" si="32"/>
        <v/>
      </c>
      <c r="S136" s="27" t="str">
        <f t="shared" si="38"/>
        <v/>
      </c>
      <c r="T136" s="28" t="str">
        <f t="shared" si="38"/>
        <v/>
      </c>
      <c r="U136" s="28" t="str">
        <f t="shared" si="38"/>
        <v/>
      </c>
      <c r="V136" s="28" t="str">
        <f t="shared" si="38"/>
        <v/>
      </c>
      <c r="W136" s="28" t="str">
        <f t="shared" si="38"/>
        <v/>
      </c>
      <c r="X136" s="29" t="str">
        <f t="shared" si="38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9"/>
        <v/>
      </c>
      <c r="M137" s="19" t="str">
        <f t="shared" si="30"/>
        <v/>
      </c>
      <c r="N137" s="19" t="str">
        <f t="shared" si="31"/>
        <v/>
      </c>
      <c r="O137" s="19" t="str">
        <f t="shared" si="34"/>
        <v/>
      </c>
      <c r="P137" s="19" t="str">
        <f t="shared" si="35"/>
        <v/>
      </c>
      <c r="Q137" s="19" t="str">
        <f t="shared" si="36"/>
        <v/>
      </c>
      <c r="R137" s="19" t="str">
        <f t="shared" si="32"/>
        <v/>
      </c>
      <c r="S137" s="27" t="str">
        <f t="shared" si="38"/>
        <v/>
      </c>
      <c r="T137" s="28" t="str">
        <f t="shared" si="38"/>
        <v/>
      </c>
      <c r="U137" s="28" t="str">
        <f t="shared" si="38"/>
        <v/>
      </c>
      <c r="V137" s="28" t="str">
        <f t="shared" si="38"/>
        <v/>
      </c>
      <c r="W137" s="28" t="str">
        <f t="shared" si="38"/>
        <v/>
      </c>
      <c r="X137" s="29" t="str">
        <f t="shared" si="38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9"/>
        <v/>
      </c>
      <c r="M138" s="19" t="str">
        <f t="shared" si="30"/>
        <v/>
      </c>
      <c r="N138" s="19" t="str">
        <f t="shared" si="31"/>
        <v/>
      </c>
      <c r="O138" s="19" t="str">
        <f t="shared" si="34"/>
        <v/>
      </c>
      <c r="P138" s="19" t="str">
        <f t="shared" si="35"/>
        <v/>
      </c>
      <c r="Q138" s="19" t="str">
        <f t="shared" si="36"/>
        <v/>
      </c>
      <c r="R138" s="19" t="str">
        <f t="shared" si="32"/>
        <v/>
      </c>
      <c r="S138" s="27" t="str">
        <f t="shared" si="38"/>
        <v/>
      </c>
      <c r="T138" s="28" t="str">
        <f t="shared" si="38"/>
        <v/>
      </c>
      <c r="U138" s="28" t="str">
        <f t="shared" si="38"/>
        <v/>
      </c>
      <c r="V138" s="28" t="str">
        <f t="shared" si="38"/>
        <v/>
      </c>
      <c r="W138" s="28" t="str">
        <f t="shared" si="38"/>
        <v/>
      </c>
      <c r="X138" s="29" t="str">
        <f t="shared" si="38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9"/>
        <v/>
      </c>
      <c r="M139" s="19" t="str">
        <f t="shared" si="30"/>
        <v/>
      </c>
      <c r="N139" s="19" t="str">
        <f t="shared" si="31"/>
        <v/>
      </c>
      <c r="O139" s="19" t="str">
        <f t="shared" si="34"/>
        <v/>
      </c>
      <c r="P139" s="19" t="str">
        <f t="shared" si="35"/>
        <v/>
      </c>
      <c r="Q139" s="19" t="str">
        <f t="shared" si="36"/>
        <v/>
      </c>
      <c r="R139" s="19" t="str">
        <f t="shared" si="32"/>
        <v/>
      </c>
      <c r="S139" s="27" t="str">
        <f t="shared" si="38"/>
        <v/>
      </c>
      <c r="T139" s="28" t="str">
        <f t="shared" si="38"/>
        <v/>
      </c>
      <c r="U139" s="28" t="str">
        <f t="shared" si="38"/>
        <v/>
      </c>
      <c r="V139" s="28" t="str">
        <f t="shared" si="38"/>
        <v/>
      </c>
      <c r="W139" s="28" t="str">
        <f t="shared" si="38"/>
        <v/>
      </c>
      <c r="X139" s="29" t="str">
        <f t="shared" si="38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9"/>
        <v/>
      </c>
      <c r="M140" s="19" t="str">
        <f t="shared" si="30"/>
        <v/>
      </c>
      <c r="N140" s="19" t="str">
        <f t="shared" si="31"/>
        <v/>
      </c>
      <c r="O140" s="19" t="str">
        <f t="shared" si="34"/>
        <v/>
      </c>
      <c r="P140" s="19" t="str">
        <f t="shared" si="35"/>
        <v/>
      </c>
      <c r="Q140" s="19" t="str">
        <f t="shared" si="36"/>
        <v/>
      </c>
      <c r="R140" s="19" t="str">
        <f t="shared" si="32"/>
        <v/>
      </c>
      <c r="S140" s="27" t="str">
        <f t="shared" si="38"/>
        <v/>
      </c>
      <c r="T140" s="28" t="str">
        <f t="shared" si="38"/>
        <v/>
      </c>
      <c r="U140" s="28" t="str">
        <f t="shared" si="38"/>
        <v/>
      </c>
      <c r="V140" s="28" t="str">
        <f t="shared" si="38"/>
        <v/>
      </c>
      <c r="W140" s="28" t="str">
        <f t="shared" si="38"/>
        <v/>
      </c>
      <c r="X140" s="29" t="str">
        <f t="shared" si="38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9"/>
        <v/>
      </c>
      <c r="M141" s="19" t="str">
        <f t="shared" si="30"/>
        <v/>
      </c>
      <c r="N141" s="19" t="str">
        <f t="shared" si="31"/>
        <v/>
      </c>
      <c r="O141" s="19" t="str">
        <f t="shared" si="34"/>
        <v/>
      </c>
      <c r="P141" s="19" t="str">
        <f t="shared" si="35"/>
        <v/>
      </c>
      <c r="Q141" s="19" t="str">
        <f t="shared" si="36"/>
        <v/>
      </c>
      <c r="R141" s="19" t="str">
        <f t="shared" si="32"/>
        <v/>
      </c>
      <c r="S141" s="27" t="str">
        <f t="shared" si="38"/>
        <v/>
      </c>
      <c r="T141" s="28" t="str">
        <f t="shared" si="38"/>
        <v/>
      </c>
      <c r="U141" s="28" t="str">
        <f t="shared" si="38"/>
        <v/>
      </c>
      <c r="V141" s="28" t="str">
        <f t="shared" si="38"/>
        <v/>
      </c>
      <c r="W141" s="28" t="str">
        <f t="shared" si="38"/>
        <v/>
      </c>
      <c r="X141" s="29" t="str">
        <f t="shared" si="38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9"/>
        <v/>
      </c>
      <c r="M142" s="19" t="str">
        <f t="shared" si="30"/>
        <v/>
      </c>
      <c r="N142" s="19" t="str">
        <f t="shared" si="31"/>
        <v/>
      </c>
      <c r="O142" s="19" t="str">
        <f t="shared" si="34"/>
        <v/>
      </c>
      <c r="P142" s="19" t="str">
        <f t="shared" si="35"/>
        <v/>
      </c>
      <c r="Q142" s="19" t="str">
        <f t="shared" si="36"/>
        <v/>
      </c>
      <c r="R142" s="19" t="str">
        <f t="shared" si="32"/>
        <v/>
      </c>
      <c r="S142" s="27" t="str">
        <f t="shared" si="38"/>
        <v/>
      </c>
      <c r="T142" s="28" t="str">
        <f t="shared" si="38"/>
        <v/>
      </c>
      <c r="U142" s="28" t="str">
        <f t="shared" si="38"/>
        <v/>
      </c>
      <c r="V142" s="28" t="str">
        <f t="shared" si="38"/>
        <v/>
      </c>
      <c r="W142" s="28" t="str">
        <f t="shared" si="38"/>
        <v/>
      </c>
      <c r="X142" s="29" t="str">
        <f t="shared" si="38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9"/>
        <v/>
      </c>
      <c r="M143" s="19" t="str">
        <f t="shared" si="30"/>
        <v/>
      </c>
      <c r="N143" s="19" t="str">
        <f t="shared" si="31"/>
        <v/>
      </c>
      <c r="O143" s="19" t="str">
        <f t="shared" si="34"/>
        <v/>
      </c>
      <c r="P143" s="19" t="str">
        <f t="shared" si="35"/>
        <v/>
      </c>
      <c r="Q143" s="19" t="str">
        <f t="shared" si="36"/>
        <v/>
      </c>
      <c r="R143" s="19" t="str">
        <f t="shared" si="32"/>
        <v/>
      </c>
      <c r="S143" s="27" t="str">
        <f t="shared" si="38"/>
        <v/>
      </c>
      <c r="T143" s="28" t="str">
        <f t="shared" si="38"/>
        <v/>
      </c>
      <c r="U143" s="28" t="str">
        <f t="shared" si="38"/>
        <v/>
      </c>
      <c r="V143" s="28" t="str">
        <f t="shared" si="38"/>
        <v/>
      </c>
      <c r="W143" s="28" t="str">
        <f t="shared" si="38"/>
        <v/>
      </c>
      <c r="X143" s="29" t="str">
        <f t="shared" si="38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9"/>
        <v/>
      </c>
      <c r="M144" s="19" t="str">
        <f t="shared" si="30"/>
        <v/>
      </c>
      <c r="N144" s="19" t="str">
        <f t="shared" si="31"/>
        <v/>
      </c>
      <c r="O144" s="19" t="str">
        <f t="shared" si="34"/>
        <v/>
      </c>
      <c r="P144" s="19" t="str">
        <f t="shared" si="35"/>
        <v/>
      </c>
      <c r="Q144" s="19" t="str">
        <f t="shared" si="36"/>
        <v/>
      </c>
      <c r="R144" s="19" t="str">
        <f t="shared" si="32"/>
        <v/>
      </c>
      <c r="S144" s="27" t="str">
        <f t="shared" si="38"/>
        <v/>
      </c>
      <c r="T144" s="28" t="str">
        <f t="shared" si="38"/>
        <v/>
      </c>
      <c r="U144" s="28" t="str">
        <f t="shared" si="38"/>
        <v/>
      </c>
      <c r="V144" s="28" t="str">
        <f t="shared" si="38"/>
        <v/>
      </c>
      <c r="W144" s="28" t="str">
        <f t="shared" si="38"/>
        <v/>
      </c>
      <c r="X144" s="29" t="str">
        <f t="shared" si="38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9"/>
        <v/>
      </c>
      <c r="M145" s="19" t="str">
        <f t="shared" si="30"/>
        <v/>
      </c>
      <c r="N145" s="19" t="str">
        <f t="shared" si="31"/>
        <v/>
      </c>
      <c r="O145" s="19" t="str">
        <f t="shared" si="34"/>
        <v/>
      </c>
      <c r="P145" s="19" t="str">
        <f t="shared" si="35"/>
        <v/>
      </c>
      <c r="Q145" s="19" t="str">
        <f t="shared" si="36"/>
        <v/>
      </c>
      <c r="R145" s="19" t="str">
        <f t="shared" si="32"/>
        <v/>
      </c>
      <c r="S145" s="27" t="str">
        <f t="shared" ref="S145:X153" si="40">IF(C145="","",((C145-C144)*1000)/($B145-$B144))</f>
        <v/>
      </c>
      <c r="T145" s="28" t="str">
        <f t="shared" si="40"/>
        <v/>
      </c>
      <c r="U145" s="28" t="str">
        <f t="shared" si="40"/>
        <v/>
      </c>
      <c r="V145" s="28" t="str">
        <f t="shared" si="40"/>
        <v/>
      </c>
      <c r="W145" s="28" t="str">
        <f t="shared" si="40"/>
        <v/>
      </c>
      <c r="X145" s="29" t="str">
        <f t="shared" si="40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39"/>
        <v/>
      </c>
      <c r="M146" s="19" t="str">
        <f t="shared" si="30"/>
        <v/>
      </c>
      <c r="N146" s="19" t="str">
        <f t="shared" si="31"/>
        <v/>
      </c>
      <c r="O146" s="19" t="str">
        <f t="shared" si="34"/>
        <v/>
      </c>
      <c r="P146" s="19" t="str">
        <f t="shared" si="35"/>
        <v/>
      </c>
      <c r="Q146" s="19" t="str">
        <f t="shared" si="36"/>
        <v/>
      </c>
      <c r="R146" s="19" t="str">
        <f t="shared" si="32"/>
        <v/>
      </c>
      <c r="S146" s="27" t="str">
        <f t="shared" si="40"/>
        <v/>
      </c>
      <c r="T146" s="28" t="str">
        <f t="shared" si="40"/>
        <v/>
      </c>
      <c r="U146" s="28" t="str">
        <f t="shared" si="40"/>
        <v/>
      </c>
      <c r="V146" s="28" t="str">
        <f t="shared" si="40"/>
        <v/>
      </c>
      <c r="W146" s="28" t="str">
        <f t="shared" si="40"/>
        <v/>
      </c>
      <c r="X146" s="29" t="str">
        <f t="shared" si="40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39"/>
        <v/>
      </c>
      <c r="M147" s="19" t="str">
        <f t="shared" ref="M147:M153" si="41">IF(ISBLANK(D147),"",(D147-D$18)*1000)</f>
        <v/>
      </c>
      <c r="N147" s="19" t="str">
        <f t="shared" ref="N147:N153" si="42">IF(ISBLANK(E147),"",(E147-E$18)*1000)</f>
        <v/>
      </c>
      <c r="O147" s="19" t="str">
        <f t="shared" si="34"/>
        <v/>
      </c>
      <c r="P147" s="19" t="str">
        <f t="shared" si="35"/>
        <v/>
      </c>
      <c r="Q147" s="19" t="str">
        <f t="shared" si="36"/>
        <v/>
      </c>
      <c r="R147" s="19" t="str">
        <f t="shared" ref="R147:R153" si="43">IF(ISBLANK(I147),"",(I147-I$18)*1000)</f>
        <v/>
      </c>
      <c r="S147" s="27" t="str">
        <f t="shared" si="40"/>
        <v/>
      </c>
      <c r="T147" s="28" t="str">
        <f t="shared" si="40"/>
        <v/>
      </c>
      <c r="U147" s="28" t="str">
        <f t="shared" si="40"/>
        <v/>
      </c>
      <c r="V147" s="28" t="str">
        <f t="shared" si="40"/>
        <v/>
      </c>
      <c r="W147" s="28" t="str">
        <f t="shared" si="40"/>
        <v/>
      </c>
      <c r="X147" s="29" t="str">
        <f t="shared" si="40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39"/>
        <v/>
      </c>
      <c r="M148" s="19" t="str">
        <f t="shared" si="41"/>
        <v/>
      </c>
      <c r="N148" s="19" t="str">
        <f t="shared" si="42"/>
        <v/>
      </c>
      <c r="O148" s="19" t="str">
        <f t="shared" si="34"/>
        <v/>
      </c>
      <c r="P148" s="19" t="str">
        <f t="shared" si="35"/>
        <v/>
      </c>
      <c r="Q148" s="19" t="str">
        <f t="shared" si="36"/>
        <v/>
      </c>
      <c r="R148" s="19" t="str">
        <f t="shared" si="43"/>
        <v/>
      </c>
      <c r="S148" s="27" t="str">
        <f t="shared" si="40"/>
        <v/>
      </c>
      <c r="T148" s="28" t="str">
        <f t="shared" si="40"/>
        <v/>
      </c>
      <c r="U148" s="28" t="str">
        <f t="shared" si="40"/>
        <v/>
      </c>
      <c r="V148" s="28" t="str">
        <f t="shared" si="40"/>
        <v/>
      </c>
      <c r="W148" s="28" t="str">
        <f t="shared" si="40"/>
        <v/>
      </c>
      <c r="X148" s="29" t="str">
        <f t="shared" si="40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39"/>
        <v/>
      </c>
      <c r="M149" s="19" t="str">
        <f t="shared" si="41"/>
        <v/>
      </c>
      <c r="N149" s="19" t="str">
        <f t="shared" si="42"/>
        <v/>
      </c>
      <c r="O149" s="19" t="str">
        <f t="shared" si="34"/>
        <v/>
      </c>
      <c r="P149" s="19" t="str">
        <f t="shared" si="35"/>
        <v/>
      </c>
      <c r="Q149" s="19" t="str">
        <f t="shared" si="36"/>
        <v/>
      </c>
      <c r="R149" s="19" t="str">
        <f t="shared" si="43"/>
        <v/>
      </c>
      <c r="S149" s="27" t="str">
        <f t="shared" si="40"/>
        <v/>
      </c>
      <c r="T149" s="28" t="str">
        <f t="shared" si="40"/>
        <v/>
      </c>
      <c r="U149" s="28" t="str">
        <f t="shared" si="40"/>
        <v/>
      </c>
      <c r="V149" s="28" t="str">
        <f t="shared" si="40"/>
        <v/>
      </c>
      <c r="W149" s="28" t="str">
        <f t="shared" si="40"/>
        <v/>
      </c>
      <c r="X149" s="29" t="str">
        <f t="shared" si="40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39"/>
        <v/>
      </c>
      <c r="M150" s="19" t="str">
        <f t="shared" si="41"/>
        <v/>
      </c>
      <c r="N150" s="19" t="str">
        <f t="shared" si="42"/>
        <v/>
      </c>
      <c r="O150" s="19" t="str">
        <f t="shared" si="34"/>
        <v/>
      </c>
      <c r="P150" s="19" t="str">
        <f t="shared" si="35"/>
        <v/>
      </c>
      <c r="Q150" s="19" t="str">
        <f t="shared" si="36"/>
        <v/>
      </c>
      <c r="R150" s="19" t="str">
        <f t="shared" si="43"/>
        <v/>
      </c>
      <c r="S150" s="27" t="str">
        <f t="shared" si="40"/>
        <v/>
      </c>
      <c r="T150" s="28" t="str">
        <f t="shared" si="40"/>
        <v/>
      </c>
      <c r="U150" s="28" t="str">
        <f t="shared" si="40"/>
        <v/>
      </c>
      <c r="V150" s="28" t="str">
        <f t="shared" si="40"/>
        <v/>
      </c>
      <c r="W150" s="28" t="str">
        <f t="shared" si="40"/>
        <v/>
      </c>
      <c r="X150" s="29" t="str">
        <f t="shared" si="40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39"/>
        <v/>
      </c>
      <c r="M151" s="19" t="str">
        <f t="shared" si="41"/>
        <v/>
      </c>
      <c r="N151" s="19" t="str">
        <f t="shared" si="42"/>
        <v/>
      </c>
      <c r="O151" s="19" t="str">
        <f t="shared" si="34"/>
        <v/>
      </c>
      <c r="P151" s="19" t="str">
        <f t="shared" si="35"/>
        <v/>
      </c>
      <c r="Q151" s="19" t="str">
        <f t="shared" si="36"/>
        <v/>
      </c>
      <c r="R151" s="19" t="str">
        <f t="shared" si="43"/>
        <v/>
      </c>
      <c r="S151" s="27" t="str">
        <f t="shared" si="40"/>
        <v/>
      </c>
      <c r="T151" s="28" t="str">
        <f t="shared" si="40"/>
        <v/>
      </c>
      <c r="U151" s="28" t="str">
        <f t="shared" si="40"/>
        <v/>
      </c>
      <c r="V151" s="28" t="str">
        <f t="shared" si="40"/>
        <v/>
      </c>
      <c r="W151" s="28" t="str">
        <f t="shared" si="40"/>
        <v/>
      </c>
      <c r="X151" s="29" t="str">
        <f t="shared" si="40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39"/>
        <v/>
      </c>
      <c r="M152" s="19" t="str">
        <f t="shared" si="41"/>
        <v/>
      </c>
      <c r="N152" s="19" t="str">
        <f t="shared" si="42"/>
        <v/>
      </c>
      <c r="O152" s="19" t="str">
        <f t="shared" si="34"/>
        <v/>
      </c>
      <c r="P152" s="19" t="str">
        <f t="shared" si="35"/>
        <v/>
      </c>
      <c r="Q152" s="19" t="str">
        <f t="shared" si="36"/>
        <v/>
      </c>
      <c r="R152" s="19" t="str">
        <f t="shared" si="43"/>
        <v/>
      </c>
      <c r="S152" s="27" t="str">
        <f t="shared" si="40"/>
        <v/>
      </c>
      <c r="T152" s="28" t="str">
        <f t="shared" si="40"/>
        <v/>
      </c>
      <c r="U152" s="28" t="str">
        <f t="shared" si="40"/>
        <v/>
      </c>
      <c r="V152" s="28" t="str">
        <f t="shared" si="40"/>
        <v/>
      </c>
      <c r="W152" s="28" t="str">
        <f t="shared" si="40"/>
        <v/>
      </c>
      <c r="X152" s="29" t="str">
        <f t="shared" si="40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39"/>
        <v/>
      </c>
      <c r="M153" s="19" t="str">
        <f t="shared" si="41"/>
        <v/>
      </c>
      <c r="N153" s="19" t="str">
        <f t="shared" si="42"/>
        <v/>
      </c>
      <c r="O153" s="19" t="str">
        <f t="shared" si="34"/>
        <v/>
      </c>
      <c r="P153" s="19" t="str">
        <f t="shared" si="35"/>
        <v/>
      </c>
      <c r="Q153" s="19" t="str">
        <f t="shared" si="36"/>
        <v/>
      </c>
      <c r="R153" s="19" t="str">
        <f t="shared" si="43"/>
        <v/>
      </c>
      <c r="S153" s="27" t="str">
        <f t="shared" si="40"/>
        <v/>
      </c>
      <c r="T153" s="28" t="str">
        <f t="shared" si="40"/>
        <v/>
      </c>
      <c r="U153" s="28" t="str">
        <f t="shared" si="40"/>
        <v/>
      </c>
      <c r="V153" s="28" t="str">
        <f t="shared" si="40"/>
        <v/>
      </c>
      <c r="W153" s="28" t="str">
        <f t="shared" si="40"/>
        <v/>
      </c>
      <c r="X153" s="29" t="str">
        <f t="shared" si="40"/>
        <v/>
      </c>
      <c r="Y153" s="24"/>
    </row>
  </sheetData>
  <sheetProtection selectLockedCells="1"/>
  <mergeCells count="38">
    <mergeCell ref="J6:Q6"/>
    <mergeCell ref="R6:V6"/>
    <mergeCell ref="W6:Y6"/>
    <mergeCell ref="E7:I7"/>
    <mergeCell ref="J7:Q7"/>
    <mergeCell ref="R7:V7"/>
    <mergeCell ref="W7:Y7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0.59999389629810485"/>
    <pageSetUpPr fitToPage="1"/>
  </sheetPr>
  <dimension ref="A1:AI153"/>
  <sheetViews>
    <sheetView showGridLines="0" zoomScale="75" zoomScaleNormal="75" zoomScaleSheetLayoutView="40" zoomScalePageLayoutView="40" workbookViewId="0">
      <pane ySplit="8" topLeftCell="A39" activePane="bottomLeft" state="frozen"/>
      <selection activeCell="B36" sqref="B36"/>
      <selection pane="bottomLeft" activeCell="B36" sqref="B36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44"/>
      <c r="B1" s="144"/>
      <c r="C1" s="144"/>
      <c r="D1" s="144"/>
      <c r="E1" s="144"/>
      <c r="F1" s="144"/>
      <c r="G1" s="144"/>
      <c r="H1" s="144"/>
      <c r="I1" s="144"/>
      <c r="J1" s="144"/>
    </row>
    <row r="2" spans="1:35" ht="37.5" customHeight="1" x14ac:dyDescent="0.4">
      <c r="B2" s="2"/>
      <c r="C2" s="3"/>
      <c r="D2" s="3"/>
      <c r="E2" s="160" t="s">
        <v>0</v>
      </c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63" t="s">
        <v>1</v>
      </c>
      <c r="S2" s="164"/>
      <c r="T2" s="164"/>
      <c r="U2" s="164"/>
      <c r="V2" s="164"/>
      <c r="W2" s="164"/>
      <c r="X2" s="165"/>
      <c r="Y2" s="169" t="str">
        <f ca="1">MID(CELL("nombrearchivo",A1),FIND("]",CELL("nombrearchivo",A1))+1,32)</f>
        <v>TZ-130</v>
      </c>
    </row>
    <row r="3" spans="1:35" ht="20.100000000000001" customHeight="1" x14ac:dyDescent="0.4">
      <c r="B3" s="4"/>
      <c r="C3" s="5"/>
      <c r="D3" s="5"/>
      <c r="E3" s="171" t="s">
        <v>2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3"/>
      <c r="R3" s="166"/>
      <c r="S3" s="167"/>
      <c r="T3" s="167"/>
      <c r="U3" s="167"/>
      <c r="V3" s="167"/>
      <c r="W3" s="167"/>
      <c r="X3" s="168"/>
      <c r="Y3" s="170"/>
    </row>
    <row r="4" spans="1:35" ht="24" customHeight="1" thickBot="1" x14ac:dyDescent="0.45">
      <c r="B4" s="6"/>
      <c r="C4" s="7"/>
      <c r="D4" s="7"/>
      <c r="E4" s="191" t="s">
        <v>3</v>
      </c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3"/>
      <c r="R4" s="187"/>
      <c r="S4" s="188"/>
      <c r="T4" s="188"/>
      <c r="U4" s="188"/>
      <c r="V4" s="188"/>
      <c r="W4" s="188"/>
      <c r="X4" s="189"/>
      <c r="Y4" s="190"/>
    </row>
    <row r="5" spans="1:35" ht="27" customHeight="1" x14ac:dyDescent="0.2">
      <c r="B5" s="141"/>
      <c r="C5" s="142"/>
      <c r="D5" s="194"/>
      <c r="E5" s="145" t="s">
        <v>4</v>
      </c>
      <c r="F5" s="146"/>
      <c r="G5" s="146"/>
      <c r="H5" s="146"/>
      <c r="I5" s="146"/>
      <c r="J5" s="181" t="s">
        <v>133</v>
      </c>
      <c r="K5" s="147"/>
      <c r="L5" s="147"/>
      <c r="M5" s="147"/>
      <c r="N5" s="147"/>
      <c r="O5" s="147"/>
      <c r="P5" s="147"/>
      <c r="Q5" s="147"/>
      <c r="R5" s="146" t="s">
        <v>6</v>
      </c>
      <c r="S5" s="146"/>
      <c r="T5" s="146"/>
      <c r="U5" s="146"/>
      <c r="V5" s="146"/>
      <c r="W5" s="148">
        <v>42535</v>
      </c>
      <c r="X5" s="148"/>
      <c r="Y5" s="149"/>
    </row>
    <row r="6" spans="1:35" ht="27" customHeight="1" x14ac:dyDescent="0.2">
      <c r="B6" s="143"/>
      <c r="C6" s="144"/>
      <c r="D6" s="195"/>
      <c r="E6" s="110" t="s">
        <v>7</v>
      </c>
      <c r="F6" s="111"/>
      <c r="G6" s="111"/>
      <c r="H6" s="111"/>
      <c r="I6" s="111"/>
      <c r="J6" s="182"/>
      <c r="K6" s="112"/>
      <c r="L6" s="112"/>
      <c r="M6" s="112"/>
      <c r="N6" s="112"/>
      <c r="O6" s="112"/>
      <c r="P6" s="112"/>
      <c r="Q6" s="112"/>
      <c r="R6" s="111" t="s">
        <v>8</v>
      </c>
      <c r="S6" s="111"/>
      <c r="T6" s="111"/>
      <c r="U6" s="111"/>
      <c r="V6" s="111"/>
      <c r="W6" s="158">
        <v>42537</v>
      </c>
      <c r="X6" s="158"/>
      <c r="Y6" s="159"/>
    </row>
    <row r="7" spans="1:35" ht="27" customHeight="1" x14ac:dyDescent="0.2">
      <c r="B7" s="143"/>
      <c r="C7" s="144"/>
      <c r="D7" s="195"/>
      <c r="E7" s="110" t="s">
        <v>9</v>
      </c>
      <c r="F7" s="111"/>
      <c r="G7" s="111"/>
      <c r="H7" s="111"/>
      <c r="I7" s="111"/>
      <c r="J7" s="151"/>
      <c r="K7" s="151"/>
      <c r="L7" s="151"/>
      <c r="M7" s="151"/>
      <c r="N7" s="151"/>
      <c r="O7" s="151"/>
      <c r="P7" s="151"/>
      <c r="Q7" s="151"/>
      <c r="R7" s="111" t="s">
        <v>10</v>
      </c>
      <c r="S7" s="111"/>
      <c r="T7" s="111"/>
      <c r="U7" s="111"/>
      <c r="V7" s="111"/>
      <c r="W7" s="174">
        <f>J8-258</f>
        <v>2363</v>
      </c>
      <c r="X7" s="151"/>
      <c r="Y7" s="152"/>
    </row>
    <row r="8" spans="1:35" ht="27" customHeight="1" thickBot="1" x14ac:dyDescent="0.25">
      <c r="B8" s="196"/>
      <c r="C8" s="197"/>
      <c r="D8" s="198"/>
      <c r="E8" s="153" t="s">
        <v>11</v>
      </c>
      <c r="F8" s="107"/>
      <c r="G8" s="107"/>
      <c r="H8" s="107"/>
      <c r="I8" s="107"/>
      <c r="J8" s="154">
        <v>2621</v>
      </c>
      <c r="K8" s="154"/>
      <c r="L8" s="154"/>
      <c r="M8" s="154"/>
      <c r="N8" s="154"/>
      <c r="O8" s="154"/>
      <c r="P8" s="154"/>
      <c r="Q8" s="154"/>
      <c r="R8" s="107" t="s">
        <v>12</v>
      </c>
      <c r="S8" s="107"/>
      <c r="T8" s="107"/>
      <c r="U8" s="107"/>
      <c r="V8" s="107"/>
      <c r="W8" s="108" t="s">
        <v>134</v>
      </c>
      <c r="X8" s="108"/>
      <c r="Y8" s="109"/>
    </row>
    <row r="9" spans="1:35" ht="21.75" customHeight="1" x14ac:dyDescent="0.25">
      <c r="B9" s="155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s">
        <v>15</v>
      </c>
      <c r="Q9" s="156"/>
      <c r="R9" s="156"/>
      <c r="S9" s="156"/>
      <c r="T9" s="156"/>
      <c r="U9" s="156"/>
      <c r="V9" s="156"/>
      <c r="W9" s="156"/>
      <c r="X9" s="156"/>
      <c r="Y9" s="157"/>
      <c r="AA9" s="138" t="s">
        <v>16</v>
      </c>
      <c r="AB9" s="139"/>
      <c r="AC9" s="139"/>
      <c r="AD9" s="139"/>
      <c r="AE9" s="139"/>
      <c r="AF9" s="139"/>
      <c r="AG9" s="139"/>
      <c r="AH9" s="139"/>
      <c r="AI9" s="140"/>
    </row>
    <row r="10" spans="1:35" ht="201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6"/>
      <c r="K10" s="124"/>
      <c r="L10" s="125"/>
      <c r="M10" s="125"/>
      <c r="N10" s="125"/>
      <c r="O10" s="125"/>
      <c r="P10" s="125"/>
      <c r="Q10" s="125"/>
      <c r="R10" s="125"/>
      <c r="S10" s="126"/>
      <c r="T10" s="124"/>
      <c r="U10" s="125"/>
      <c r="V10" s="125"/>
      <c r="W10" s="125"/>
      <c r="X10" s="125"/>
      <c r="Y10" s="126"/>
    </row>
    <row r="11" spans="1:35" ht="21.75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6"/>
      <c r="K11" s="124"/>
      <c r="L11" s="125"/>
      <c r="M11" s="125"/>
      <c r="N11" s="125"/>
      <c r="O11" s="125"/>
      <c r="P11" s="125"/>
      <c r="Q11" s="125"/>
      <c r="R11" s="125"/>
      <c r="S11" s="126"/>
      <c r="T11" s="124"/>
      <c r="U11" s="125"/>
      <c r="V11" s="125"/>
      <c r="W11" s="125"/>
      <c r="X11" s="125"/>
      <c r="Y11" s="126"/>
    </row>
    <row r="12" spans="1:35" ht="201.75" customHeight="1" thickBot="1" x14ac:dyDescent="0.25">
      <c r="B12" s="127"/>
      <c r="C12" s="128"/>
      <c r="D12" s="128"/>
      <c r="E12" s="128"/>
      <c r="F12" s="128"/>
      <c r="G12" s="128"/>
      <c r="H12" s="128"/>
      <c r="I12" s="128"/>
      <c r="J12" s="129"/>
      <c r="K12" s="127"/>
      <c r="L12" s="128"/>
      <c r="M12" s="128"/>
      <c r="N12" s="128"/>
      <c r="O12" s="128"/>
      <c r="P12" s="128"/>
      <c r="Q12" s="128"/>
      <c r="R12" s="128"/>
      <c r="S12" s="129"/>
      <c r="T12" s="127"/>
      <c r="U12" s="128"/>
      <c r="V12" s="128"/>
      <c r="W12" s="128"/>
      <c r="X12" s="128"/>
      <c r="Y12" s="129"/>
    </row>
    <row r="13" spans="1:35" ht="15" customHeight="1" x14ac:dyDescent="0.2">
      <c r="B13" s="105" t="s">
        <v>17</v>
      </c>
      <c r="C13" s="115" t="s">
        <v>18</v>
      </c>
      <c r="D13" s="116"/>
      <c r="E13" s="116"/>
      <c r="F13" s="116"/>
      <c r="G13" s="116"/>
      <c r="H13" s="116"/>
      <c r="I13" s="116"/>
      <c r="J13" s="116"/>
      <c r="K13" s="117"/>
      <c r="L13" s="118" t="s">
        <v>19</v>
      </c>
      <c r="M13" s="119"/>
      <c r="N13" s="119"/>
      <c r="O13" s="119"/>
      <c r="P13" s="119"/>
      <c r="Q13" s="119"/>
      <c r="R13" s="120"/>
      <c r="S13" s="118" t="s">
        <v>20</v>
      </c>
      <c r="T13" s="119"/>
      <c r="U13" s="119"/>
      <c r="V13" s="119"/>
      <c r="W13" s="119"/>
      <c r="X13" s="120"/>
      <c r="Y13" s="130" t="s">
        <v>21</v>
      </c>
    </row>
    <row r="14" spans="1:35" ht="15" customHeight="1" x14ac:dyDescent="0.2">
      <c r="B14" s="106"/>
      <c r="C14" s="133" t="s">
        <v>22</v>
      </c>
      <c r="D14" s="134"/>
      <c r="E14" s="135"/>
      <c r="F14" s="113" t="s">
        <v>23</v>
      </c>
      <c r="G14" s="134"/>
      <c r="H14" s="135"/>
      <c r="I14" s="136" t="s">
        <v>24</v>
      </c>
      <c r="J14" s="113" t="s">
        <v>25</v>
      </c>
      <c r="K14" s="114"/>
      <c r="L14" s="121"/>
      <c r="M14" s="122"/>
      <c r="N14" s="122"/>
      <c r="O14" s="122"/>
      <c r="P14" s="122"/>
      <c r="Q14" s="122"/>
      <c r="R14" s="123"/>
      <c r="S14" s="121"/>
      <c r="T14" s="122"/>
      <c r="U14" s="122"/>
      <c r="V14" s="122"/>
      <c r="W14" s="122"/>
      <c r="X14" s="123"/>
      <c r="Y14" s="131"/>
    </row>
    <row r="15" spans="1:35" ht="15" customHeight="1" thickBot="1" x14ac:dyDescent="0.25">
      <c r="B15" s="183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4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32"/>
    </row>
    <row r="16" spans="1:35" ht="15" customHeight="1" x14ac:dyDescent="0.2">
      <c r="B16" s="31">
        <v>42538</v>
      </c>
      <c r="C16" s="25">
        <v>12.673</v>
      </c>
      <c r="D16" s="26">
        <v>7.7750000000000004</v>
      </c>
      <c r="E16" s="26">
        <v>7.6580000000000004</v>
      </c>
      <c r="F16" s="16"/>
      <c r="G16" s="16"/>
      <c r="H16" s="16"/>
      <c r="I16" s="17">
        <v>114.303</v>
      </c>
      <c r="J16" s="58">
        <v>2631</v>
      </c>
      <c r="K16" s="18">
        <f>IF(ISBLANK(J16),"",(J16-$J$8))</f>
        <v>10</v>
      </c>
      <c r="L16" s="19">
        <f t="shared" ref="L16:R31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42541</v>
      </c>
      <c r="C17" s="25">
        <v>12.669</v>
      </c>
      <c r="D17" s="26">
        <v>7.7759999999999998</v>
      </c>
      <c r="E17" s="26">
        <v>7.6509999999999998</v>
      </c>
      <c r="F17" s="16"/>
      <c r="G17" s="16"/>
      <c r="H17" s="16"/>
      <c r="I17" s="17">
        <v>114.3</v>
      </c>
      <c r="J17" s="58">
        <v>2636</v>
      </c>
      <c r="K17" s="18">
        <f>IF(ISBLANK(J17),"",(J17-$J$8))</f>
        <v>15</v>
      </c>
      <c r="L17" s="19">
        <f t="shared" si="0"/>
        <v>-3.9999999999995595</v>
      </c>
      <c r="M17" s="19">
        <f>IF(ISBLANK(D17),"",(D17-D$16)*1000)</f>
        <v>0.99999999999944578</v>
      </c>
      <c r="N17" s="19">
        <f>IF(ISBLANK(E17),"",(E17-E$16)*1000)</f>
        <v>-7.0000000000005613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>IF(ISBLANK(I17),"",(I17-I$16)*1000)</f>
        <v>-3.0000000000001137</v>
      </c>
      <c r="S17" s="27">
        <f t="shared" ref="S17:X32" si="2">IF(C17="","",((C17-C16)*1000)/($B17-$B16))</f>
        <v>-1.3333333333331865</v>
      </c>
      <c r="T17" s="28"/>
      <c r="U17" s="28"/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30"/>
    </row>
    <row r="18" spans="2:25" ht="15" customHeight="1" x14ac:dyDescent="0.2">
      <c r="B18" s="31">
        <v>42542</v>
      </c>
      <c r="C18" s="25">
        <v>12.669</v>
      </c>
      <c r="D18" s="26">
        <v>7.774</v>
      </c>
      <c r="E18" s="26">
        <v>7.6529999999999996</v>
      </c>
      <c r="F18" s="16"/>
      <c r="G18" s="16"/>
      <c r="H18" s="16"/>
      <c r="I18" s="17">
        <v>114.301</v>
      </c>
      <c r="J18" s="58">
        <v>2642</v>
      </c>
      <c r="K18" s="18">
        <f>IF(ISBLANK(J18),"",(J18-$J$8))</f>
        <v>21</v>
      </c>
      <c r="L18" s="19">
        <f t="shared" si="0"/>
        <v>-3.9999999999995595</v>
      </c>
      <c r="M18" s="19">
        <f t="shared" si="0"/>
        <v>-1.000000000000334</v>
      </c>
      <c r="N18" s="19">
        <f t="shared" si="0"/>
        <v>-5.0000000000007816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0"/>
        <v>-1.9999999999953388</v>
      </c>
      <c r="S18" s="27">
        <f t="shared" si="2"/>
        <v>0</v>
      </c>
      <c r="T18" s="28">
        <f t="shared" si="2"/>
        <v>-1.9999999999997797</v>
      </c>
      <c r="U18" s="28">
        <f t="shared" si="2"/>
        <v>1.9999999999997797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42543</v>
      </c>
      <c r="C19" s="25">
        <v>12.669</v>
      </c>
      <c r="D19" s="26">
        <v>7.774</v>
      </c>
      <c r="E19" s="26">
        <v>7.6529999999999996</v>
      </c>
      <c r="F19" s="16"/>
      <c r="G19" s="16"/>
      <c r="H19" s="16"/>
      <c r="I19" s="17">
        <v>114.301</v>
      </c>
      <c r="J19" s="58">
        <v>2645</v>
      </c>
      <c r="K19" s="18">
        <f t="shared" ref="K19:K32" si="3">IF(ISBLANK(J19),"",(J19-$J$8))</f>
        <v>24</v>
      </c>
      <c r="L19" s="19">
        <f t="shared" si="0"/>
        <v>-3.9999999999995595</v>
      </c>
      <c r="M19" s="19">
        <f t="shared" si="0"/>
        <v>-1.000000000000334</v>
      </c>
      <c r="N19" s="19">
        <f t="shared" si="0"/>
        <v>-5.0000000000007816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0"/>
        <v>-1.9999999999953388</v>
      </c>
      <c r="S19" s="27">
        <f t="shared" si="2"/>
        <v>0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42544</v>
      </c>
      <c r="C20" s="25">
        <v>12.67</v>
      </c>
      <c r="D20" s="26">
        <v>7.7750000000000004</v>
      </c>
      <c r="E20" s="26">
        <v>7.6520000000000001</v>
      </c>
      <c r="F20" s="16"/>
      <c r="G20" s="16"/>
      <c r="H20" s="16"/>
      <c r="I20" s="17">
        <v>114.3</v>
      </c>
      <c r="J20" s="58">
        <v>2650</v>
      </c>
      <c r="K20" s="18">
        <f t="shared" si="3"/>
        <v>29</v>
      </c>
      <c r="L20" s="19">
        <f t="shared" si="0"/>
        <v>-3.0000000000001137</v>
      </c>
      <c r="M20" s="19">
        <f t="shared" si="0"/>
        <v>0</v>
      </c>
      <c r="N20" s="19">
        <f t="shared" si="0"/>
        <v>-6.0000000000002274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0"/>
        <v>-3.0000000000001137</v>
      </c>
      <c r="S20" s="27">
        <f t="shared" si="2"/>
        <v>0.99999999999944578</v>
      </c>
      <c r="T20" s="28">
        <f t="shared" si="2"/>
        <v>1.000000000000334</v>
      </c>
      <c r="U20" s="28">
        <f t="shared" si="2"/>
        <v>-0.99999999999944578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42545</v>
      </c>
      <c r="C21" s="25">
        <v>12.667999999999999</v>
      </c>
      <c r="D21" s="26">
        <v>7.7759999999999998</v>
      </c>
      <c r="E21" s="26">
        <v>7.65</v>
      </c>
      <c r="F21" s="16"/>
      <c r="G21" s="16"/>
      <c r="H21" s="16"/>
      <c r="I21" s="17">
        <v>114.29900000000001</v>
      </c>
      <c r="J21" s="58">
        <v>2656</v>
      </c>
      <c r="K21" s="18">
        <f t="shared" si="3"/>
        <v>35</v>
      </c>
      <c r="L21" s="19">
        <f t="shared" si="0"/>
        <v>-5.0000000000007816</v>
      </c>
      <c r="M21" s="19">
        <f t="shared" si="0"/>
        <v>0.99999999999944578</v>
      </c>
      <c r="N21" s="19">
        <f t="shared" si="0"/>
        <v>-8.0000000000000071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0"/>
        <v>-3.9999999999906777</v>
      </c>
      <c r="S21" s="27">
        <f t="shared" si="2"/>
        <v>-2.0000000000006679</v>
      </c>
      <c r="T21" s="28">
        <f t="shared" si="2"/>
        <v>0.99999999999944578</v>
      </c>
      <c r="U21" s="28">
        <f t="shared" si="2"/>
        <v>-1.9999999999997797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42548</v>
      </c>
      <c r="C22" s="25">
        <v>12.67</v>
      </c>
      <c r="D22" s="26">
        <v>7.7750000000000004</v>
      </c>
      <c r="E22" s="26">
        <v>7.6520000000000001</v>
      </c>
      <c r="F22" s="16"/>
      <c r="G22" s="16"/>
      <c r="H22" s="16"/>
      <c r="I22" s="17">
        <v>114.29900000000001</v>
      </c>
      <c r="J22" s="58">
        <v>2661</v>
      </c>
      <c r="K22" s="18">
        <f t="shared" si="3"/>
        <v>40</v>
      </c>
      <c r="L22" s="19">
        <f t="shared" si="0"/>
        <v>-3.0000000000001137</v>
      </c>
      <c r="M22" s="19">
        <f t="shared" si="0"/>
        <v>0</v>
      </c>
      <c r="N22" s="19">
        <f t="shared" si="0"/>
        <v>-6.0000000000002274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0"/>
        <v>-3.9999999999906777</v>
      </c>
      <c r="S22" s="27">
        <f t="shared" si="2"/>
        <v>0.66666666666688934</v>
      </c>
      <c r="T22" s="28">
        <f t="shared" si="2"/>
        <v>-0.33333333333314857</v>
      </c>
      <c r="U22" s="28">
        <f t="shared" si="2"/>
        <v>0.66666666666659324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42549</v>
      </c>
      <c r="C23" s="25">
        <v>12.670999999999999</v>
      </c>
      <c r="D23" s="26">
        <v>7.7759999999999998</v>
      </c>
      <c r="E23" s="26">
        <v>7.6509999999999998</v>
      </c>
      <c r="F23" s="16"/>
      <c r="G23" s="16"/>
      <c r="H23" s="16"/>
      <c r="I23" s="17">
        <v>114.298</v>
      </c>
      <c r="J23" s="58">
        <v>2665</v>
      </c>
      <c r="K23" s="18">
        <f t="shared" si="3"/>
        <v>44</v>
      </c>
      <c r="L23" s="19">
        <f t="shared" si="0"/>
        <v>-2.0000000000006679</v>
      </c>
      <c r="M23" s="19">
        <f t="shared" si="0"/>
        <v>0.99999999999944578</v>
      </c>
      <c r="N23" s="19">
        <f t="shared" si="0"/>
        <v>-7.0000000000005613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0"/>
        <v>-4.9999999999954525</v>
      </c>
      <c r="S23" s="27">
        <f t="shared" si="2"/>
        <v>0.99999999999944578</v>
      </c>
      <c r="T23" s="28">
        <f t="shared" si="2"/>
        <v>0.99999999999944578</v>
      </c>
      <c r="U23" s="28">
        <f t="shared" si="2"/>
        <v>-1.000000000000334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42550</v>
      </c>
      <c r="C24" s="25">
        <v>12.670999999999999</v>
      </c>
      <c r="D24" s="26">
        <v>7.7750000000000004</v>
      </c>
      <c r="E24" s="26">
        <v>7.6520000000000001</v>
      </c>
      <c r="F24" s="16"/>
      <c r="G24" s="16"/>
      <c r="H24" s="16"/>
      <c r="I24" s="17">
        <v>114.298</v>
      </c>
      <c r="J24" s="58">
        <v>2673</v>
      </c>
      <c r="K24" s="18">
        <f t="shared" si="3"/>
        <v>52</v>
      </c>
      <c r="L24" s="19">
        <f t="shared" si="0"/>
        <v>-2.0000000000006679</v>
      </c>
      <c r="M24" s="19">
        <f t="shared" si="0"/>
        <v>0</v>
      </c>
      <c r="N24" s="19">
        <f t="shared" si="0"/>
        <v>-6.0000000000002274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0"/>
        <v>-4.9999999999954525</v>
      </c>
      <c r="S24" s="27">
        <f t="shared" si="2"/>
        <v>0</v>
      </c>
      <c r="T24" s="28">
        <f t="shared" si="2"/>
        <v>-0.99999999999944578</v>
      </c>
      <c r="U24" s="28">
        <f t="shared" si="2"/>
        <v>1.000000000000334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42551</v>
      </c>
      <c r="C25" s="25">
        <v>12.670999999999999</v>
      </c>
      <c r="D25" s="26">
        <v>7.774</v>
      </c>
      <c r="E25" s="26">
        <v>7.6520000000000001</v>
      </c>
      <c r="F25" s="16"/>
      <c r="G25" s="16"/>
      <c r="H25" s="16"/>
      <c r="I25" s="17">
        <v>114.298</v>
      </c>
      <c r="J25" s="58">
        <v>2678</v>
      </c>
      <c r="K25" s="18">
        <f t="shared" si="3"/>
        <v>57</v>
      </c>
      <c r="L25" s="19">
        <f t="shared" si="0"/>
        <v>-2.0000000000006679</v>
      </c>
      <c r="M25" s="19">
        <f t="shared" si="0"/>
        <v>-1.000000000000334</v>
      </c>
      <c r="N25" s="19">
        <f t="shared" si="0"/>
        <v>-6.0000000000002274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0"/>
        <v>-4.9999999999954525</v>
      </c>
      <c r="S25" s="27">
        <f t="shared" si="2"/>
        <v>0</v>
      </c>
      <c r="T25" s="28">
        <f t="shared" si="2"/>
        <v>-1.000000000000334</v>
      </c>
      <c r="U25" s="28">
        <f t="shared" si="2"/>
        <v>0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42552</v>
      </c>
      <c r="C26" s="25">
        <v>12.67</v>
      </c>
      <c r="D26" s="26">
        <v>7.7750000000000004</v>
      </c>
      <c r="E26" s="26">
        <v>7.6520000000000001</v>
      </c>
      <c r="F26" s="16"/>
      <c r="G26" s="16"/>
      <c r="H26" s="16"/>
      <c r="I26" s="17">
        <v>114.298</v>
      </c>
      <c r="J26" s="58">
        <v>2681</v>
      </c>
      <c r="K26" s="18">
        <f t="shared" si="3"/>
        <v>60</v>
      </c>
      <c r="L26" s="19">
        <f t="shared" si="0"/>
        <v>-3.0000000000001137</v>
      </c>
      <c r="M26" s="19">
        <f t="shared" si="0"/>
        <v>0</v>
      </c>
      <c r="N26" s="19">
        <f t="shared" si="0"/>
        <v>-6.0000000000002274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0"/>
        <v>-4.9999999999954525</v>
      </c>
      <c r="S26" s="27">
        <f t="shared" si="2"/>
        <v>-0.99999999999944578</v>
      </c>
      <c r="T26" s="28">
        <f t="shared" si="2"/>
        <v>1.000000000000334</v>
      </c>
      <c r="U26" s="28">
        <f t="shared" si="2"/>
        <v>0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42555</v>
      </c>
      <c r="C27" s="25">
        <v>12.670999999999999</v>
      </c>
      <c r="D27" s="26">
        <v>7.7759999999999998</v>
      </c>
      <c r="E27" s="26">
        <v>7.6509999999999998</v>
      </c>
      <c r="F27" s="16"/>
      <c r="G27" s="16"/>
      <c r="H27" s="16"/>
      <c r="I27" s="17">
        <v>114.298</v>
      </c>
      <c r="J27" s="58">
        <v>2685</v>
      </c>
      <c r="K27" s="18">
        <f t="shared" si="3"/>
        <v>64</v>
      </c>
      <c r="L27" s="19">
        <f t="shared" si="0"/>
        <v>-2.0000000000006679</v>
      </c>
      <c r="M27" s="19">
        <f t="shared" si="0"/>
        <v>0.99999999999944578</v>
      </c>
      <c r="N27" s="19">
        <f t="shared" si="0"/>
        <v>-7.0000000000005613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0"/>
        <v>-4.9999999999954525</v>
      </c>
      <c r="S27" s="27">
        <f t="shared" si="2"/>
        <v>0.33333333333314857</v>
      </c>
      <c r="T27" s="28">
        <f t="shared" si="2"/>
        <v>0.33333333333314857</v>
      </c>
      <c r="U27" s="28">
        <f t="shared" si="2"/>
        <v>-0.33333333333344467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42556</v>
      </c>
      <c r="C28" s="25">
        <v>12.669</v>
      </c>
      <c r="D28" s="26">
        <v>7.7729999999999997</v>
      </c>
      <c r="E28" s="26">
        <v>7.6509999999999998</v>
      </c>
      <c r="F28" s="16"/>
      <c r="G28" s="16"/>
      <c r="H28" s="16"/>
      <c r="I28" s="17">
        <v>114.297</v>
      </c>
      <c r="J28" s="58">
        <v>2689</v>
      </c>
      <c r="K28" s="18">
        <f t="shared" si="3"/>
        <v>68</v>
      </c>
      <c r="L28" s="19">
        <f t="shared" si="0"/>
        <v>-3.9999999999995595</v>
      </c>
      <c r="M28" s="19">
        <f t="shared" si="0"/>
        <v>-2.0000000000006679</v>
      </c>
      <c r="N28" s="19">
        <f t="shared" si="0"/>
        <v>-7.0000000000005613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0"/>
        <v>-6.0000000000002274</v>
      </c>
      <c r="S28" s="27">
        <f t="shared" si="2"/>
        <v>-1.9999999999988916</v>
      </c>
      <c r="T28" s="28">
        <f t="shared" si="2"/>
        <v>-3.0000000000001137</v>
      </c>
      <c r="U28" s="28">
        <f t="shared" si="2"/>
        <v>0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42557</v>
      </c>
      <c r="C29" s="25">
        <v>12.667999999999999</v>
      </c>
      <c r="D29" s="26">
        <v>7.7729999999999997</v>
      </c>
      <c r="E29" s="26">
        <v>7.6520000000000001</v>
      </c>
      <c r="F29" s="16"/>
      <c r="G29" s="16"/>
      <c r="H29" s="16"/>
      <c r="I29" s="17">
        <v>114.297</v>
      </c>
      <c r="J29" s="58">
        <v>2689</v>
      </c>
      <c r="K29" s="18">
        <f t="shared" si="3"/>
        <v>68</v>
      </c>
      <c r="L29" s="19">
        <f t="shared" si="0"/>
        <v>-5.0000000000007816</v>
      </c>
      <c r="M29" s="19">
        <f t="shared" si="0"/>
        <v>-2.0000000000006679</v>
      </c>
      <c r="N29" s="19">
        <f t="shared" si="0"/>
        <v>-6.0000000000002274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0"/>
        <v>-6.0000000000002274</v>
      </c>
      <c r="S29" s="27">
        <f t="shared" si="2"/>
        <v>-1.0000000000012221</v>
      </c>
      <c r="T29" s="28">
        <f t="shared" si="2"/>
        <v>0</v>
      </c>
      <c r="U29" s="28">
        <f t="shared" si="2"/>
        <v>1.000000000000334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42572</v>
      </c>
      <c r="C30" s="73">
        <v>12.667999999999999</v>
      </c>
      <c r="D30" s="71">
        <v>7.7729999999999997</v>
      </c>
      <c r="E30" s="71">
        <v>7.6520000000000001</v>
      </c>
      <c r="F30" s="16"/>
      <c r="G30" s="16"/>
      <c r="H30" s="16"/>
      <c r="I30" s="17">
        <v>114.29600000000001</v>
      </c>
      <c r="J30" s="58">
        <v>2640</v>
      </c>
      <c r="K30" s="18">
        <f t="shared" si="3"/>
        <v>19</v>
      </c>
      <c r="L30" s="19">
        <f t="shared" si="0"/>
        <v>-5.0000000000007816</v>
      </c>
      <c r="M30" s="19">
        <f t="shared" si="0"/>
        <v>-2.0000000000006679</v>
      </c>
      <c r="N30" s="19">
        <f t="shared" si="0"/>
        <v>-6.0000000000002274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0"/>
        <v>-6.9999999999907914</v>
      </c>
      <c r="S30" s="27">
        <f t="shared" si="2"/>
        <v>0</v>
      </c>
      <c r="T30" s="28">
        <f t="shared" si="2"/>
        <v>0</v>
      </c>
      <c r="U30" s="28">
        <f t="shared" si="2"/>
        <v>0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42573</v>
      </c>
      <c r="C31" s="73">
        <v>12.667999999999999</v>
      </c>
      <c r="D31" s="26">
        <v>7.7709999999999999</v>
      </c>
      <c r="E31" s="71">
        <v>7.6520000000000001</v>
      </c>
      <c r="F31" s="16">
        <v>13.263</v>
      </c>
      <c r="G31" s="16">
        <v>10.208</v>
      </c>
      <c r="H31" s="16">
        <v>10.356</v>
      </c>
      <c r="I31" s="17">
        <v>114.29300000000001</v>
      </c>
      <c r="J31" s="58">
        <v>2652</v>
      </c>
      <c r="K31" s="18">
        <f t="shared" si="3"/>
        <v>31</v>
      </c>
      <c r="L31" s="19">
        <f t="shared" si="0"/>
        <v>-5.0000000000007816</v>
      </c>
      <c r="M31" s="19">
        <f t="shared" si="0"/>
        <v>-4.0000000000004476</v>
      </c>
      <c r="N31" s="19">
        <f t="shared" si="0"/>
        <v>-6.0000000000002274</v>
      </c>
      <c r="O31" s="19">
        <f>IF(ISBLANK(F31),"",((F31-F$31)*1000)+L$31)</f>
        <v>-5.0000000000007816</v>
      </c>
      <c r="P31" s="19">
        <f>IF(ISBLANK(G31),"",((G31-G$31)*1000)+M$31)</f>
        <v>-4.0000000000004476</v>
      </c>
      <c r="Q31" s="19">
        <f>IF(ISBLANK(H31),"",((H31-H$31)*1000)+N$31)</f>
        <v>-6.0000000000002274</v>
      </c>
      <c r="R31" s="19">
        <f t="shared" si="0"/>
        <v>-9.9999999999909051</v>
      </c>
      <c r="S31" s="27">
        <f t="shared" si="2"/>
        <v>0</v>
      </c>
      <c r="T31" s="28">
        <f t="shared" si="2"/>
        <v>-1.9999999999997797</v>
      </c>
      <c r="U31" s="28">
        <f t="shared" si="2"/>
        <v>0</v>
      </c>
      <c r="V31" s="28"/>
      <c r="W31" s="28"/>
      <c r="X31" s="29"/>
      <c r="Y31" s="24" t="s">
        <v>135</v>
      </c>
    </row>
    <row r="32" spans="2:25" ht="15" customHeight="1" x14ac:dyDescent="0.2">
      <c r="B32" s="31">
        <v>42577</v>
      </c>
      <c r="C32" s="25">
        <v>12.656000000000001</v>
      </c>
      <c r="D32" s="26">
        <v>7.7690000000000001</v>
      </c>
      <c r="E32" s="26">
        <v>7.6459999999999999</v>
      </c>
      <c r="F32" s="16">
        <v>13.260999999999999</v>
      </c>
      <c r="G32" s="16">
        <v>10.208</v>
      </c>
      <c r="H32" s="16">
        <v>10.355</v>
      </c>
      <c r="I32" s="17">
        <v>114.29300000000001</v>
      </c>
      <c r="J32" s="58">
        <v>2652</v>
      </c>
      <c r="K32" s="18">
        <f t="shared" si="3"/>
        <v>31</v>
      </c>
      <c r="L32" s="19">
        <f t="shared" ref="L32:R32" si="4">IF(ISBLANK(C32),"",(C32-C$16)*1000)</f>
        <v>-16.99999999999946</v>
      </c>
      <c r="M32" s="19">
        <f t="shared" si="4"/>
        <v>-6.0000000000002274</v>
      </c>
      <c r="N32" s="19">
        <f t="shared" si="4"/>
        <v>-12.000000000000455</v>
      </c>
      <c r="O32" s="19">
        <f t="shared" ref="O32:O95" si="5">IF(ISBLANK(F32),"",((F32-F$31)*1000)+L$31)</f>
        <v>-7.0000000000014495</v>
      </c>
      <c r="P32" s="19">
        <f t="shared" ref="P32:P95" si="6">IF(ISBLANK(G32),"",((G32-G$31)*1000)+M$31)</f>
        <v>-4.0000000000004476</v>
      </c>
      <c r="Q32" s="19">
        <f t="shared" ref="Q32:Q95" si="7">IF(ISBLANK(H32),"",((H32-H$31)*1000)+N$31)</f>
        <v>-6.9999999999996732</v>
      </c>
      <c r="R32" s="19">
        <f t="shared" si="4"/>
        <v>-9.9999999999909051</v>
      </c>
      <c r="S32" s="27">
        <f>IF(C32="","",((C32-C29)*1000)/($B32-$B29))</f>
        <v>-0.59999999999993392</v>
      </c>
      <c r="T32" s="28">
        <f>IF(D32="","",((D32-D31)*1000)/($B32-$B31))</f>
        <v>-0.49999999999994493</v>
      </c>
      <c r="U32" s="28">
        <f>IF(E32="","",((E32-E29)*1000)/($B32-$B29))</f>
        <v>-0.30000000000001137</v>
      </c>
      <c r="V32" s="28">
        <f t="shared" si="2"/>
        <v>-0.50000000000016698</v>
      </c>
      <c r="W32" s="28">
        <f t="shared" si="2"/>
        <v>0</v>
      </c>
      <c r="X32" s="29">
        <f t="shared" si="2"/>
        <v>-0.24999999999986144</v>
      </c>
      <c r="Y32" s="24"/>
    </row>
    <row r="33" spans="2:25" ht="15" customHeight="1" x14ac:dyDescent="0.2">
      <c r="B33" s="31">
        <v>42578</v>
      </c>
      <c r="C33" s="25">
        <v>12.654999999999999</v>
      </c>
      <c r="D33" s="26">
        <v>7.7709999999999999</v>
      </c>
      <c r="E33" s="26">
        <v>7.6449999999999996</v>
      </c>
      <c r="F33" s="16">
        <v>13.26</v>
      </c>
      <c r="G33" s="16">
        <v>10.209</v>
      </c>
      <c r="H33" s="16">
        <v>10.353999999999999</v>
      </c>
      <c r="I33" s="17">
        <v>114.294</v>
      </c>
      <c r="J33" s="58">
        <v>2652</v>
      </c>
      <c r="K33" s="18">
        <f t="shared" ref="K33" si="8">IF(ISBLANK(J33),"",(J33-$J$8))</f>
        <v>31</v>
      </c>
      <c r="L33" s="19">
        <f t="shared" ref="L33:R62" si="9">IF(ISBLANK(C33),"",(C33-C$16)*1000)</f>
        <v>-18.000000000000682</v>
      </c>
      <c r="M33" s="19">
        <f t="shared" si="9"/>
        <v>-4.0000000000004476</v>
      </c>
      <c r="N33" s="19">
        <f t="shared" si="9"/>
        <v>-13.000000000000789</v>
      </c>
      <c r="O33" s="19">
        <f t="shared" si="5"/>
        <v>-8.0000000000008953</v>
      </c>
      <c r="P33" s="19">
        <f t="shared" si="6"/>
        <v>-3.0000000000010019</v>
      </c>
      <c r="Q33" s="19">
        <f t="shared" si="7"/>
        <v>-8.0000000000008953</v>
      </c>
      <c r="R33" s="19">
        <f t="shared" si="9"/>
        <v>-9.0000000000003411</v>
      </c>
      <c r="S33" s="27">
        <f t="shared" ref="S33:X48" si="10">IF(C33="","",((C33-C32)*1000)/($B33-$B32))</f>
        <v>-1.0000000000012221</v>
      </c>
      <c r="T33" s="28">
        <f t="shared" si="10"/>
        <v>1.9999999999997797</v>
      </c>
      <c r="U33" s="28">
        <f t="shared" si="10"/>
        <v>-1.000000000000334</v>
      </c>
      <c r="V33" s="28">
        <f t="shared" si="10"/>
        <v>-0.99999999999944578</v>
      </c>
      <c r="W33" s="28">
        <f t="shared" si="10"/>
        <v>0.99999999999944578</v>
      </c>
      <c r="X33" s="29">
        <f t="shared" si="10"/>
        <v>-1.0000000000012221</v>
      </c>
      <c r="Y33" s="24"/>
    </row>
    <row r="34" spans="2:25" ht="15" customHeight="1" x14ac:dyDescent="0.2">
      <c r="B34" s="31">
        <v>42579</v>
      </c>
      <c r="C34" s="25">
        <v>12.654</v>
      </c>
      <c r="D34" s="26">
        <v>7.7690000000000001</v>
      </c>
      <c r="E34" s="26">
        <v>7.6449999999999996</v>
      </c>
      <c r="F34" s="16">
        <v>13.259</v>
      </c>
      <c r="G34" s="16">
        <v>10.209</v>
      </c>
      <c r="H34" s="16">
        <v>10.353</v>
      </c>
      <c r="I34" s="17">
        <v>114.29300000000001</v>
      </c>
      <c r="J34" s="58">
        <v>2652</v>
      </c>
      <c r="K34" s="18">
        <f t="shared" ref="K34" si="11">IF(ISBLANK(J34),"",(J34-$J$8))</f>
        <v>31</v>
      </c>
      <c r="L34" s="19">
        <f t="shared" si="9"/>
        <v>-19.000000000000128</v>
      </c>
      <c r="M34" s="19">
        <f t="shared" si="9"/>
        <v>-6.0000000000002274</v>
      </c>
      <c r="N34" s="19">
        <f t="shared" si="9"/>
        <v>-13.000000000000789</v>
      </c>
      <c r="O34" s="19">
        <f t="shared" si="5"/>
        <v>-9.0000000000003411</v>
      </c>
      <c r="P34" s="19">
        <f t="shared" si="6"/>
        <v>-3.0000000000010019</v>
      </c>
      <c r="Q34" s="19">
        <f t="shared" si="7"/>
        <v>-9.0000000000003411</v>
      </c>
      <c r="R34" s="19">
        <f t="shared" si="9"/>
        <v>-9.9999999999909051</v>
      </c>
      <c r="S34" s="27">
        <f t="shared" si="10"/>
        <v>-0.99999999999944578</v>
      </c>
      <c r="T34" s="28">
        <f t="shared" si="10"/>
        <v>-1.9999999999997797</v>
      </c>
      <c r="U34" s="28">
        <f t="shared" si="10"/>
        <v>0</v>
      </c>
      <c r="V34" s="28">
        <f t="shared" si="10"/>
        <v>-0.99999999999944578</v>
      </c>
      <c r="W34" s="28">
        <f t="shared" si="10"/>
        <v>0</v>
      </c>
      <c r="X34" s="29">
        <f t="shared" si="10"/>
        <v>-0.99999999999944578</v>
      </c>
      <c r="Y34" s="24"/>
    </row>
    <row r="35" spans="2:25" ht="15" customHeight="1" x14ac:dyDescent="0.2">
      <c r="B35" s="31">
        <v>42580</v>
      </c>
      <c r="C35" s="25">
        <v>12.654</v>
      </c>
      <c r="D35" s="26">
        <v>7.7690000000000001</v>
      </c>
      <c r="E35" s="26">
        <v>7.6449999999999996</v>
      </c>
      <c r="F35" s="16">
        <v>13.259</v>
      </c>
      <c r="G35" s="16">
        <v>10.208</v>
      </c>
      <c r="H35" s="16">
        <v>10.353</v>
      </c>
      <c r="I35" s="17">
        <v>114.29300000000001</v>
      </c>
      <c r="J35" s="58">
        <v>2652</v>
      </c>
      <c r="K35" s="18">
        <f t="shared" ref="K35" si="12">IF(ISBLANK(J35),"",(J35-$J$8))</f>
        <v>31</v>
      </c>
      <c r="L35" s="19">
        <f t="shared" si="9"/>
        <v>-19.000000000000128</v>
      </c>
      <c r="M35" s="19">
        <f t="shared" si="9"/>
        <v>-6.0000000000002274</v>
      </c>
      <c r="N35" s="19">
        <f t="shared" si="9"/>
        <v>-13.000000000000789</v>
      </c>
      <c r="O35" s="19">
        <f t="shared" si="5"/>
        <v>-9.0000000000003411</v>
      </c>
      <c r="P35" s="19">
        <f t="shared" si="6"/>
        <v>-4.0000000000004476</v>
      </c>
      <c r="Q35" s="19">
        <f t="shared" si="7"/>
        <v>-9.0000000000003411</v>
      </c>
      <c r="R35" s="19">
        <f t="shared" si="9"/>
        <v>-9.9999999999909051</v>
      </c>
      <c r="S35" s="27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-0.99999999999944578</v>
      </c>
      <c r="X35" s="29">
        <f t="shared" si="10"/>
        <v>0</v>
      </c>
      <c r="Y35" s="24"/>
    </row>
    <row r="36" spans="2:25" ht="15" customHeight="1" x14ac:dyDescent="0.2">
      <c r="B36" s="31">
        <v>42583</v>
      </c>
      <c r="C36" s="25">
        <v>12.653</v>
      </c>
      <c r="D36" s="26">
        <v>7.7690000000000001</v>
      </c>
      <c r="E36" s="26">
        <v>7.6449999999999996</v>
      </c>
      <c r="F36" s="16">
        <v>13.259</v>
      </c>
      <c r="G36" s="16">
        <v>10.209</v>
      </c>
      <c r="H36" s="16">
        <v>10.352</v>
      </c>
      <c r="I36" s="17">
        <v>114.292</v>
      </c>
      <c r="J36" s="58">
        <v>2652</v>
      </c>
      <c r="K36" s="18">
        <f t="shared" ref="K36" si="13">IF(ISBLANK(J36),"",(J36-$J$8))</f>
        <v>31</v>
      </c>
      <c r="L36" s="19">
        <f t="shared" si="9"/>
        <v>-19.999999999999574</v>
      </c>
      <c r="M36" s="19">
        <f t="shared" si="9"/>
        <v>-6.0000000000002274</v>
      </c>
      <c r="N36" s="19">
        <f t="shared" si="9"/>
        <v>-13.000000000000789</v>
      </c>
      <c r="O36" s="19">
        <f t="shared" si="5"/>
        <v>-9.0000000000003411</v>
      </c>
      <c r="P36" s="19">
        <f t="shared" si="6"/>
        <v>-3.0000000000010019</v>
      </c>
      <c r="Q36" s="19">
        <f t="shared" si="7"/>
        <v>-9.9999999999997868</v>
      </c>
      <c r="R36" s="19">
        <f t="shared" si="9"/>
        <v>-10.99999999999568</v>
      </c>
      <c r="S36" s="27">
        <f t="shared" si="10"/>
        <v>-0.33333333333314857</v>
      </c>
      <c r="T36" s="28">
        <f t="shared" si="10"/>
        <v>0</v>
      </c>
      <c r="U36" s="28">
        <f t="shared" si="10"/>
        <v>0</v>
      </c>
      <c r="V36" s="28">
        <f t="shared" si="10"/>
        <v>0</v>
      </c>
      <c r="W36" s="28">
        <f t="shared" si="10"/>
        <v>0.33333333333314857</v>
      </c>
      <c r="X36" s="29">
        <f t="shared" si="10"/>
        <v>-0.33333333333314857</v>
      </c>
      <c r="Y36" s="24"/>
    </row>
    <row r="37" spans="2:25" ht="15" customHeight="1" x14ac:dyDescent="0.2">
      <c r="B37" s="31">
        <v>42584</v>
      </c>
      <c r="C37" s="25">
        <v>12.654</v>
      </c>
      <c r="D37" s="26">
        <v>7.7690000000000001</v>
      </c>
      <c r="E37" s="26">
        <v>7.6440000000000001</v>
      </c>
      <c r="F37" s="16">
        <v>13.259</v>
      </c>
      <c r="G37" s="16">
        <v>10.208</v>
      </c>
      <c r="H37" s="16">
        <v>10.351000000000001</v>
      </c>
      <c r="I37" s="17">
        <v>114.292</v>
      </c>
      <c r="J37" s="58">
        <v>2652</v>
      </c>
      <c r="K37" s="18">
        <f t="shared" ref="K37:K42" si="14">IF(ISBLANK(J37),"",(J37-$J$8))</f>
        <v>31</v>
      </c>
      <c r="L37" s="19">
        <f t="shared" si="9"/>
        <v>-19.000000000000128</v>
      </c>
      <c r="M37" s="19">
        <f t="shared" si="9"/>
        <v>-6.0000000000002274</v>
      </c>
      <c r="N37" s="19">
        <f t="shared" si="9"/>
        <v>-14.000000000000234</v>
      </c>
      <c r="O37" s="19">
        <f t="shared" si="5"/>
        <v>-9.0000000000003411</v>
      </c>
      <c r="P37" s="19">
        <f t="shared" si="6"/>
        <v>-4.0000000000004476</v>
      </c>
      <c r="Q37" s="19">
        <f t="shared" si="7"/>
        <v>-10.999999999999233</v>
      </c>
      <c r="R37" s="19">
        <f t="shared" si="9"/>
        <v>-10.99999999999568</v>
      </c>
      <c r="S37" s="27">
        <f t="shared" si="10"/>
        <v>0.99999999999944578</v>
      </c>
      <c r="T37" s="28">
        <f t="shared" si="10"/>
        <v>0</v>
      </c>
      <c r="U37" s="28">
        <f t="shared" si="10"/>
        <v>-0.99999999999944578</v>
      </c>
      <c r="V37" s="28">
        <f t="shared" si="10"/>
        <v>0</v>
      </c>
      <c r="W37" s="28">
        <f t="shared" si="10"/>
        <v>-0.99999999999944578</v>
      </c>
      <c r="X37" s="29">
        <f t="shared" si="10"/>
        <v>-0.99999999999944578</v>
      </c>
      <c r="Y37" s="24"/>
    </row>
    <row r="38" spans="2:25" ht="15" customHeight="1" x14ac:dyDescent="0.2">
      <c r="B38" s="31">
        <v>42585</v>
      </c>
      <c r="C38" s="25">
        <v>12.654</v>
      </c>
      <c r="D38" s="26">
        <v>7.7690000000000001</v>
      </c>
      <c r="E38" s="26">
        <v>7.6440000000000001</v>
      </c>
      <c r="F38" s="16">
        <v>13.259</v>
      </c>
      <c r="G38" s="16">
        <v>10.208</v>
      </c>
      <c r="H38" s="16">
        <v>10.351000000000001</v>
      </c>
      <c r="I38" s="17">
        <v>114.292</v>
      </c>
      <c r="J38" s="58">
        <v>2652</v>
      </c>
      <c r="K38" s="18">
        <f t="shared" si="14"/>
        <v>31</v>
      </c>
      <c r="L38" s="19">
        <f t="shared" si="9"/>
        <v>-19.000000000000128</v>
      </c>
      <c r="M38" s="19">
        <f t="shared" si="9"/>
        <v>-6.0000000000002274</v>
      </c>
      <c r="N38" s="19">
        <f t="shared" si="9"/>
        <v>-14.000000000000234</v>
      </c>
      <c r="O38" s="19">
        <f t="shared" si="5"/>
        <v>-9.0000000000003411</v>
      </c>
      <c r="P38" s="19">
        <f t="shared" si="6"/>
        <v>-4.0000000000004476</v>
      </c>
      <c r="Q38" s="19">
        <f t="shared" si="7"/>
        <v>-10.999999999999233</v>
      </c>
      <c r="R38" s="19">
        <f t="shared" si="9"/>
        <v>-10.99999999999568</v>
      </c>
      <c r="S38" s="27">
        <f t="shared" si="10"/>
        <v>0</v>
      </c>
      <c r="T38" s="28">
        <f t="shared" si="10"/>
        <v>0</v>
      </c>
      <c r="U38" s="28">
        <f t="shared" si="10"/>
        <v>0</v>
      </c>
      <c r="V38" s="28">
        <f t="shared" si="10"/>
        <v>0</v>
      </c>
      <c r="W38" s="28">
        <f t="shared" si="10"/>
        <v>0</v>
      </c>
      <c r="X38" s="29">
        <f t="shared" si="10"/>
        <v>0</v>
      </c>
      <c r="Y38" s="24"/>
    </row>
    <row r="39" spans="2:25" ht="15" customHeight="1" x14ac:dyDescent="0.2">
      <c r="B39" s="31">
        <v>42586</v>
      </c>
      <c r="C39" s="25">
        <v>12.654</v>
      </c>
      <c r="D39" s="26">
        <v>7.7690000000000001</v>
      </c>
      <c r="E39" s="26">
        <v>7.6440000000000001</v>
      </c>
      <c r="F39" s="16">
        <v>13.259</v>
      </c>
      <c r="G39" s="16">
        <v>10.208</v>
      </c>
      <c r="H39" s="16">
        <v>10.351000000000001</v>
      </c>
      <c r="I39" s="17">
        <v>114.292</v>
      </c>
      <c r="J39" s="58">
        <v>2652</v>
      </c>
      <c r="K39" s="18">
        <f t="shared" si="14"/>
        <v>31</v>
      </c>
      <c r="L39" s="19">
        <f t="shared" si="9"/>
        <v>-19.000000000000128</v>
      </c>
      <c r="M39" s="19">
        <f t="shared" si="9"/>
        <v>-6.0000000000002274</v>
      </c>
      <c r="N39" s="19">
        <f t="shared" si="9"/>
        <v>-14.000000000000234</v>
      </c>
      <c r="O39" s="19">
        <f t="shared" si="5"/>
        <v>-9.0000000000003411</v>
      </c>
      <c r="P39" s="19">
        <f t="shared" si="6"/>
        <v>-4.0000000000004476</v>
      </c>
      <c r="Q39" s="19">
        <f t="shared" si="7"/>
        <v>-10.999999999999233</v>
      </c>
      <c r="R39" s="19">
        <f t="shared" si="9"/>
        <v>-10.99999999999568</v>
      </c>
      <c r="S39" s="27">
        <f t="shared" si="10"/>
        <v>0</v>
      </c>
      <c r="T39" s="28">
        <f t="shared" si="10"/>
        <v>0</v>
      </c>
      <c r="U39" s="28">
        <f t="shared" si="10"/>
        <v>0</v>
      </c>
      <c r="V39" s="28">
        <f t="shared" si="10"/>
        <v>0</v>
      </c>
      <c r="W39" s="28">
        <f t="shared" si="10"/>
        <v>0</v>
      </c>
      <c r="X39" s="29">
        <f t="shared" si="10"/>
        <v>0</v>
      </c>
      <c r="Y39" s="24"/>
    </row>
    <row r="40" spans="2:25" ht="15" customHeight="1" x14ac:dyDescent="0.2">
      <c r="B40" s="31">
        <v>42593</v>
      </c>
      <c r="C40" s="25">
        <v>12.654</v>
      </c>
      <c r="D40" s="26">
        <v>7.7690000000000001</v>
      </c>
      <c r="E40" s="26">
        <v>7.6440000000000001</v>
      </c>
      <c r="F40" s="16">
        <v>13.259</v>
      </c>
      <c r="G40" s="16">
        <v>10.208</v>
      </c>
      <c r="H40" s="16">
        <v>10.351000000000001</v>
      </c>
      <c r="I40" s="17">
        <v>114.291</v>
      </c>
      <c r="J40" s="58">
        <v>2652</v>
      </c>
      <c r="K40" s="18">
        <f t="shared" si="14"/>
        <v>31</v>
      </c>
      <c r="L40" s="19">
        <f t="shared" si="9"/>
        <v>-19.000000000000128</v>
      </c>
      <c r="M40" s="19">
        <f t="shared" si="9"/>
        <v>-6.0000000000002274</v>
      </c>
      <c r="N40" s="19">
        <f t="shared" si="9"/>
        <v>-14.000000000000234</v>
      </c>
      <c r="O40" s="19">
        <f t="shared" si="5"/>
        <v>-9.0000000000003411</v>
      </c>
      <c r="P40" s="19">
        <f t="shared" si="6"/>
        <v>-4.0000000000004476</v>
      </c>
      <c r="Q40" s="19">
        <f t="shared" si="7"/>
        <v>-10.999999999999233</v>
      </c>
      <c r="R40" s="19">
        <f t="shared" si="9"/>
        <v>-12.000000000000455</v>
      </c>
      <c r="S40" s="27">
        <f t="shared" si="10"/>
        <v>0</v>
      </c>
      <c r="T40" s="28">
        <f t="shared" si="10"/>
        <v>0</v>
      </c>
      <c r="U40" s="28">
        <f t="shared" si="10"/>
        <v>0</v>
      </c>
      <c r="V40" s="28">
        <f t="shared" si="10"/>
        <v>0</v>
      </c>
      <c r="W40" s="28">
        <f t="shared" si="10"/>
        <v>0</v>
      </c>
      <c r="X40" s="29">
        <f t="shared" si="10"/>
        <v>0</v>
      </c>
      <c r="Y40" s="24"/>
    </row>
    <row r="41" spans="2:25" ht="15" customHeight="1" x14ac:dyDescent="0.2">
      <c r="B41" s="31">
        <v>42598</v>
      </c>
      <c r="C41" s="25">
        <v>12.654</v>
      </c>
      <c r="D41" s="26">
        <v>7.7690000000000001</v>
      </c>
      <c r="E41" s="26">
        <v>7.6440000000000001</v>
      </c>
      <c r="F41" s="16">
        <v>13.259</v>
      </c>
      <c r="G41" s="16">
        <v>10.208</v>
      </c>
      <c r="H41" s="16">
        <v>10.351000000000001</v>
      </c>
      <c r="I41" s="17">
        <v>114.291</v>
      </c>
      <c r="J41" s="58">
        <v>2652</v>
      </c>
      <c r="K41" s="18">
        <f t="shared" si="14"/>
        <v>31</v>
      </c>
      <c r="L41" s="19">
        <f t="shared" si="9"/>
        <v>-19.000000000000128</v>
      </c>
      <c r="M41" s="19">
        <f t="shared" si="9"/>
        <v>-6.0000000000002274</v>
      </c>
      <c r="N41" s="19">
        <f t="shared" si="9"/>
        <v>-14.000000000000234</v>
      </c>
      <c r="O41" s="19">
        <f t="shared" si="5"/>
        <v>-9.0000000000003411</v>
      </c>
      <c r="P41" s="19">
        <f t="shared" si="6"/>
        <v>-4.0000000000004476</v>
      </c>
      <c r="Q41" s="19">
        <f t="shared" si="7"/>
        <v>-10.999999999999233</v>
      </c>
      <c r="R41" s="19">
        <f t="shared" si="9"/>
        <v>-12.000000000000455</v>
      </c>
      <c r="S41" s="27">
        <f t="shared" si="10"/>
        <v>0</v>
      </c>
      <c r="T41" s="28">
        <f t="shared" si="10"/>
        <v>0</v>
      </c>
      <c r="U41" s="28">
        <f t="shared" si="10"/>
        <v>0</v>
      </c>
      <c r="V41" s="28">
        <f t="shared" si="10"/>
        <v>0</v>
      </c>
      <c r="W41" s="28">
        <f t="shared" si="10"/>
        <v>0</v>
      </c>
      <c r="X41" s="29">
        <f t="shared" si="10"/>
        <v>0</v>
      </c>
      <c r="Y41" s="24"/>
    </row>
    <row r="42" spans="2:25" ht="15" customHeight="1" x14ac:dyDescent="0.2">
      <c r="B42" s="31">
        <v>42605</v>
      </c>
      <c r="C42" s="25">
        <v>12.654</v>
      </c>
      <c r="D42" s="26">
        <v>7.7690000000000001</v>
      </c>
      <c r="E42" s="26">
        <v>7.6440000000000001</v>
      </c>
      <c r="F42" s="16">
        <v>13.259</v>
      </c>
      <c r="G42" s="16">
        <v>10.208</v>
      </c>
      <c r="H42" s="16">
        <v>10.351000000000001</v>
      </c>
      <c r="I42" s="17">
        <v>114.291</v>
      </c>
      <c r="J42" s="58">
        <v>2652</v>
      </c>
      <c r="K42" s="18">
        <f t="shared" si="14"/>
        <v>31</v>
      </c>
      <c r="L42" s="19">
        <f t="shared" si="9"/>
        <v>-19.000000000000128</v>
      </c>
      <c r="M42" s="19">
        <f t="shared" si="9"/>
        <v>-6.0000000000002274</v>
      </c>
      <c r="N42" s="19">
        <f t="shared" si="9"/>
        <v>-14.000000000000234</v>
      </c>
      <c r="O42" s="19">
        <f t="shared" si="5"/>
        <v>-9.0000000000003411</v>
      </c>
      <c r="P42" s="19">
        <f t="shared" si="6"/>
        <v>-4.0000000000004476</v>
      </c>
      <c r="Q42" s="19">
        <f t="shared" si="7"/>
        <v>-10.999999999999233</v>
      </c>
      <c r="R42" s="19">
        <f t="shared" si="9"/>
        <v>-12.000000000000455</v>
      </c>
      <c r="S42" s="27">
        <f t="shared" si="10"/>
        <v>0</v>
      </c>
      <c r="T42" s="28">
        <f t="shared" si="10"/>
        <v>0</v>
      </c>
      <c r="U42" s="28">
        <f t="shared" si="10"/>
        <v>0</v>
      </c>
      <c r="V42" s="28">
        <f t="shared" si="10"/>
        <v>0</v>
      </c>
      <c r="W42" s="28">
        <f t="shared" si="10"/>
        <v>0</v>
      </c>
      <c r="X42" s="29">
        <f t="shared" si="10"/>
        <v>0</v>
      </c>
      <c r="Y42" s="24"/>
    </row>
    <row r="43" spans="2:25" ht="15" customHeight="1" x14ac:dyDescent="0.2">
      <c r="B43" s="31">
        <v>42685</v>
      </c>
      <c r="C43" s="25">
        <v>12.654</v>
      </c>
      <c r="D43" s="26">
        <v>7.7690000000000001</v>
      </c>
      <c r="E43" s="26">
        <v>7.6440000000000001</v>
      </c>
      <c r="F43" s="16">
        <v>13.259</v>
      </c>
      <c r="G43" s="16">
        <v>10.208</v>
      </c>
      <c r="H43" s="16">
        <v>10.351000000000001</v>
      </c>
      <c r="I43" s="17">
        <v>114.291</v>
      </c>
      <c r="J43" s="58">
        <v>2652</v>
      </c>
      <c r="K43" s="18">
        <f t="shared" ref="K43" si="15">IF(ISBLANK(J43),"",(J43-$J$8))</f>
        <v>31</v>
      </c>
      <c r="L43" s="19">
        <f t="shared" si="9"/>
        <v>-19.000000000000128</v>
      </c>
      <c r="M43" s="19">
        <f t="shared" si="9"/>
        <v>-6.0000000000002274</v>
      </c>
      <c r="N43" s="19">
        <f t="shared" si="9"/>
        <v>-14.000000000000234</v>
      </c>
      <c r="O43" s="19">
        <f t="shared" si="5"/>
        <v>-9.0000000000003411</v>
      </c>
      <c r="P43" s="19">
        <f t="shared" si="6"/>
        <v>-4.0000000000004476</v>
      </c>
      <c r="Q43" s="19">
        <f t="shared" si="7"/>
        <v>-10.999999999999233</v>
      </c>
      <c r="R43" s="19">
        <f t="shared" si="9"/>
        <v>-12.000000000000455</v>
      </c>
      <c r="S43" s="27">
        <f t="shared" si="10"/>
        <v>0</v>
      </c>
      <c r="T43" s="28">
        <f t="shared" si="10"/>
        <v>0</v>
      </c>
      <c r="U43" s="28">
        <f t="shared" si="10"/>
        <v>0</v>
      </c>
      <c r="V43" s="28">
        <f t="shared" si="10"/>
        <v>0</v>
      </c>
      <c r="W43" s="28">
        <f t="shared" si="10"/>
        <v>0</v>
      </c>
      <c r="X43" s="29">
        <f t="shared" si="10"/>
        <v>0</v>
      </c>
      <c r="Y43" s="24"/>
    </row>
    <row r="44" spans="2:25" ht="15" customHeight="1" x14ac:dyDescent="0.2">
      <c r="B44" s="31"/>
      <c r="C44" s="33"/>
      <c r="D44" s="16"/>
      <c r="E44" s="16"/>
      <c r="F44" s="16"/>
      <c r="G44" s="16"/>
      <c r="H44" s="16"/>
      <c r="I44" s="16"/>
      <c r="J44" s="32"/>
      <c r="K44" s="18"/>
      <c r="L44" s="19" t="str">
        <f t="shared" si="9"/>
        <v/>
      </c>
      <c r="M44" s="19" t="str">
        <f t="shared" si="9"/>
        <v/>
      </c>
      <c r="N44" s="19" t="str">
        <f t="shared" si="9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9"/>
        <v/>
      </c>
      <c r="S44" s="27" t="str">
        <f t="shared" si="10"/>
        <v/>
      </c>
      <c r="T44" s="28" t="str">
        <f t="shared" si="10"/>
        <v/>
      </c>
      <c r="U44" s="28" t="str">
        <f t="shared" si="10"/>
        <v/>
      </c>
      <c r="V44" s="28" t="str">
        <f t="shared" si="10"/>
        <v/>
      </c>
      <c r="W44" s="28" t="str">
        <f t="shared" si="10"/>
        <v/>
      </c>
      <c r="X44" s="29" t="str">
        <f t="shared" si="10"/>
        <v/>
      </c>
      <c r="Y44" s="24"/>
    </row>
    <row r="45" spans="2:25" ht="15" customHeight="1" x14ac:dyDescent="0.2">
      <c r="B45" s="31"/>
      <c r="C45" s="33"/>
      <c r="D45" s="16"/>
      <c r="E45" s="16"/>
      <c r="F45" s="16"/>
      <c r="G45" s="16"/>
      <c r="H45" s="16"/>
      <c r="I45" s="16"/>
      <c r="J45" s="32"/>
      <c r="K45" s="18"/>
      <c r="L45" s="19" t="str">
        <f t="shared" si="9"/>
        <v/>
      </c>
      <c r="M45" s="19" t="str">
        <f t="shared" si="9"/>
        <v/>
      </c>
      <c r="N45" s="19" t="str">
        <f t="shared" si="9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9"/>
        <v/>
      </c>
      <c r="S45" s="27" t="str">
        <f t="shared" si="10"/>
        <v/>
      </c>
      <c r="T45" s="28" t="str">
        <f t="shared" si="10"/>
        <v/>
      </c>
      <c r="U45" s="28" t="str">
        <f t="shared" si="10"/>
        <v/>
      </c>
      <c r="V45" s="28" t="str">
        <f t="shared" si="10"/>
        <v/>
      </c>
      <c r="W45" s="28" t="str">
        <f t="shared" si="10"/>
        <v/>
      </c>
      <c r="X45" s="29" t="str">
        <f t="shared" si="10"/>
        <v/>
      </c>
      <c r="Y45" s="24"/>
    </row>
    <row r="46" spans="2:25" ht="15" customHeight="1" x14ac:dyDescent="0.2">
      <c r="B46" s="31"/>
      <c r="C46" s="33"/>
      <c r="D46" s="16"/>
      <c r="E46" s="16"/>
      <c r="F46" s="16"/>
      <c r="G46" s="16"/>
      <c r="H46" s="16"/>
      <c r="I46" s="16"/>
      <c r="J46" s="32"/>
      <c r="K46" s="18"/>
      <c r="L46" s="19" t="str">
        <f t="shared" si="9"/>
        <v/>
      </c>
      <c r="M46" s="19" t="str">
        <f t="shared" si="9"/>
        <v/>
      </c>
      <c r="N46" s="19" t="str">
        <f t="shared" si="9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9"/>
        <v/>
      </c>
      <c r="S46" s="27" t="str">
        <f t="shared" si="10"/>
        <v/>
      </c>
      <c r="T46" s="28" t="str">
        <f t="shared" si="10"/>
        <v/>
      </c>
      <c r="U46" s="28" t="str">
        <f t="shared" si="10"/>
        <v/>
      </c>
      <c r="V46" s="28" t="str">
        <f t="shared" si="10"/>
        <v/>
      </c>
      <c r="W46" s="28" t="str">
        <f t="shared" si="10"/>
        <v/>
      </c>
      <c r="X46" s="29" t="str">
        <f t="shared" si="10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9"/>
        <v/>
      </c>
      <c r="M47" s="19" t="str">
        <f t="shared" si="9"/>
        <v/>
      </c>
      <c r="N47" s="19" t="str">
        <f t="shared" si="9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9"/>
        <v/>
      </c>
      <c r="S47" s="27" t="str">
        <f t="shared" si="10"/>
        <v/>
      </c>
      <c r="T47" s="28" t="str">
        <f t="shared" si="10"/>
        <v/>
      </c>
      <c r="U47" s="28" t="str">
        <f t="shared" si="10"/>
        <v/>
      </c>
      <c r="V47" s="28" t="str">
        <f t="shared" si="10"/>
        <v/>
      </c>
      <c r="W47" s="28" t="str">
        <f t="shared" si="10"/>
        <v/>
      </c>
      <c r="X47" s="29" t="str">
        <f t="shared" si="10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9"/>
        <v/>
      </c>
      <c r="M48" s="19" t="str">
        <f t="shared" si="9"/>
        <v/>
      </c>
      <c r="N48" s="19" t="str">
        <f t="shared" si="9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9"/>
        <v/>
      </c>
      <c r="S48" s="27" t="str">
        <f t="shared" si="10"/>
        <v/>
      </c>
      <c r="T48" s="28" t="str">
        <f t="shared" si="10"/>
        <v/>
      </c>
      <c r="U48" s="28" t="str">
        <f t="shared" si="10"/>
        <v/>
      </c>
      <c r="V48" s="28" t="str">
        <f t="shared" si="10"/>
        <v/>
      </c>
      <c r="W48" s="28" t="str">
        <f t="shared" si="10"/>
        <v/>
      </c>
      <c r="X48" s="29" t="str">
        <f t="shared" si="10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9"/>
        <v/>
      </c>
      <c r="M49" s="19" t="str">
        <f t="shared" si="9"/>
        <v/>
      </c>
      <c r="N49" s="19" t="str">
        <f t="shared" si="9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9"/>
        <v/>
      </c>
      <c r="S49" s="27" t="str">
        <f t="shared" ref="S49:X64" si="16">IF(C49="","",((C49-C48)*1000)/($B49-$B48))</f>
        <v/>
      </c>
      <c r="T49" s="28" t="str">
        <f t="shared" si="16"/>
        <v/>
      </c>
      <c r="U49" s="28" t="str">
        <f t="shared" si="16"/>
        <v/>
      </c>
      <c r="V49" s="28" t="str">
        <f t="shared" si="16"/>
        <v/>
      </c>
      <c r="W49" s="28" t="str">
        <f t="shared" si="16"/>
        <v/>
      </c>
      <c r="X49" s="29" t="str">
        <f t="shared" si="16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9"/>
        <v/>
      </c>
      <c r="M50" s="19" t="str">
        <f t="shared" si="9"/>
        <v/>
      </c>
      <c r="N50" s="19" t="str">
        <f t="shared" si="9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9"/>
        <v/>
      </c>
      <c r="S50" s="27" t="str">
        <f t="shared" si="16"/>
        <v/>
      </c>
      <c r="T50" s="28" t="str">
        <f t="shared" si="16"/>
        <v/>
      </c>
      <c r="U50" s="28" t="str">
        <f t="shared" si="16"/>
        <v/>
      </c>
      <c r="V50" s="28" t="str">
        <f t="shared" si="16"/>
        <v/>
      </c>
      <c r="W50" s="28" t="str">
        <f t="shared" si="16"/>
        <v/>
      </c>
      <c r="X50" s="29" t="str">
        <f t="shared" si="16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9"/>
        <v/>
      </c>
      <c r="M51" s="19" t="str">
        <f t="shared" si="9"/>
        <v/>
      </c>
      <c r="N51" s="19" t="str">
        <f t="shared" si="9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9"/>
        <v/>
      </c>
      <c r="S51" s="27" t="str">
        <f t="shared" si="16"/>
        <v/>
      </c>
      <c r="T51" s="28" t="str">
        <f t="shared" si="16"/>
        <v/>
      </c>
      <c r="U51" s="28" t="str">
        <f t="shared" si="16"/>
        <v/>
      </c>
      <c r="V51" s="28" t="str">
        <f t="shared" si="16"/>
        <v/>
      </c>
      <c r="W51" s="28" t="str">
        <f t="shared" si="16"/>
        <v/>
      </c>
      <c r="X51" s="29" t="str">
        <f t="shared" si="16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9"/>
        <v/>
      </c>
      <c r="M52" s="19" t="str">
        <f t="shared" si="9"/>
        <v/>
      </c>
      <c r="N52" s="19" t="str">
        <f t="shared" si="9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9"/>
        <v/>
      </c>
      <c r="S52" s="27" t="str">
        <f t="shared" si="16"/>
        <v/>
      </c>
      <c r="T52" s="28" t="str">
        <f t="shared" si="16"/>
        <v/>
      </c>
      <c r="U52" s="28" t="str">
        <f t="shared" si="16"/>
        <v/>
      </c>
      <c r="V52" s="28" t="str">
        <f t="shared" si="16"/>
        <v/>
      </c>
      <c r="W52" s="28" t="str">
        <f t="shared" si="16"/>
        <v/>
      </c>
      <c r="X52" s="29" t="str">
        <f t="shared" si="16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9"/>
        <v/>
      </c>
      <c r="M53" s="19" t="str">
        <f t="shared" si="9"/>
        <v/>
      </c>
      <c r="N53" s="19" t="str">
        <f t="shared" si="9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9"/>
        <v/>
      </c>
      <c r="S53" s="27" t="str">
        <f t="shared" si="16"/>
        <v/>
      </c>
      <c r="T53" s="28" t="str">
        <f t="shared" si="16"/>
        <v/>
      </c>
      <c r="U53" s="28" t="str">
        <f t="shared" si="16"/>
        <v/>
      </c>
      <c r="V53" s="28" t="str">
        <f t="shared" si="16"/>
        <v/>
      </c>
      <c r="W53" s="28" t="str">
        <f t="shared" si="16"/>
        <v/>
      </c>
      <c r="X53" s="29" t="str">
        <f t="shared" si="16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9"/>
        <v/>
      </c>
      <c r="M54" s="19" t="str">
        <f t="shared" si="9"/>
        <v/>
      </c>
      <c r="N54" s="19" t="str">
        <f t="shared" si="9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9"/>
        <v/>
      </c>
      <c r="S54" s="27" t="str">
        <f t="shared" si="16"/>
        <v/>
      </c>
      <c r="T54" s="28" t="str">
        <f t="shared" si="16"/>
        <v/>
      </c>
      <c r="U54" s="28" t="str">
        <f t="shared" si="16"/>
        <v/>
      </c>
      <c r="V54" s="28" t="str">
        <f t="shared" si="16"/>
        <v/>
      </c>
      <c r="W54" s="28" t="str">
        <f t="shared" si="16"/>
        <v/>
      </c>
      <c r="X54" s="29" t="str">
        <f t="shared" si="16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9"/>
        <v/>
      </c>
      <c r="M55" s="19" t="str">
        <f t="shared" si="9"/>
        <v/>
      </c>
      <c r="N55" s="19" t="str">
        <f t="shared" si="9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9"/>
        <v/>
      </c>
      <c r="S55" s="27" t="str">
        <f t="shared" si="16"/>
        <v/>
      </c>
      <c r="T55" s="28" t="str">
        <f t="shared" si="16"/>
        <v/>
      </c>
      <c r="U55" s="28" t="str">
        <f t="shared" si="16"/>
        <v/>
      </c>
      <c r="V55" s="28" t="str">
        <f t="shared" si="16"/>
        <v/>
      </c>
      <c r="W55" s="28" t="str">
        <f t="shared" si="16"/>
        <v/>
      </c>
      <c r="X55" s="29" t="str">
        <f t="shared" si="16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9"/>
        <v/>
      </c>
      <c r="M56" s="19" t="str">
        <f t="shared" si="9"/>
        <v/>
      </c>
      <c r="N56" s="19" t="str">
        <f t="shared" si="9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9"/>
        <v/>
      </c>
      <c r="S56" s="27" t="str">
        <f t="shared" si="16"/>
        <v/>
      </c>
      <c r="T56" s="28" t="str">
        <f t="shared" si="16"/>
        <v/>
      </c>
      <c r="U56" s="28" t="str">
        <f t="shared" si="16"/>
        <v/>
      </c>
      <c r="V56" s="28" t="str">
        <f t="shared" si="16"/>
        <v/>
      </c>
      <c r="W56" s="28" t="str">
        <f t="shared" si="16"/>
        <v/>
      </c>
      <c r="X56" s="29" t="str">
        <f t="shared" si="16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9"/>
        <v/>
      </c>
      <c r="M57" s="19" t="str">
        <f t="shared" si="9"/>
        <v/>
      </c>
      <c r="N57" s="19" t="str">
        <f t="shared" si="9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9"/>
        <v/>
      </c>
      <c r="S57" s="27" t="str">
        <f t="shared" si="16"/>
        <v/>
      </c>
      <c r="T57" s="28" t="str">
        <f t="shared" si="16"/>
        <v/>
      </c>
      <c r="U57" s="28" t="str">
        <f t="shared" si="16"/>
        <v/>
      </c>
      <c r="V57" s="28" t="str">
        <f t="shared" si="16"/>
        <v/>
      </c>
      <c r="W57" s="28" t="str">
        <f t="shared" si="16"/>
        <v/>
      </c>
      <c r="X57" s="29" t="str">
        <f t="shared" si="16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9"/>
        <v/>
      </c>
      <c r="M58" s="19" t="str">
        <f t="shared" si="9"/>
        <v/>
      </c>
      <c r="N58" s="19" t="str">
        <f t="shared" si="9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9"/>
        <v/>
      </c>
      <c r="S58" s="27" t="str">
        <f t="shared" si="16"/>
        <v/>
      </c>
      <c r="T58" s="28" t="str">
        <f t="shared" si="16"/>
        <v/>
      </c>
      <c r="U58" s="28" t="str">
        <f t="shared" si="16"/>
        <v/>
      </c>
      <c r="V58" s="28" t="str">
        <f t="shared" si="16"/>
        <v/>
      </c>
      <c r="W58" s="28" t="str">
        <f t="shared" si="16"/>
        <v/>
      </c>
      <c r="X58" s="29" t="str">
        <f t="shared" si="16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9"/>
        <v/>
      </c>
      <c r="M59" s="19" t="str">
        <f t="shared" si="9"/>
        <v/>
      </c>
      <c r="N59" s="19" t="str">
        <f t="shared" si="9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9"/>
        <v/>
      </c>
      <c r="S59" s="27" t="str">
        <f t="shared" si="16"/>
        <v/>
      </c>
      <c r="T59" s="28" t="str">
        <f t="shared" si="16"/>
        <v/>
      </c>
      <c r="U59" s="28" t="str">
        <f t="shared" si="16"/>
        <v/>
      </c>
      <c r="V59" s="28" t="str">
        <f t="shared" si="16"/>
        <v/>
      </c>
      <c r="W59" s="28" t="str">
        <f t="shared" si="16"/>
        <v/>
      </c>
      <c r="X59" s="29" t="str">
        <f t="shared" si="16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9"/>
        <v/>
      </c>
      <c r="M60" s="19" t="str">
        <f t="shared" si="9"/>
        <v/>
      </c>
      <c r="N60" s="19" t="str">
        <f t="shared" si="9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9"/>
        <v/>
      </c>
      <c r="S60" s="27" t="str">
        <f t="shared" si="16"/>
        <v/>
      </c>
      <c r="T60" s="28" t="str">
        <f t="shared" si="16"/>
        <v/>
      </c>
      <c r="U60" s="28" t="str">
        <f t="shared" si="16"/>
        <v/>
      </c>
      <c r="V60" s="28" t="str">
        <f t="shared" si="16"/>
        <v/>
      </c>
      <c r="W60" s="28" t="str">
        <f t="shared" si="16"/>
        <v/>
      </c>
      <c r="X60" s="29" t="str">
        <f t="shared" si="16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9"/>
        <v/>
      </c>
      <c r="M61" s="19" t="str">
        <f t="shared" si="9"/>
        <v/>
      </c>
      <c r="N61" s="19" t="str">
        <f t="shared" si="9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9"/>
        <v/>
      </c>
      <c r="S61" s="27" t="str">
        <f t="shared" si="16"/>
        <v/>
      </c>
      <c r="T61" s="28" t="str">
        <f t="shared" si="16"/>
        <v/>
      </c>
      <c r="U61" s="28" t="str">
        <f t="shared" si="16"/>
        <v/>
      </c>
      <c r="V61" s="28" t="str">
        <f t="shared" si="16"/>
        <v/>
      </c>
      <c r="W61" s="28" t="str">
        <f t="shared" si="16"/>
        <v/>
      </c>
      <c r="X61" s="29" t="str">
        <f t="shared" si="16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9"/>
        <v/>
      </c>
      <c r="M62" s="19" t="str">
        <f t="shared" si="9"/>
        <v/>
      </c>
      <c r="N62" s="19" t="str">
        <f t="shared" si="9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ref="R62:R93" si="17">IF(ISBLANK(I62),"",(I62-I$16)*1000)</f>
        <v/>
      </c>
      <c r="S62" s="27" t="str">
        <f t="shared" si="16"/>
        <v/>
      </c>
      <c r="T62" s="28" t="str">
        <f t="shared" si="16"/>
        <v/>
      </c>
      <c r="U62" s="28" t="str">
        <f t="shared" si="16"/>
        <v/>
      </c>
      <c r="V62" s="28" t="str">
        <f t="shared" si="16"/>
        <v/>
      </c>
      <c r="W62" s="28" t="str">
        <f t="shared" si="16"/>
        <v/>
      </c>
      <c r="X62" s="29" t="str">
        <f t="shared" si="16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R117" si="18">IF(ISBLANK(C63),"",(C63-C$16)*1000)</f>
        <v/>
      </c>
      <c r="M63" s="19" t="str">
        <f t="shared" si="18"/>
        <v/>
      </c>
      <c r="N63" s="19" t="str">
        <f t="shared" si="18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17"/>
        <v/>
      </c>
      <c r="S63" s="27" t="str">
        <f t="shared" si="16"/>
        <v/>
      </c>
      <c r="T63" s="28" t="str">
        <f t="shared" si="16"/>
        <v/>
      </c>
      <c r="U63" s="28" t="str">
        <f t="shared" si="16"/>
        <v/>
      </c>
      <c r="V63" s="28" t="str">
        <f t="shared" si="16"/>
        <v/>
      </c>
      <c r="W63" s="28" t="str">
        <f t="shared" si="16"/>
        <v/>
      </c>
      <c r="X63" s="29" t="str">
        <f t="shared" si="16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8"/>
        <v/>
      </c>
      <c r="M64" s="19" t="str">
        <f t="shared" si="18"/>
        <v/>
      </c>
      <c r="N64" s="19" t="str">
        <f t="shared" si="18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17"/>
        <v/>
      </c>
      <c r="S64" s="27" t="str">
        <f t="shared" si="16"/>
        <v/>
      </c>
      <c r="T64" s="28" t="str">
        <f t="shared" si="16"/>
        <v/>
      </c>
      <c r="U64" s="28" t="str">
        <f t="shared" si="16"/>
        <v/>
      </c>
      <c r="V64" s="28" t="str">
        <f t="shared" si="16"/>
        <v/>
      </c>
      <c r="W64" s="28" t="str">
        <f t="shared" si="16"/>
        <v/>
      </c>
      <c r="X64" s="29" t="str">
        <f t="shared" si="16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8"/>
        <v/>
      </c>
      <c r="M65" s="19" t="str">
        <f t="shared" si="18"/>
        <v/>
      </c>
      <c r="N65" s="19" t="str">
        <f t="shared" si="18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17"/>
        <v/>
      </c>
      <c r="S65" s="27" t="str">
        <f t="shared" ref="S65:X80" si="19">IF(C65="","",((C65-C64)*1000)/($B65-$B64))</f>
        <v/>
      </c>
      <c r="T65" s="28" t="str">
        <f t="shared" si="19"/>
        <v/>
      </c>
      <c r="U65" s="28" t="str">
        <f t="shared" si="19"/>
        <v/>
      </c>
      <c r="V65" s="28" t="str">
        <f t="shared" si="19"/>
        <v/>
      </c>
      <c r="W65" s="28" t="str">
        <f t="shared" si="19"/>
        <v/>
      </c>
      <c r="X65" s="29" t="str">
        <f t="shared" si="19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8"/>
        <v/>
      </c>
      <c r="M66" s="19" t="str">
        <f t="shared" si="18"/>
        <v/>
      </c>
      <c r="N66" s="19" t="str">
        <f t="shared" si="18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17"/>
        <v/>
      </c>
      <c r="S66" s="27" t="str">
        <f t="shared" si="19"/>
        <v/>
      </c>
      <c r="T66" s="28" t="str">
        <f t="shared" si="19"/>
        <v/>
      </c>
      <c r="U66" s="28" t="str">
        <f t="shared" si="19"/>
        <v/>
      </c>
      <c r="V66" s="28" t="str">
        <f t="shared" si="19"/>
        <v/>
      </c>
      <c r="W66" s="28" t="str">
        <f t="shared" si="19"/>
        <v/>
      </c>
      <c r="X66" s="29" t="str">
        <f t="shared" si="19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8"/>
        <v/>
      </c>
      <c r="M67" s="19" t="str">
        <f t="shared" si="18"/>
        <v/>
      </c>
      <c r="N67" s="19" t="str">
        <f t="shared" si="18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17"/>
        <v/>
      </c>
      <c r="S67" s="27" t="str">
        <f t="shared" si="19"/>
        <v/>
      </c>
      <c r="T67" s="28" t="str">
        <f t="shared" si="19"/>
        <v/>
      </c>
      <c r="U67" s="28" t="str">
        <f t="shared" si="19"/>
        <v/>
      </c>
      <c r="V67" s="28" t="str">
        <f t="shared" si="19"/>
        <v/>
      </c>
      <c r="W67" s="28" t="str">
        <f t="shared" si="19"/>
        <v/>
      </c>
      <c r="X67" s="29" t="str">
        <f t="shared" si="19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8"/>
        <v/>
      </c>
      <c r="M68" s="19" t="str">
        <f t="shared" si="18"/>
        <v/>
      </c>
      <c r="N68" s="19" t="str">
        <f t="shared" si="18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17"/>
        <v/>
      </c>
      <c r="S68" s="27" t="str">
        <f t="shared" si="19"/>
        <v/>
      </c>
      <c r="T68" s="28" t="str">
        <f t="shared" si="19"/>
        <v/>
      </c>
      <c r="U68" s="28" t="str">
        <f t="shared" si="19"/>
        <v/>
      </c>
      <c r="V68" s="28" t="str">
        <f t="shared" si="19"/>
        <v/>
      </c>
      <c r="W68" s="28" t="str">
        <f t="shared" si="19"/>
        <v/>
      </c>
      <c r="X68" s="29" t="str">
        <f t="shared" si="19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8"/>
        <v/>
      </c>
      <c r="M69" s="19" t="str">
        <f t="shared" si="18"/>
        <v/>
      </c>
      <c r="N69" s="19" t="str">
        <f t="shared" si="18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17"/>
        <v/>
      </c>
      <c r="S69" s="27" t="str">
        <f t="shared" si="19"/>
        <v/>
      </c>
      <c r="T69" s="28" t="str">
        <f t="shared" si="19"/>
        <v/>
      </c>
      <c r="U69" s="28" t="str">
        <f t="shared" si="19"/>
        <v/>
      </c>
      <c r="V69" s="28" t="str">
        <f t="shared" si="19"/>
        <v/>
      </c>
      <c r="W69" s="28" t="str">
        <f t="shared" si="19"/>
        <v/>
      </c>
      <c r="X69" s="29" t="str">
        <f t="shared" si="19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8"/>
        <v/>
      </c>
      <c r="M70" s="19" t="str">
        <f t="shared" si="18"/>
        <v/>
      </c>
      <c r="N70" s="19" t="str">
        <f t="shared" si="18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17"/>
        <v/>
      </c>
      <c r="S70" s="27" t="str">
        <f t="shared" si="19"/>
        <v/>
      </c>
      <c r="T70" s="28" t="str">
        <f t="shared" si="19"/>
        <v/>
      </c>
      <c r="U70" s="28" t="str">
        <f t="shared" si="19"/>
        <v/>
      </c>
      <c r="V70" s="28" t="str">
        <f t="shared" si="19"/>
        <v/>
      </c>
      <c r="W70" s="28" t="str">
        <f t="shared" si="19"/>
        <v/>
      </c>
      <c r="X70" s="29" t="str">
        <f t="shared" si="19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8"/>
        <v/>
      </c>
      <c r="M71" s="19" t="str">
        <f t="shared" si="18"/>
        <v/>
      </c>
      <c r="N71" s="19" t="str">
        <f t="shared" si="18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17"/>
        <v/>
      </c>
      <c r="S71" s="27" t="str">
        <f t="shared" si="19"/>
        <v/>
      </c>
      <c r="T71" s="28" t="str">
        <f t="shared" si="19"/>
        <v/>
      </c>
      <c r="U71" s="28" t="str">
        <f t="shared" si="19"/>
        <v/>
      </c>
      <c r="V71" s="28" t="str">
        <f t="shared" si="19"/>
        <v/>
      </c>
      <c r="W71" s="28" t="str">
        <f t="shared" si="19"/>
        <v/>
      </c>
      <c r="X71" s="29" t="str">
        <f t="shared" si="19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8"/>
        <v/>
      </c>
      <c r="M72" s="19" t="str">
        <f t="shared" si="18"/>
        <v/>
      </c>
      <c r="N72" s="19" t="str">
        <f t="shared" si="18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17"/>
        <v/>
      </c>
      <c r="S72" s="27" t="str">
        <f t="shared" si="19"/>
        <v/>
      </c>
      <c r="T72" s="28" t="str">
        <f t="shared" si="19"/>
        <v/>
      </c>
      <c r="U72" s="28" t="str">
        <f t="shared" si="19"/>
        <v/>
      </c>
      <c r="V72" s="28" t="str">
        <f t="shared" si="19"/>
        <v/>
      </c>
      <c r="W72" s="28" t="str">
        <f t="shared" si="19"/>
        <v/>
      </c>
      <c r="X72" s="29" t="str">
        <f t="shared" si="19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8"/>
        <v/>
      </c>
      <c r="M73" s="19" t="str">
        <f t="shared" si="18"/>
        <v/>
      </c>
      <c r="N73" s="19" t="str">
        <f t="shared" si="18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17"/>
        <v/>
      </c>
      <c r="S73" s="27" t="str">
        <f t="shared" si="19"/>
        <v/>
      </c>
      <c r="T73" s="28" t="str">
        <f t="shared" si="19"/>
        <v/>
      </c>
      <c r="U73" s="28" t="str">
        <f t="shared" si="19"/>
        <v/>
      </c>
      <c r="V73" s="28" t="str">
        <f t="shared" si="19"/>
        <v/>
      </c>
      <c r="W73" s="28" t="str">
        <f t="shared" si="19"/>
        <v/>
      </c>
      <c r="X73" s="29" t="str">
        <f t="shared" si="19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8"/>
        <v/>
      </c>
      <c r="M74" s="19" t="str">
        <f t="shared" si="18"/>
        <v/>
      </c>
      <c r="N74" s="19" t="str">
        <f t="shared" si="18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17"/>
        <v/>
      </c>
      <c r="S74" s="27" t="str">
        <f t="shared" si="19"/>
        <v/>
      </c>
      <c r="T74" s="28" t="str">
        <f t="shared" si="19"/>
        <v/>
      </c>
      <c r="U74" s="28" t="str">
        <f t="shared" si="19"/>
        <v/>
      </c>
      <c r="V74" s="28" t="str">
        <f t="shared" si="19"/>
        <v/>
      </c>
      <c r="W74" s="28" t="str">
        <f t="shared" si="19"/>
        <v/>
      </c>
      <c r="X74" s="29" t="str">
        <f t="shared" si="19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8"/>
        <v/>
      </c>
      <c r="M75" s="19" t="str">
        <f t="shared" si="18"/>
        <v/>
      </c>
      <c r="N75" s="19" t="str">
        <f t="shared" si="18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17"/>
        <v/>
      </c>
      <c r="S75" s="27" t="str">
        <f t="shared" si="19"/>
        <v/>
      </c>
      <c r="T75" s="28" t="str">
        <f t="shared" si="19"/>
        <v/>
      </c>
      <c r="U75" s="28" t="str">
        <f t="shared" si="19"/>
        <v/>
      </c>
      <c r="V75" s="28" t="str">
        <f t="shared" si="19"/>
        <v/>
      </c>
      <c r="W75" s="28" t="str">
        <f t="shared" si="19"/>
        <v/>
      </c>
      <c r="X75" s="29" t="str">
        <f t="shared" si="19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8"/>
        <v/>
      </c>
      <c r="M76" s="19" t="str">
        <f t="shared" si="18"/>
        <v/>
      </c>
      <c r="N76" s="19" t="str">
        <f t="shared" si="18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17"/>
        <v/>
      </c>
      <c r="S76" s="27" t="str">
        <f t="shared" si="19"/>
        <v/>
      </c>
      <c r="T76" s="28" t="str">
        <f t="shared" si="19"/>
        <v/>
      </c>
      <c r="U76" s="28" t="str">
        <f t="shared" si="19"/>
        <v/>
      </c>
      <c r="V76" s="28" t="str">
        <f t="shared" si="19"/>
        <v/>
      </c>
      <c r="W76" s="28" t="str">
        <f t="shared" si="19"/>
        <v/>
      </c>
      <c r="X76" s="29" t="str">
        <f t="shared" si="19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8"/>
        <v/>
      </c>
      <c r="M77" s="19" t="str">
        <f t="shared" si="18"/>
        <v/>
      </c>
      <c r="N77" s="19" t="str">
        <f t="shared" si="18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17"/>
        <v/>
      </c>
      <c r="S77" s="27" t="str">
        <f t="shared" si="19"/>
        <v/>
      </c>
      <c r="T77" s="28" t="str">
        <f t="shared" si="19"/>
        <v/>
      </c>
      <c r="U77" s="28" t="str">
        <f t="shared" si="19"/>
        <v/>
      </c>
      <c r="V77" s="28" t="str">
        <f t="shared" si="19"/>
        <v/>
      </c>
      <c r="W77" s="28" t="str">
        <f t="shared" si="19"/>
        <v/>
      </c>
      <c r="X77" s="29" t="str">
        <f t="shared" si="19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8"/>
        <v/>
      </c>
      <c r="M78" s="19" t="str">
        <f t="shared" si="18"/>
        <v/>
      </c>
      <c r="N78" s="19" t="str">
        <f t="shared" si="18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17"/>
        <v/>
      </c>
      <c r="S78" s="27" t="str">
        <f t="shared" si="19"/>
        <v/>
      </c>
      <c r="T78" s="28" t="str">
        <f t="shared" si="19"/>
        <v/>
      </c>
      <c r="U78" s="28" t="str">
        <f t="shared" si="19"/>
        <v/>
      </c>
      <c r="V78" s="28" t="str">
        <f t="shared" si="19"/>
        <v/>
      </c>
      <c r="W78" s="28" t="str">
        <f t="shared" si="19"/>
        <v/>
      </c>
      <c r="X78" s="29" t="str">
        <f t="shared" si="19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8"/>
        <v/>
      </c>
      <c r="M79" s="19" t="str">
        <f t="shared" si="18"/>
        <v/>
      </c>
      <c r="N79" s="19" t="str">
        <f t="shared" si="18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17"/>
        <v/>
      </c>
      <c r="S79" s="27" t="str">
        <f t="shared" si="19"/>
        <v/>
      </c>
      <c r="T79" s="28" t="str">
        <f t="shared" si="19"/>
        <v/>
      </c>
      <c r="U79" s="28" t="str">
        <f t="shared" si="19"/>
        <v/>
      </c>
      <c r="V79" s="28" t="str">
        <f t="shared" si="19"/>
        <v/>
      </c>
      <c r="W79" s="28" t="str">
        <f t="shared" si="19"/>
        <v/>
      </c>
      <c r="X79" s="29" t="str">
        <f t="shared" si="19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8"/>
        <v/>
      </c>
      <c r="M80" s="19" t="str">
        <f t="shared" si="18"/>
        <v/>
      </c>
      <c r="N80" s="19" t="str">
        <f t="shared" si="18"/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si="17"/>
        <v/>
      </c>
      <c r="S80" s="27" t="str">
        <f t="shared" si="19"/>
        <v/>
      </c>
      <c r="T80" s="28" t="str">
        <f t="shared" si="19"/>
        <v/>
      </c>
      <c r="U80" s="28" t="str">
        <f t="shared" si="19"/>
        <v/>
      </c>
      <c r="V80" s="28" t="str">
        <f t="shared" si="19"/>
        <v/>
      </c>
      <c r="W80" s="28" t="str">
        <f t="shared" si="19"/>
        <v/>
      </c>
      <c r="X80" s="29" t="str">
        <f t="shared" si="19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8"/>
        <v/>
      </c>
      <c r="M81" s="19" t="str">
        <f t="shared" si="18"/>
        <v/>
      </c>
      <c r="N81" s="19" t="str">
        <f t="shared" si="18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7"/>
        <v/>
      </c>
      <c r="S81" s="27" t="str">
        <f t="shared" ref="S81:X96" si="20">IF(C81="","",((C81-C80)*1000)/($B81-$B80))</f>
        <v/>
      </c>
      <c r="T81" s="28" t="str">
        <f t="shared" si="20"/>
        <v/>
      </c>
      <c r="U81" s="28" t="str">
        <f t="shared" si="20"/>
        <v/>
      </c>
      <c r="V81" s="28" t="str">
        <f t="shared" si="20"/>
        <v/>
      </c>
      <c r="W81" s="28" t="str">
        <f t="shared" si="20"/>
        <v/>
      </c>
      <c r="X81" s="29" t="str">
        <f t="shared" si="20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8"/>
        <v/>
      </c>
      <c r="M82" s="19" t="str">
        <f t="shared" si="18"/>
        <v/>
      </c>
      <c r="N82" s="19" t="str">
        <f t="shared" si="18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7"/>
        <v/>
      </c>
      <c r="S82" s="27" t="str">
        <f t="shared" si="20"/>
        <v/>
      </c>
      <c r="T82" s="28" t="str">
        <f t="shared" si="20"/>
        <v/>
      </c>
      <c r="U82" s="28" t="str">
        <f t="shared" si="20"/>
        <v/>
      </c>
      <c r="V82" s="28" t="str">
        <f t="shared" si="20"/>
        <v/>
      </c>
      <c r="W82" s="28" t="str">
        <f t="shared" si="20"/>
        <v/>
      </c>
      <c r="X82" s="29" t="str">
        <f t="shared" si="20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8"/>
        <v/>
      </c>
      <c r="M83" s="19" t="str">
        <f t="shared" si="18"/>
        <v/>
      </c>
      <c r="N83" s="19" t="str">
        <f t="shared" si="18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7"/>
        <v/>
      </c>
      <c r="S83" s="27" t="str">
        <f t="shared" si="20"/>
        <v/>
      </c>
      <c r="T83" s="28" t="str">
        <f t="shared" si="20"/>
        <v/>
      </c>
      <c r="U83" s="28" t="str">
        <f t="shared" si="20"/>
        <v/>
      </c>
      <c r="V83" s="28" t="str">
        <f t="shared" si="20"/>
        <v/>
      </c>
      <c r="W83" s="28" t="str">
        <f t="shared" si="20"/>
        <v/>
      </c>
      <c r="X83" s="29" t="str">
        <f t="shared" si="20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8"/>
        <v/>
      </c>
      <c r="M84" s="19" t="str">
        <f t="shared" si="18"/>
        <v/>
      </c>
      <c r="N84" s="19" t="str">
        <f t="shared" si="18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7"/>
        <v/>
      </c>
      <c r="S84" s="27" t="str">
        <f t="shared" si="20"/>
        <v/>
      </c>
      <c r="T84" s="28" t="str">
        <f t="shared" si="20"/>
        <v/>
      </c>
      <c r="U84" s="28" t="str">
        <f t="shared" si="20"/>
        <v/>
      </c>
      <c r="V84" s="28" t="str">
        <f t="shared" si="20"/>
        <v/>
      </c>
      <c r="W84" s="28" t="str">
        <f t="shared" si="20"/>
        <v/>
      </c>
      <c r="X84" s="29" t="str">
        <f t="shared" si="20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8"/>
        <v/>
      </c>
      <c r="M85" s="19" t="str">
        <f t="shared" si="18"/>
        <v/>
      </c>
      <c r="N85" s="19" t="str">
        <f t="shared" si="18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7"/>
        <v/>
      </c>
      <c r="S85" s="27" t="str">
        <f t="shared" si="20"/>
        <v/>
      </c>
      <c r="T85" s="28" t="str">
        <f t="shared" si="20"/>
        <v/>
      </c>
      <c r="U85" s="28" t="str">
        <f t="shared" si="20"/>
        <v/>
      </c>
      <c r="V85" s="28" t="str">
        <f t="shared" si="20"/>
        <v/>
      </c>
      <c r="W85" s="28" t="str">
        <f t="shared" si="20"/>
        <v/>
      </c>
      <c r="X85" s="29" t="str">
        <f t="shared" si="20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8"/>
        <v/>
      </c>
      <c r="M86" s="19" t="str">
        <f t="shared" si="18"/>
        <v/>
      </c>
      <c r="N86" s="19" t="str">
        <f t="shared" si="18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7"/>
        <v/>
      </c>
      <c r="S86" s="27" t="str">
        <f t="shared" si="20"/>
        <v/>
      </c>
      <c r="T86" s="28" t="str">
        <f t="shared" si="20"/>
        <v/>
      </c>
      <c r="U86" s="28" t="str">
        <f t="shared" si="20"/>
        <v/>
      </c>
      <c r="V86" s="28" t="str">
        <f t="shared" si="20"/>
        <v/>
      </c>
      <c r="W86" s="28" t="str">
        <f t="shared" si="20"/>
        <v/>
      </c>
      <c r="X86" s="29" t="str">
        <f t="shared" si="20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8"/>
        <v/>
      </c>
      <c r="M87" s="19" t="str">
        <f t="shared" si="18"/>
        <v/>
      </c>
      <c r="N87" s="19" t="str">
        <f t="shared" si="18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7"/>
        <v/>
      </c>
      <c r="S87" s="27" t="str">
        <f t="shared" si="20"/>
        <v/>
      </c>
      <c r="T87" s="28" t="str">
        <f t="shared" si="20"/>
        <v/>
      </c>
      <c r="U87" s="28" t="str">
        <f t="shared" si="20"/>
        <v/>
      </c>
      <c r="V87" s="28" t="str">
        <f t="shared" si="20"/>
        <v/>
      </c>
      <c r="W87" s="28" t="str">
        <f t="shared" si="20"/>
        <v/>
      </c>
      <c r="X87" s="29" t="str">
        <f t="shared" si="20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8"/>
        <v/>
      </c>
      <c r="M88" s="19" t="str">
        <f t="shared" si="18"/>
        <v/>
      </c>
      <c r="N88" s="19" t="str">
        <f t="shared" si="18"/>
        <v/>
      </c>
      <c r="O88" s="19" t="str">
        <f t="shared" si="5"/>
        <v/>
      </c>
      <c r="P88" s="19" t="str">
        <f t="shared" si="6"/>
        <v/>
      </c>
      <c r="Q88" s="19" t="str">
        <f t="shared" si="7"/>
        <v/>
      </c>
      <c r="R88" s="19" t="str">
        <f t="shared" si="17"/>
        <v/>
      </c>
      <c r="S88" s="27" t="str">
        <f t="shared" si="20"/>
        <v/>
      </c>
      <c r="T88" s="28" t="str">
        <f t="shared" si="20"/>
        <v/>
      </c>
      <c r="U88" s="28" t="str">
        <f t="shared" si="20"/>
        <v/>
      </c>
      <c r="V88" s="28" t="str">
        <f t="shared" si="20"/>
        <v/>
      </c>
      <c r="W88" s="28" t="str">
        <f t="shared" si="20"/>
        <v/>
      </c>
      <c r="X88" s="29" t="str">
        <f t="shared" si="20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8"/>
        <v/>
      </c>
      <c r="M89" s="19" t="str">
        <f t="shared" si="18"/>
        <v/>
      </c>
      <c r="N89" s="19" t="str">
        <f t="shared" si="18"/>
        <v/>
      </c>
      <c r="O89" s="19" t="str">
        <f t="shared" si="5"/>
        <v/>
      </c>
      <c r="P89" s="19" t="str">
        <f t="shared" si="6"/>
        <v/>
      </c>
      <c r="Q89" s="19" t="str">
        <f t="shared" si="7"/>
        <v/>
      </c>
      <c r="R89" s="19" t="str">
        <f t="shared" si="17"/>
        <v/>
      </c>
      <c r="S89" s="27" t="str">
        <f t="shared" si="20"/>
        <v/>
      </c>
      <c r="T89" s="28" t="str">
        <f t="shared" si="20"/>
        <v/>
      </c>
      <c r="U89" s="28" t="str">
        <f t="shared" si="20"/>
        <v/>
      </c>
      <c r="V89" s="28" t="str">
        <f t="shared" si="20"/>
        <v/>
      </c>
      <c r="W89" s="28" t="str">
        <f t="shared" si="20"/>
        <v/>
      </c>
      <c r="X89" s="29" t="str">
        <f t="shared" si="20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8"/>
        <v/>
      </c>
      <c r="M90" s="19" t="str">
        <f t="shared" si="18"/>
        <v/>
      </c>
      <c r="N90" s="19" t="str">
        <f t="shared" si="18"/>
        <v/>
      </c>
      <c r="O90" s="19" t="str">
        <f t="shared" si="5"/>
        <v/>
      </c>
      <c r="P90" s="19" t="str">
        <f t="shared" si="6"/>
        <v/>
      </c>
      <c r="Q90" s="19" t="str">
        <f t="shared" si="7"/>
        <v/>
      </c>
      <c r="R90" s="19" t="str">
        <f t="shared" si="17"/>
        <v/>
      </c>
      <c r="S90" s="27" t="str">
        <f t="shared" si="20"/>
        <v/>
      </c>
      <c r="T90" s="28" t="str">
        <f t="shared" si="20"/>
        <v/>
      </c>
      <c r="U90" s="28" t="str">
        <f t="shared" si="20"/>
        <v/>
      </c>
      <c r="V90" s="28" t="str">
        <f t="shared" si="20"/>
        <v/>
      </c>
      <c r="W90" s="28" t="str">
        <f t="shared" si="20"/>
        <v/>
      </c>
      <c r="X90" s="29" t="str">
        <f t="shared" si="20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8"/>
        <v/>
      </c>
      <c r="M91" s="19" t="str">
        <f t="shared" si="18"/>
        <v/>
      </c>
      <c r="N91" s="19" t="str">
        <f t="shared" si="18"/>
        <v/>
      </c>
      <c r="O91" s="19" t="str">
        <f t="shared" si="5"/>
        <v/>
      </c>
      <c r="P91" s="19" t="str">
        <f t="shared" si="6"/>
        <v/>
      </c>
      <c r="Q91" s="19" t="str">
        <f t="shared" si="7"/>
        <v/>
      </c>
      <c r="R91" s="19" t="str">
        <f t="shared" si="17"/>
        <v/>
      </c>
      <c r="S91" s="27" t="str">
        <f t="shared" si="20"/>
        <v/>
      </c>
      <c r="T91" s="28" t="str">
        <f t="shared" si="20"/>
        <v/>
      </c>
      <c r="U91" s="28" t="str">
        <f t="shared" si="20"/>
        <v/>
      </c>
      <c r="V91" s="28" t="str">
        <f t="shared" si="20"/>
        <v/>
      </c>
      <c r="W91" s="28" t="str">
        <f t="shared" si="20"/>
        <v/>
      </c>
      <c r="X91" s="29" t="str">
        <f t="shared" si="20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8"/>
        <v/>
      </c>
      <c r="M92" s="19" t="str">
        <f t="shared" si="18"/>
        <v/>
      </c>
      <c r="N92" s="19" t="str">
        <f t="shared" si="18"/>
        <v/>
      </c>
      <c r="O92" s="19" t="str">
        <f t="shared" si="5"/>
        <v/>
      </c>
      <c r="P92" s="19" t="str">
        <f t="shared" si="6"/>
        <v/>
      </c>
      <c r="Q92" s="19" t="str">
        <f t="shared" si="7"/>
        <v/>
      </c>
      <c r="R92" s="19" t="str">
        <f t="shared" si="17"/>
        <v/>
      </c>
      <c r="S92" s="27" t="str">
        <f t="shared" si="20"/>
        <v/>
      </c>
      <c r="T92" s="28" t="str">
        <f t="shared" si="20"/>
        <v/>
      </c>
      <c r="U92" s="28" t="str">
        <f t="shared" si="20"/>
        <v/>
      </c>
      <c r="V92" s="28" t="str">
        <f t="shared" si="20"/>
        <v/>
      </c>
      <c r="W92" s="28" t="str">
        <f t="shared" si="20"/>
        <v/>
      </c>
      <c r="X92" s="29" t="str">
        <f t="shared" si="20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8"/>
        <v/>
      </c>
      <c r="M93" s="19" t="str">
        <f t="shared" si="18"/>
        <v/>
      </c>
      <c r="N93" s="19" t="str">
        <f t="shared" si="18"/>
        <v/>
      </c>
      <c r="O93" s="19" t="str">
        <f t="shared" si="5"/>
        <v/>
      </c>
      <c r="P93" s="19" t="str">
        <f t="shared" si="6"/>
        <v/>
      </c>
      <c r="Q93" s="19" t="str">
        <f t="shared" si="7"/>
        <v/>
      </c>
      <c r="R93" s="19" t="str">
        <f t="shared" si="17"/>
        <v/>
      </c>
      <c r="S93" s="27" t="str">
        <f t="shared" si="20"/>
        <v/>
      </c>
      <c r="T93" s="28" t="str">
        <f t="shared" si="20"/>
        <v/>
      </c>
      <c r="U93" s="28" t="str">
        <f t="shared" si="20"/>
        <v/>
      </c>
      <c r="V93" s="28" t="str">
        <f t="shared" si="20"/>
        <v/>
      </c>
      <c r="W93" s="28" t="str">
        <f t="shared" si="20"/>
        <v/>
      </c>
      <c r="X93" s="29" t="str">
        <f t="shared" si="20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8"/>
        <v/>
      </c>
      <c r="M94" s="19" t="str">
        <f t="shared" si="18"/>
        <v/>
      </c>
      <c r="N94" s="19" t="str">
        <f t="shared" si="18"/>
        <v/>
      </c>
      <c r="O94" s="19" t="str">
        <f t="shared" si="5"/>
        <v/>
      </c>
      <c r="P94" s="19" t="str">
        <f t="shared" si="6"/>
        <v/>
      </c>
      <c r="Q94" s="19" t="str">
        <f t="shared" si="7"/>
        <v/>
      </c>
      <c r="R94" s="19" t="str">
        <f t="shared" si="18"/>
        <v/>
      </c>
      <c r="S94" s="27" t="str">
        <f t="shared" si="20"/>
        <v/>
      </c>
      <c r="T94" s="28" t="str">
        <f t="shared" si="20"/>
        <v/>
      </c>
      <c r="U94" s="28" t="str">
        <f t="shared" si="20"/>
        <v/>
      </c>
      <c r="V94" s="28" t="str">
        <f t="shared" si="20"/>
        <v/>
      </c>
      <c r="W94" s="28" t="str">
        <f t="shared" si="20"/>
        <v/>
      </c>
      <c r="X94" s="29" t="str">
        <f t="shared" si="20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18"/>
        <v/>
      </c>
      <c r="M95" s="19" t="str">
        <f t="shared" si="18"/>
        <v/>
      </c>
      <c r="N95" s="19" t="str">
        <f t="shared" si="18"/>
        <v/>
      </c>
      <c r="O95" s="19" t="str">
        <f t="shared" si="5"/>
        <v/>
      </c>
      <c r="P95" s="19" t="str">
        <f t="shared" si="6"/>
        <v/>
      </c>
      <c r="Q95" s="19" t="str">
        <f t="shared" si="7"/>
        <v/>
      </c>
      <c r="R95" s="19" t="str">
        <f t="shared" si="18"/>
        <v/>
      </c>
      <c r="S95" s="27" t="str">
        <f t="shared" si="20"/>
        <v/>
      </c>
      <c r="T95" s="28" t="str">
        <f t="shared" si="20"/>
        <v/>
      </c>
      <c r="U95" s="28" t="str">
        <f t="shared" si="20"/>
        <v/>
      </c>
      <c r="V95" s="28" t="str">
        <f t="shared" si="20"/>
        <v/>
      </c>
      <c r="W95" s="28" t="str">
        <f t="shared" si="20"/>
        <v/>
      </c>
      <c r="X95" s="29" t="str">
        <f t="shared" si="20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8"/>
        <v/>
      </c>
      <c r="M96" s="19" t="str">
        <f t="shared" si="18"/>
        <v/>
      </c>
      <c r="N96" s="19" t="str">
        <f t="shared" si="18"/>
        <v/>
      </c>
      <c r="O96" s="19" t="str">
        <f t="shared" ref="O96:O153" si="21">IF(ISBLANK(F96),"",((F96-F$31)*1000)+L$31)</f>
        <v/>
      </c>
      <c r="P96" s="19" t="str">
        <f t="shared" ref="P96:P153" si="22">IF(ISBLANK(G96),"",((G96-G$31)*1000)+M$31)</f>
        <v/>
      </c>
      <c r="Q96" s="19" t="str">
        <f t="shared" ref="Q96:Q153" si="23">IF(ISBLANK(H96),"",((H96-H$31)*1000)+N$31)</f>
        <v/>
      </c>
      <c r="R96" s="19" t="str">
        <f t="shared" si="18"/>
        <v/>
      </c>
      <c r="S96" s="27" t="str">
        <f t="shared" si="20"/>
        <v/>
      </c>
      <c r="T96" s="28" t="str">
        <f t="shared" si="20"/>
        <v/>
      </c>
      <c r="U96" s="28" t="str">
        <f t="shared" si="20"/>
        <v/>
      </c>
      <c r="V96" s="28" t="str">
        <f t="shared" si="20"/>
        <v/>
      </c>
      <c r="W96" s="28" t="str">
        <f t="shared" si="20"/>
        <v/>
      </c>
      <c r="X96" s="29" t="str">
        <f t="shared" si="20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8"/>
        <v/>
      </c>
      <c r="M97" s="19" t="str">
        <f t="shared" si="18"/>
        <v/>
      </c>
      <c r="N97" s="19" t="str">
        <f t="shared" si="18"/>
        <v/>
      </c>
      <c r="O97" s="19" t="str">
        <f t="shared" si="21"/>
        <v/>
      </c>
      <c r="P97" s="19" t="str">
        <f t="shared" si="22"/>
        <v/>
      </c>
      <c r="Q97" s="19" t="str">
        <f t="shared" si="23"/>
        <v/>
      </c>
      <c r="R97" s="19" t="str">
        <f t="shared" si="18"/>
        <v/>
      </c>
      <c r="S97" s="27" t="str">
        <f t="shared" ref="S97:X112" si="24">IF(C97="","",((C97-C96)*1000)/($B97-$B96))</f>
        <v/>
      </c>
      <c r="T97" s="28" t="str">
        <f t="shared" si="24"/>
        <v/>
      </c>
      <c r="U97" s="28" t="str">
        <f t="shared" si="24"/>
        <v/>
      </c>
      <c r="V97" s="28" t="str">
        <f t="shared" si="24"/>
        <v/>
      </c>
      <c r="W97" s="28" t="str">
        <f t="shared" si="24"/>
        <v/>
      </c>
      <c r="X97" s="29" t="str">
        <f t="shared" si="24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8"/>
        <v/>
      </c>
      <c r="M98" s="19" t="str">
        <f t="shared" si="18"/>
        <v/>
      </c>
      <c r="N98" s="19" t="str">
        <f t="shared" si="18"/>
        <v/>
      </c>
      <c r="O98" s="19" t="str">
        <f t="shared" si="21"/>
        <v/>
      </c>
      <c r="P98" s="19" t="str">
        <f t="shared" si="22"/>
        <v/>
      </c>
      <c r="Q98" s="19" t="str">
        <f t="shared" si="23"/>
        <v/>
      </c>
      <c r="R98" s="19" t="str">
        <f t="shared" si="18"/>
        <v/>
      </c>
      <c r="S98" s="27" t="str">
        <f t="shared" si="24"/>
        <v/>
      </c>
      <c r="T98" s="28" t="str">
        <f t="shared" si="24"/>
        <v/>
      </c>
      <c r="U98" s="28" t="str">
        <f t="shared" si="24"/>
        <v/>
      </c>
      <c r="V98" s="28" t="str">
        <f t="shared" si="24"/>
        <v/>
      </c>
      <c r="W98" s="28" t="str">
        <f t="shared" si="24"/>
        <v/>
      </c>
      <c r="X98" s="29" t="str">
        <f t="shared" si="24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8"/>
        <v/>
      </c>
      <c r="M99" s="19" t="str">
        <f t="shared" si="18"/>
        <v/>
      </c>
      <c r="N99" s="19" t="str">
        <f t="shared" si="18"/>
        <v/>
      </c>
      <c r="O99" s="19" t="str">
        <f t="shared" si="21"/>
        <v/>
      </c>
      <c r="P99" s="19" t="str">
        <f t="shared" si="22"/>
        <v/>
      </c>
      <c r="Q99" s="19" t="str">
        <f t="shared" si="23"/>
        <v/>
      </c>
      <c r="R99" s="19" t="str">
        <f t="shared" si="18"/>
        <v/>
      </c>
      <c r="S99" s="27" t="str">
        <f t="shared" si="24"/>
        <v/>
      </c>
      <c r="T99" s="28" t="str">
        <f t="shared" si="24"/>
        <v/>
      </c>
      <c r="U99" s="28" t="str">
        <f t="shared" si="24"/>
        <v/>
      </c>
      <c r="V99" s="28" t="str">
        <f t="shared" si="24"/>
        <v/>
      </c>
      <c r="W99" s="28" t="str">
        <f t="shared" si="24"/>
        <v/>
      </c>
      <c r="X99" s="29" t="str">
        <f t="shared" si="24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8"/>
        <v/>
      </c>
      <c r="M100" s="19" t="str">
        <f t="shared" si="18"/>
        <v/>
      </c>
      <c r="N100" s="19" t="str">
        <f t="shared" si="18"/>
        <v/>
      </c>
      <c r="O100" s="19" t="str">
        <f t="shared" si="21"/>
        <v/>
      </c>
      <c r="P100" s="19" t="str">
        <f t="shared" si="22"/>
        <v/>
      </c>
      <c r="Q100" s="19" t="str">
        <f t="shared" si="23"/>
        <v/>
      </c>
      <c r="R100" s="19" t="str">
        <f t="shared" si="18"/>
        <v/>
      </c>
      <c r="S100" s="27" t="str">
        <f t="shared" si="24"/>
        <v/>
      </c>
      <c r="T100" s="28" t="str">
        <f t="shared" si="24"/>
        <v/>
      </c>
      <c r="U100" s="28" t="str">
        <f t="shared" si="24"/>
        <v/>
      </c>
      <c r="V100" s="28" t="str">
        <f t="shared" si="24"/>
        <v/>
      </c>
      <c r="W100" s="28" t="str">
        <f t="shared" si="24"/>
        <v/>
      </c>
      <c r="X100" s="29" t="str">
        <f t="shared" si="24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8"/>
        <v/>
      </c>
      <c r="M101" s="19" t="str">
        <f t="shared" si="18"/>
        <v/>
      </c>
      <c r="N101" s="19" t="str">
        <f t="shared" si="18"/>
        <v/>
      </c>
      <c r="O101" s="19" t="str">
        <f t="shared" si="21"/>
        <v/>
      </c>
      <c r="P101" s="19" t="str">
        <f t="shared" si="22"/>
        <v/>
      </c>
      <c r="Q101" s="19" t="str">
        <f t="shared" si="23"/>
        <v/>
      </c>
      <c r="R101" s="19" t="str">
        <f t="shared" si="18"/>
        <v/>
      </c>
      <c r="S101" s="27" t="str">
        <f t="shared" si="24"/>
        <v/>
      </c>
      <c r="T101" s="28" t="str">
        <f t="shared" si="24"/>
        <v/>
      </c>
      <c r="U101" s="28" t="str">
        <f t="shared" si="24"/>
        <v/>
      </c>
      <c r="V101" s="28" t="str">
        <f t="shared" si="24"/>
        <v/>
      </c>
      <c r="W101" s="28" t="str">
        <f t="shared" si="24"/>
        <v/>
      </c>
      <c r="X101" s="29" t="str">
        <f t="shared" si="24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8"/>
        <v/>
      </c>
      <c r="M102" s="19" t="str">
        <f t="shared" si="18"/>
        <v/>
      </c>
      <c r="N102" s="19" t="str">
        <f t="shared" si="18"/>
        <v/>
      </c>
      <c r="O102" s="19" t="str">
        <f t="shared" si="21"/>
        <v/>
      </c>
      <c r="P102" s="19" t="str">
        <f t="shared" si="22"/>
        <v/>
      </c>
      <c r="Q102" s="19" t="str">
        <f t="shared" si="23"/>
        <v/>
      </c>
      <c r="R102" s="19" t="str">
        <f t="shared" si="18"/>
        <v/>
      </c>
      <c r="S102" s="27" t="str">
        <f t="shared" si="24"/>
        <v/>
      </c>
      <c r="T102" s="28" t="str">
        <f t="shared" si="24"/>
        <v/>
      </c>
      <c r="U102" s="28" t="str">
        <f t="shared" si="24"/>
        <v/>
      </c>
      <c r="V102" s="28" t="str">
        <f t="shared" si="24"/>
        <v/>
      </c>
      <c r="W102" s="28" t="str">
        <f t="shared" si="24"/>
        <v/>
      </c>
      <c r="X102" s="29" t="str">
        <f t="shared" si="24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8"/>
        <v/>
      </c>
      <c r="M103" s="19" t="str">
        <f t="shared" si="18"/>
        <v/>
      </c>
      <c r="N103" s="19" t="str">
        <f t="shared" si="18"/>
        <v/>
      </c>
      <c r="O103" s="19" t="str">
        <f t="shared" si="21"/>
        <v/>
      </c>
      <c r="P103" s="19" t="str">
        <f t="shared" si="22"/>
        <v/>
      </c>
      <c r="Q103" s="19" t="str">
        <f t="shared" si="23"/>
        <v/>
      </c>
      <c r="R103" s="19" t="str">
        <f t="shared" si="18"/>
        <v/>
      </c>
      <c r="S103" s="27" t="str">
        <f t="shared" si="24"/>
        <v/>
      </c>
      <c r="T103" s="28" t="str">
        <f t="shared" si="24"/>
        <v/>
      </c>
      <c r="U103" s="28" t="str">
        <f t="shared" si="24"/>
        <v/>
      </c>
      <c r="V103" s="28" t="str">
        <f t="shared" si="24"/>
        <v/>
      </c>
      <c r="W103" s="28" t="str">
        <f t="shared" si="24"/>
        <v/>
      </c>
      <c r="X103" s="29" t="str">
        <f t="shared" si="24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8"/>
        <v/>
      </c>
      <c r="M104" s="19" t="str">
        <f t="shared" si="18"/>
        <v/>
      </c>
      <c r="N104" s="19" t="str">
        <f t="shared" si="18"/>
        <v/>
      </c>
      <c r="O104" s="19" t="str">
        <f t="shared" si="21"/>
        <v/>
      </c>
      <c r="P104" s="19" t="str">
        <f t="shared" si="22"/>
        <v/>
      </c>
      <c r="Q104" s="19" t="str">
        <f t="shared" si="23"/>
        <v/>
      </c>
      <c r="R104" s="19" t="str">
        <f t="shared" si="18"/>
        <v/>
      </c>
      <c r="S104" s="27" t="str">
        <f t="shared" si="24"/>
        <v/>
      </c>
      <c r="T104" s="28" t="str">
        <f t="shared" si="24"/>
        <v/>
      </c>
      <c r="U104" s="28" t="str">
        <f t="shared" si="24"/>
        <v/>
      </c>
      <c r="V104" s="28" t="str">
        <f t="shared" si="24"/>
        <v/>
      </c>
      <c r="W104" s="28" t="str">
        <f t="shared" si="24"/>
        <v/>
      </c>
      <c r="X104" s="29" t="str">
        <f t="shared" si="24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8"/>
        <v/>
      </c>
      <c r="M105" s="19" t="str">
        <f t="shared" si="18"/>
        <v/>
      </c>
      <c r="N105" s="19" t="str">
        <f t="shared" si="18"/>
        <v/>
      </c>
      <c r="O105" s="19" t="str">
        <f t="shared" si="21"/>
        <v/>
      </c>
      <c r="P105" s="19" t="str">
        <f t="shared" si="22"/>
        <v/>
      </c>
      <c r="Q105" s="19" t="str">
        <f t="shared" si="23"/>
        <v/>
      </c>
      <c r="R105" s="19" t="str">
        <f t="shared" si="18"/>
        <v/>
      </c>
      <c r="S105" s="27" t="str">
        <f t="shared" si="24"/>
        <v/>
      </c>
      <c r="T105" s="28" t="str">
        <f t="shared" si="24"/>
        <v/>
      </c>
      <c r="U105" s="28" t="str">
        <f t="shared" si="24"/>
        <v/>
      </c>
      <c r="V105" s="28" t="str">
        <f t="shared" si="24"/>
        <v/>
      </c>
      <c r="W105" s="28" t="str">
        <f t="shared" si="24"/>
        <v/>
      </c>
      <c r="X105" s="29" t="str">
        <f t="shared" si="24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8"/>
        <v/>
      </c>
      <c r="M106" s="19" t="str">
        <f t="shared" si="18"/>
        <v/>
      </c>
      <c r="N106" s="19" t="str">
        <f t="shared" si="18"/>
        <v/>
      </c>
      <c r="O106" s="19" t="str">
        <f t="shared" si="21"/>
        <v/>
      </c>
      <c r="P106" s="19" t="str">
        <f t="shared" si="22"/>
        <v/>
      </c>
      <c r="Q106" s="19" t="str">
        <f t="shared" si="23"/>
        <v/>
      </c>
      <c r="R106" s="19" t="str">
        <f t="shared" si="18"/>
        <v/>
      </c>
      <c r="S106" s="27" t="str">
        <f t="shared" si="24"/>
        <v/>
      </c>
      <c r="T106" s="28" t="str">
        <f t="shared" si="24"/>
        <v/>
      </c>
      <c r="U106" s="28" t="str">
        <f t="shared" si="24"/>
        <v/>
      </c>
      <c r="V106" s="28" t="str">
        <f t="shared" si="24"/>
        <v/>
      </c>
      <c r="W106" s="28" t="str">
        <f t="shared" si="24"/>
        <v/>
      </c>
      <c r="X106" s="29" t="str">
        <f t="shared" si="24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8"/>
        <v/>
      </c>
      <c r="M107" s="19" t="str">
        <f t="shared" si="18"/>
        <v/>
      </c>
      <c r="N107" s="19" t="str">
        <f t="shared" si="18"/>
        <v/>
      </c>
      <c r="O107" s="19" t="str">
        <f t="shared" si="21"/>
        <v/>
      </c>
      <c r="P107" s="19" t="str">
        <f t="shared" si="22"/>
        <v/>
      </c>
      <c r="Q107" s="19" t="str">
        <f t="shared" si="23"/>
        <v/>
      </c>
      <c r="R107" s="19" t="str">
        <f t="shared" si="18"/>
        <v/>
      </c>
      <c r="S107" s="27" t="str">
        <f t="shared" si="24"/>
        <v/>
      </c>
      <c r="T107" s="28" t="str">
        <f t="shared" si="24"/>
        <v/>
      </c>
      <c r="U107" s="28" t="str">
        <f t="shared" si="24"/>
        <v/>
      </c>
      <c r="V107" s="28" t="str">
        <f t="shared" si="24"/>
        <v/>
      </c>
      <c r="W107" s="28" t="str">
        <f t="shared" si="24"/>
        <v/>
      </c>
      <c r="X107" s="29" t="str">
        <f t="shared" si="24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8"/>
        <v/>
      </c>
      <c r="M108" s="19" t="str">
        <f t="shared" si="18"/>
        <v/>
      </c>
      <c r="N108" s="19" t="str">
        <f t="shared" si="18"/>
        <v/>
      </c>
      <c r="O108" s="19" t="str">
        <f t="shared" si="21"/>
        <v/>
      </c>
      <c r="P108" s="19" t="str">
        <f t="shared" si="22"/>
        <v/>
      </c>
      <c r="Q108" s="19" t="str">
        <f t="shared" si="23"/>
        <v/>
      </c>
      <c r="R108" s="19" t="str">
        <f t="shared" si="18"/>
        <v/>
      </c>
      <c r="S108" s="27" t="str">
        <f t="shared" si="24"/>
        <v/>
      </c>
      <c r="T108" s="28" t="str">
        <f t="shared" si="24"/>
        <v/>
      </c>
      <c r="U108" s="28" t="str">
        <f t="shared" si="24"/>
        <v/>
      </c>
      <c r="V108" s="28" t="str">
        <f t="shared" si="24"/>
        <v/>
      </c>
      <c r="W108" s="28" t="str">
        <f t="shared" si="24"/>
        <v/>
      </c>
      <c r="X108" s="29" t="str">
        <f t="shared" si="24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8"/>
        <v/>
      </c>
      <c r="M109" s="19" t="str">
        <f t="shared" si="18"/>
        <v/>
      </c>
      <c r="N109" s="19" t="str">
        <f t="shared" si="18"/>
        <v/>
      </c>
      <c r="O109" s="19" t="str">
        <f t="shared" si="21"/>
        <v/>
      </c>
      <c r="P109" s="19" t="str">
        <f t="shared" si="22"/>
        <v/>
      </c>
      <c r="Q109" s="19" t="str">
        <f t="shared" si="23"/>
        <v/>
      </c>
      <c r="R109" s="19" t="str">
        <f t="shared" si="18"/>
        <v/>
      </c>
      <c r="S109" s="27" t="str">
        <f t="shared" si="24"/>
        <v/>
      </c>
      <c r="T109" s="28" t="str">
        <f t="shared" si="24"/>
        <v/>
      </c>
      <c r="U109" s="28" t="str">
        <f t="shared" si="24"/>
        <v/>
      </c>
      <c r="V109" s="28" t="str">
        <f t="shared" si="24"/>
        <v/>
      </c>
      <c r="W109" s="28" t="str">
        <f t="shared" si="24"/>
        <v/>
      </c>
      <c r="X109" s="29" t="str">
        <f t="shared" si="24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8"/>
        <v/>
      </c>
      <c r="M110" s="19" t="str">
        <f t="shared" si="18"/>
        <v/>
      </c>
      <c r="N110" s="19" t="str">
        <f t="shared" si="18"/>
        <v/>
      </c>
      <c r="O110" s="19" t="str">
        <f t="shared" si="21"/>
        <v/>
      </c>
      <c r="P110" s="19" t="str">
        <f t="shared" si="22"/>
        <v/>
      </c>
      <c r="Q110" s="19" t="str">
        <f t="shared" si="23"/>
        <v/>
      </c>
      <c r="R110" s="19" t="str">
        <f t="shared" si="18"/>
        <v/>
      </c>
      <c r="S110" s="27" t="str">
        <f t="shared" si="24"/>
        <v/>
      </c>
      <c r="T110" s="28" t="str">
        <f t="shared" si="24"/>
        <v/>
      </c>
      <c r="U110" s="28" t="str">
        <f t="shared" si="24"/>
        <v/>
      </c>
      <c r="V110" s="28" t="str">
        <f t="shared" si="24"/>
        <v/>
      </c>
      <c r="W110" s="28" t="str">
        <f t="shared" si="24"/>
        <v/>
      </c>
      <c r="X110" s="29" t="str">
        <f t="shared" si="24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8"/>
        <v/>
      </c>
      <c r="M111" s="19" t="str">
        <f t="shared" si="18"/>
        <v/>
      </c>
      <c r="N111" s="19" t="str">
        <f t="shared" si="18"/>
        <v/>
      </c>
      <c r="O111" s="19" t="str">
        <f t="shared" si="21"/>
        <v/>
      </c>
      <c r="P111" s="19" t="str">
        <f t="shared" si="22"/>
        <v/>
      </c>
      <c r="Q111" s="19" t="str">
        <f t="shared" si="23"/>
        <v/>
      </c>
      <c r="R111" s="19" t="str">
        <f t="shared" si="18"/>
        <v/>
      </c>
      <c r="S111" s="27" t="str">
        <f t="shared" si="24"/>
        <v/>
      </c>
      <c r="T111" s="28" t="str">
        <f t="shared" si="24"/>
        <v/>
      </c>
      <c r="U111" s="28" t="str">
        <f t="shared" si="24"/>
        <v/>
      </c>
      <c r="V111" s="28" t="str">
        <f t="shared" si="24"/>
        <v/>
      </c>
      <c r="W111" s="28" t="str">
        <f t="shared" si="24"/>
        <v/>
      </c>
      <c r="X111" s="29" t="str">
        <f t="shared" si="24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8"/>
        <v/>
      </c>
      <c r="M112" s="19" t="str">
        <f t="shared" si="18"/>
        <v/>
      </c>
      <c r="N112" s="19" t="str">
        <f t="shared" si="18"/>
        <v/>
      </c>
      <c r="O112" s="19" t="str">
        <f t="shared" si="21"/>
        <v/>
      </c>
      <c r="P112" s="19" t="str">
        <f t="shared" si="22"/>
        <v/>
      </c>
      <c r="Q112" s="19" t="str">
        <f t="shared" si="23"/>
        <v/>
      </c>
      <c r="R112" s="19" t="str">
        <f t="shared" si="18"/>
        <v/>
      </c>
      <c r="S112" s="27" t="str">
        <f t="shared" si="24"/>
        <v/>
      </c>
      <c r="T112" s="28" t="str">
        <f t="shared" si="24"/>
        <v/>
      </c>
      <c r="U112" s="28" t="str">
        <f t="shared" si="24"/>
        <v/>
      </c>
      <c r="V112" s="28" t="str">
        <f t="shared" si="24"/>
        <v/>
      </c>
      <c r="W112" s="28" t="str">
        <f t="shared" si="24"/>
        <v/>
      </c>
      <c r="X112" s="29" t="str">
        <f t="shared" si="24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8"/>
        <v/>
      </c>
      <c r="M113" s="19" t="str">
        <f t="shared" si="18"/>
        <v/>
      </c>
      <c r="N113" s="19" t="str">
        <f t="shared" si="18"/>
        <v/>
      </c>
      <c r="O113" s="19" t="str">
        <f t="shared" si="21"/>
        <v/>
      </c>
      <c r="P113" s="19" t="str">
        <f t="shared" si="22"/>
        <v/>
      </c>
      <c r="Q113" s="19" t="str">
        <f t="shared" si="23"/>
        <v/>
      </c>
      <c r="R113" s="19" t="str">
        <f t="shared" si="18"/>
        <v/>
      </c>
      <c r="S113" s="27" t="str">
        <f t="shared" ref="S113:X128" si="25">IF(C113="","",((C113-C112)*1000)/($B113-$B112))</f>
        <v/>
      </c>
      <c r="T113" s="28" t="str">
        <f t="shared" si="25"/>
        <v/>
      </c>
      <c r="U113" s="28" t="str">
        <f t="shared" si="25"/>
        <v/>
      </c>
      <c r="V113" s="28" t="str">
        <f t="shared" si="25"/>
        <v/>
      </c>
      <c r="W113" s="28" t="str">
        <f t="shared" si="25"/>
        <v/>
      </c>
      <c r="X113" s="29" t="str">
        <f t="shared" si="25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8"/>
        <v/>
      </c>
      <c r="M114" s="19" t="str">
        <f t="shared" si="18"/>
        <v/>
      </c>
      <c r="N114" s="19" t="str">
        <f t="shared" si="18"/>
        <v/>
      </c>
      <c r="O114" s="19" t="str">
        <f t="shared" si="21"/>
        <v/>
      </c>
      <c r="P114" s="19" t="str">
        <f t="shared" si="22"/>
        <v/>
      </c>
      <c r="Q114" s="19" t="str">
        <f t="shared" si="23"/>
        <v/>
      </c>
      <c r="R114" s="19" t="str">
        <f t="shared" si="18"/>
        <v/>
      </c>
      <c r="S114" s="27" t="str">
        <f t="shared" si="25"/>
        <v/>
      </c>
      <c r="T114" s="28" t="str">
        <f t="shared" si="25"/>
        <v/>
      </c>
      <c r="U114" s="28" t="str">
        <f t="shared" si="25"/>
        <v/>
      </c>
      <c r="V114" s="28" t="str">
        <f t="shared" si="25"/>
        <v/>
      </c>
      <c r="W114" s="28" t="str">
        <f t="shared" si="25"/>
        <v/>
      </c>
      <c r="X114" s="29" t="str">
        <f t="shared" si="25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8"/>
        <v/>
      </c>
      <c r="M115" s="19" t="str">
        <f t="shared" si="18"/>
        <v/>
      </c>
      <c r="N115" s="19" t="str">
        <f t="shared" si="18"/>
        <v/>
      </c>
      <c r="O115" s="19" t="str">
        <f t="shared" si="21"/>
        <v/>
      </c>
      <c r="P115" s="19" t="str">
        <f t="shared" si="22"/>
        <v/>
      </c>
      <c r="Q115" s="19" t="str">
        <f t="shared" si="23"/>
        <v/>
      </c>
      <c r="R115" s="19" t="str">
        <f t="shared" si="18"/>
        <v/>
      </c>
      <c r="S115" s="27" t="str">
        <f t="shared" si="25"/>
        <v/>
      </c>
      <c r="T115" s="28" t="str">
        <f t="shared" si="25"/>
        <v/>
      </c>
      <c r="U115" s="28" t="str">
        <f t="shared" si="25"/>
        <v/>
      </c>
      <c r="V115" s="28" t="str">
        <f t="shared" si="25"/>
        <v/>
      </c>
      <c r="W115" s="28" t="str">
        <f t="shared" si="25"/>
        <v/>
      </c>
      <c r="X115" s="29" t="str">
        <f t="shared" si="25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8"/>
        <v/>
      </c>
      <c r="M116" s="19" t="str">
        <f t="shared" si="18"/>
        <v/>
      </c>
      <c r="N116" s="19" t="str">
        <f t="shared" si="18"/>
        <v/>
      </c>
      <c r="O116" s="19" t="str">
        <f t="shared" si="21"/>
        <v/>
      </c>
      <c r="P116" s="19" t="str">
        <f t="shared" si="22"/>
        <v/>
      </c>
      <c r="Q116" s="19" t="str">
        <f t="shared" si="23"/>
        <v/>
      </c>
      <c r="R116" s="19" t="str">
        <f t="shared" si="18"/>
        <v/>
      </c>
      <c r="S116" s="27" t="str">
        <f t="shared" si="25"/>
        <v/>
      </c>
      <c r="T116" s="28" t="str">
        <f t="shared" si="25"/>
        <v/>
      </c>
      <c r="U116" s="28" t="str">
        <f t="shared" si="25"/>
        <v/>
      </c>
      <c r="V116" s="28" t="str">
        <f t="shared" si="25"/>
        <v/>
      </c>
      <c r="W116" s="28" t="str">
        <f t="shared" si="25"/>
        <v/>
      </c>
      <c r="X116" s="29" t="str">
        <f t="shared" si="25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8"/>
        <v/>
      </c>
      <c r="M117" s="19" t="str">
        <f t="shared" ref="M117:R153" si="26">IF(ISBLANK(D117),"",(D117-D$16)*1000)</f>
        <v/>
      </c>
      <c r="N117" s="19" t="str">
        <f t="shared" si="26"/>
        <v/>
      </c>
      <c r="O117" s="19" t="str">
        <f t="shared" si="21"/>
        <v/>
      </c>
      <c r="P117" s="19" t="str">
        <f t="shared" si="22"/>
        <v/>
      </c>
      <c r="Q117" s="19" t="str">
        <f t="shared" si="23"/>
        <v/>
      </c>
      <c r="R117" s="19" t="str">
        <f t="shared" si="26"/>
        <v/>
      </c>
      <c r="S117" s="27" t="str">
        <f t="shared" si="25"/>
        <v/>
      </c>
      <c r="T117" s="28" t="str">
        <f t="shared" si="25"/>
        <v/>
      </c>
      <c r="U117" s="28" t="str">
        <f t="shared" si="25"/>
        <v/>
      </c>
      <c r="V117" s="28" t="str">
        <f t="shared" si="25"/>
        <v/>
      </c>
      <c r="W117" s="28" t="str">
        <f t="shared" si="25"/>
        <v/>
      </c>
      <c r="X117" s="29" t="str">
        <f t="shared" si="25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7">IF(ISBLANK(C118),"",(C118-C$16)*1000)</f>
        <v/>
      </c>
      <c r="M118" s="19" t="str">
        <f t="shared" si="26"/>
        <v/>
      </c>
      <c r="N118" s="19" t="str">
        <f t="shared" si="26"/>
        <v/>
      </c>
      <c r="O118" s="19" t="str">
        <f t="shared" si="21"/>
        <v/>
      </c>
      <c r="P118" s="19" t="str">
        <f t="shared" si="22"/>
        <v/>
      </c>
      <c r="Q118" s="19" t="str">
        <f t="shared" si="23"/>
        <v/>
      </c>
      <c r="R118" s="19" t="str">
        <f t="shared" si="26"/>
        <v/>
      </c>
      <c r="S118" s="27" t="str">
        <f t="shared" si="25"/>
        <v/>
      </c>
      <c r="T118" s="28" t="str">
        <f t="shared" si="25"/>
        <v/>
      </c>
      <c r="U118" s="28" t="str">
        <f t="shared" si="25"/>
        <v/>
      </c>
      <c r="V118" s="28" t="str">
        <f t="shared" si="25"/>
        <v/>
      </c>
      <c r="W118" s="28" t="str">
        <f t="shared" si="25"/>
        <v/>
      </c>
      <c r="X118" s="29" t="str">
        <f t="shared" si="25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7"/>
        <v/>
      </c>
      <c r="M119" s="19" t="str">
        <f t="shared" si="26"/>
        <v/>
      </c>
      <c r="N119" s="19" t="str">
        <f t="shared" si="26"/>
        <v/>
      </c>
      <c r="O119" s="19" t="str">
        <f t="shared" si="21"/>
        <v/>
      </c>
      <c r="P119" s="19" t="str">
        <f t="shared" si="22"/>
        <v/>
      </c>
      <c r="Q119" s="19" t="str">
        <f t="shared" si="23"/>
        <v/>
      </c>
      <c r="R119" s="19" t="str">
        <f t="shared" si="26"/>
        <v/>
      </c>
      <c r="S119" s="27" t="str">
        <f t="shared" si="25"/>
        <v/>
      </c>
      <c r="T119" s="28" t="str">
        <f t="shared" si="25"/>
        <v/>
      </c>
      <c r="U119" s="28" t="str">
        <f t="shared" si="25"/>
        <v/>
      </c>
      <c r="V119" s="28" t="str">
        <f t="shared" si="25"/>
        <v/>
      </c>
      <c r="W119" s="28" t="str">
        <f t="shared" si="25"/>
        <v/>
      </c>
      <c r="X119" s="29" t="str">
        <f t="shared" si="25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7"/>
        <v/>
      </c>
      <c r="M120" s="19" t="str">
        <f t="shared" si="26"/>
        <v/>
      </c>
      <c r="N120" s="19" t="str">
        <f t="shared" si="26"/>
        <v/>
      </c>
      <c r="O120" s="19" t="str">
        <f t="shared" si="21"/>
        <v/>
      </c>
      <c r="P120" s="19" t="str">
        <f t="shared" si="22"/>
        <v/>
      </c>
      <c r="Q120" s="19" t="str">
        <f t="shared" si="23"/>
        <v/>
      </c>
      <c r="R120" s="19" t="str">
        <f t="shared" si="26"/>
        <v/>
      </c>
      <c r="S120" s="27" t="str">
        <f t="shared" si="25"/>
        <v/>
      </c>
      <c r="T120" s="28" t="str">
        <f t="shared" si="25"/>
        <v/>
      </c>
      <c r="U120" s="28" t="str">
        <f t="shared" si="25"/>
        <v/>
      </c>
      <c r="V120" s="28" t="str">
        <f t="shared" si="25"/>
        <v/>
      </c>
      <c r="W120" s="28" t="str">
        <f t="shared" si="25"/>
        <v/>
      </c>
      <c r="X120" s="29" t="str">
        <f t="shared" si="25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7"/>
        <v/>
      </c>
      <c r="M121" s="19" t="str">
        <f t="shared" si="26"/>
        <v/>
      </c>
      <c r="N121" s="19" t="str">
        <f t="shared" si="26"/>
        <v/>
      </c>
      <c r="O121" s="19" t="str">
        <f t="shared" si="21"/>
        <v/>
      </c>
      <c r="P121" s="19" t="str">
        <f t="shared" si="22"/>
        <v/>
      </c>
      <c r="Q121" s="19" t="str">
        <f t="shared" si="23"/>
        <v/>
      </c>
      <c r="R121" s="19" t="str">
        <f t="shared" si="26"/>
        <v/>
      </c>
      <c r="S121" s="27" t="str">
        <f t="shared" si="25"/>
        <v/>
      </c>
      <c r="T121" s="28" t="str">
        <f t="shared" si="25"/>
        <v/>
      </c>
      <c r="U121" s="28" t="str">
        <f t="shared" si="25"/>
        <v/>
      </c>
      <c r="V121" s="28" t="str">
        <f t="shared" si="25"/>
        <v/>
      </c>
      <c r="W121" s="28" t="str">
        <f t="shared" si="25"/>
        <v/>
      </c>
      <c r="X121" s="29" t="str">
        <f t="shared" si="25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7"/>
        <v/>
      </c>
      <c r="M122" s="19" t="str">
        <f t="shared" si="26"/>
        <v/>
      </c>
      <c r="N122" s="19" t="str">
        <f t="shared" si="26"/>
        <v/>
      </c>
      <c r="O122" s="19" t="str">
        <f t="shared" si="21"/>
        <v/>
      </c>
      <c r="P122" s="19" t="str">
        <f t="shared" si="22"/>
        <v/>
      </c>
      <c r="Q122" s="19" t="str">
        <f t="shared" si="23"/>
        <v/>
      </c>
      <c r="R122" s="19" t="str">
        <f t="shared" si="26"/>
        <v/>
      </c>
      <c r="S122" s="27" t="str">
        <f t="shared" si="25"/>
        <v/>
      </c>
      <c r="T122" s="28" t="str">
        <f t="shared" si="25"/>
        <v/>
      </c>
      <c r="U122" s="28" t="str">
        <f t="shared" si="25"/>
        <v/>
      </c>
      <c r="V122" s="28" t="str">
        <f t="shared" si="25"/>
        <v/>
      </c>
      <c r="W122" s="28" t="str">
        <f t="shared" si="25"/>
        <v/>
      </c>
      <c r="X122" s="29" t="str">
        <f t="shared" si="25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7"/>
        <v/>
      </c>
      <c r="M123" s="19" t="str">
        <f t="shared" si="26"/>
        <v/>
      </c>
      <c r="N123" s="19" t="str">
        <f t="shared" si="26"/>
        <v/>
      </c>
      <c r="O123" s="19" t="str">
        <f t="shared" si="21"/>
        <v/>
      </c>
      <c r="P123" s="19" t="str">
        <f t="shared" si="22"/>
        <v/>
      </c>
      <c r="Q123" s="19" t="str">
        <f t="shared" si="23"/>
        <v/>
      </c>
      <c r="R123" s="19" t="str">
        <f t="shared" si="26"/>
        <v/>
      </c>
      <c r="S123" s="27" t="str">
        <f t="shared" si="25"/>
        <v/>
      </c>
      <c r="T123" s="28" t="str">
        <f t="shared" si="25"/>
        <v/>
      </c>
      <c r="U123" s="28" t="str">
        <f t="shared" si="25"/>
        <v/>
      </c>
      <c r="V123" s="28" t="str">
        <f t="shared" si="25"/>
        <v/>
      </c>
      <c r="W123" s="28" t="str">
        <f t="shared" si="25"/>
        <v/>
      </c>
      <c r="X123" s="29" t="str">
        <f t="shared" si="25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7"/>
        <v/>
      </c>
      <c r="M124" s="19" t="str">
        <f t="shared" si="26"/>
        <v/>
      </c>
      <c r="N124" s="19" t="str">
        <f t="shared" si="26"/>
        <v/>
      </c>
      <c r="O124" s="19" t="str">
        <f t="shared" si="21"/>
        <v/>
      </c>
      <c r="P124" s="19" t="str">
        <f t="shared" si="22"/>
        <v/>
      </c>
      <c r="Q124" s="19" t="str">
        <f t="shared" si="23"/>
        <v/>
      </c>
      <c r="R124" s="19" t="str">
        <f t="shared" si="26"/>
        <v/>
      </c>
      <c r="S124" s="27" t="str">
        <f t="shared" si="25"/>
        <v/>
      </c>
      <c r="T124" s="28" t="str">
        <f t="shared" si="25"/>
        <v/>
      </c>
      <c r="U124" s="28" t="str">
        <f t="shared" si="25"/>
        <v/>
      </c>
      <c r="V124" s="28" t="str">
        <f t="shared" si="25"/>
        <v/>
      </c>
      <c r="W124" s="28" t="str">
        <f t="shared" si="25"/>
        <v/>
      </c>
      <c r="X124" s="29" t="str">
        <f t="shared" si="25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7"/>
        <v/>
      </c>
      <c r="M125" s="19" t="str">
        <f t="shared" si="26"/>
        <v/>
      </c>
      <c r="N125" s="19" t="str">
        <f t="shared" si="26"/>
        <v/>
      </c>
      <c r="O125" s="19" t="str">
        <f t="shared" si="21"/>
        <v/>
      </c>
      <c r="P125" s="19" t="str">
        <f t="shared" si="22"/>
        <v/>
      </c>
      <c r="Q125" s="19" t="str">
        <f t="shared" si="23"/>
        <v/>
      </c>
      <c r="R125" s="19" t="str">
        <f t="shared" si="26"/>
        <v/>
      </c>
      <c r="S125" s="27" t="str">
        <f t="shared" si="25"/>
        <v/>
      </c>
      <c r="T125" s="28" t="str">
        <f t="shared" si="25"/>
        <v/>
      </c>
      <c r="U125" s="28" t="str">
        <f t="shared" si="25"/>
        <v/>
      </c>
      <c r="V125" s="28" t="str">
        <f t="shared" si="25"/>
        <v/>
      </c>
      <c r="W125" s="28" t="str">
        <f t="shared" si="25"/>
        <v/>
      </c>
      <c r="X125" s="29" t="str">
        <f t="shared" si="25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7"/>
        <v/>
      </c>
      <c r="M126" s="19" t="str">
        <f t="shared" si="26"/>
        <v/>
      </c>
      <c r="N126" s="19" t="str">
        <f t="shared" si="26"/>
        <v/>
      </c>
      <c r="O126" s="19" t="str">
        <f t="shared" si="21"/>
        <v/>
      </c>
      <c r="P126" s="19" t="str">
        <f t="shared" si="22"/>
        <v/>
      </c>
      <c r="Q126" s="19" t="str">
        <f t="shared" si="23"/>
        <v/>
      </c>
      <c r="R126" s="19" t="str">
        <f t="shared" si="26"/>
        <v/>
      </c>
      <c r="S126" s="27" t="str">
        <f t="shared" si="25"/>
        <v/>
      </c>
      <c r="T126" s="28" t="str">
        <f t="shared" si="25"/>
        <v/>
      </c>
      <c r="U126" s="28" t="str">
        <f t="shared" si="25"/>
        <v/>
      </c>
      <c r="V126" s="28" t="str">
        <f t="shared" si="25"/>
        <v/>
      </c>
      <c r="W126" s="28" t="str">
        <f t="shared" si="25"/>
        <v/>
      </c>
      <c r="X126" s="29" t="str">
        <f t="shared" si="25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7"/>
        <v/>
      </c>
      <c r="M127" s="19" t="str">
        <f t="shared" si="26"/>
        <v/>
      </c>
      <c r="N127" s="19" t="str">
        <f t="shared" si="26"/>
        <v/>
      </c>
      <c r="O127" s="19" t="str">
        <f t="shared" si="21"/>
        <v/>
      </c>
      <c r="P127" s="19" t="str">
        <f t="shared" si="22"/>
        <v/>
      </c>
      <c r="Q127" s="19" t="str">
        <f t="shared" si="23"/>
        <v/>
      </c>
      <c r="R127" s="19" t="str">
        <f t="shared" si="26"/>
        <v/>
      </c>
      <c r="S127" s="27" t="str">
        <f t="shared" si="25"/>
        <v/>
      </c>
      <c r="T127" s="28" t="str">
        <f t="shared" si="25"/>
        <v/>
      </c>
      <c r="U127" s="28" t="str">
        <f t="shared" si="25"/>
        <v/>
      </c>
      <c r="V127" s="28" t="str">
        <f t="shared" si="25"/>
        <v/>
      </c>
      <c r="W127" s="28" t="str">
        <f t="shared" si="25"/>
        <v/>
      </c>
      <c r="X127" s="29" t="str">
        <f t="shared" si="25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7"/>
        <v/>
      </c>
      <c r="M128" s="19" t="str">
        <f t="shared" si="26"/>
        <v/>
      </c>
      <c r="N128" s="19" t="str">
        <f t="shared" si="26"/>
        <v/>
      </c>
      <c r="O128" s="19" t="str">
        <f t="shared" si="21"/>
        <v/>
      </c>
      <c r="P128" s="19" t="str">
        <f t="shared" si="22"/>
        <v/>
      </c>
      <c r="Q128" s="19" t="str">
        <f t="shared" si="23"/>
        <v/>
      </c>
      <c r="R128" s="19" t="str">
        <f t="shared" si="26"/>
        <v/>
      </c>
      <c r="S128" s="27" t="str">
        <f t="shared" si="25"/>
        <v/>
      </c>
      <c r="T128" s="28" t="str">
        <f t="shared" si="25"/>
        <v/>
      </c>
      <c r="U128" s="28" t="str">
        <f t="shared" si="25"/>
        <v/>
      </c>
      <c r="V128" s="28" t="str">
        <f t="shared" si="25"/>
        <v/>
      </c>
      <c r="W128" s="28" t="str">
        <f t="shared" si="25"/>
        <v/>
      </c>
      <c r="X128" s="29" t="str">
        <f t="shared" si="25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7"/>
        <v/>
      </c>
      <c r="M129" s="19" t="str">
        <f t="shared" si="26"/>
        <v/>
      </c>
      <c r="N129" s="19" t="str">
        <f t="shared" si="26"/>
        <v/>
      </c>
      <c r="O129" s="19" t="str">
        <f t="shared" si="21"/>
        <v/>
      </c>
      <c r="P129" s="19" t="str">
        <f t="shared" si="22"/>
        <v/>
      </c>
      <c r="Q129" s="19" t="str">
        <f t="shared" si="23"/>
        <v/>
      </c>
      <c r="R129" s="19" t="str">
        <f t="shared" si="26"/>
        <v/>
      </c>
      <c r="S129" s="27" t="str">
        <f t="shared" ref="S129:X144" si="28">IF(C129="","",((C129-C128)*1000)/($B129-$B128))</f>
        <v/>
      </c>
      <c r="T129" s="28" t="str">
        <f t="shared" si="28"/>
        <v/>
      </c>
      <c r="U129" s="28" t="str">
        <f t="shared" si="28"/>
        <v/>
      </c>
      <c r="V129" s="28" t="str">
        <f t="shared" si="28"/>
        <v/>
      </c>
      <c r="W129" s="28" t="str">
        <f t="shared" si="28"/>
        <v/>
      </c>
      <c r="X129" s="29" t="str">
        <f t="shared" si="28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7"/>
        <v/>
      </c>
      <c r="M130" s="19" t="str">
        <f t="shared" si="26"/>
        <v/>
      </c>
      <c r="N130" s="19" t="str">
        <f t="shared" si="26"/>
        <v/>
      </c>
      <c r="O130" s="19" t="str">
        <f t="shared" si="21"/>
        <v/>
      </c>
      <c r="P130" s="19" t="str">
        <f t="shared" si="22"/>
        <v/>
      </c>
      <c r="Q130" s="19" t="str">
        <f t="shared" si="23"/>
        <v/>
      </c>
      <c r="R130" s="19" t="str">
        <f t="shared" si="26"/>
        <v/>
      </c>
      <c r="S130" s="27" t="str">
        <f t="shared" si="28"/>
        <v/>
      </c>
      <c r="T130" s="28" t="str">
        <f t="shared" si="28"/>
        <v/>
      </c>
      <c r="U130" s="28" t="str">
        <f t="shared" si="28"/>
        <v/>
      </c>
      <c r="V130" s="28" t="str">
        <f t="shared" si="28"/>
        <v/>
      </c>
      <c r="W130" s="28" t="str">
        <f t="shared" si="28"/>
        <v/>
      </c>
      <c r="X130" s="29" t="str">
        <f t="shared" si="28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7"/>
        <v/>
      </c>
      <c r="M131" s="19" t="str">
        <f t="shared" si="26"/>
        <v/>
      </c>
      <c r="N131" s="19" t="str">
        <f t="shared" si="26"/>
        <v/>
      </c>
      <c r="O131" s="19" t="str">
        <f t="shared" si="21"/>
        <v/>
      </c>
      <c r="P131" s="19" t="str">
        <f t="shared" si="22"/>
        <v/>
      </c>
      <c r="Q131" s="19" t="str">
        <f t="shared" si="23"/>
        <v/>
      </c>
      <c r="R131" s="19" t="str">
        <f t="shared" si="26"/>
        <v/>
      </c>
      <c r="S131" s="27" t="str">
        <f t="shared" si="28"/>
        <v/>
      </c>
      <c r="T131" s="28" t="str">
        <f t="shared" si="28"/>
        <v/>
      </c>
      <c r="U131" s="28" t="str">
        <f t="shared" si="28"/>
        <v/>
      </c>
      <c r="V131" s="28" t="str">
        <f t="shared" si="28"/>
        <v/>
      </c>
      <c r="W131" s="28" t="str">
        <f t="shared" si="28"/>
        <v/>
      </c>
      <c r="X131" s="29" t="str">
        <f t="shared" si="28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7"/>
        <v/>
      </c>
      <c r="M132" s="19" t="str">
        <f t="shared" si="26"/>
        <v/>
      </c>
      <c r="N132" s="19" t="str">
        <f t="shared" si="26"/>
        <v/>
      </c>
      <c r="O132" s="19" t="str">
        <f t="shared" si="21"/>
        <v/>
      </c>
      <c r="P132" s="19" t="str">
        <f t="shared" si="22"/>
        <v/>
      </c>
      <c r="Q132" s="19" t="str">
        <f t="shared" si="23"/>
        <v/>
      </c>
      <c r="R132" s="19" t="str">
        <f t="shared" si="26"/>
        <v/>
      </c>
      <c r="S132" s="27" t="str">
        <f t="shared" si="28"/>
        <v/>
      </c>
      <c r="T132" s="28" t="str">
        <f t="shared" si="28"/>
        <v/>
      </c>
      <c r="U132" s="28" t="str">
        <f t="shared" si="28"/>
        <v/>
      </c>
      <c r="V132" s="28" t="str">
        <f t="shared" si="28"/>
        <v/>
      </c>
      <c r="W132" s="28" t="str">
        <f t="shared" si="28"/>
        <v/>
      </c>
      <c r="X132" s="29" t="str">
        <f t="shared" si="28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7"/>
        <v/>
      </c>
      <c r="M133" s="19" t="str">
        <f t="shared" si="26"/>
        <v/>
      </c>
      <c r="N133" s="19" t="str">
        <f t="shared" si="26"/>
        <v/>
      </c>
      <c r="O133" s="19" t="str">
        <f t="shared" si="21"/>
        <v/>
      </c>
      <c r="P133" s="19" t="str">
        <f t="shared" si="22"/>
        <v/>
      </c>
      <c r="Q133" s="19" t="str">
        <f t="shared" si="23"/>
        <v/>
      </c>
      <c r="R133" s="19" t="str">
        <f t="shared" si="26"/>
        <v/>
      </c>
      <c r="S133" s="27" t="str">
        <f t="shared" si="28"/>
        <v/>
      </c>
      <c r="T133" s="28" t="str">
        <f t="shared" si="28"/>
        <v/>
      </c>
      <c r="U133" s="28" t="str">
        <f t="shared" si="28"/>
        <v/>
      </c>
      <c r="V133" s="28" t="str">
        <f t="shared" si="28"/>
        <v/>
      </c>
      <c r="W133" s="28" t="str">
        <f t="shared" si="28"/>
        <v/>
      </c>
      <c r="X133" s="29" t="str">
        <f t="shared" si="28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7"/>
        <v/>
      </c>
      <c r="M134" s="19" t="str">
        <f t="shared" si="26"/>
        <v/>
      </c>
      <c r="N134" s="19" t="str">
        <f t="shared" si="26"/>
        <v/>
      </c>
      <c r="O134" s="19" t="str">
        <f t="shared" si="21"/>
        <v/>
      </c>
      <c r="P134" s="19" t="str">
        <f t="shared" si="22"/>
        <v/>
      </c>
      <c r="Q134" s="19" t="str">
        <f t="shared" si="23"/>
        <v/>
      </c>
      <c r="R134" s="19" t="str">
        <f t="shared" si="26"/>
        <v/>
      </c>
      <c r="S134" s="27" t="str">
        <f t="shared" si="28"/>
        <v/>
      </c>
      <c r="T134" s="28" t="str">
        <f t="shared" si="28"/>
        <v/>
      </c>
      <c r="U134" s="28" t="str">
        <f t="shared" si="28"/>
        <v/>
      </c>
      <c r="V134" s="28" t="str">
        <f t="shared" si="28"/>
        <v/>
      </c>
      <c r="W134" s="28" t="str">
        <f t="shared" si="28"/>
        <v/>
      </c>
      <c r="X134" s="29" t="str">
        <f t="shared" si="28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7"/>
        <v/>
      </c>
      <c r="M135" s="19" t="str">
        <f t="shared" si="26"/>
        <v/>
      </c>
      <c r="N135" s="19" t="str">
        <f t="shared" si="26"/>
        <v/>
      </c>
      <c r="O135" s="19" t="str">
        <f t="shared" si="21"/>
        <v/>
      </c>
      <c r="P135" s="19" t="str">
        <f t="shared" si="22"/>
        <v/>
      </c>
      <c r="Q135" s="19" t="str">
        <f t="shared" si="23"/>
        <v/>
      </c>
      <c r="R135" s="19" t="str">
        <f t="shared" si="26"/>
        <v/>
      </c>
      <c r="S135" s="27" t="str">
        <f t="shared" si="28"/>
        <v/>
      </c>
      <c r="T135" s="28" t="str">
        <f t="shared" si="28"/>
        <v/>
      </c>
      <c r="U135" s="28" t="str">
        <f t="shared" si="28"/>
        <v/>
      </c>
      <c r="V135" s="28" t="str">
        <f t="shared" si="28"/>
        <v/>
      </c>
      <c r="W135" s="28" t="str">
        <f t="shared" si="28"/>
        <v/>
      </c>
      <c r="X135" s="29" t="str">
        <f t="shared" si="28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7"/>
        <v/>
      </c>
      <c r="M136" s="19" t="str">
        <f t="shared" si="26"/>
        <v/>
      </c>
      <c r="N136" s="19" t="str">
        <f t="shared" si="26"/>
        <v/>
      </c>
      <c r="O136" s="19" t="str">
        <f t="shared" si="21"/>
        <v/>
      </c>
      <c r="P136" s="19" t="str">
        <f t="shared" si="22"/>
        <v/>
      </c>
      <c r="Q136" s="19" t="str">
        <f t="shared" si="23"/>
        <v/>
      </c>
      <c r="R136" s="19" t="str">
        <f t="shared" si="26"/>
        <v/>
      </c>
      <c r="S136" s="27" t="str">
        <f t="shared" si="28"/>
        <v/>
      </c>
      <c r="T136" s="28" t="str">
        <f t="shared" si="28"/>
        <v/>
      </c>
      <c r="U136" s="28" t="str">
        <f t="shared" si="28"/>
        <v/>
      </c>
      <c r="V136" s="28" t="str">
        <f t="shared" si="28"/>
        <v/>
      </c>
      <c r="W136" s="28" t="str">
        <f t="shared" si="28"/>
        <v/>
      </c>
      <c r="X136" s="29" t="str">
        <f t="shared" si="28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7"/>
        <v/>
      </c>
      <c r="M137" s="19" t="str">
        <f t="shared" si="26"/>
        <v/>
      </c>
      <c r="N137" s="19" t="str">
        <f t="shared" si="26"/>
        <v/>
      </c>
      <c r="O137" s="19" t="str">
        <f t="shared" si="21"/>
        <v/>
      </c>
      <c r="P137" s="19" t="str">
        <f t="shared" si="22"/>
        <v/>
      </c>
      <c r="Q137" s="19" t="str">
        <f t="shared" si="23"/>
        <v/>
      </c>
      <c r="R137" s="19" t="str">
        <f t="shared" si="26"/>
        <v/>
      </c>
      <c r="S137" s="27" t="str">
        <f t="shared" si="28"/>
        <v/>
      </c>
      <c r="T137" s="28" t="str">
        <f t="shared" si="28"/>
        <v/>
      </c>
      <c r="U137" s="28" t="str">
        <f t="shared" si="28"/>
        <v/>
      </c>
      <c r="V137" s="28" t="str">
        <f t="shared" si="28"/>
        <v/>
      </c>
      <c r="W137" s="28" t="str">
        <f t="shared" si="28"/>
        <v/>
      </c>
      <c r="X137" s="29" t="str">
        <f t="shared" si="28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7"/>
        <v/>
      </c>
      <c r="M138" s="19" t="str">
        <f t="shared" si="26"/>
        <v/>
      </c>
      <c r="N138" s="19" t="str">
        <f t="shared" si="26"/>
        <v/>
      </c>
      <c r="O138" s="19" t="str">
        <f t="shared" si="21"/>
        <v/>
      </c>
      <c r="P138" s="19" t="str">
        <f t="shared" si="22"/>
        <v/>
      </c>
      <c r="Q138" s="19" t="str">
        <f t="shared" si="23"/>
        <v/>
      </c>
      <c r="R138" s="19" t="str">
        <f t="shared" si="26"/>
        <v/>
      </c>
      <c r="S138" s="27" t="str">
        <f t="shared" si="28"/>
        <v/>
      </c>
      <c r="T138" s="28" t="str">
        <f t="shared" si="28"/>
        <v/>
      </c>
      <c r="U138" s="28" t="str">
        <f t="shared" si="28"/>
        <v/>
      </c>
      <c r="V138" s="28" t="str">
        <f t="shared" si="28"/>
        <v/>
      </c>
      <c r="W138" s="28" t="str">
        <f t="shared" si="28"/>
        <v/>
      </c>
      <c r="X138" s="29" t="str">
        <f t="shared" si="28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7"/>
        <v/>
      </c>
      <c r="M139" s="19" t="str">
        <f t="shared" si="26"/>
        <v/>
      </c>
      <c r="N139" s="19" t="str">
        <f t="shared" si="26"/>
        <v/>
      </c>
      <c r="O139" s="19" t="str">
        <f t="shared" si="21"/>
        <v/>
      </c>
      <c r="P139" s="19" t="str">
        <f t="shared" si="22"/>
        <v/>
      </c>
      <c r="Q139" s="19" t="str">
        <f t="shared" si="23"/>
        <v/>
      </c>
      <c r="R139" s="19" t="str">
        <f t="shared" si="26"/>
        <v/>
      </c>
      <c r="S139" s="27" t="str">
        <f t="shared" si="28"/>
        <v/>
      </c>
      <c r="T139" s="28" t="str">
        <f t="shared" si="28"/>
        <v/>
      </c>
      <c r="U139" s="28" t="str">
        <f t="shared" si="28"/>
        <v/>
      </c>
      <c r="V139" s="28" t="str">
        <f t="shared" si="28"/>
        <v/>
      </c>
      <c r="W139" s="28" t="str">
        <f t="shared" si="28"/>
        <v/>
      </c>
      <c r="X139" s="29" t="str">
        <f t="shared" si="28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7"/>
        <v/>
      </c>
      <c r="M140" s="19" t="str">
        <f t="shared" si="26"/>
        <v/>
      </c>
      <c r="N140" s="19" t="str">
        <f t="shared" si="26"/>
        <v/>
      </c>
      <c r="O140" s="19" t="str">
        <f t="shared" si="21"/>
        <v/>
      </c>
      <c r="P140" s="19" t="str">
        <f t="shared" si="22"/>
        <v/>
      </c>
      <c r="Q140" s="19" t="str">
        <f t="shared" si="23"/>
        <v/>
      </c>
      <c r="R140" s="19" t="str">
        <f t="shared" si="26"/>
        <v/>
      </c>
      <c r="S140" s="27" t="str">
        <f t="shared" si="28"/>
        <v/>
      </c>
      <c r="T140" s="28" t="str">
        <f t="shared" si="28"/>
        <v/>
      </c>
      <c r="U140" s="28" t="str">
        <f t="shared" si="28"/>
        <v/>
      </c>
      <c r="V140" s="28" t="str">
        <f t="shared" si="28"/>
        <v/>
      </c>
      <c r="W140" s="28" t="str">
        <f t="shared" si="28"/>
        <v/>
      </c>
      <c r="X140" s="29" t="str">
        <f t="shared" si="28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7"/>
        <v/>
      </c>
      <c r="M141" s="19" t="str">
        <f t="shared" si="26"/>
        <v/>
      </c>
      <c r="N141" s="19" t="str">
        <f t="shared" si="26"/>
        <v/>
      </c>
      <c r="O141" s="19" t="str">
        <f t="shared" si="21"/>
        <v/>
      </c>
      <c r="P141" s="19" t="str">
        <f t="shared" si="22"/>
        <v/>
      </c>
      <c r="Q141" s="19" t="str">
        <f t="shared" si="23"/>
        <v/>
      </c>
      <c r="R141" s="19" t="str">
        <f t="shared" si="26"/>
        <v/>
      </c>
      <c r="S141" s="27" t="str">
        <f t="shared" si="28"/>
        <v/>
      </c>
      <c r="T141" s="28" t="str">
        <f t="shared" si="28"/>
        <v/>
      </c>
      <c r="U141" s="28" t="str">
        <f t="shared" si="28"/>
        <v/>
      </c>
      <c r="V141" s="28" t="str">
        <f t="shared" si="28"/>
        <v/>
      </c>
      <c r="W141" s="28" t="str">
        <f t="shared" si="28"/>
        <v/>
      </c>
      <c r="X141" s="29" t="str">
        <f t="shared" si="28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7"/>
        <v/>
      </c>
      <c r="M142" s="19" t="str">
        <f t="shared" si="26"/>
        <v/>
      </c>
      <c r="N142" s="19" t="str">
        <f t="shared" si="26"/>
        <v/>
      </c>
      <c r="O142" s="19" t="str">
        <f t="shared" si="21"/>
        <v/>
      </c>
      <c r="P142" s="19" t="str">
        <f t="shared" si="22"/>
        <v/>
      </c>
      <c r="Q142" s="19" t="str">
        <f t="shared" si="23"/>
        <v/>
      </c>
      <c r="R142" s="19" t="str">
        <f t="shared" si="26"/>
        <v/>
      </c>
      <c r="S142" s="27" t="str">
        <f t="shared" si="28"/>
        <v/>
      </c>
      <c r="T142" s="28" t="str">
        <f t="shared" si="28"/>
        <v/>
      </c>
      <c r="U142" s="28" t="str">
        <f t="shared" si="28"/>
        <v/>
      </c>
      <c r="V142" s="28" t="str">
        <f t="shared" si="28"/>
        <v/>
      </c>
      <c r="W142" s="28" t="str">
        <f t="shared" si="28"/>
        <v/>
      </c>
      <c r="X142" s="29" t="str">
        <f t="shared" si="28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7"/>
        <v/>
      </c>
      <c r="M143" s="19" t="str">
        <f t="shared" si="26"/>
        <v/>
      </c>
      <c r="N143" s="19" t="str">
        <f t="shared" si="26"/>
        <v/>
      </c>
      <c r="O143" s="19" t="str">
        <f t="shared" si="21"/>
        <v/>
      </c>
      <c r="P143" s="19" t="str">
        <f t="shared" si="22"/>
        <v/>
      </c>
      <c r="Q143" s="19" t="str">
        <f t="shared" si="23"/>
        <v/>
      </c>
      <c r="R143" s="19" t="str">
        <f t="shared" si="26"/>
        <v/>
      </c>
      <c r="S143" s="27" t="str">
        <f t="shared" si="28"/>
        <v/>
      </c>
      <c r="T143" s="28" t="str">
        <f t="shared" si="28"/>
        <v/>
      </c>
      <c r="U143" s="28" t="str">
        <f t="shared" si="28"/>
        <v/>
      </c>
      <c r="V143" s="28" t="str">
        <f t="shared" si="28"/>
        <v/>
      </c>
      <c r="W143" s="28" t="str">
        <f t="shared" si="28"/>
        <v/>
      </c>
      <c r="X143" s="29" t="str">
        <f t="shared" si="28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7"/>
        <v/>
      </c>
      <c r="M144" s="19" t="str">
        <f t="shared" si="26"/>
        <v/>
      </c>
      <c r="N144" s="19" t="str">
        <f t="shared" si="26"/>
        <v/>
      </c>
      <c r="O144" s="19" t="str">
        <f t="shared" si="21"/>
        <v/>
      </c>
      <c r="P144" s="19" t="str">
        <f t="shared" si="22"/>
        <v/>
      </c>
      <c r="Q144" s="19" t="str">
        <f t="shared" si="23"/>
        <v/>
      </c>
      <c r="R144" s="19" t="str">
        <f t="shared" si="26"/>
        <v/>
      </c>
      <c r="S144" s="27" t="str">
        <f t="shared" si="28"/>
        <v/>
      </c>
      <c r="T144" s="28" t="str">
        <f t="shared" si="28"/>
        <v/>
      </c>
      <c r="U144" s="28" t="str">
        <f t="shared" si="28"/>
        <v/>
      </c>
      <c r="V144" s="28" t="str">
        <f t="shared" si="28"/>
        <v/>
      </c>
      <c r="W144" s="28" t="str">
        <f t="shared" si="28"/>
        <v/>
      </c>
      <c r="X144" s="29" t="str">
        <f t="shared" si="28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7"/>
        <v/>
      </c>
      <c r="M145" s="19" t="str">
        <f t="shared" si="26"/>
        <v/>
      </c>
      <c r="N145" s="19" t="str">
        <f t="shared" si="26"/>
        <v/>
      </c>
      <c r="O145" s="19" t="str">
        <f t="shared" si="21"/>
        <v/>
      </c>
      <c r="P145" s="19" t="str">
        <f t="shared" si="22"/>
        <v/>
      </c>
      <c r="Q145" s="19" t="str">
        <f t="shared" si="23"/>
        <v/>
      </c>
      <c r="R145" s="19" t="str">
        <f t="shared" si="26"/>
        <v/>
      </c>
      <c r="S145" s="27" t="str">
        <f t="shared" ref="S145:X153" si="29">IF(C145="","",((C145-C144)*1000)/($B145-$B144))</f>
        <v/>
      </c>
      <c r="T145" s="28" t="str">
        <f t="shared" si="29"/>
        <v/>
      </c>
      <c r="U145" s="28" t="str">
        <f t="shared" si="29"/>
        <v/>
      </c>
      <c r="V145" s="28" t="str">
        <f t="shared" si="29"/>
        <v/>
      </c>
      <c r="W145" s="28" t="str">
        <f t="shared" si="29"/>
        <v/>
      </c>
      <c r="X145" s="29" t="str">
        <f t="shared" si="29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7"/>
        <v/>
      </c>
      <c r="M146" s="19" t="str">
        <f t="shared" si="26"/>
        <v/>
      </c>
      <c r="N146" s="19" t="str">
        <f t="shared" si="26"/>
        <v/>
      </c>
      <c r="O146" s="19" t="str">
        <f t="shared" si="21"/>
        <v/>
      </c>
      <c r="P146" s="19" t="str">
        <f t="shared" si="22"/>
        <v/>
      </c>
      <c r="Q146" s="19" t="str">
        <f t="shared" si="23"/>
        <v/>
      </c>
      <c r="R146" s="19" t="str">
        <f t="shared" si="26"/>
        <v/>
      </c>
      <c r="S146" s="27" t="str">
        <f t="shared" si="29"/>
        <v/>
      </c>
      <c r="T146" s="28" t="str">
        <f t="shared" si="29"/>
        <v/>
      </c>
      <c r="U146" s="28" t="str">
        <f t="shared" si="29"/>
        <v/>
      </c>
      <c r="V146" s="28" t="str">
        <f t="shared" si="29"/>
        <v/>
      </c>
      <c r="W146" s="28" t="str">
        <f t="shared" si="29"/>
        <v/>
      </c>
      <c r="X146" s="29" t="str">
        <f t="shared" si="29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7"/>
        <v/>
      </c>
      <c r="M147" s="19" t="str">
        <f t="shared" si="26"/>
        <v/>
      </c>
      <c r="N147" s="19" t="str">
        <f t="shared" si="26"/>
        <v/>
      </c>
      <c r="O147" s="19" t="str">
        <f t="shared" si="21"/>
        <v/>
      </c>
      <c r="P147" s="19" t="str">
        <f t="shared" si="22"/>
        <v/>
      </c>
      <c r="Q147" s="19" t="str">
        <f t="shared" si="23"/>
        <v/>
      </c>
      <c r="R147" s="19" t="str">
        <f t="shared" si="26"/>
        <v/>
      </c>
      <c r="S147" s="27" t="str">
        <f t="shared" si="29"/>
        <v/>
      </c>
      <c r="T147" s="28" t="str">
        <f t="shared" si="29"/>
        <v/>
      </c>
      <c r="U147" s="28" t="str">
        <f t="shared" si="29"/>
        <v/>
      </c>
      <c r="V147" s="28" t="str">
        <f t="shared" si="29"/>
        <v/>
      </c>
      <c r="W147" s="28" t="str">
        <f t="shared" si="29"/>
        <v/>
      </c>
      <c r="X147" s="29" t="str">
        <f t="shared" si="29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7"/>
        <v/>
      </c>
      <c r="M148" s="19" t="str">
        <f t="shared" si="26"/>
        <v/>
      </c>
      <c r="N148" s="19" t="str">
        <f t="shared" si="26"/>
        <v/>
      </c>
      <c r="O148" s="19" t="str">
        <f t="shared" si="21"/>
        <v/>
      </c>
      <c r="P148" s="19" t="str">
        <f t="shared" si="22"/>
        <v/>
      </c>
      <c r="Q148" s="19" t="str">
        <f t="shared" si="23"/>
        <v/>
      </c>
      <c r="R148" s="19" t="str">
        <f t="shared" si="26"/>
        <v/>
      </c>
      <c r="S148" s="27" t="str">
        <f t="shared" si="29"/>
        <v/>
      </c>
      <c r="T148" s="28" t="str">
        <f t="shared" si="29"/>
        <v/>
      </c>
      <c r="U148" s="28" t="str">
        <f t="shared" si="29"/>
        <v/>
      </c>
      <c r="V148" s="28" t="str">
        <f t="shared" si="29"/>
        <v/>
      </c>
      <c r="W148" s="28" t="str">
        <f t="shared" si="29"/>
        <v/>
      </c>
      <c r="X148" s="29" t="str">
        <f t="shared" si="29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7"/>
        <v/>
      </c>
      <c r="M149" s="19" t="str">
        <f t="shared" si="26"/>
        <v/>
      </c>
      <c r="N149" s="19" t="str">
        <f t="shared" si="26"/>
        <v/>
      </c>
      <c r="O149" s="19" t="str">
        <f t="shared" si="21"/>
        <v/>
      </c>
      <c r="P149" s="19" t="str">
        <f t="shared" si="22"/>
        <v/>
      </c>
      <c r="Q149" s="19" t="str">
        <f t="shared" si="23"/>
        <v/>
      </c>
      <c r="R149" s="19" t="str">
        <f t="shared" si="26"/>
        <v/>
      </c>
      <c r="S149" s="27" t="str">
        <f t="shared" si="29"/>
        <v/>
      </c>
      <c r="T149" s="28" t="str">
        <f t="shared" si="29"/>
        <v/>
      </c>
      <c r="U149" s="28" t="str">
        <f t="shared" si="29"/>
        <v/>
      </c>
      <c r="V149" s="28" t="str">
        <f t="shared" si="29"/>
        <v/>
      </c>
      <c r="W149" s="28" t="str">
        <f t="shared" si="29"/>
        <v/>
      </c>
      <c r="X149" s="29" t="str">
        <f t="shared" si="29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7"/>
        <v/>
      </c>
      <c r="M150" s="19" t="str">
        <f t="shared" si="26"/>
        <v/>
      </c>
      <c r="N150" s="19" t="str">
        <f t="shared" si="26"/>
        <v/>
      </c>
      <c r="O150" s="19" t="str">
        <f t="shared" si="21"/>
        <v/>
      </c>
      <c r="P150" s="19" t="str">
        <f t="shared" si="22"/>
        <v/>
      </c>
      <c r="Q150" s="19" t="str">
        <f t="shared" si="23"/>
        <v/>
      </c>
      <c r="R150" s="19" t="str">
        <f t="shared" si="26"/>
        <v/>
      </c>
      <c r="S150" s="27" t="str">
        <f t="shared" si="29"/>
        <v/>
      </c>
      <c r="T150" s="28" t="str">
        <f t="shared" si="29"/>
        <v/>
      </c>
      <c r="U150" s="28" t="str">
        <f t="shared" si="29"/>
        <v/>
      </c>
      <c r="V150" s="28" t="str">
        <f t="shared" si="29"/>
        <v/>
      </c>
      <c r="W150" s="28" t="str">
        <f t="shared" si="29"/>
        <v/>
      </c>
      <c r="X150" s="29" t="str">
        <f t="shared" si="29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7"/>
        <v/>
      </c>
      <c r="M151" s="19" t="str">
        <f t="shared" si="26"/>
        <v/>
      </c>
      <c r="N151" s="19" t="str">
        <f t="shared" si="26"/>
        <v/>
      </c>
      <c r="O151" s="19" t="str">
        <f t="shared" si="21"/>
        <v/>
      </c>
      <c r="P151" s="19" t="str">
        <f t="shared" si="22"/>
        <v/>
      </c>
      <c r="Q151" s="19" t="str">
        <f t="shared" si="23"/>
        <v/>
      </c>
      <c r="R151" s="19" t="str">
        <f t="shared" si="26"/>
        <v/>
      </c>
      <c r="S151" s="27" t="str">
        <f t="shared" si="29"/>
        <v/>
      </c>
      <c r="T151" s="28" t="str">
        <f t="shared" si="29"/>
        <v/>
      </c>
      <c r="U151" s="28" t="str">
        <f t="shared" si="29"/>
        <v/>
      </c>
      <c r="V151" s="28" t="str">
        <f t="shared" si="29"/>
        <v/>
      </c>
      <c r="W151" s="28" t="str">
        <f t="shared" si="29"/>
        <v/>
      </c>
      <c r="X151" s="29" t="str">
        <f t="shared" si="29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7"/>
        <v/>
      </c>
      <c r="M152" s="19" t="str">
        <f t="shared" si="26"/>
        <v/>
      </c>
      <c r="N152" s="19" t="str">
        <f t="shared" si="26"/>
        <v/>
      </c>
      <c r="O152" s="19" t="str">
        <f t="shared" si="21"/>
        <v/>
      </c>
      <c r="P152" s="19" t="str">
        <f t="shared" si="22"/>
        <v/>
      </c>
      <c r="Q152" s="19" t="str">
        <f t="shared" si="23"/>
        <v/>
      </c>
      <c r="R152" s="19" t="str">
        <f t="shared" si="26"/>
        <v/>
      </c>
      <c r="S152" s="27" t="str">
        <f t="shared" si="29"/>
        <v/>
      </c>
      <c r="T152" s="28" t="str">
        <f t="shared" si="29"/>
        <v/>
      </c>
      <c r="U152" s="28" t="str">
        <f t="shared" si="29"/>
        <v/>
      </c>
      <c r="V152" s="28" t="str">
        <f t="shared" si="29"/>
        <v/>
      </c>
      <c r="W152" s="28" t="str">
        <f t="shared" si="29"/>
        <v/>
      </c>
      <c r="X152" s="29" t="str">
        <f t="shared" si="29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7"/>
        <v/>
      </c>
      <c r="M153" s="19" t="str">
        <f t="shared" si="26"/>
        <v/>
      </c>
      <c r="N153" s="19" t="str">
        <f t="shared" si="26"/>
        <v/>
      </c>
      <c r="O153" s="19" t="str">
        <f t="shared" si="21"/>
        <v/>
      </c>
      <c r="P153" s="19" t="str">
        <f t="shared" si="22"/>
        <v/>
      </c>
      <c r="Q153" s="19" t="str">
        <f t="shared" si="23"/>
        <v/>
      </c>
      <c r="R153" s="19" t="str">
        <f t="shared" si="26"/>
        <v/>
      </c>
      <c r="S153" s="27" t="str">
        <f t="shared" si="29"/>
        <v/>
      </c>
      <c r="T153" s="28" t="str">
        <f t="shared" si="29"/>
        <v/>
      </c>
      <c r="U153" s="28" t="str">
        <f t="shared" si="29"/>
        <v/>
      </c>
      <c r="V153" s="28" t="str">
        <f t="shared" si="29"/>
        <v/>
      </c>
      <c r="W153" s="28" t="str">
        <f t="shared" si="29"/>
        <v/>
      </c>
      <c r="X153" s="29" t="str">
        <f t="shared" si="29"/>
        <v/>
      </c>
      <c r="Y153" s="24"/>
    </row>
  </sheetData>
  <sheetProtection selectLockedCells="1"/>
  <mergeCells count="38">
    <mergeCell ref="J6:Q6"/>
    <mergeCell ref="R6:V6"/>
    <mergeCell ref="W6:Y6"/>
    <mergeCell ref="E7:I7"/>
    <mergeCell ref="J7:Q7"/>
    <mergeCell ref="R7:V7"/>
    <mergeCell ref="W7:Y7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A4F0B6-1CC1-4577-9C7E-242201F5A866}">
  <ds:schemaRefs>
    <ds:schemaRef ds:uri="http://schemas.microsoft.com/office/2006/metadata/properties"/>
    <ds:schemaRef ds:uri="http://schemas.microsoft.com/office/infopath/2007/PartnerControls"/>
    <ds:schemaRef ds:uri="1623f259-20e3-4505-9b5f-e476ee064b97"/>
  </ds:schemaRefs>
</ds:datastoreItem>
</file>

<file path=customXml/itemProps2.xml><?xml version="1.0" encoding="utf-8"?>
<ds:datastoreItem xmlns:ds="http://schemas.openxmlformats.org/officeDocument/2006/customXml" ds:itemID="{DED20FFB-EA11-4786-AE7A-FD5880E6EE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0FD7D-F78C-4F39-AB7E-DD0BAA1E94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43</vt:i4>
      </vt:variant>
    </vt:vector>
  </HeadingPairs>
  <TitlesOfParts>
    <vt:vector size="68" baseType="lpstr">
      <vt:lpstr>TZ-6</vt:lpstr>
      <vt:lpstr>TZ-8</vt:lpstr>
      <vt:lpstr>TZ-10</vt:lpstr>
      <vt:lpstr>TZ-12</vt:lpstr>
      <vt:lpstr>TZ-14</vt:lpstr>
      <vt:lpstr>TZ-16</vt:lpstr>
      <vt:lpstr>TZ-18</vt:lpstr>
      <vt:lpstr>TZ-20</vt:lpstr>
      <vt:lpstr>TZ-22</vt:lpstr>
      <vt:lpstr>TZ-24</vt:lpstr>
      <vt:lpstr>TZ-26</vt:lpstr>
      <vt:lpstr>TZ-28</vt:lpstr>
      <vt:lpstr>TZ-30</vt:lpstr>
      <vt:lpstr>TZ-32</vt:lpstr>
      <vt:lpstr>TZ-34</vt:lpstr>
      <vt:lpstr>TZ-36</vt:lpstr>
      <vt:lpstr>MP.ABUSU</vt:lpstr>
      <vt:lpstr>MP.BENGOETXE</vt:lpstr>
      <vt:lpstr>MP.OLABARRIETA</vt:lpstr>
      <vt:lpstr>MP.TRAZA</vt:lpstr>
      <vt:lpstr>TZ-112</vt:lpstr>
      <vt:lpstr>TZ-114</vt:lpstr>
      <vt:lpstr>TZ-115</vt:lpstr>
      <vt:lpstr>TZ-116</vt:lpstr>
      <vt:lpstr>TZ-130</vt:lpstr>
      <vt:lpstr>MP.BENGOETXE!Área_de_impresión</vt:lpstr>
      <vt:lpstr>'TZ-10'!Área_de_impresión</vt:lpstr>
      <vt:lpstr>'TZ-112'!Área_de_impresión</vt:lpstr>
      <vt:lpstr>'TZ-114'!Área_de_impresión</vt:lpstr>
      <vt:lpstr>'TZ-115'!Área_de_impresión</vt:lpstr>
      <vt:lpstr>'TZ-116'!Área_de_impresión</vt:lpstr>
      <vt:lpstr>'TZ-12'!Área_de_impresión</vt:lpstr>
      <vt:lpstr>'TZ-130'!Área_de_impresión</vt:lpstr>
      <vt:lpstr>'TZ-14'!Área_de_impresión</vt:lpstr>
      <vt:lpstr>'TZ-16'!Área_de_impresión</vt:lpstr>
      <vt:lpstr>'TZ-18'!Área_de_impresión</vt:lpstr>
      <vt:lpstr>'TZ-20'!Área_de_impresión</vt:lpstr>
      <vt:lpstr>'TZ-22'!Área_de_impresión</vt:lpstr>
      <vt:lpstr>'TZ-24'!Área_de_impresión</vt:lpstr>
      <vt:lpstr>'TZ-26'!Área_de_impresión</vt:lpstr>
      <vt:lpstr>'TZ-28'!Área_de_impresión</vt:lpstr>
      <vt:lpstr>'TZ-30'!Área_de_impresión</vt:lpstr>
      <vt:lpstr>'TZ-32'!Área_de_impresión</vt:lpstr>
      <vt:lpstr>'TZ-34'!Área_de_impresión</vt:lpstr>
      <vt:lpstr>'TZ-36'!Área_de_impresión</vt:lpstr>
      <vt:lpstr>'TZ-6'!Área_de_impresión</vt:lpstr>
      <vt:lpstr>'TZ-8'!Área_de_impresión</vt:lpstr>
      <vt:lpstr>'TZ-10'!Títulos_a_imprimir</vt:lpstr>
      <vt:lpstr>'TZ-112'!Títulos_a_imprimir</vt:lpstr>
      <vt:lpstr>'TZ-114'!Títulos_a_imprimir</vt:lpstr>
      <vt:lpstr>'TZ-115'!Títulos_a_imprimir</vt:lpstr>
      <vt:lpstr>'TZ-116'!Títulos_a_imprimir</vt:lpstr>
      <vt:lpstr>'TZ-12'!Títulos_a_imprimir</vt:lpstr>
      <vt:lpstr>'TZ-130'!Títulos_a_imprimir</vt:lpstr>
      <vt:lpstr>'TZ-14'!Títulos_a_imprimir</vt:lpstr>
      <vt:lpstr>'TZ-16'!Títulos_a_imprimir</vt:lpstr>
      <vt:lpstr>'TZ-18'!Títulos_a_imprimir</vt:lpstr>
      <vt:lpstr>'TZ-20'!Títulos_a_imprimir</vt:lpstr>
      <vt:lpstr>'TZ-22'!Títulos_a_imprimir</vt:lpstr>
      <vt:lpstr>'TZ-24'!Títulos_a_imprimir</vt:lpstr>
      <vt:lpstr>'TZ-26'!Títulos_a_imprimir</vt:lpstr>
      <vt:lpstr>'TZ-28'!Títulos_a_imprimir</vt:lpstr>
      <vt:lpstr>'TZ-30'!Títulos_a_imprimir</vt:lpstr>
      <vt:lpstr>'TZ-32'!Títulos_a_imprimir</vt:lpstr>
      <vt:lpstr>'TZ-34'!Títulos_a_imprimir</vt:lpstr>
      <vt:lpstr>'TZ-36'!Títulos_a_imprimir</vt:lpstr>
      <vt:lpstr>'TZ-6'!Títulos_a_imprimir</vt:lpstr>
      <vt:lpstr>'TZ-8'!Títulos_a_imprimir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METRO BENGOETXE</dc:creator>
  <cp:keywords/>
  <dc:description/>
  <cp:lastModifiedBy>Pablo Garcia Altarribas</cp:lastModifiedBy>
  <cp:revision/>
  <dcterms:created xsi:type="dcterms:W3CDTF">2014-01-15T17:47:48Z</dcterms:created>
  <dcterms:modified xsi:type="dcterms:W3CDTF">2026-06-16T17:13:15Z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0x010100CDEDEC1C8EA2604C976AFA7FA6114EAF</vt:lpwstr>
  </property>
</Properties>
</file>