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sener365.sharepoint.com/sites/L5.APERRIBAI-GALDAKAO-AUSCULTACIN/Documentos compartidos/AUSCULTACIÓN/DATOSAUSCULTACION/DATOS TEÓRICOS/"/>
    </mc:Choice>
  </mc:AlternateContent>
  <xr:revisionPtr revIDLastSave="220" documentId="13_ncr:1_{73EECDC5-97C5-4C05-A1CE-BB8826557B6C}" xr6:coauthVersionLast="47" xr6:coauthVersionMax="47" xr10:uidLastSave="{ED3DAE89-448E-44EF-BDBF-E1DDEC2090D6}"/>
  <bookViews>
    <workbookView xWindow="-120" yWindow="-120" windowWidth="29040" windowHeight="15720" xr2:uid="{16F1170C-2D95-46D5-A2DC-152A90001154}"/>
  </bookViews>
  <sheets>
    <sheet name="Hitos-Teor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14" i="1"/>
  <c r="D13" i="1"/>
  <c r="D3" i="1"/>
  <c r="D6" i="1"/>
  <c r="D7" i="1"/>
  <c r="D5" i="1"/>
  <c r="D4" i="1"/>
</calcChain>
</file>

<file path=xl/sharedStrings.xml><?xml version="1.0" encoding="utf-8"?>
<sst xmlns="http://schemas.openxmlformats.org/spreadsheetml/2006/main" count="73" uniqueCount="73">
  <si>
    <t>Inc. X</t>
  </si>
  <si>
    <t>Inc. Y</t>
  </si>
  <si>
    <t>Distancia eje</t>
  </si>
  <si>
    <t>Zeta modelo (mm)</t>
  </si>
  <si>
    <t>Z-Excav_AV</t>
  </si>
  <si>
    <t>Z-Fin_AV</t>
  </si>
  <si>
    <t>Z-Excav_DES</t>
  </si>
  <si>
    <t>Z-Fin_DES</t>
  </si>
  <si>
    <t>Z-Final</t>
  </si>
  <si>
    <t>H2.1</t>
  </si>
  <si>
    <t>H2.2</t>
  </si>
  <si>
    <t>H2.3</t>
  </si>
  <si>
    <t>H2.4</t>
  </si>
  <si>
    <t>H2.5</t>
  </si>
  <si>
    <t>H1.1</t>
  </si>
  <si>
    <t>H1.2</t>
  </si>
  <si>
    <t>H1.3</t>
  </si>
  <si>
    <t>H1.4</t>
  </si>
  <si>
    <t>H1.5</t>
  </si>
  <si>
    <t>H1.6</t>
  </si>
  <si>
    <t>H25.1</t>
  </si>
  <si>
    <t>H25.2</t>
  </si>
  <si>
    <t>H25.3</t>
  </si>
  <si>
    <t>H25.4</t>
  </si>
  <si>
    <t>H25.5</t>
  </si>
  <si>
    <t>H26.2</t>
  </si>
  <si>
    <t>H26.3</t>
  </si>
  <si>
    <t>H26.4</t>
  </si>
  <si>
    <t>H26.5</t>
  </si>
  <si>
    <t>H24.1</t>
  </si>
  <si>
    <t>H24.2</t>
  </si>
  <si>
    <t>H24.3</t>
  </si>
  <si>
    <t>H24.4</t>
  </si>
  <si>
    <t>H24.5</t>
  </si>
  <si>
    <t>H23.1</t>
  </si>
  <si>
    <t>H23.2</t>
  </si>
  <si>
    <t>H23.3</t>
  </si>
  <si>
    <t>H23.4</t>
  </si>
  <si>
    <t>H23.5</t>
  </si>
  <si>
    <t>H4.1</t>
  </si>
  <si>
    <t>H4.2</t>
  </si>
  <si>
    <t>H4.3</t>
  </si>
  <si>
    <t>H4.4</t>
  </si>
  <si>
    <t>H4.5</t>
  </si>
  <si>
    <t>H3.1</t>
  </si>
  <si>
    <t>H3.2</t>
  </si>
  <si>
    <t>H3.3</t>
  </si>
  <si>
    <t>H3.4</t>
  </si>
  <si>
    <t>H3.5</t>
  </si>
  <si>
    <t>H5.1</t>
  </si>
  <si>
    <t>H5.2</t>
  </si>
  <si>
    <t>H5.3</t>
  </si>
  <si>
    <t>H5.4</t>
  </si>
  <si>
    <t>H5.5</t>
  </si>
  <si>
    <t>H6.1</t>
  </si>
  <si>
    <t>H6.2</t>
  </si>
  <si>
    <t>H6.3</t>
  </si>
  <si>
    <t>H6.4</t>
  </si>
  <si>
    <t>H6.5</t>
  </si>
  <si>
    <t>H27.2</t>
  </si>
  <si>
    <t>H27.3</t>
  </si>
  <si>
    <t>H27.4</t>
  </si>
  <si>
    <t>H27.5</t>
  </si>
  <si>
    <t>H28.1</t>
  </si>
  <si>
    <t>H28.2</t>
  </si>
  <si>
    <t>H28.3</t>
  </si>
  <si>
    <t>H28.4</t>
  </si>
  <si>
    <t>H28.5</t>
  </si>
  <si>
    <t>H7.1</t>
  </si>
  <si>
    <t>H7.2</t>
  </si>
  <si>
    <t>H7.3</t>
  </si>
  <si>
    <t>H7.4</t>
  </si>
  <si>
    <t>H7.5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</si>
</sst>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6424-A1C9-4D2F-A1CC-E4D38D05AA94}">
  <dimension ref="A2:K78"/>
  <sheetViews>
    <sheetView tabSelected="1" topLeftCell="A36" workbookViewId="0">
      <selection activeCell="J49" sqref="J49"/>
    </sheetView>
  </sheetViews>
  <sheetFormatPr defaultColWidth="11.42578125" defaultRowHeight="15"/>
  <cols>
    <col min="4" max="4" width="14.5703125" customWidth="1"/>
    <col min="5" max="5" width="19.7109375" customWidth="1"/>
  </cols>
  <sheetData>
    <row r="2" spans="1:11">
      <c r="B2" t="s">
        <v>0</v>
      </c>
      <c r="C2" t="s">
        <v>1</v>
      </c>
      <c r="D2" t="s">
        <v>2</v>
      </c>
      <c r="E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>
      <c r="A3" t="s">
        <v>9</v>
      </c>
      <c r="B3">
        <v>55.923000000000002</v>
      </c>
      <c r="C3">
        <v>97.718000000000004</v>
      </c>
      <c r="D3" s="1">
        <f>-((B3^2+C3^2)^0.5)</f>
        <v>-112.58858491427982</v>
      </c>
      <c r="G3">
        <v>-0.2</v>
      </c>
      <c r="H3">
        <v>-0.4</v>
      </c>
      <c r="I3">
        <v>-0.5</v>
      </c>
      <c r="J3">
        <v>-0.6</v>
      </c>
      <c r="K3">
        <v>-0.6</v>
      </c>
    </row>
    <row r="4" spans="1:11">
      <c r="A4" t="s">
        <v>10</v>
      </c>
      <c r="B4">
        <v>11.712</v>
      </c>
      <c r="C4">
        <v>20.466000000000001</v>
      </c>
      <c r="D4" s="1">
        <f>-((B4^2+C4^2)^0.5)</f>
        <v>-23.580248090297946</v>
      </c>
      <c r="G4">
        <v>-1.5</v>
      </c>
      <c r="H4">
        <v>-2.6</v>
      </c>
      <c r="I4">
        <v>-2.9</v>
      </c>
      <c r="J4">
        <v>-3.2</v>
      </c>
      <c r="K4">
        <v>-3.3</v>
      </c>
    </row>
    <row r="5" spans="1:11">
      <c r="A5" t="s">
        <v>11</v>
      </c>
      <c r="B5">
        <v>0</v>
      </c>
      <c r="C5">
        <v>0</v>
      </c>
      <c r="D5" s="1">
        <f>((B5^2+C5^2)^0.5)</f>
        <v>0</v>
      </c>
      <c r="G5">
        <v>-2</v>
      </c>
      <c r="H5">
        <v>-3.5</v>
      </c>
      <c r="I5">
        <v>-3.8</v>
      </c>
      <c r="J5">
        <v>-4.0999999999999996</v>
      </c>
      <c r="K5">
        <v>-4.2</v>
      </c>
    </row>
    <row r="6" spans="1:11">
      <c r="A6" t="s">
        <v>12</v>
      </c>
      <c r="B6">
        <v>12.475</v>
      </c>
      <c r="C6">
        <v>21.798999999999999</v>
      </c>
      <c r="D6" s="1">
        <f t="shared" ref="D6:D7" si="0">((B6^2+C6^2)^0.5)</f>
        <v>25.116170607797677</v>
      </c>
      <c r="G6">
        <v>-1.4</v>
      </c>
      <c r="H6">
        <v>-2.5</v>
      </c>
      <c r="I6">
        <v>-2.8</v>
      </c>
      <c r="J6">
        <v>-3</v>
      </c>
      <c r="K6">
        <v>-3.1</v>
      </c>
    </row>
    <row r="7" spans="1:11">
      <c r="A7" t="s">
        <v>13</v>
      </c>
      <c r="B7">
        <v>44.209000000000003</v>
      </c>
      <c r="C7" s="1">
        <v>76.62</v>
      </c>
      <c r="D7" s="1">
        <f t="shared" si="0"/>
        <v>88.459369662009237</v>
      </c>
      <c r="G7">
        <v>-0.3</v>
      </c>
      <c r="H7">
        <v>-0.4</v>
      </c>
      <c r="I7">
        <v>-0.6</v>
      </c>
      <c r="J7">
        <v>-0.6</v>
      </c>
      <c r="K7">
        <v>-0.6</v>
      </c>
    </row>
    <row r="9" spans="1:11">
      <c r="A9" t="s">
        <v>14</v>
      </c>
      <c r="B9" s="2">
        <v>2.423</v>
      </c>
      <c r="C9" s="3">
        <v>58.11</v>
      </c>
      <c r="D9" s="3">
        <f t="shared" ref="D9:D10" si="1">((B9^2+C9^2)^0.5)</f>
        <v>58.160493713516566</v>
      </c>
      <c r="G9">
        <v>-0.6</v>
      </c>
      <c r="H9">
        <v>-1</v>
      </c>
      <c r="I9">
        <v>-1.1000000000000001</v>
      </c>
      <c r="J9">
        <v>-1.2</v>
      </c>
      <c r="K9">
        <v>-1.2</v>
      </c>
    </row>
    <row r="10" spans="1:11">
      <c r="A10" t="s">
        <v>15</v>
      </c>
      <c r="B10" s="2">
        <v>2.4E-2</v>
      </c>
      <c r="C10" s="3">
        <v>0.57899999999999996</v>
      </c>
      <c r="D10" s="3">
        <f t="shared" si="1"/>
        <v>0.57949719585171422</v>
      </c>
      <c r="F10" s="2"/>
      <c r="G10">
        <v>-2.2999999999999998</v>
      </c>
      <c r="H10">
        <v>-3.9</v>
      </c>
      <c r="I10">
        <v>-4.2</v>
      </c>
      <c r="J10">
        <v>-4.4000000000000004</v>
      </c>
      <c r="K10">
        <v>-4.5</v>
      </c>
    </row>
    <row r="11" spans="1:11">
      <c r="A11" t="s">
        <v>16</v>
      </c>
      <c r="B11" s="2">
        <v>0.112</v>
      </c>
      <c r="C11" s="2">
        <v>2.681</v>
      </c>
      <c r="D11" s="3">
        <f>-((B11^2+C11^2)^0.5)</f>
        <v>-2.6833384057923073</v>
      </c>
      <c r="E11" s="4"/>
      <c r="G11">
        <v>-2.1</v>
      </c>
      <c r="H11">
        <v>-3.9</v>
      </c>
      <c r="I11">
        <v>-4.2</v>
      </c>
      <c r="J11">
        <v>-4.4000000000000004</v>
      </c>
      <c r="K11" s="4">
        <v>-4.5</v>
      </c>
    </row>
    <row r="12" spans="1:11">
      <c r="A12" t="s">
        <v>17</v>
      </c>
      <c r="B12" s="2">
        <v>1.054</v>
      </c>
      <c r="C12" s="3">
        <v>25.683</v>
      </c>
      <c r="D12" s="3">
        <f>-((B12^2+C12^2)^0.5)</f>
        <v>-25.704618359353248</v>
      </c>
      <c r="G12">
        <v>-1.6</v>
      </c>
      <c r="H12">
        <v>-2.8</v>
      </c>
      <c r="I12">
        <v>-3.1</v>
      </c>
      <c r="J12">
        <v>-3.3</v>
      </c>
      <c r="K12">
        <v>-3.3</v>
      </c>
    </row>
    <row r="13" spans="1:11">
      <c r="A13" t="s">
        <v>18</v>
      </c>
      <c r="B13">
        <v>5.0839999999999996</v>
      </c>
      <c r="C13" s="1">
        <v>8.8829999999999991</v>
      </c>
      <c r="D13" s="1">
        <f t="shared" ref="D13:D14" si="2">((B13^2+C13^2)^0.5)</f>
        <v>10.234976551023456</v>
      </c>
      <c r="G13">
        <v>-2</v>
      </c>
      <c r="H13">
        <v>-3.7</v>
      </c>
      <c r="I13">
        <v>-3.9</v>
      </c>
      <c r="J13">
        <v>-4.2</v>
      </c>
      <c r="K13">
        <v>-4.3</v>
      </c>
    </row>
    <row r="14" spans="1:11">
      <c r="A14" t="s">
        <v>19</v>
      </c>
      <c r="B14">
        <v>45.04</v>
      </c>
      <c r="C14" s="1">
        <v>78.700999999999993</v>
      </c>
      <c r="D14" s="1">
        <f t="shared" si="2"/>
        <v>90.677720532664466</v>
      </c>
      <c r="G14">
        <v>-0.3</v>
      </c>
      <c r="H14">
        <v>-0.4</v>
      </c>
      <c r="I14">
        <v>-0.5</v>
      </c>
      <c r="J14">
        <v>-0.6</v>
      </c>
      <c r="K14">
        <v>-0.6</v>
      </c>
    </row>
    <row r="15" spans="1:11">
      <c r="G15" s="5"/>
      <c r="H15" s="5"/>
      <c r="I15" s="5"/>
      <c r="J15" s="5"/>
      <c r="K15" s="5"/>
    </row>
    <row r="16" spans="1:11">
      <c r="A16" t="s">
        <v>20</v>
      </c>
      <c r="D16">
        <v>-10.161</v>
      </c>
      <c r="G16" s="5"/>
      <c r="H16" s="5"/>
      <c r="I16" s="5"/>
      <c r="J16" s="5"/>
      <c r="K16" s="5"/>
    </row>
    <row r="17" spans="1:11">
      <c r="A17" t="s">
        <v>21</v>
      </c>
      <c r="D17">
        <v>-4.8650000000000002</v>
      </c>
      <c r="G17" s="5">
        <v>-4.0999999999999996</v>
      </c>
      <c r="H17" s="5">
        <v>-7.5</v>
      </c>
      <c r="I17" s="5">
        <v>-8.1</v>
      </c>
      <c r="J17" s="5">
        <v>-8.5</v>
      </c>
      <c r="K17" s="5">
        <v>-9.8000000000000007</v>
      </c>
    </row>
    <row r="18" spans="1:11">
      <c r="A18" t="s">
        <v>22</v>
      </c>
      <c r="D18">
        <v>0</v>
      </c>
      <c r="G18" s="5"/>
      <c r="H18" s="5"/>
      <c r="I18" s="5"/>
      <c r="J18" s="5"/>
      <c r="K18" s="5"/>
    </row>
    <row r="19" spans="1:11">
      <c r="A19" t="s">
        <v>23</v>
      </c>
      <c r="D19">
        <v>6.9489999999999998</v>
      </c>
      <c r="G19" s="5">
        <v>-4.9000000000000004</v>
      </c>
      <c r="H19" s="5">
        <v>-9.1</v>
      </c>
      <c r="I19" s="5">
        <v>-9.5</v>
      </c>
      <c r="J19" s="5">
        <v>-9.8000000000000007</v>
      </c>
      <c r="K19" s="5">
        <v>-11.4</v>
      </c>
    </row>
    <row r="20" spans="1:11">
      <c r="A20" t="s">
        <v>24</v>
      </c>
      <c r="D20">
        <v>45.49</v>
      </c>
      <c r="G20" s="5">
        <v>-0.8</v>
      </c>
      <c r="H20" s="5">
        <v>-1.3</v>
      </c>
      <c r="I20" s="5">
        <v>-1.7</v>
      </c>
      <c r="J20" s="5">
        <v>-2</v>
      </c>
      <c r="K20" s="5">
        <v>-2</v>
      </c>
    </row>
    <row r="22" spans="1:11">
      <c r="A22" t="s">
        <v>25</v>
      </c>
      <c r="D22">
        <v>-9.7870000000000008</v>
      </c>
      <c r="G22">
        <v>-1.5</v>
      </c>
      <c r="H22">
        <v>-2.9</v>
      </c>
      <c r="I22">
        <v>-3.1</v>
      </c>
      <c r="J22">
        <v>-3.4</v>
      </c>
      <c r="K22">
        <v>-3.5</v>
      </c>
    </row>
    <row r="23" spans="1:11">
      <c r="A23" t="s">
        <v>26</v>
      </c>
      <c r="D23">
        <v>0</v>
      </c>
      <c r="G23">
        <v>-1.7</v>
      </c>
      <c r="H23">
        <v>-3.3</v>
      </c>
      <c r="I23">
        <v>-3.5</v>
      </c>
      <c r="J23">
        <v>-3.8</v>
      </c>
      <c r="K23">
        <v>-4</v>
      </c>
    </row>
    <row r="24" spans="1:11">
      <c r="A24" t="s">
        <v>27</v>
      </c>
      <c r="D24">
        <v>14.646000000000001</v>
      </c>
      <c r="G24">
        <v>-1.3</v>
      </c>
      <c r="H24">
        <v>-2.4</v>
      </c>
      <c r="I24">
        <v>-2.7</v>
      </c>
      <c r="J24">
        <v>-2.9</v>
      </c>
      <c r="K24">
        <v>-3</v>
      </c>
    </row>
    <row r="25" spans="1:11">
      <c r="A25" t="s">
        <v>28</v>
      </c>
      <c r="D25">
        <v>36.142000000000003</v>
      </c>
      <c r="G25">
        <v>-0.5</v>
      </c>
      <c r="H25">
        <v>-1</v>
      </c>
      <c r="I25">
        <v>-1.2</v>
      </c>
      <c r="J25">
        <v>-1.3</v>
      </c>
      <c r="K25">
        <v>-1.3</v>
      </c>
    </row>
    <row r="27" spans="1:11">
      <c r="A27" t="s">
        <v>29</v>
      </c>
      <c r="D27">
        <v>-35.5</v>
      </c>
      <c r="G27">
        <v>-0.3</v>
      </c>
      <c r="H27">
        <v>-0.5</v>
      </c>
      <c r="I27">
        <v>-0.7</v>
      </c>
      <c r="J27">
        <v>-0.8</v>
      </c>
      <c r="K27">
        <v>-0.8</v>
      </c>
    </row>
    <row r="28" spans="1:11">
      <c r="A28" t="s">
        <v>30</v>
      </c>
      <c r="D28">
        <v>-10.6</v>
      </c>
      <c r="G28">
        <v>-1.3</v>
      </c>
      <c r="H28">
        <v>-2.8</v>
      </c>
      <c r="I28">
        <v>-2.9</v>
      </c>
      <c r="J28">
        <v>-3.2</v>
      </c>
      <c r="K28">
        <v>-3.4</v>
      </c>
    </row>
    <row r="29" spans="1:11">
      <c r="A29" t="s">
        <v>31</v>
      </c>
      <c r="D29">
        <v>0</v>
      </c>
      <c r="G29">
        <v>-1.9</v>
      </c>
      <c r="H29">
        <v>-3.9</v>
      </c>
      <c r="I29">
        <v>-4.0999999999999996</v>
      </c>
      <c r="J29">
        <v>-4.3</v>
      </c>
      <c r="K29">
        <v>-4.5999999999999996</v>
      </c>
    </row>
    <row r="30" spans="1:11">
      <c r="A30" t="s">
        <v>32</v>
      </c>
      <c r="D30">
        <v>15.9</v>
      </c>
      <c r="G30">
        <v>-0.9</v>
      </c>
      <c r="H30">
        <v>-1.8</v>
      </c>
      <c r="I30">
        <v>-2</v>
      </c>
      <c r="J30">
        <v>-2.1</v>
      </c>
      <c r="K30">
        <v>-2.2999999999999998</v>
      </c>
    </row>
    <row r="31" spans="1:11">
      <c r="A31" t="s">
        <v>33</v>
      </c>
      <c r="D31">
        <v>32.4</v>
      </c>
      <c r="G31">
        <v>-0.3</v>
      </c>
      <c r="H31">
        <v>-0.6</v>
      </c>
      <c r="I31">
        <v>-0.7</v>
      </c>
      <c r="J31">
        <v>-0.8</v>
      </c>
      <c r="K31">
        <v>-0.9</v>
      </c>
    </row>
    <row r="33" spans="1:11">
      <c r="A33" t="s">
        <v>34</v>
      </c>
      <c r="D33">
        <v>-33.1</v>
      </c>
      <c r="K33">
        <v>-0.2</v>
      </c>
    </row>
    <row r="34" spans="1:11">
      <c r="A34" t="s">
        <v>35</v>
      </c>
      <c r="D34">
        <v>-10.6</v>
      </c>
      <c r="G34">
        <v>-0.5</v>
      </c>
      <c r="H34">
        <v>-1.1000000000000001</v>
      </c>
      <c r="I34">
        <v>-1.2</v>
      </c>
      <c r="J34">
        <v>-1.3</v>
      </c>
      <c r="K34">
        <v>-1.5</v>
      </c>
    </row>
    <row r="35" spans="1:11">
      <c r="A35" t="s">
        <v>36</v>
      </c>
      <c r="D35">
        <v>0</v>
      </c>
      <c r="G35">
        <v>-1</v>
      </c>
      <c r="H35">
        <v>-2.2000000000000002</v>
      </c>
      <c r="I35">
        <v>-2.2000000000000002</v>
      </c>
      <c r="J35">
        <v>-2.2999999999999998</v>
      </c>
      <c r="K35">
        <v>-2.5</v>
      </c>
    </row>
    <row r="36" spans="1:11">
      <c r="A36" t="s">
        <v>37</v>
      </c>
      <c r="D36">
        <v>15.2</v>
      </c>
      <c r="G36">
        <v>-0.3</v>
      </c>
      <c r="H36">
        <v>-0.7</v>
      </c>
      <c r="I36">
        <v>-0.7</v>
      </c>
      <c r="J36">
        <v>-0.8</v>
      </c>
      <c r="K36">
        <v>-1</v>
      </c>
    </row>
    <row r="37" spans="1:11">
      <c r="A37" t="s">
        <v>38</v>
      </c>
      <c r="D37">
        <v>38.799999999999997</v>
      </c>
      <c r="G37">
        <v>-0.3</v>
      </c>
      <c r="H37">
        <v>-0.5</v>
      </c>
      <c r="I37">
        <v>-0.6</v>
      </c>
      <c r="J37">
        <v>-0.7</v>
      </c>
      <c r="K37">
        <v>-0.7</v>
      </c>
    </row>
    <row r="39" spans="1:11">
      <c r="A39" t="s">
        <v>39</v>
      </c>
      <c r="D39">
        <v>-46</v>
      </c>
      <c r="G39">
        <v>-0.8</v>
      </c>
      <c r="H39">
        <v>-1.3</v>
      </c>
      <c r="I39">
        <v>-1.5</v>
      </c>
      <c r="J39">
        <v>-1.7</v>
      </c>
      <c r="K39">
        <v>-1.7</v>
      </c>
    </row>
    <row r="40" spans="1:11">
      <c r="A40" t="s">
        <v>40</v>
      </c>
      <c r="D40">
        <v>-22</v>
      </c>
      <c r="G40">
        <v>-1.5</v>
      </c>
      <c r="H40">
        <v>-2.6</v>
      </c>
      <c r="I40">
        <v>-2.9</v>
      </c>
      <c r="J40">
        <v>-3.2</v>
      </c>
      <c r="K40">
        <v>-3.3</v>
      </c>
    </row>
    <row r="41" spans="1:11">
      <c r="A41" t="s">
        <v>41</v>
      </c>
      <c r="D41">
        <v>0</v>
      </c>
      <c r="G41">
        <v>-2</v>
      </c>
      <c r="H41">
        <v>-3.5</v>
      </c>
      <c r="I41">
        <v>-3.8</v>
      </c>
      <c r="J41">
        <v>-4.0999999999999996</v>
      </c>
      <c r="K41">
        <v>-4.2</v>
      </c>
    </row>
    <row r="42" spans="1:11">
      <c r="A42" t="s">
        <v>42</v>
      </c>
      <c r="D42">
        <v>22.7</v>
      </c>
      <c r="G42">
        <v>-1.5</v>
      </c>
      <c r="H42">
        <v>-2.6</v>
      </c>
      <c r="I42">
        <v>-2.9</v>
      </c>
      <c r="J42">
        <v>-3.2</v>
      </c>
      <c r="K42">
        <v>-3.3</v>
      </c>
    </row>
    <row r="43" spans="1:11">
      <c r="A43" t="s">
        <v>43</v>
      </c>
      <c r="D43">
        <v>54</v>
      </c>
      <c r="G43">
        <v>-0.6</v>
      </c>
      <c r="H43">
        <v>-1</v>
      </c>
      <c r="I43">
        <v>-1.2</v>
      </c>
      <c r="J43">
        <v>-1.3</v>
      </c>
      <c r="K43">
        <v>-1.3</v>
      </c>
    </row>
    <row r="45" spans="1:11">
      <c r="A45" t="s">
        <v>44</v>
      </c>
      <c r="D45">
        <v>-60</v>
      </c>
      <c r="G45">
        <v>-0.5</v>
      </c>
      <c r="H45">
        <v>-0.9</v>
      </c>
      <c r="I45">
        <v>-1.1000000000000001</v>
      </c>
      <c r="J45">
        <v>-1.2</v>
      </c>
      <c r="K45">
        <v>-1.2</v>
      </c>
    </row>
    <row r="46" spans="1:11">
      <c r="A46" t="s">
        <v>45</v>
      </c>
      <c r="D46">
        <v>-27</v>
      </c>
      <c r="G46">
        <v>-1.4</v>
      </c>
      <c r="H46">
        <v>-2.4</v>
      </c>
      <c r="I46">
        <v>-2.7</v>
      </c>
      <c r="J46">
        <v>-2.9</v>
      </c>
      <c r="K46">
        <v>-3</v>
      </c>
    </row>
    <row r="47" spans="1:11">
      <c r="A47" t="s">
        <v>46</v>
      </c>
      <c r="D47">
        <v>3</v>
      </c>
      <c r="G47">
        <v>-1.9</v>
      </c>
      <c r="H47">
        <v>-3.5</v>
      </c>
      <c r="I47">
        <v>-3.8</v>
      </c>
      <c r="J47">
        <v>-4</v>
      </c>
      <c r="K47">
        <v>-4.2</v>
      </c>
    </row>
    <row r="48" spans="1:11">
      <c r="A48" t="s">
        <v>47</v>
      </c>
      <c r="D48">
        <v>23.47</v>
      </c>
      <c r="G48">
        <v>-1.4</v>
      </c>
      <c r="H48">
        <v>-2.5</v>
      </c>
      <c r="I48">
        <v>-2.8</v>
      </c>
      <c r="J48">
        <v>-3</v>
      </c>
      <c r="K48">
        <v>-3.1</v>
      </c>
    </row>
    <row r="49" spans="1:11">
      <c r="A49" t="s">
        <v>48</v>
      </c>
      <c r="D49">
        <v>91</v>
      </c>
      <c r="G49">
        <v>-0.3</v>
      </c>
      <c r="H49">
        <v>-0.4</v>
      </c>
      <c r="I49">
        <v>-0.5</v>
      </c>
      <c r="J49">
        <v>-0.6</v>
      </c>
      <c r="K49">
        <v>-0.6</v>
      </c>
    </row>
    <row r="51" spans="1:11">
      <c r="A51" s="5" t="s">
        <v>49</v>
      </c>
      <c r="B51" s="5"/>
      <c r="C51" s="5"/>
      <c r="D51" s="5">
        <v>-43.2</v>
      </c>
      <c r="E51" s="5"/>
      <c r="F51" s="5"/>
      <c r="G51" s="5">
        <v>-0.1</v>
      </c>
      <c r="H51" s="5">
        <v>-0.2</v>
      </c>
      <c r="I51" s="5">
        <v>-0.2</v>
      </c>
      <c r="J51" s="5">
        <v>-0.3</v>
      </c>
      <c r="K51" s="5">
        <v>-0.3</v>
      </c>
    </row>
    <row r="52" spans="1:11">
      <c r="A52" s="5" t="s">
        <v>50</v>
      </c>
      <c r="B52" s="5"/>
      <c r="C52" s="5"/>
      <c r="D52" s="5">
        <v>-20.9</v>
      </c>
      <c r="E52" s="5"/>
      <c r="F52" s="5"/>
      <c r="G52" s="5">
        <v>-0.2</v>
      </c>
      <c r="H52" s="5">
        <v>-0.4</v>
      </c>
      <c r="I52" s="5">
        <v>-0.5</v>
      </c>
      <c r="J52" s="5">
        <v>-0.5</v>
      </c>
      <c r="K52" s="5">
        <v>-0.5</v>
      </c>
    </row>
    <row r="53" spans="1:11">
      <c r="A53" s="5" t="s">
        <v>51</v>
      </c>
      <c r="B53" s="5"/>
      <c r="C53" s="5"/>
      <c r="D53" s="5">
        <v>0</v>
      </c>
      <c r="E53" s="5"/>
      <c r="F53" s="5"/>
      <c r="G53" s="5">
        <v>-0.4</v>
      </c>
      <c r="H53" s="5">
        <v>-0.7</v>
      </c>
      <c r="I53" s="5">
        <v>-0.7</v>
      </c>
      <c r="J53" s="5">
        <v>-0.8</v>
      </c>
      <c r="K53" s="5">
        <v>-0.8</v>
      </c>
    </row>
    <row r="54" spans="1:11">
      <c r="A54" s="5" t="s">
        <v>52</v>
      </c>
      <c r="B54" s="5"/>
      <c r="C54" s="5"/>
      <c r="D54" s="5">
        <v>20.7</v>
      </c>
      <c r="E54" s="5"/>
      <c r="F54" s="5"/>
      <c r="G54" s="5">
        <v>-0.2</v>
      </c>
      <c r="H54" s="5">
        <v>-0.4</v>
      </c>
      <c r="I54" s="5">
        <v>-0.5</v>
      </c>
      <c r="J54" s="5">
        <v>-0.5</v>
      </c>
      <c r="K54" s="5">
        <v>-0.5</v>
      </c>
    </row>
    <row r="55" spans="1:11">
      <c r="A55" s="5" t="s">
        <v>53</v>
      </c>
      <c r="B55" s="5"/>
      <c r="C55" s="5"/>
      <c r="D55" s="5">
        <v>47.6</v>
      </c>
      <c r="E55" s="5"/>
      <c r="F55" s="5"/>
      <c r="G55" s="5">
        <v>-0.1</v>
      </c>
      <c r="H55" s="5">
        <v>-0.2</v>
      </c>
      <c r="I55" s="5">
        <v>-0.2</v>
      </c>
      <c r="J55" s="5">
        <v>-0.2</v>
      </c>
      <c r="K55" s="5">
        <v>-0.3</v>
      </c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 t="s">
        <v>54</v>
      </c>
      <c r="B57" s="5"/>
      <c r="C57" s="5"/>
      <c r="D57" s="5">
        <v>-41</v>
      </c>
      <c r="E57" s="5"/>
      <c r="F57" s="5"/>
      <c r="G57" s="5">
        <v>-0.1</v>
      </c>
      <c r="H57" s="5">
        <v>-0.2</v>
      </c>
      <c r="I57" s="5">
        <v>-0.2</v>
      </c>
      <c r="J57" s="5">
        <v>-0.3</v>
      </c>
      <c r="K57" s="5">
        <v>-0.3</v>
      </c>
    </row>
    <row r="58" spans="1:11">
      <c r="A58" s="5" t="s">
        <v>55</v>
      </c>
      <c r="B58" s="5"/>
      <c r="C58" s="5"/>
      <c r="D58" s="5">
        <v>-21</v>
      </c>
      <c r="E58" s="5"/>
      <c r="F58" s="5"/>
      <c r="G58" s="5">
        <v>-0.2</v>
      </c>
      <c r="H58" s="5">
        <v>-0.4</v>
      </c>
      <c r="I58" s="5">
        <v>-0.5</v>
      </c>
      <c r="J58" s="5">
        <v>-0.5</v>
      </c>
      <c r="K58" s="5">
        <v>-0.5</v>
      </c>
    </row>
    <row r="59" spans="1:11">
      <c r="A59" s="5" t="s">
        <v>56</v>
      </c>
      <c r="B59" s="5"/>
      <c r="C59" s="5"/>
      <c r="D59" s="5">
        <v>0</v>
      </c>
      <c r="E59" s="5"/>
      <c r="F59" s="5"/>
      <c r="G59" s="5">
        <v>-0.4</v>
      </c>
      <c r="H59" s="5">
        <v>-0.7</v>
      </c>
      <c r="I59" s="5">
        <v>-0.7</v>
      </c>
      <c r="J59" s="5">
        <v>-0.8</v>
      </c>
      <c r="K59" s="5">
        <v>-0.8</v>
      </c>
    </row>
    <row r="60" spans="1:11">
      <c r="A60" s="5" t="s">
        <v>57</v>
      </c>
      <c r="B60" s="5"/>
      <c r="C60" s="5"/>
      <c r="D60" s="5">
        <v>8.9</v>
      </c>
      <c r="E60" s="5"/>
      <c r="F60" s="5"/>
      <c r="G60" s="5">
        <v>-0.3</v>
      </c>
      <c r="H60" s="5">
        <v>-0.6</v>
      </c>
      <c r="I60" s="5">
        <v>-0.7</v>
      </c>
      <c r="J60" s="5">
        <v>-0.7</v>
      </c>
      <c r="K60" s="5">
        <v>-0.7</v>
      </c>
    </row>
    <row r="61" spans="1:11">
      <c r="A61" s="5" t="s">
        <v>58</v>
      </c>
      <c r="B61" s="5"/>
      <c r="C61" s="5"/>
      <c r="D61" s="5">
        <v>47.6</v>
      </c>
      <c r="E61" s="5"/>
      <c r="F61" s="5"/>
      <c r="G61" s="5">
        <v>-0.1</v>
      </c>
      <c r="H61" s="5">
        <v>-0.2</v>
      </c>
      <c r="I61" s="5">
        <v>-0.2</v>
      </c>
      <c r="J61" s="5">
        <v>-0.2</v>
      </c>
      <c r="K61" s="5">
        <v>-0.3</v>
      </c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 t="s">
        <v>59</v>
      </c>
      <c r="B63" s="5"/>
      <c r="C63" s="5"/>
      <c r="D63" s="5">
        <v>-27.8</v>
      </c>
      <c r="E63" s="5"/>
      <c r="F63" s="5"/>
      <c r="G63" s="5">
        <v>-0.1</v>
      </c>
      <c r="H63" s="5">
        <v>-0.2</v>
      </c>
      <c r="I63" s="5">
        <v>-0.3</v>
      </c>
      <c r="J63" s="5">
        <v>-0.3</v>
      </c>
      <c r="K63" s="5">
        <v>-0.3</v>
      </c>
    </row>
    <row r="64" spans="1:11">
      <c r="A64" s="5" t="s">
        <v>60</v>
      </c>
      <c r="B64" s="5"/>
      <c r="C64" s="5"/>
      <c r="D64" s="5">
        <v>0</v>
      </c>
      <c r="E64" s="5"/>
      <c r="F64" s="5"/>
      <c r="G64" s="5">
        <v>-0.2</v>
      </c>
      <c r="H64" s="5">
        <v>-0.3</v>
      </c>
      <c r="I64" s="5">
        <v>-0.3</v>
      </c>
      <c r="J64" s="5">
        <v>-0.3</v>
      </c>
      <c r="K64" s="5">
        <v>-0.4</v>
      </c>
    </row>
    <row r="65" spans="1:11">
      <c r="A65" s="5" t="s">
        <v>61</v>
      </c>
      <c r="B65" s="5"/>
      <c r="C65" s="5"/>
      <c r="D65" s="5">
        <v>25.6</v>
      </c>
      <c r="E65" s="5"/>
      <c r="F65" s="5"/>
      <c r="G65" s="5">
        <v>-0.1</v>
      </c>
      <c r="H65" s="5">
        <v>-0.2</v>
      </c>
      <c r="I65" s="5">
        <v>-0.3</v>
      </c>
      <c r="J65" s="5">
        <v>-0.3</v>
      </c>
      <c r="K65" s="5">
        <v>-0.3</v>
      </c>
    </row>
    <row r="66" spans="1:11">
      <c r="A66" s="5" t="s">
        <v>62</v>
      </c>
      <c r="B66" s="5"/>
      <c r="C66" s="5"/>
      <c r="D66" s="5">
        <v>50.7</v>
      </c>
      <c r="E66" s="5"/>
      <c r="F66" s="5"/>
      <c r="G66" s="5">
        <v>-0.1</v>
      </c>
      <c r="H66" s="5">
        <v>-0.2</v>
      </c>
      <c r="I66" s="5">
        <v>-0.2</v>
      </c>
      <c r="J66" s="5">
        <v>-0.2</v>
      </c>
      <c r="K66" s="5">
        <v>-0.2</v>
      </c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 t="s">
        <v>63</v>
      </c>
      <c r="B68" s="5"/>
      <c r="C68" s="5"/>
      <c r="D68" s="5">
        <v>-48.7</v>
      </c>
      <c r="E68" s="5"/>
      <c r="F68" s="5"/>
      <c r="G68" s="5">
        <v>-0.1</v>
      </c>
      <c r="H68" s="5">
        <v>-0.1</v>
      </c>
      <c r="I68" s="5">
        <v>-0.1</v>
      </c>
      <c r="J68" s="5">
        <v>-0.1</v>
      </c>
      <c r="K68" s="5">
        <v>-0.1</v>
      </c>
    </row>
    <row r="69" spans="1:11">
      <c r="A69" s="5" t="s">
        <v>64</v>
      </c>
      <c r="B69" s="5"/>
      <c r="C69" s="5"/>
      <c r="D69" s="5">
        <v>-17.2</v>
      </c>
      <c r="E69" s="5"/>
      <c r="F69" s="5"/>
      <c r="G69" s="5">
        <v>-0.1</v>
      </c>
      <c r="H69" s="5">
        <v>-0.2</v>
      </c>
      <c r="I69" s="5">
        <v>-0.3</v>
      </c>
      <c r="J69" s="5">
        <v>-0.3</v>
      </c>
      <c r="K69" s="5">
        <v>-0.3</v>
      </c>
    </row>
    <row r="70" spans="1:11">
      <c r="A70" s="5" t="s">
        <v>65</v>
      </c>
      <c r="B70" s="5"/>
      <c r="C70" s="5"/>
      <c r="D70" s="5">
        <v>0</v>
      </c>
      <c r="E70" s="5"/>
      <c r="F70" s="5"/>
      <c r="G70" s="5">
        <v>-0.2</v>
      </c>
      <c r="H70" s="5">
        <v>-0.3</v>
      </c>
      <c r="I70" s="5">
        <v>-0.3</v>
      </c>
      <c r="J70" s="5">
        <v>-0.3</v>
      </c>
      <c r="K70" s="5">
        <v>-0.4</v>
      </c>
    </row>
    <row r="71" spans="1:11">
      <c r="A71" s="5" t="s">
        <v>66</v>
      </c>
      <c r="B71" s="5"/>
      <c r="C71" s="5"/>
      <c r="D71" s="5">
        <v>15.6</v>
      </c>
      <c r="E71" s="5"/>
      <c r="F71" s="5"/>
      <c r="G71" s="5">
        <v>-0.1</v>
      </c>
      <c r="H71" s="5">
        <v>-0.2</v>
      </c>
      <c r="I71" s="5">
        <v>-0.3</v>
      </c>
      <c r="J71" s="5">
        <v>-0.3</v>
      </c>
      <c r="K71" s="5">
        <v>-0.3</v>
      </c>
    </row>
    <row r="72" spans="1:11">
      <c r="A72" s="5" t="s">
        <v>67</v>
      </c>
      <c r="B72" s="5"/>
      <c r="C72" s="5"/>
      <c r="D72" s="5">
        <v>38.9</v>
      </c>
      <c r="E72" s="5"/>
      <c r="F72" s="5"/>
      <c r="G72" s="5">
        <v>-0.1</v>
      </c>
      <c r="H72" s="5">
        <v>-0.1</v>
      </c>
      <c r="I72" s="5">
        <v>-0.1</v>
      </c>
      <c r="J72" s="5">
        <v>-0.1</v>
      </c>
      <c r="K72" s="5">
        <v>-0.2</v>
      </c>
    </row>
    <row r="74" spans="1:11">
      <c r="A74" s="5" t="s">
        <v>68</v>
      </c>
      <c r="B74" s="5"/>
      <c r="C74" s="5"/>
      <c r="D74" s="5">
        <v>-50.16</v>
      </c>
      <c r="E74" s="5"/>
      <c r="F74" s="5"/>
      <c r="G74" s="5">
        <v>-0.1</v>
      </c>
      <c r="H74" s="5">
        <v>-0.2</v>
      </c>
      <c r="I74" s="5">
        <v>-0.2</v>
      </c>
      <c r="J74" s="5">
        <v>-0.2</v>
      </c>
      <c r="K74" s="5">
        <v>-0.3</v>
      </c>
    </row>
    <row r="75" spans="1:11">
      <c r="A75" s="5" t="s">
        <v>69</v>
      </c>
      <c r="B75" s="5"/>
      <c r="C75" s="5"/>
      <c r="D75" s="5">
        <v>-24.4</v>
      </c>
      <c r="E75" s="5"/>
      <c r="F75" s="5"/>
      <c r="G75" s="5">
        <v>-0.2</v>
      </c>
      <c r="H75" s="5">
        <v>-0.4</v>
      </c>
      <c r="I75" s="5">
        <v>-0.4</v>
      </c>
      <c r="J75" s="5">
        <v>-0.4</v>
      </c>
      <c r="K75" s="5">
        <v>-0.4</v>
      </c>
    </row>
    <row r="76" spans="1:11">
      <c r="A76" s="5" t="s">
        <v>70</v>
      </c>
      <c r="B76" s="5"/>
      <c r="C76" s="5"/>
      <c r="D76" s="5">
        <v>0</v>
      </c>
      <c r="E76" s="5"/>
      <c r="F76" s="5"/>
      <c r="G76" s="5">
        <v>-0.4</v>
      </c>
      <c r="H76" s="5">
        <v>-0.7</v>
      </c>
      <c r="I76" s="5">
        <v>-0.7</v>
      </c>
      <c r="J76" s="5">
        <v>-0.8</v>
      </c>
      <c r="K76" s="5">
        <v>-0.8</v>
      </c>
    </row>
    <row r="77" spans="1:11">
      <c r="A77" s="5" t="s">
        <v>71</v>
      </c>
      <c r="B77" s="5"/>
      <c r="C77" s="5"/>
      <c r="D77" s="5">
        <v>23.5</v>
      </c>
      <c r="E77" s="5"/>
      <c r="F77" s="5"/>
      <c r="G77" s="5">
        <v>-0.2</v>
      </c>
      <c r="H77" s="5">
        <v>-0.4</v>
      </c>
      <c r="I77" s="5">
        <v>-0.4</v>
      </c>
      <c r="J77" s="5">
        <v>-0.4</v>
      </c>
      <c r="K77" s="5">
        <v>-0.4</v>
      </c>
    </row>
    <row r="78" spans="1:11">
      <c r="A78" s="5" t="s">
        <v>72</v>
      </c>
      <c r="B78" s="5"/>
      <c r="C78" s="5"/>
      <c r="D78" s="5">
        <v>45.2</v>
      </c>
      <c r="E78" s="5"/>
      <c r="F78" s="5"/>
      <c r="G78" s="5">
        <v>-0.1</v>
      </c>
      <c r="H78" s="5">
        <v>-0.2</v>
      </c>
      <c r="I78" s="5">
        <v>-0.2</v>
      </c>
      <c r="J78" s="5">
        <v>-0.2</v>
      </c>
      <c r="K78" s="5">
        <v>-0.3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ECFCDA-EE54-42FA-AFA7-FB9291BE5FFE}"/>
</file>

<file path=customXml/itemProps2.xml><?xml version="1.0" encoding="utf-8"?>
<ds:datastoreItem xmlns:ds="http://schemas.openxmlformats.org/officeDocument/2006/customXml" ds:itemID="{6AE100AF-BB08-4292-B37D-C41441060C5E}"/>
</file>

<file path=customXml/itemProps3.xml><?xml version="1.0" encoding="utf-8"?>
<ds:datastoreItem xmlns:ds="http://schemas.openxmlformats.org/officeDocument/2006/customXml" ds:itemID="{7B0E2054-4B13-4AD9-AB5B-F3D7275420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Meras</dc:creator>
  <cp:keywords/>
  <dc:description/>
  <cp:lastModifiedBy>Javier Meras</cp:lastModifiedBy>
  <cp:revision/>
  <dcterms:created xsi:type="dcterms:W3CDTF">2025-12-10T17:49:38Z</dcterms:created>
  <dcterms:modified xsi:type="dcterms:W3CDTF">2026-06-04T17:45:36Z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  <property fmtid="{D5CDD505-2E9C-101B-9397-08002B2CF9AE}" pid="3" name="MediaServiceImageTags">
    <vt:lpwstr/>
  </property>
</Properties>
</file>